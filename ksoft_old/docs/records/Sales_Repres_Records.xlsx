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31681BB2-EFCC-4FD6-A4C4-BCA7D021F6E1}" xr6:coauthVersionLast="47" xr6:coauthVersionMax="47" xr10:uidLastSave="{00000000-0000-0000-0000-000000000000}"/>
  <bookViews>
    <workbookView xWindow="-108" yWindow="-108" windowWidth="23256" windowHeight="14016" xr2:uid="{17FDD317-5C1D-4BEC-9B5B-5876E9F6A0B4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B3" i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</calcChain>
</file>

<file path=xl/sharedStrings.xml><?xml version="1.0" encoding="utf-8"?>
<sst xmlns="http://schemas.openxmlformats.org/spreadsheetml/2006/main" count="6" uniqueCount="6">
  <si>
    <t>Repres</t>
  </si>
  <si>
    <t>Nome Abreviado</t>
  </si>
  <si>
    <t>Nome</t>
  </si>
  <si>
    <t>Natureza</t>
  </si>
  <si>
    <t>Reg Abrev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</si>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</sst>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164" fontId="0" fillId="0" borderId="13" xfId="0" applyNumberFormat="1" applyBorder="1" applyAlignment="1">
      <alignment horizontal="right"/>
    </xf>
    <xf numFmtId="0" fontId="0" fillId="0" borderId="14" xfId="0" applyBorder="1"/>
    <xf numFmtId="164" fontId="0" fillId="0" borderId="15" xfId="0" applyNumberFormat="1" applyBorder="1" applyAlignment="1">
      <alignment horizontal="right"/>
    </xf>
    <xf numFmtId="0" fontId="0" fillId="0" borderId="16" xfId="0" applyBorder="1"/>
    <xf numFmtId="0" fontId="16" fillId="33" borderId="10" xfId="0" applyFont="1" applyFill="1" applyBorder="1" applyAlignment="1">
      <alignment horizontal="right"/>
    </xf>
    <xf numFmtId="0" fontId="16" fillId="33" borderId="17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AB3B-42E5-4911-9DE4-04A4097285F5}">
  <dimension ref="A1:E14"/>
  <sheetViews>
    <sheetView tabSelected="1" workbookViewId="0">
      <selection activeCell="C17" sqref="C17"/>
    </sheetView>
  </sheetViews>
  <sheetFormatPr defaultRowHeight="14.4" x14ac:dyDescent="0.3"/>
  <cols>
    <col min="1" max="1" width="14" bestFit="1" customWidth="1"/>
    <col min="2" max="2" width="14.77734375" bestFit="1" customWidth="1"/>
    <col min="3" max="3" width="39.5546875" bestFit="1" customWidth="1"/>
    <col min="4" max="4" width="13.33203125" bestFit="1" customWidth="1"/>
    <col min="5" max="5" width="9.109375" bestFit="1" customWidth="1"/>
  </cols>
  <sheetData>
    <row r="1" spans="1:5" ht="15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x14ac:dyDescent="0.3">
      <c r="A2" s="5">
        <v>1</v>
      </c>
      <c r="B2" s="6" t="str">
        <f>"ELM"</f>
        <v>ELM</v>
      </c>
      <c r="C2" s="6" t="str">
        <f>"ELM REPRESENTAÇÃO COMERCIAL LTDA"</f>
        <v>ELM REPRESENTAÇÃO COMERCIAL LTDA</v>
      </c>
      <c r="D2" s="6" t="str">
        <f>"Pessoa Jurídica"</f>
        <v>Pessoa Jurídica</v>
      </c>
      <c r="E2" s="6" t="str">
        <f>"Interno"</f>
        <v>Interno</v>
      </c>
    </row>
    <row r="3" spans="1:5" x14ac:dyDescent="0.3">
      <c r="A3" s="1">
        <v>2</v>
      </c>
      <c r="B3" s="2" t="str">
        <f>"UNISFERA"</f>
        <v>UNISFERA</v>
      </c>
      <c r="C3" s="2" t="str">
        <f>"UNISFERA (LTD) S.R.L."</f>
        <v>UNISFERA (LTD) S.R.L.</v>
      </c>
      <c r="D3" s="2" t="str">
        <f>"Estrangeiro"</f>
        <v>Estrangeiro</v>
      </c>
      <c r="E3" s="2" t="str">
        <f>"Externo"</f>
        <v>Externo</v>
      </c>
    </row>
    <row r="4" spans="1:5" x14ac:dyDescent="0.3">
      <c r="A4" s="1">
        <v>3</v>
      </c>
      <c r="B4" s="2" t="str">
        <f>"SEIDLITZ"</f>
        <v>SEIDLITZ</v>
      </c>
      <c r="C4" s="2" t="str">
        <f>"OTTO SEIDLITZ REPRESENTACIONES CIA LTDA."</f>
        <v>OTTO SEIDLITZ REPRESENTACIONES CIA LTDA.</v>
      </c>
      <c r="D4" s="2" t="str">
        <f>"Estrangeiro"</f>
        <v>Estrangeiro</v>
      </c>
      <c r="E4" s="2" t="str">
        <f>"Externo"</f>
        <v>Externo</v>
      </c>
    </row>
    <row r="5" spans="1:5" x14ac:dyDescent="0.3">
      <c r="A5" s="1">
        <v>4</v>
      </c>
      <c r="B5" s="2" t="str">
        <f>"MEX."</f>
        <v>MEX.</v>
      </c>
      <c r="C5" s="2" t="str">
        <f>"JOSE IGNACIO AZPEITIA"</f>
        <v>JOSE IGNACIO AZPEITIA</v>
      </c>
      <c r="D5" s="2" t="str">
        <f>"Estrangeiro"</f>
        <v>Estrangeiro</v>
      </c>
      <c r="E5" s="2" t="str">
        <f>"Externo"</f>
        <v>Externo</v>
      </c>
    </row>
    <row r="6" spans="1:5" x14ac:dyDescent="0.3">
      <c r="A6" s="1">
        <v>5</v>
      </c>
      <c r="B6" s="2" t="str">
        <f>"SEM"</f>
        <v>SEM</v>
      </c>
      <c r="C6" s="2" t="str">
        <f>"IMPRESS DECOR BRASIL LTDA"</f>
        <v>IMPRESS DECOR BRASIL LTDA</v>
      </c>
      <c r="D6" s="2" t="str">
        <f>"Pessoa Jurídica"</f>
        <v>Pessoa Jurídica</v>
      </c>
      <c r="E6" s="2" t="str">
        <f>"INTERNO"</f>
        <v>INTERNO</v>
      </c>
    </row>
    <row r="7" spans="1:5" x14ac:dyDescent="0.3">
      <c r="A7" s="1">
        <v>6</v>
      </c>
      <c r="B7" s="2" t="str">
        <f>"USA"</f>
        <v>USA</v>
      </c>
      <c r="C7" s="2" t="str">
        <f>"EDUARDO MACIAS"</f>
        <v>EDUARDO MACIAS</v>
      </c>
      <c r="D7" s="2" t="str">
        <f>"Estrangeiro"</f>
        <v>Estrangeiro</v>
      </c>
      <c r="E7" s="2" t="str">
        <f>"EXTERNO"</f>
        <v>EXTERNO</v>
      </c>
    </row>
    <row r="8" spans="1:5" x14ac:dyDescent="0.3">
      <c r="A8" s="1">
        <v>7</v>
      </c>
      <c r="B8" s="2" t="str">
        <f>"PH"</f>
        <v>PH</v>
      </c>
      <c r="C8" s="2" t="str">
        <f>"PH REPRESENTAÇÕES LTDA"</f>
        <v>PH REPRESENTAÇÕES LTDA</v>
      </c>
      <c r="D8" s="2" t="str">
        <f>"Trading"</f>
        <v>Trading</v>
      </c>
      <c r="E8" s="2" t="str">
        <f>"Interno"</f>
        <v>Interno</v>
      </c>
    </row>
    <row r="9" spans="1:5" x14ac:dyDescent="0.3">
      <c r="A9" s="1">
        <v>8</v>
      </c>
      <c r="B9" s="2" t="str">
        <f>"QUALITEC"</f>
        <v>QUALITEC</v>
      </c>
      <c r="C9" s="2" t="str">
        <f>"QUALITEC REPRESENTAÇÕES LTDA"</f>
        <v>QUALITEC REPRESENTAÇÕES LTDA</v>
      </c>
      <c r="D9" s="2" t="str">
        <f>"Pessoa Jurídica"</f>
        <v>Pessoa Jurídica</v>
      </c>
      <c r="E9" s="2" t="str">
        <f>"Interno"</f>
        <v>Interno</v>
      </c>
    </row>
    <row r="10" spans="1:5" x14ac:dyDescent="0.3">
      <c r="A10" s="1">
        <v>9</v>
      </c>
      <c r="B10" s="2" t="str">
        <f>"UNISFERA VEN"</f>
        <v>UNISFERA VEN</v>
      </c>
      <c r="C10" s="2" t="str">
        <f>"UNISFERA (LTD) S.R.L."</f>
        <v>UNISFERA (LTD) S.R.L.</v>
      </c>
      <c r="D10" s="2" t="str">
        <f>"Estrangeiro"</f>
        <v>Estrangeiro</v>
      </c>
      <c r="E10" s="2" t="str">
        <f>"Externo"</f>
        <v>Externo</v>
      </c>
    </row>
    <row r="11" spans="1:5" x14ac:dyDescent="0.3">
      <c r="A11" s="1">
        <v>10</v>
      </c>
      <c r="B11" s="2" t="str">
        <f>"SOUTH AFRICA"</f>
        <v>SOUTH AFRICA</v>
      </c>
      <c r="C11" s="2" t="str">
        <f>"SOUTH AFRICA"</f>
        <v>SOUTH AFRICA</v>
      </c>
      <c r="D11" s="2" t="str">
        <f>"Estrangeiro"</f>
        <v>Estrangeiro</v>
      </c>
      <c r="E11" s="2" t="str">
        <f>"Externo"</f>
        <v>Externo</v>
      </c>
    </row>
    <row r="12" spans="1:5" x14ac:dyDescent="0.3">
      <c r="A12" s="1">
        <v>11</v>
      </c>
      <c r="B12" s="2" t="str">
        <f>"Lidia Maier"</f>
        <v>Lidia Maier</v>
      </c>
      <c r="C12" s="2" t="str">
        <f>"Lidia Maier"</f>
        <v>Lidia Maier</v>
      </c>
      <c r="D12" s="2" t="str">
        <f>"Pessoa Física"</f>
        <v>Pessoa Física</v>
      </c>
      <c r="E12" s="2" t="str">
        <f>"Interno"</f>
        <v>Interno</v>
      </c>
    </row>
    <row r="13" spans="1:5" ht="15" thickBot="1" x14ac:dyDescent="0.35">
      <c r="A13" s="3">
        <v>12</v>
      </c>
      <c r="B13" s="4" t="str">
        <f>"Carolina L."</f>
        <v>Carolina L.</v>
      </c>
      <c r="C13" s="4" t="str">
        <f>"Carolina Lacerda"</f>
        <v>Carolina Lacerda</v>
      </c>
      <c r="D13" s="4" t="str">
        <f>"Pessoa Física"</f>
        <v>Pessoa Física</v>
      </c>
      <c r="E13" s="4" t="str">
        <f>"Interno"</f>
        <v>Interno</v>
      </c>
    </row>
    <row r="14" spans="1:5" x14ac:dyDescent="0.3">
      <c r="A14" t="s">
        <v>5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D0F4B4-87CD-4B10-B270-43657641090E}"/>
</file>

<file path=customXml/itemProps2.xml><?xml version="1.0" encoding="utf-8"?>
<ds:datastoreItem xmlns:ds="http://schemas.openxmlformats.org/officeDocument/2006/customXml" ds:itemID="{1FD8B451-2B59-480D-BD4E-275393A5892C}"/>
</file>

<file path=customXml/itemProps3.xml><?xml version="1.0" encoding="utf-8"?>
<ds:datastoreItem xmlns:ds="http://schemas.openxmlformats.org/officeDocument/2006/customXml" ds:itemID="{E9BCCCFC-D201-4BF1-9139-E619B967BE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2025-01-16T11:47:35Z</dcterms:created>
  <dcterms:modified xsi:type="dcterms:W3CDTF">2025-01-16T11:48:32Z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