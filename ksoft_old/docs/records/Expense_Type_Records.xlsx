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EA575D1B-AE8B-4E66-8D31-91FEF5E9AD1F}" xr6:coauthVersionLast="47" xr6:coauthVersionMax="47" xr10:uidLastSave="{00000000-0000-0000-0000-000000000000}"/>
  <bookViews>
    <workbookView xWindow="-108" yWindow="-108" windowWidth="23256" windowHeight="14016" xr2:uid="{C36AC6A5-E00E-4977-AE6A-40E61ECD3904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</calcChain>
</file>

<file path=xl/sharedStrings.xml><?xml version="1.0" encoding="utf-8"?>
<sst xmlns="http://schemas.openxmlformats.org/spreadsheetml/2006/main" count="4" uniqueCount="4">
  <si>
    <t>Cod Recta/Desp</t>
  </si>
  <si>
    <t>Descrição</t>
  </si>
  <si>
    <t>Tipo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</si>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</sst>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0" fontId="0" fillId="0" borderId="13" xfId="0" applyBorder="1"/>
    <xf numFmtId="164" fontId="0" fillId="0" borderId="14" xfId="0" applyNumberFormat="1" applyBorder="1" applyAlignment="1">
      <alignment horizontal="right"/>
    </xf>
    <xf numFmtId="0" fontId="0" fillId="0" borderId="15" xfId="0" applyBorder="1"/>
    <xf numFmtId="0" fontId="0" fillId="0" borderId="16" xfId="0" applyBorder="1"/>
    <xf numFmtId="164" fontId="0" fillId="0" borderId="17" xfId="0" applyNumberFormat="1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 applyAlignment="1">
      <alignment horizontal="right"/>
    </xf>
    <xf numFmtId="0" fontId="16" fillId="33" borderId="20" xfId="0" applyFont="1" applyFill="1" applyBorder="1"/>
    <xf numFmtId="0" fontId="16" fillId="33" borderId="2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93EC-6D9D-434F-B244-140E922C6681}">
  <dimension ref="A1:C117"/>
  <sheetViews>
    <sheetView tabSelected="1" workbookViewId="0">
      <selection activeCell="D1" sqref="D1"/>
    </sheetView>
  </sheetViews>
  <sheetFormatPr defaultRowHeight="14.4" x14ac:dyDescent="0.3"/>
  <cols>
    <col min="1" max="1" width="15.21875" bestFit="1" customWidth="1"/>
    <col min="2" max="2" width="32.77734375" bestFit="1" customWidth="1"/>
    <col min="3" max="3" width="7.77734375" bestFit="1" customWidth="1"/>
  </cols>
  <sheetData>
    <row r="1" spans="1:3" ht="15" thickBot="1" x14ac:dyDescent="0.35">
      <c r="A1" s="10" t="s">
        <v>0</v>
      </c>
      <c r="B1" s="11" t="s">
        <v>1</v>
      </c>
      <c r="C1" s="12" t="s">
        <v>2</v>
      </c>
    </row>
    <row r="2" spans="1:3" x14ac:dyDescent="0.3">
      <c r="A2" s="7">
        <v>1</v>
      </c>
      <c r="B2" s="8" t="str">
        <f>"SALÁRIOS E ORDENADOS"</f>
        <v>SALÁRIOS E ORDENADOS</v>
      </c>
      <c r="C2" s="9" t="str">
        <f t="shared" ref="C2:C20" si="0">"Despesa"</f>
        <v>Despesa</v>
      </c>
    </row>
    <row r="3" spans="1:3" x14ac:dyDescent="0.3">
      <c r="A3" s="1">
        <v>2</v>
      </c>
      <c r="B3" s="2" t="str">
        <f>"MATERIA PRIMA MERCADO INTERNO"</f>
        <v>MATERIA PRIMA MERCADO INTERNO</v>
      </c>
      <c r="C3" s="3" t="str">
        <f t="shared" si="0"/>
        <v>Despesa</v>
      </c>
    </row>
    <row r="4" spans="1:3" x14ac:dyDescent="0.3">
      <c r="A4" s="1">
        <v>3</v>
      </c>
      <c r="B4" s="2" t="str">
        <f>"PRODUTOS PARA CONSUMO DIARIO"</f>
        <v>PRODUTOS PARA CONSUMO DIARIO</v>
      </c>
      <c r="C4" s="3" t="str">
        <f t="shared" si="0"/>
        <v>Despesa</v>
      </c>
    </row>
    <row r="5" spans="1:3" x14ac:dyDescent="0.3">
      <c r="A5" s="1">
        <v>4</v>
      </c>
      <c r="B5" s="2" t="str">
        <f>"IRPJ/CSLL"</f>
        <v>IRPJ/CSLL</v>
      </c>
      <c r="C5" s="3" t="str">
        <f t="shared" si="0"/>
        <v>Despesa</v>
      </c>
    </row>
    <row r="6" spans="1:3" x14ac:dyDescent="0.3">
      <c r="A6" s="1">
        <v>5</v>
      </c>
      <c r="B6" s="2" t="str">
        <f>"ICMS"</f>
        <v>ICMS</v>
      </c>
      <c r="C6" s="3" t="str">
        <f t="shared" si="0"/>
        <v>Despesa</v>
      </c>
    </row>
    <row r="7" spans="1:3" x14ac:dyDescent="0.3">
      <c r="A7" s="1">
        <v>6</v>
      </c>
      <c r="B7" s="2" t="str">
        <f>"DESPESAS COMERCIO EXTERIOR"</f>
        <v>DESPESAS COMERCIO EXTERIOR</v>
      </c>
      <c r="C7" s="3" t="str">
        <f t="shared" si="0"/>
        <v>Despesa</v>
      </c>
    </row>
    <row r="8" spans="1:3" x14ac:dyDescent="0.3">
      <c r="A8" s="1">
        <v>7</v>
      </c>
      <c r="B8" s="2" t="str">
        <f>"DESPESAS BANCARIAS"</f>
        <v>DESPESAS BANCARIAS</v>
      </c>
      <c r="C8" s="3" t="str">
        <f t="shared" si="0"/>
        <v>Despesa</v>
      </c>
    </row>
    <row r="9" spans="1:3" x14ac:dyDescent="0.3">
      <c r="A9" s="1">
        <v>8</v>
      </c>
      <c r="B9" s="2" t="str">
        <f>"IOF"</f>
        <v>IOF</v>
      </c>
      <c r="C9" s="3" t="str">
        <f t="shared" si="0"/>
        <v>Despesa</v>
      </c>
    </row>
    <row r="10" spans="1:3" x14ac:dyDescent="0.3">
      <c r="A10" s="1">
        <v>9</v>
      </c>
      <c r="B10" s="2" t="str">
        <f>"MATERIA PRIMA MERCADO EXTERNO"</f>
        <v>MATERIA PRIMA MERCADO EXTERNO</v>
      </c>
      <c r="C10" s="3" t="str">
        <f t="shared" si="0"/>
        <v>Despesa</v>
      </c>
    </row>
    <row r="11" spans="1:3" x14ac:dyDescent="0.3">
      <c r="A11" s="1">
        <v>10</v>
      </c>
      <c r="B11" s="2" t="str">
        <f>"AQUISICAO DE BENS - MERCADO IN"</f>
        <v>AQUISICAO DE BENS - MERCADO IN</v>
      </c>
      <c r="C11" s="3" t="str">
        <f t="shared" si="0"/>
        <v>Despesa</v>
      </c>
    </row>
    <row r="12" spans="1:3" x14ac:dyDescent="0.3">
      <c r="A12" s="1">
        <v>11</v>
      </c>
      <c r="B12" s="2" t="str">
        <f>"ENERGIA ELETRICA"</f>
        <v>ENERGIA ELETRICA</v>
      </c>
      <c r="C12" s="3" t="str">
        <f t="shared" si="0"/>
        <v>Despesa</v>
      </c>
    </row>
    <row r="13" spans="1:3" x14ac:dyDescent="0.3">
      <c r="A13" s="1">
        <v>12</v>
      </c>
      <c r="B13" s="2" t="str">
        <f>"MATERIA PRIMA MERCADO INTERNO"</f>
        <v>MATERIA PRIMA MERCADO INTERNO</v>
      </c>
      <c r="C13" s="3" t="str">
        <f t="shared" si="0"/>
        <v>Despesa</v>
      </c>
    </row>
    <row r="14" spans="1:3" x14ac:dyDescent="0.3">
      <c r="A14" s="1">
        <v>13</v>
      </c>
      <c r="B14" s="2" t="str">
        <f>"NITROGENIO"</f>
        <v>NITROGENIO</v>
      </c>
      <c r="C14" s="3" t="str">
        <f t="shared" si="0"/>
        <v>Despesa</v>
      </c>
    </row>
    <row r="15" spans="1:3" x14ac:dyDescent="0.3">
      <c r="A15" s="1">
        <v>14</v>
      </c>
      <c r="B15" s="2" t="str">
        <f>"EMBALAGENS"</f>
        <v>EMBALAGENS</v>
      </c>
      <c r="C15" s="3" t="str">
        <f t="shared" si="0"/>
        <v>Despesa</v>
      </c>
    </row>
    <row r="16" spans="1:3" x14ac:dyDescent="0.3">
      <c r="A16" s="1">
        <v>15</v>
      </c>
      <c r="B16" s="2" t="str">
        <f>"COMISSOES"</f>
        <v>COMISSOES</v>
      </c>
      <c r="C16" s="3" t="str">
        <f t="shared" si="0"/>
        <v>Despesa</v>
      </c>
    </row>
    <row r="17" spans="1:3" x14ac:dyDescent="0.3">
      <c r="A17" s="1">
        <v>16</v>
      </c>
      <c r="B17" s="2" t="str">
        <f>"SEGUROS"</f>
        <v>SEGUROS</v>
      </c>
      <c r="C17" s="3" t="str">
        <f t="shared" si="0"/>
        <v>Despesa</v>
      </c>
    </row>
    <row r="18" spans="1:3" x14ac:dyDescent="0.3">
      <c r="A18" s="1">
        <v>17</v>
      </c>
      <c r="B18" s="2" t="str">
        <f>"LIMPEZA E CONSERVACAO"</f>
        <v>LIMPEZA E CONSERVACAO</v>
      </c>
      <c r="C18" s="3" t="str">
        <f t="shared" si="0"/>
        <v>Despesa</v>
      </c>
    </row>
    <row r="19" spans="1:3" x14ac:dyDescent="0.3">
      <c r="A19" s="1">
        <v>18</v>
      </c>
      <c r="B19" s="2" t="str">
        <f>"MATERIA PRIMA MERCADO EXTERNO"</f>
        <v>MATERIA PRIMA MERCADO EXTERNO</v>
      </c>
      <c r="C19" s="3" t="str">
        <f t="shared" si="0"/>
        <v>Despesa</v>
      </c>
    </row>
    <row r="20" spans="1:3" x14ac:dyDescent="0.3">
      <c r="A20" s="1">
        <v>19</v>
      </c>
      <c r="B20" s="2" t="str">
        <f>"MANEGEMENT FEE- (MFEE)"</f>
        <v>MANEGEMENT FEE- (MFEE)</v>
      </c>
      <c r="C20" s="3" t="str">
        <f t="shared" si="0"/>
        <v>Despesa</v>
      </c>
    </row>
    <row r="21" spans="1:3" x14ac:dyDescent="0.3">
      <c r="A21" s="1">
        <v>20</v>
      </c>
      <c r="B21" s="2" t="str">
        <f>"VENDA MERCADO INTERNO - TINTAS"</f>
        <v>VENDA MERCADO INTERNO - TINTAS</v>
      </c>
      <c r="C21" s="3" t="str">
        <f t="shared" ref="C21:C27" si="1">"Receita"</f>
        <v>Receita</v>
      </c>
    </row>
    <row r="22" spans="1:3" x14ac:dyDescent="0.3">
      <c r="A22" s="1">
        <v>21</v>
      </c>
      <c r="B22" s="2" t="str">
        <f>"VENDAS MERCADO EXTERNO - TINTA"</f>
        <v>VENDAS MERCADO EXTERNO - TINTA</v>
      </c>
      <c r="C22" s="3" t="str">
        <f t="shared" si="1"/>
        <v>Receita</v>
      </c>
    </row>
    <row r="23" spans="1:3" x14ac:dyDescent="0.3">
      <c r="A23" s="1">
        <v>22</v>
      </c>
      <c r="B23" s="2" t="str">
        <f>"VENDA MERCADO INTERNO - PAPEIS"</f>
        <v>VENDA MERCADO INTERNO - PAPEIS</v>
      </c>
      <c r="C23" s="3" t="str">
        <f t="shared" si="1"/>
        <v>Receita</v>
      </c>
    </row>
    <row r="24" spans="1:3" x14ac:dyDescent="0.3">
      <c r="A24" s="1">
        <v>23</v>
      </c>
      <c r="B24" s="2" t="str">
        <f>"VENDAS MERCADO EXTERNO - PAPEI"</f>
        <v>VENDAS MERCADO EXTERNO - PAPEI</v>
      </c>
      <c r="C24" s="3" t="str">
        <f t="shared" si="1"/>
        <v>Receita</v>
      </c>
    </row>
    <row r="25" spans="1:3" x14ac:dyDescent="0.3">
      <c r="A25" s="1">
        <v>24</v>
      </c>
      <c r="B25" s="2" t="str">
        <f>"VENDA DE SUCATAS"</f>
        <v>VENDA DE SUCATAS</v>
      </c>
      <c r="C25" s="3" t="str">
        <f t="shared" si="1"/>
        <v>Receita</v>
      </c>
    </row>
    <row r="26" spans="1:3" x14ac:dyDescent="0.3">
      <c r="A26" s="1">
        <v>25</v>
      </c>
      <c r="B26" s="2" t="str">
        <f>"VENDAS DE BENS"</f>
        <v>VENDAS DE BENS</v>
      </c>
      <c r="C26" s="3" t="str">
        <f t="shared" si="1"/>
        <v>Receita</v>
      </c>
    </row>
    <row r="27" spans="1:3" x14ac:dyDescent="0.3">
      <c r="A27" s="1">
        <v>26</v>
      </c>
      <c r="B27" s="2" t="str">
        <f>"VENDAS INTERCOMPANY - PAPEIS"</f>
        <v>VENDAS INTERCOMPANY - PAPEIS</v>
      </c>
      <c r="C27" s="3" t="str">
        <f t="shared" si="1"/>
        <v>Receita</v>
      </c>
    </row>
    <row r="28" spans="1:3" x14ac:dyDescent="0.3">
      <c r="A28" s="1">
        <v>27</v>
      </c>
      <c r="B28" s="2" t="str">
        <f>"ASSISTENCIA MEDICA"</f>
        <v>ASSISTENCIA MEDICA</v>
      </c>
      <c r="C28" s="3" t="str">
        <f t="shared" ref="C28:C36" si="2">"Despesa"</f>
        <v>Despesa</v>
      </c>
    </row>
    <row r="29" spans="1:3" x14ac:dyDescent="0.3">
      <c r="A29" s="1">
        <v>28</v>
      </c>
      <c r="B29" s="2" t="str">
        <f>"PROCESSO PRODUTIVO"</f>
        <v>PROCESSO PRODUTIVO</v>
      </c>
      <c r="C29" s="3" t="str">
        <f t="shared" si="2"/>
        <v>Despesa</v>
      </c>
    </row>
    <row r="30" spans="1:3" x14ac:dyDescent="0.3">
      <c r="A30" s="1">
        <v>29</v>
      </c>
      <c r="B30" s="2" t="str">
        <f>"MANUTENCAO E REPARO"</f>
        <v>MANUTENCAO E REPARO</v>
      </c>
      <c r="C30" s="3" t="str">
        <f t="shared" si="2"/>
        <v>Despesa</v>
      </c>
    </row>
    <row r="31" spans="1:3" x14ac:dyDescent="0.3">
      <c r="A31" s="1">
        <v>30</v>
      </c>
      <c r="B31" s="2" t="str">
        <f>"SEGURANCA, LIMPEZA E CONSERVAC"</f>
        <v>SEGURANCA, LIMPEZA E CONSERVAC</v>
      </c>
      <c r="C31" s="3" t="str">
        <f t="shared" si="2"/>
        <v>Despesa</v>
      </c>
    </row>
    <row r="32" spans="1:3" x14ac:dyDescent="0.3">
      <c r="A32" s="1">
        <v>31</v>
      </c>
      <c r="B32" s="2" t="str">
        <f>"COMUNICACAO (TELEFONIA)"</f>
        <v>COMUNICACAO (TELEFONIA)</v>
      </c>
      <c r="C32" s="3" t="str">
        <f t="shared" si="2"/>
        <v>Despesa</v>
      </c>
    </row>
    <row r="33" spans="1:3" x14ac:dyDescent="0.3">
      <c r="A33" s="1">
        <v>32</v>
      </c>
      <c r="B33" s="2" t="str">
        <f>"REPAROS"</f>
        <v>REPAROS</v>
      </c>
      <c r="C33" s="3" t="str">
        <f t="shared" si="2"/>
        <v>Despesa</v>
      </c>
    </row>
    <row r="34" spans="1:3" x14ac:dyDescent="0.3">
      <c r="A34" s="1">
        <v>33</v>
      </c>
      <c r="B34" s="2" t="str">
        <f>"TREINAMENTO"</f>
        <v>TREINAMENTO</v>
      </c>
      <c r="C34" s="3" t="str">
        <f t="shared" si="2"/>
        <v>Despesa</v>
      </c>
    </row>
    <row r="35" spans="1:3" x14ac:dyDescent="0.3">
      <c r="A35" s="1">
        <v>34</v>
      </c>
      <c r="B35" s="2" t="str">
        <f>"INDENIZAÇÕES"</f>
        <v>INDENIZAÇÕES</v>
      </c>
      <c r="C35" s="3" t="str">
        <f t="shared" si="2"/>
        <v>Despesa</v>
      </c>
    </row>
    <row r="36" spans="1:3" x14ac:dyDescent="0.3">
      <c r="A36" s="1">
        <v>35</v>
      </c>
      <c r="B36" s="2" t="str">
        <f>"ASSISTÊNCIA MÉDICA"</f>
        <v>ASSISTÊNCIA MÉDICA</v>
      </c>
      <c r="C36" s="3" t="str">
        <f t="shared" si="2"/>
        <v>Despesa</v>
      </c>
    </row>
    <row r="37" spans="1:3" x14ac:dyDescent="0.3">
      <c r="A37" s="1">
        <v>36</v>
      </c>
      <c r="B37" s="2" t="str">
        <f>"VARIAÇÃO CAMBIAL"</f>
        <v>VARIAÇÃO CAMBIAL</v>
      </c>
      <c r="C37" s="3" t="str">
        <f>"Receita"</f>
        <v>Receita</v>
      </c>
    </row>
    <row r="38" spans="1:3" x14ac:dyDescent="0.3">
      <c r="A38" s="1">
        <v>37</v>
      </c>
      <c r="B38" s="2" t="str">
        <f>"I.R.R.F."</f>
        <v>I.R.R.F.</v>
      </c>
      <c r="C38" s="3" t="str">
        <f>"Despesa"</f>
        <v>Despesa</v>
      </c>
    </row>
    <row r="39" spans="1:3" x14ac:dyDescent="0.3">
      <c r="A39" s="1">
        <v>38</v>
      </c>
      <c r="B39" s="2" t="str">
        <f>"ASSISTENCIA MEDICA"</f>
        <v>ASSISTENCIA MEDICA</v>
      </c>
      <c r="C39" s="3" t="str">
        <f>"Despesa"</f>
        <v>Despesa</v>
      </c>
    </row>
    <row r="40" spans="1:3" x14ac:dyDescent="0.3">
      <c r="A40" s="1">
        <v>39</v>
      </c>
      <c r="B40" s="2" t="str">
        <f>"ALIMENTACAO / REFEICAO"</f>
        <v>ALIMENTACAO / REFEICAO</v>
      </c>
      <c r="C40" s="3" t="str">
        <f>"Despesa"</f>
        <v>Despesa</v>
      </c>
    </row>
    <row r="41" spans="1:3" x14ac:dyDescent="0.3">
      <c r="A41" s="1">
        <v>40</v>
      </c>
      <c r="B41" s="2" t="str">
        <f>"VALE TRANSPORTE"</f>
        <v>VALE TRANSPORTE</v>
      </c>
      <c r="C41" s="3" t="str">
        <f>"Despesa"</f>
        <v>Despesa</v>
      </c>
    </row>
    <row r="42" spans="1:3" x14ac:dyDescent="0.3">
      <c r="A42" s="1">
        <v>41</v>
      </c>
      <c r="B42" s="2" t="str">
        <f>"VENDA MERCADO INTERNO - IMPREG"</f>
        <v>VENDA MERCADO INTERNO - IMPREG</v>
      </c>
      <c r="C42" s="3" t="str">
        <f>"Receita"</f>
        <v>Receita</v>
      </c>
    </row>
    <row r="43" spans="1:3" x14ac:dyDescent="0.3">
      <c r="A43" s="1">
        <v>42</v>
      </c>
      <c r="B43" s="2" t="str">
        <f>"VENDAS MERCADO EXTERNO - IMPRE"</f>
        <v>VENDAS MERCADO EXTERNO - IMPRE</v>
      </c>
      <c r="C43" s="3" t="str">
        <f>"Receita"</f>
        <v>Receita</v>
      </c>
    </row>
    <row r="44" spans="1:3" x14ac:dyDescent="0.3">
      <c r="A44" s="1">
        <v>43</v>
      </c>
      <c r="B44" s="2" t="str">
        <f>"P.P.R"</f>
        <v>P.P.R</v>
      </c>
      <c r="C44" s="3" t="str">
        <f t="shared" ref="C44:C75" si="3">"Despesa"</f>
        <v>Despesa</v>
      </c>
    </row>
    <row r="45" spans="1:3" x14ac:dyDescent="0.3">
      <c r="A45" s="1">
        <v>44</v>
      </c>
      <c r="B45" s="2" t="str">
        <f>"PENSAO ALIMENTICIA"</f>
        <v>PENSAO ALIMENTICIA</v>
      </c>
      <c r="C45" s="3" t="str">
        <f t="shared" si="3"/>
        <v>Despesa</v>
      </c>
    </row>
    <row r="46" spans="1:3" x14ac:dyDescent="0.3">
      <c r="A46" s="1">
        <v>45</v>
      </c>
      <c r="B46" s="2" t="str">
        <f>"MATERIA PRIMA INTERCOMPANY"</f>
        <v>MATERIA PRIMA INTERCOMPANY</v>
      </c>
      <c r="C46" s="3" t="str">
        <f t="shared" si="3"/>
        <v>Despesa</v>
      </c>
    </row>
    <row r="47" spans="1:3" x14ac:dyDescent="0.3">
      <c r="A47" s="1">
        <v>46</v>
      </c>
      <c r="B47" s="2" t="str">
        <f>"LUCROS E DIVIDENDOS"</f>
        <v>LUCROS E DIVIDENDOS</v>
      </c>
      <c r="C47" s="3" t="str">
        <f t="shared" si="3"/>
        <v>Despesa</v>
      </c>
    </row>
    <row r="48" spans="1:3" x14ac:dyDescent="0.3">
      <c r="A48" s="1">
        <v>47</v>
      </c>
      <c r="B48" s="2" t="str">
        <f>"GAS EMPILHADEIRA"</f>
        <v>GAS EMPILHADEIRA</v>
      </c>
      <c r="C48" s="3" t="str">
        <f t="shared" si="3"/>
        <v>Despesa</v>
      </c>
    </row>
    <row r="49" spans="1:3" x14ac:dyDescent="0.3">
      <c r="A49" s="1">
        <v>48</v>
      </c>
      <c r="B49" s="2" t="str">
        <f>"FRETES NACIONAIS"</f>
        <v>FRETES NACIONAIS</v>
      </c>
      <c r="C49" s="3" t="str">
        <f t="shared" si="3"/>
        <v>Despesa</v>
      </c>
    </row>
    <row r="50" spans="1:3" x14ac:dyDescent="0.3">
      <c r="A50" s="1">
        <v>49</v>
      </c>
      <c r="B50" s="2" t="str">
        <f>"FRETES INTERNACIONAIS"</f>
        <v>FRETES INTERNACIONAIS</v>
      </c>
      <c r="C50" s="3" t="str">
        <f t="shared" si="3"/>
        <v>Despesa</v>
      </c>
    </row>
    <row r="51" spans="1:3" x14ac:dyDescent="0.3">
      <c r="A51" s="1">
        <v>50</v>
      </c>
      <c r="B51" s="2" t="str">
        <f>"ALIMENTACAO NAO INCENTIVADA"</f>
        <v>ALIMENTACAO NAO INCENTIVADA</v>
      </c>
      <c r="C51" s="3" t="str">
        <f t="shared" si="3"/>
        <v>Despesa</v>
      </c>
    </row>
    <row r="52" spans="1:3" x14ac:dyDescent="0.3">
      <c r="A52" s="1">
        <v>51</v>
      </c>
      <c r="B52" s="2" t="str">
        <f>"MULTAS"</f>
        <v>MULTAS</v>
      </c>
      <c r="C52" s="3" t="str">
        <f t="shared" si="3"/>
        <v>Despesa</v>
      </c>
    </row>
    <row r="53" spans="1:3" x14ac:dyDescent="0.3">
      <c r="A53" s="1">
        <v>52</v>
      </c>
      <c r="B53" s="2" t="str">
        <f>"CONTRIBUICOES"</f>
        <v>CONTRIBUICOES</v>
      </c>
      <c r="C53" s="3" t="str">
        <f t="shared" si="3"/>
        <v>Despesa</v>
      </c>
    </row>
    <row r="54" spans="1:3" x14ac:dyDescent="0.3">
      <c r="A54" s="1">
        <v>53</v>
      </c>
      <c r="B54" s="2" t="str">
        <f>"MATERIAIS DE SEGURANCA"</f>
        <v>MATERIAIS DE SEGURANCA</v>
      </c>
      <c r="C54" s="3" t="str">
        <f t="shared" si="3"/>
        <v>Despesa</v>
      </c>
    </row>
    <row r="55" spans="1:3" x14ac:dyDescent="0.3">
      <c r="A55" s="1">
        <v>54</v>
      </c>
      <c r="B55" s="2" t="str">
        <f>"ASSINATURA DE JORNAIS E PERIOD"</f>
        <v>ASSINATURA DE JORNAIS E PERIOD</v>
      </c>
      <c r="C55" s="3" t="str">
        <f t="shared" si="3"/>
        <v>Despesa</v>
      </c>
    </row>
    <row r="56" spans="1:3" x14ac:dyDescent="0.3">
      <c r="A56" s="1">
        <v>55</v>
      </c>
      <c r="B56" s="2" t="str">
        <f>"DOACOES"</f>
        <v>DOACOES</v>
      </c>
      <c r="C56" s="3" t="str">
        <f t="shared" si="3"/>
        <v>Despesa</v>
      </c>
    </row>
    <row r="57" spans="1:3" x14ac:dyDescent="0.3">
      <c r="A57" s="1">
        <v>56</v>
      </c>
      <c r="B57" s="2" t="str">
        <f>"MATERIAS PARA EXPEDIENTE E ESC"</f>
        <v>MATERIAS PARA EXPEDIENTE E ESC</v>
      </c>
      <c r="C57" s="3" t="str">
        <f t="shared" si="3"/>
        <v>Despesa</v>
      </c>
    </row>
    <row r="58" spans="1:3" x14ac:dyDescent="0.3">
      <c r="A58" s="1">
        <v>57</v>
      </c>
      <c r="B58" s="2" t="str">
        <f>"LIMPEZA E CONSERVACAO"</f>
        <v>LIMPEZA E CONSERVACAO</v>
      </c>
      <c r="C58" s="3" t="str">
        <f t="shared" si="3"/>
        <v>Despesa</v>
      </c>
    </row>
    <row r="59" spans="1:3" x14ac:dyDescent="0.3">
      <c r="A59" s="1">
        <v>58</v>
      </c>
      <c r="B59" s="2" t="str">
        <f>"LEGAIS E JUDICIAIS"</f>
        <v>LEGAIS E JUDICIAIS</v>
      </c>
      <c r="C59" s="3" t="str">
        <f t="shared" si="3"/>
        <v>Despesa</v>
      </c>
    </row>
    <row r="60" spans="1:3" x14ac:dyDescent="0.3">
      <c r="A60" s="1">
        <v>59</v>
      </c>
      <c r="B60" s="2" t="str">
        <f>"AGUA"</f>
        <v>AGUA</v>
      </c>
      <c r="C60" s="3" t="str">
        <f t="shared" si="3"/>
        <v>Despesa</v>
      </c>
    </row>
    <row r="61" spans="1:3" x14ac:dyDescent="0.3">
      <c r="A61" s="1">
        <v>60</v>
      </c>
      <c r="B61" s="2" t="str">
        <f>"COMUNICACAO (DADOS)"</f>
        <v>COMUNICACAO (DADOS)</v>
      </c>
      <c r="C61" s="3" t="str">
        <f t="shared" si="3"/>
        <v>Despesa</v>
      </c>
    </row>
    <row r="62" spans="1:3" x14ac:dyDescent="0.3">
      <c r="A62" s="1">
        <v>61</v>
      </c>
      <c r="B62" s="2" t="str">
        <f>"ENERGIA ELETRICA"</f>
        <v>ENERGIA ELETRICA</v>
      </c>
      <c r="C62" s="3" t="str">
        <f t="shared" si="3"/>
        <v>Despesa</v>
      </c>
    </row>
    <row r="63" spans="1:3" x14ac:dyDescent="0.3">
      <c r="A63" s="1">
        <v>62</v>
      </c>
      <c r="B63" s="2" t="str">
        <f>"ALUGUEL DE MAQUINAS E EQUIPAME"</f>
        <v>ALUGUEL DE MAQUINAS E EQUIPAME</v>
      </c>
      <c r="C63" s="3" t="str">
        <f t="shared" si="3"/>
        <v>Despesa</v>
      </c>
    </row>
    <row r="64" spans="1:3" x14ac:dyDescent="0.3">
      <c r="A64" s="1">
        <v>63</v>
      </c>
      <c r="B64" s="2" t="str">
        <f>"COMBUSTIVEIS E LUBRIFICANTES"</f>
        <v>COMBUSTIVEIS E LUBRIFICANTES</v>
      </c>
      <c r="C64" s="3" t="str">
        <f t="shared" si="3"/>
        <v>Despesa</v>
      </c>
    </row>
    <row r="65" spans="1:3" x14ac:dyDescent="0.3">
      <c r="A65" s="1">
        <v>64</v>
      </c>
      <c r="B65" s="2" t="str">
        <f>"HOSPEDAGEM"</f>
        <v>HOSPEDAGEM</v>
      </c>
      <c r="C65" s="3" t="str">
        <f t="shared" si="3"/>
        <v>Despesa</v>
      </c>
    </row>
    <row r="66" spans="1:3" x14ac:dyDescent="0.3">
      <c r="A66" s="1">
        <v>65</v>
      </c>
      <c r="B66" s="2" t="str">
        <f>"CONDUCAO E PEDAGIO"</f>
        <v>CONDUCAO E PEDAGIO</v>
      </c>
      <c r="C66" s="3" t="str">
        <f t="shared" si="3"/>
        <v>Despesa</v>
      </c>
    </row>
    <row r="67" spans="1:3" x14ac:dyDescent="0.3">
      <c r="A67" s="1">
        <v>66</v>
      </c>
      <c r="B67" s="2" t="str">
        <f>"PASSAGENS AEREAS/TERRESTRES"</f>
        <v>PASSAGENS AEREAS/TERRESTRES</v>
      </c>
      <c r="C67" s="3" t="str">
        <f t="shared" si="3"/>
        <v>Despesa</v>
      </c>
    </row>
    <row r="68" spans="1:3" x14ac:dyDescent="0.3">
      <c r="A68" s="1">
        <v>67</v>
      </c>
      <c r="B68" s="2" t="str">
        <f>"TELEFONIA FIXA/MOVEL"</f>
        <v>TELEFONIA FIXA/MOVEL</v>
      </c>
      <c r="C68" s="3" t="str">
        <f t="shared" si="3"/>
        <v>Despesa</v>
      </c>
    </row>
    <row r="69" spans="1:3" x14ac:dyDescent="0.3">
      <c r="A69" s="1">
        <v>68</v>
      </c>
      <c r="B69" s="2" t="str">
        <f>"REFEICOES"</f>
        <v>REFEICOES</v>
      </c>
      <c r="C69" s="3" t="str">
        <f t="shared" si="3"/>
        <v>Despesa</v>
      </c>
    </row>
    <row r="70" spans="1:3" x14ac:dyDescent="0.3">
      <c r="A70" s="1">
        <v>69</v>
      </c>
      <c r="B70" s="2" t="str">
        <f>"MAO DE OBRA TERCERIZADA"</f>
        <v>MAO DE OBRA TERCERIZADA</v>
      </c>
      <c r="C70" s="3" t="str">
        <f t="shared" si="3"/>
        <v>Despesa</v>
      </c>
    </row>
    <row r="71" spans="1:3" x14ac:dyDescent="0.3">
      <c r="A71" s="1">
        <v>70</v>
      </c>
      <c r="B71" s="2" t="str">
        <f>"CONSULTORIAS"</f>
        <v>CONSULTORIAS</v>
      </c>
      <c r="C71" s="3" t="str">
        <f t="shared" si="3"/>
        <v>Despesa</v>
      </c>
    </row>
    <row r="72" spans="1:3" x14ac:dyDescent="0.3">
      <c r="A72" s="1">
        <v>71</v>
      </c>
      <c r="B72" s="2" t="str">
        <f>"CORREIOS"</f>
        <v>CORREIOS</v>
      </c>
      <c r="C72" s="3" t="str">
        <f t="shared" si="3"/>
        <v>Despesa</v>
      </c>
    </row>
    <row r="73" spans="1:3" x14ac:dyDescent="0.3">
      <c r="A73" s="1">
        <v>72</v>
      </c>
      <c r="B73" s="2" t="str">
        <f>"MOTO-BOY"</f>
        <v>MOTO-BOY</v>
      </c>
      <c r="C73" s="3" t="str">
        <f t="shared" si="3"/>
        <v>Despesa</v>
      </c>
    </row>
    <row r="74" spans="1:3" x14ac:dyDescent="0.3">
      <c r="A74" s="1">
        <v>73</v>
      </c>
      <c r="B74" s="2" t="str">
        <f>"TAXI"</f>
        <v>TAXI</v>
      </c>
      <c r="C74" s="3" t="str">
        <f t="shared" si="3"/>
        <v>Despesa</v>
      </c>
    </row>
    <row r="75" spans="1:3" x14ac:dyDescent="0.3">
      <c r="A75" s="1">
        <v>74</v>
      </c>
      <c r="B75" s="2" t="str">
        <f>"MANUTENCAO E REPAROS"</f>
        <v>MANUTENCAO E REPAROS</v>
      </c>
      <c r="C75" s="3" t="str">
        <f t="shared" si="3"/>
        <v>Despesa</v>
      </c>
    </row>
    <row r="76" spans="1:3" x14ac:dyDescent="0.3">
      <c r="A76" s="1">
        <v>75</v>
      </c>
      <c r="B76" s="2" t="str">
        <f>"SERVICO DE INFORMATICA"</f>
        <v>SERVICO DE INFORMATICA</v>
      </c>
      <c r="C76" s="3" t="str">
        <f t="shared" ref="C76:C99" si="4">"Despesa"</f>
        <v>Despesa</v>
      </c>
    </row>
    <row r="77" spans="1:3" x14ac:dyDescent="0.3">
      <c r="A77" s="1">
        <v>76</v>
      </c>
      <c r="B77" s="2" t="str">
        <f>"MIDIA"</f>
        <v>MIDIA</v>
      </c>
      <c r="C77" s="3" t="str">
        <f t="shared" si="4"/>
        <v>Despesa</v>
      </c>
    </row>
    <row r="78" spans="1:3" x14ac:dyDescent="0.3">
      <c r="A78" s="1">
        <v>77</v>
      </c>
      <c r="B78" s="2" t="str">
        <f>"PARTICIPACAO EM FEIRAS E EVENT"</f>
        <v>PARTICIPACAO EM FEIRAS E EVENT</v>
      </c>
      <c r="C78" s="3" t="str">
        <f t="shared" si="4"/>
        <v>Despesa</v>
      </c>
    </row>
    <row r="79" spans="1:3" x14ac:dyDescent="0.3">
      <c r="A79" s="1">
        <v>78</v>
      </c>
      <c r="B79" s="2" t="str">
        <f>"BRINDES E CATALAGOS"</f>
        <v>BRINDES E CATALAGOS</v>
      </c>
      <c r="C79" s="3" t="str">
        <f t="shared" si="4"/>
        <v>Despesa</v>
      </c>
    </row>
    <row r="80" spans="1:3" x14ac:dyDescent="0.3">
      <c r="A80" s="1">
        <v>79</v>
      </c>
      <c r="B80" s="2" t="str">
        <f>"DESIGN CENTER"</f>
        <v>DESIGN CENTER</v>
      </c>
      <c r="C80" s="3" t="str">
        <f t="shared" si="4"/>
        <v>Despesa</v>
      </c>
    </row>
    <row r="81" spans="1:3" x14ac:dyDescent="0.3">
      <c r="A81" s="1">
        <v>80</v>
      </c>
      <c r="B81" s="2" t="str">
        <f>"PIS/COFINS"</f>
        <v>PIS/COFINS</v>
      </c>
      <c r="C81" s="3" t="str">
        <f t="shared" si="4"/>
        <v>Despesa</v>
      </c>
    </row>
    <row r="82" spans="1:3" x14ac:dyDescent="0.3">
      <c r="A82" s="1">
        <v>81</v>
      </c>
      <c r="B82" s="2" t="str">
        <f>"IPI"</f>
        <v>IPI</v>
      </c>
      <c r="C82" s="3" t="str">
        <f t="shared" si="4"/>
        <v>Despesa</v>
      </c>
    </row>
    <row r="83" spans="1:3" x14ac:dyDescent="0.3">
      <c r="A83" s="1">
        <v>82</v>
      </c>
      <c r="B83" s="2" t="str">
        <f>"ISS"</f>
        <v>ISS</v>
      </c>
      <c r="C83" s="3" t="str">
        <f t="shared" si="4"/>
        <v>Despesa</v>
      </c>
    </row>
    <row r="84" spans="1:3" x14ac:dyDescent="0.3">
      <c r="A84" s="1">
        <v>83</v>
      </c>
      <c r="B84" s="2" t="str">
        <f>"IPTU"</f>
        <v>IPTU</v>
      </c>
      <c r="C84" s="3" t="str">
        <f t="shared" si="4"/>
        <v>Despesa</v>
      </c>
    </row>
    <row r="85" spans="1:3" x14ac:dyDescent="0.3">
      <c r="A85" s="1">
        <v>84</v>
      </c>
      <c r="B85" s="2" t="str">
        <f>"IPVA"</f>
        <v>IPVA</v>
      </c>
      <c r="C85" s="3" t="str">
        <f t="shared" si="4"/>
        <v>Despesa</v>
      </c>
    </row>
    <row r="86" spans="1:3" x14ac:dyDescent="0.3">
      <c r="A86" s="1">
        <v>85</v>
      </c>
      <c r="B86" s="2" t="str">
        <f>"ALVARAS E LICENCAS"</f>
        <v>ALVARAS E LICENCAS</v>
      </c>
      <c r="C86" s="3" t="str">
        <f t="shared" si="4"/>
        <v>Despesa</v>
      </c>
    </row>
    <row r="87" spans="1:3" x14ac:dyDescent="0.3">
      <c r="A87" s="1">
        <v>86</v>
      </c>
      <c r="B87" s="2" t="str">
        <f>"MATERIA PRIMA MERCADO INTERNO"</f>
        <v>MATERIA PRIMA MERCADO INTERNO</v>
      </c>
      <c r="C87" s="3" t="str">
        <f t="shared" si="4"/>
        <v>Despesa</v>
      </c>
    </row>
    <row r="88" spans="1:3" x14ac:dyDescent="0.3">
      <c r="A88" s="1">
        <v>87</v>
      </c>
      <c r="B88" s="2" t="str">
        <f>"MATERIA PRIMA MERCADO EXTERNO"</f>
        <v>MATERIA PRIMA MERCADO EXTERNO</v>
      </c>
      <c r="C88" s="3" t="str">
        <f t="shared" si="4"/>
        <v>Despesa</v>
      </c>
    </row>
    <row r="89" spans="1:3" x14ac:dyDescent="0.3">
      <c r="A89" s="1">
        <v>88</v>
      </c>
      <c r="B89" s="2" t="str">
        <f>"GAS NATURAL"</f>
        <v>GAS NATURAL</v>
      </c>
      <c r="C89" s="3" t="str">
        <f t="shared" si="4"/>
        <v>Despesa</v>
      </c>
    </row>
    <row r="90" spans="1:3" x14ac:dyDescent="0.3">
      <c r="A90" s="1">
        <v>89</v>
      </c>
      <c r="B90" s="2" t="str">
        <f>"AQUISICAO DE BENS - MERCADO EX"</f>
        <v>AQUISICAO DE BENS - MERCADO EX</v>
      </c>
      <c r="C90" s="3" t="str">
        <f t="shared" si="4"/>
        <v>Despesa</v>
      </c>
    </row>
    <row r="91" spans="1:3" x14ac:dyDescent="0.3">
      <c r="A91" s="1">
        <v>90</v>
      </c>
      <c r="B91" s="2" t="str">
        <f>"EMPRESTIMOS INTERCOMPANY"</f>
        <v>EMPRESTIMOS INTERCOMPANY</v>
      </c>
      <c r="C91" s="3" t="str">
        <f t="shared" si="4"/>
        <v>Despesa</v>
      </c>
    </row>
    <row r="92" spans="1:3" x14ac:dyDescent="0.3">
      <c r="A92" s="1">
        <v>91</v>
      </c>
      <c r="B92" s="2" t="str">
        <f>"CAPITAL DE GIRO"</f>
        <v>CAPITAL DE GIRO</v>
      </c>
      <c r="C92" s="3" t="str">
        <f t="shared" si="4"/>
        <v>Despesa</v>
      </c>
    </row>
    <row r="93" spans="1:3" x14ac:dyDescent="0.3">
      <c r="A93" s="1">
        <v>92</v>
      </c>
      <c r="B93" s="2" t="str">
        <f>"EMPRESTIMOS INTERCOMPANY"</f>
        <v>EMPRESTIMOS INTERCOMPANY</v>
      </c>
      <c r="C93" s="3" t="str">
        <f t="shared" si="4"/>
        <v>Despesa</v>
      </c>
    </row>
    <row r="94" spans="1:3" x14ac:dyDescent="0.3">
      <c r="A94" s="1">
        <v>93</v>
      </c>
      <c r="B94" s="2" t="str">
        <f>"JUROS INTERCOMPANY"</f>
        <v>JUROS INTERCOMPANY</v>
      </c>
      <c r="C94" s="3" t="str">
        <f t="shared" si="4"/>
        <v>Despesa</v>
      </c>
    </row>
    <row r="95" spans="1:3" x14ac:dyDescent="0.3">
      <c r="A95" s="1">
        <v>94</v>
      </c>
      <c r="B95" s="2" t="str">
        <f>"CAPITAL DE GIRO"</f>
        <v>CAPITAL DE GIRO</v>
      </c>
      <c r="C95" s="3" t="str">
        <f t="shared" si="4"/>
        <v>Despesa</v>
      </c>
    </row>
    <row r="96" spans="1:3" x14ac:dyDescent="0.3">
      <c r="A96" s="1">
        <v>95</v>
      </c>
      <c r="B96" s="2" t="str">
        <f>"LEASING"</f>
        <v>LEASING</v>
      </c>
      <c r="C96" s="3" t="str">
        <f t="shared" si="4"/>
        <v>Despesa</v>
      </c>
    </row>
    <row r="97" spans="1:3" x14ac:dyDescent="0.3">
      <c r="A97" s="1">
        <v>96</v>
      </c>
      <c r="B97" s="2" t="str">
        <f>"APLICACAO FINANCEIRA"</f>
        <v>APLICACAO FINANCEIRA</v>
      </c>
      <c r="C97" s="3" t="str">
        <f t="shared" si="4"/>
        <v>Despesa</v>
      </c>
    </row>
    <row r="98" spans="1:3" x14ac:dyDescent="0.3">
      <c r="A98" s="1">
        <v>97</v>
      </c>
      <c r="B98" s="2" t="str">
        <f>"IRRF SOBRE OPERACOES FINANCEIR"</f>
        <v>IRRF SOBRE OPERACOES FINANCEIR</v>
      </c>
      <c r="C98" s="3" t="str">
        <f t="shared" si="4"/>
        <v>Despesa</v>
      </c>
    </row>
    <row r="99" spans="1:3" x14ac:dyDescent="0.3">
      <c r="A99" s="1">
        <v>98</v>
      </c>
      <c r="B99" s="2" t="str">
        <f>"INATIVA"</f>
        <v>INATIVA</v>
      </c>
      <c r="C99" s="3" t="str">
        <f t="shared" si="4"/>
        <v>Despesa</v>
      </c>
    </row>
    <row r="100" spans="1:3" x14ac:dyDescent="0.3">
      <c r="A100" s="1">
        <v>99</v>
      </c>
      <c r="B100" s="2" t="str">
        <f>"RESGATE DE APLICACAO FINANCEIR"</f>
        <v>RESGATE DE APLICACAO FINANCEIR</v>
      </c>
      <c r="C100" s="3" t="str">
        <f>"Receita"</f>
        <v>Receita</v>
      </c>
    </row>
    <row r="101" spans="1:3" x14ac:dyDescent="0.3">
      <c r="A101" s="1">
        <v>100</v>
      </c>
      <c r="B101" s="2" t="str">
        <f>"RENDIMENTO APLICACAO FINANCEIR"</f>
        <v>RENDIMENTO APLICACAO FINANCEIR</v>
      </c>
      <c r="C101" s="3" t="str">
        <f>"Receita"</f>
        <v>Receita</v>
      </c>
    </row>
    <row r="102" spans="1:3" x14ac:dyDescent="0.3">
      <c r="A102" s="1">
        <v>101</v>
      </c>
      <c r="B102" s="2" t="str">
        <f>"VENDAS INTERCOMPANY - IMPREGNA"</f>
        <v>VENDAS INTERCOMPANY - IMPREGNA</v>
      </c>
      <c r="C102" s="3" t="str">
        <f>"Receita"</f>
        <v>Receita</v>
      </c>
    </row>
    <row r="103" spans="1:3" x14ac:dyDescent="0.3">
      <c r="A103" s="1">
        <v>102</v>
      </c>
      <c r="B103" s="2" t="str">
        <f>"VENDAS DE MERCADORIAS (REVENDA"</f>
        <v>VENDAS DE MERCADORIAS (REVENDA</v>
      </c>
      <c r="C103" s="3" t="str">
        <f>"Receita"</f>
        <v>Receita</v>
      </c>
    </row>
    <row r="104" spans="1:3" x14ac:dyDescent="0.3">
      <c r="A104" s="1">
        <v>103</v>
      </c>
      <c r="B104" s="2" t="str">
        <f>"SERVIÇOS INTERNOS"</f>
        <v>SERVIÇOS INTERNOS</v>
      </c>
      <c r="C104" s="3" t="str">
        <f>"Receita"</f>
        <v>Receita</v>
      </c>
    </row>
    <row r="105" spans="1:3" x14ac:dyDescent="0.3">
      <c r="A105" s="1">
        <v>104</v>
      </c>
      <c r="B105" s="2" t="str">
        <f>"NAO UTILIZAR"</f>
        <v>NAO UTILIZAR</v>
      </c>
      <c r="C105" s="3" t="str">
        <f>"Despesa"</f>
        <v>Despesa</v>
      </c>
    </row>
    <row r="106" spans="1:3" x14ac:dyDescent="0.3">
      <c r="A106" s="1">
        <v>114</v>
      </c>
      <c r="B106" s="2" t="str">
        <f>"NAO UTILIZAR"</f>
        <v>NAO UTILIZAR</v>
      </c>
      <c r="C106" s="3" t="str">
        <f>"Despesa"</f>
        <v>Despesa</v>
      </c>
    </row>
    <row r="107" spans="1:3" x14ac:dyDescent="0.3">
      <c r="A107" s="1">
        <v>115</v>
      </c>
      <c r="B107" s="2" t="str">
        <f>"NAO UTILIZAR"</f>
        <v>NAO UTILIZAR</v>
      </c>
      <c r="C107" s="3" t="str">
        <f>"Despesa"</f>
        <v>Despesa</v>
      </c>
    </row>
    <row r="108" spans="1:3" x14ac:dyDescent="0.3">
      <c r="A108" s="1">
        <v>136</v>
      </c>
      <c r="B108" s="2" t="str">
        <f>"NAO UTILIZAR"</f>
        <v>NAO UTILIZAR</v>
      </c>
      <c r="C108" s="3" t="str">
        <f>"Despesa"</f>
        <v>Despesa</v>
      </c>
    </row>
    <row r="109" spans="1:3" x14ac:dyDescent="0.3">
      <c r="A109" s="1">
        <v>138</v>
      </c>
      <c r="B109" s="2" t="str">
        <f>"NAO UTILIZAR"</f>
        <v>NAO UTILIZAR</v>
      </c>
      <c r="C109" s="3" t="str">
        <f>"Despesa"</f>
        <v>Despesa</v>
      </c>
    </row>
    <row r="110" spans="1:3" x14ac:dyDescent="0.3">
      <c r="A110" s="1">
        <v>140</v>
      </c>
      <c r="B110" s="2" t="str">
        <f>"TRANSFERENCIA BANCARIA"</f>
        <v>TRANSFERENCIA BANCARIA</v>
      </c>
      <c r="C110" s="3" t="str">
        <f>"Receita"</f>
        <v>Receita</v>
      </c>
    </row>
    <row r="111" spans="1:3" x14ac:dyDescent="0.3">
      <c r="A111" s="1">
        <v>141</v>
      </c>
      <c r="B111" s="2" t="str">
        <f>"TRANSFERENCIA BANCARIA"</f>
        <v>TRANSFERENCIA BANCARIA</v>
      </c>
      <c r="C111" s="3" t="str">
        <f>"Despesa"</f>
        <v>Despesa</v>
      </c>
    </row>
    <row r="112" spans="1:3" x14ac:dyDescent="0.3">
      <c r="A112" s="1">
        <v>143</v>
      </c>
      <c r="B112" s="2" t="str">
        <f>"NAO UTILIZAR"</f>
        <v>NAO UTILIZAR</v>
      </c>
      <c r="C112" s="3" t="str">
        <f>"Receita"</f>
        <v>Receita</v>
      </c>
    </row>
    <row r="113" spans="1:3" x14ac:dyDescent="0.3">
      <c r="A113" s="1">
        <v>144</v>
      </c>
      <c r="B113" s="2" t="str">
        <f>"NAO UTILIZAR"</f>
        <v>NAO UTILIZAR</v>
      </c>
      <c r="C113" s="3" t="str">
        <f>"Despesa"</f>
        <v>Despesa</v>
      </c>
    </row>
    <row r="114" spans="1:3" x14ac:dyDescent="0.3">
      <c r="A114" s="1">
        <v>145</v>
      </c>
      <c r="B114" s="2" t="str">
        <f>"PRESTADORES DE SERVIÇOS"</f>
        <v>PRESTADORES DE SERVIÇOS</v>
      </c>
      <c r="C114" s="3" t="str">
        <f>"Despesa"</f>
        <v>Despesa</v>
      </c>
    </row>
    <row r="115" spans="1:3" x14ac:dyDescent="0.3">
      <c r="A115" s="1">
        <v>998</v>
      </c>
      <c r="B115" s="2" t="str">
        <f>"NAO UTILIZAR"</f>
        <v>NAO UTILIZAR</v>
      </c>
      <c r="C115" s="3" t="str">
        <f>"Receita"</f>
        <v>Receita</v>
      </c>
    </row>
    <row r="116" spans="1:3" ht="15" thickBot="1" x14ac:dyDescent="0.35">
      <c r="A116" s="4">
        <v>999</v>
      </c>
      <c r="B116" s="5" t="str">
        <f>"NAO UTILIZAR"</f>
        <v>NAO UTILIZAR</v>
      </c>
      <c r="C116" s="6" t="str">
        <f>"Despesa"</f>
        <v>Despesa</v>
      </c>
    </row>
    <row r="117" spans="1:3" x14ac:dyDescent="0.3">
      <c r="A117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6C6ED7-0855-4FCC-A7AE-55669EA7DA7D}"/>
</file>

<file path=customXml/itemProps2.xml><?xml version="1.0" encoding="utf-8"?>
<ds:datastoreItem xmlns:ds="http://schemas.openxmlformats.org/officeDocument/2006/customXml" ds:itemID="{2ABF5853-8606-4C1D-9E61-201005A1A086}"/>
</file>

<file path=customXml/itemProps3.xml><?xml version="1.0" encoding="utf-8"?>
<ds:datastoreItem xmlns:ds="http://schemas.openxmlformats.org/officeDocument/2006/customXml" ds:itemID="{5CBC380C-97DB-422B-9081-734C43DA4B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2025-01-16T11:57:01Z</dcterms:created>
  <dcterms:modified xsi:type="dcterms:W3CDTF">2025-01-16T11:57:36Z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