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8324"/>
  <workbookPr defaultThemeVersion="166925"/>
  <mc:AlternateContent xmlns:mc="http://schemas.openxmlformats.org/markup-compatibility/2006">
    <mc:Choice Requires="x15">
      <x15ac:absPath xmlns:x15ac="http://schemas.microsoft.com/office/spreadsheetml/2010/11/ac" url="D:\totvs\datasul\erp\_custom_8280\ksoft\docs\"/>
    </mc:Choice>
  </mc:AlternateContent>
  <xr:revisionPtr revIDLastSave="0" documentId="8_{A9C5D98E-5241-4C91-8114-D8779053390A}" xr6:coauthVersionLast="47" xr6:coauthVersionMax="47" xr10:uidLastSave="{00000000-0000-0000-0000-000000000000}"/>
  <bookViews>
    <workbookView xWindow="-108" yWindow="-108" windowWidth="23256" windowHeight="14016" xr2:uid="{CC29F77D-DC2B-4DDA-B21D-6FD3C33195CC}"/>
  </bookViews>
  <sheets>
    <sheet name="Planilha" sheetId="1" r:id="rId1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</extLst>
</workbook>
</file>

<file path=xl/calcChain.xml><?xml version="1.0" encoding="utf-8"?>
<calcChain xmlns="http://schemas.openxmlformats.org/spreadsheetml/2006/main">
  <c r="B2" i="1" l="1"/>
  <c r="C2" i="1"/>
  <c r="B3" i="1"/>
  <c r="C3" i="1"/>
  <c r="A4" i="1"/>
  <c r="B4" i="1"/>
  <c r="C4" i="1"/>
  <c r="A5" i="1"/>
  <c r="B5" i="1"/>
  <c r="C5" i="1"/>
  <c r="A6" i="1"/>
  <c r="B6" i="1"/>
  <c r="C6" i="1"/>
  <c r="A7" i="1"/>
  <c r="B7" i="1"/>
  <c r="C7" i="1"/>
  <c r="A8" i="1"/>
  <c r="B8" i="1"/>
  <c r="C8" i="1"/>
  <c r="A9" i="1"/>
  <c r="B9" i="1"/>
  <c r="C9" i="1"/>
  <c r="A10" i="1"/>
  <c r="B10" i="1"/>
  <c r="C10" i="1"/>
  <c r="A11" i="1"/>
  <c r="B11" i="1"/>
  <c r="C11" i="1"/>
  <c r="A12" i="1"/>
  <c r="B12" i="1"/>
  <c r="C12" i="1"/>
  <c r="A13" i="1"/>
  <c r="B13" i="1"/>
  <c r="C13" i="1"/>
  <c r="A14" i="1"/>
  <c r="B14" i="1"/>
  <c r="C14" i="1"/>
  <c r="A15" i="1"/>
  <c r="B15" i="1"/>
  <c r="C15" i="1"/>
  <c r="A16" i="1"/>
  <c r="B16" i="1"/>
  <c r="C16" i="1"/>
  <c r="A17" i="1"/>
  <c r="B17" i="1"/>
  <c r="C17" i="1"/>
  <c r="A18" i="1"/>
  <c r="B18" i="1"/>
  <c r="C18" i="1"/>
  <c r="A19" i="1"/>
  <c r="B19" i="1"/>
  <c r="C19" i="1"/>
  <c r="A20" i="1"/>
  <c r="B20" i="1"/>
  <c r="C20" i="1"/>
  <c r="A21" i="1"/>
  <c r="B21" i="1"/>
  <c r="C21" i="1"/>
  <c r="A22" i="1"/>
  <c r="B22" i="1"/>
  <c r="C22" i="1"/>
  <c r="A23" i="1"/>
  <c r="B23" i="1"/>
  <c r="C23" i="1"/>
  <c r="A24" i="1"/>
  <c r="B24" i="1"/>
  <c r="C24" i="1"/>
  <c r="A25" i="1"/>
  <c r="B25" i="1"/>
  <c r="C25" i="1"/>
  <c r="A26" i="1"/>
  <c r="B26" i="1"/>
  <c r="C26" i="1"/>
  <c r="A27" i="1"/>
  <c r="B27" i="1"/>
  <c r="C27" i="1"/>
  <c r="A28" i="1"/>
  <c r="B28" i="1"/>
  <c r="C28" i="1"/>
  <c r="A29" i="1"/>
  <c r="B29" i="1"/>
  <c r="C29" i="1"/>
</calcChain>
</file>

<file path=xl/sharedStrings.xml><?xml version="1.0" encoding="utf-8"?>
<sst xmlns="http://schemas.openxmlformats.org/spreadsheetml/2006/main" count="4" uniqueCount="4">
  <si>
    <t>Fam Cml</t>
  </si>
  <si>
    <t>Desc</t>
  </si>
  <si>
    <t>UM Pad</t>
  </si>
  <si>
    <t xml:space="preserve"> 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</si>
</sst>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####000000"/>
  </numFmts>
  <fonts count="18" x14ac:knownFonts="1"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8"/>
      <color theme="3"/>
      <name val="Calibri Light"/>
      <family val="2"/>
      <scheme val="major"/>
    </font>
    <font>
      <b/>
      <sz val="15"/>
      <color theme="3"/>
      <name val="Calibri"/>
      <family val="2"/>
      <scheme val="minor"/>
    </font>
    <font>
      <b/>
      <sz val="13"/>
      <color theme="3"/>
      <name val="Calibri"/>
      <family val="2"/>
      <scheme val="minor"/>
    </font>
    <font>
      <b/>
      <sz val="11"/>
      <color theme="3"/>
      <name val="Calibri"/>
      <family val="2"/>
      <scheme val="minor"/>
    </font>
    <font>
      <sz val="11"/>
      <color rgb="FF006100"/>
      <name val="Calibri"/>
      <family val="2"/>
      <scheme val="minor"/>
    </font>
    <font>
      <sz val="11"/>
      <color rgb="FF9C0006"/>
      <name val="Calibri"/>
      <family val="2"/>
      <scheme val="minor"/>
    </font>
    <font>
      <sz val="11"/>
      <color rgb="FF9C5700"/>
      <name val="Calibri"/>
      <family val="2"/>
      <scheme val="minor"/>
    </font>
    <font>
      <sz val="11"/>
      <color rgb="FF3F3F76"/>
      <name val="Calibri"/>
      <family val="2"/>
      <scheme val="minor"/>
    </font>
    <font>
      <b/>
      <sz val="11"/>
      <color rgb="FF3F3F3F"/>
      <name val="Calibri"/>
      <family val="2"/>
      <scheme val="minor"/>
    </font>
    <font>
      <b/>
      <sz val="11"/>
      <color rgb="FFFA7D00"/>
      <name val="Calibri"/>
      <family val="2"/>
      <scheme val="minor"/>
    </font>
    <font>
      <sz val="11"/>
      <color rgb="FFFA7D00"/>
      <name val="Calibri"/>
      <family val="2"/>
      <scheme val="minor"/>
    </font>
    <font>
      <b/>
      <sz val="11"/>
      <color theme="0"/>
      <name val="Calibri"/>
      <family val="2"/>
      <scheme val="minor"/>
    </font>
    <font>
      <sz val="11"/>
      <color rgb="FFFF0000"/>
      <name val="Calibri"/>
      <family val="2"/>
      <scheme val="minor"/>
    </font>
    <font>
      <i/>
      <sz val="11"/>
      <color rgb="FF7F7F7F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11"/>
      <color theme="0"/>
      <name val="Calibri"/>
      <family val="2"/>
      <scheme val="minor"/>
    </font>
  </fonts>
  <fills count="34">
    <fill>
      <patternFill patternType="none"/>
    </fill>
    <fill>
      <patternFill patternType="gray125"/>
    </fill>
    <fill>
      <patternFill patternType="solid">
        <fgColor rgb="FFC6EFCE"/>
      </patternFill>
    </fill>
    <fill>
      <patternFill patternType="solid">
        <fgColor rgb="FFFFC7CE"/>
      </patternFill>
    </fill>
    <fill>
      <patternFill patternType="solid">
        <fgColor rgb="FFFFEB9C"/>
      </patternFill>
    </fill>
    <fill>
      <patternFill patternType="solid">
        <fgColor rgb="FFFFCC99"/>
      </patternFill>
    </fill>
    <fill>
      <patternFill patternType="solid">
        <fgColor rgb="FFF2F2F2"/>
      </patternFill>
    </fill>
    <fill>
      <patternFill patternType="solid">
        <fgColor rgb="FFA5A5A5"/>
      </patternFill>
    </fill>
    <fill>
      <patternFill patternType="solid">
        <fgColor rgb="FFFFFFCC"/>
      </patternFill>
    </fill>
    <fill>
      <patternFill patternType="solid">
        <fgColor theme="4"/>
      </patternFill>
    </fill>
    <fill>
      <patternFill patternType="solid">
        <fgColor theme="4" tint="0.79998168889431442"/>
        <bgColor indexed="65"/>
      </patternFill>
    </fill>
    <fill>
      <patternFill patternType="solid">
        <fgColor theme="4" tint="0.59999389629810485"/>
        <bgColor indexed="65"/>
      </patternFill>
    </fill>
    <fill>
      <patternFill patternType="solid">
        <fgColor theme="4" tint="0.39997558519241921"/>
        <bgColor indexed="65"/>
      </patternFill>
    </fill>
    <fill>
      <patternFill patternType="solid">
        <fgColor theme="5"/>
      </patternFill>
    </fill>
    <fill>
      <patternFill patternType="solid">
        <fgColor theme="5" tint="0.79998168889431442"/>
        <bgColor indexed="65"/>
      </patternFill>
    </fill>
    <fill>
      <patternFill patternType="solid">
        <fgColor theme="5" tint="0.59999389629810485"/>
        <bgColor indexed="65"/>
      </patternFill>
    </fill>
    <fill>
      <patternFill patternType="solid">
        <fgColor theme="5" tint="0.39997558519241921"/>
        <bgColor indexed="65"/>
      </patternFill>
    </fill>
    <fill>
      <patternFill patternType="solid">
        <fgColor theme="6"/>
      </patternFill>
    </fill>
    <fill>
      <patternFill patternType="solid">
        <fgColor theme="6" tint="0.79998168889431442"/>
        <bgColor indexed="65"/>
      </patternFill>
    </fill>
    <fill>
      <patternFill patternType="solid">
        <fgColor theme="6" tint="0.59999389629810485"/>
        <bgColor indexed="65"/>
      </patternFill>
    </fill>
    <fill>
      <patternFill patternType="solid">
        <fgColor theme="6" tint="0.39997558519241921"/>
        <bgColor indexed="65"/>
      </patternFill>
    </fill>
    <fill>
      <patternFill patternType="solid">
        <fgColor theme="7"/>
      </patternFill>
    </fill>
    <fill>
      <patternFill patternType="solid">
        <fgColor theme="7" tint="0.79998168889431442"/>
        <bgColor indexed="65"/>
      </patternFill>
    </fill>
    <fill>
      <patternFill patternType="solid">
        <fgColor theme="7" tint="0.59999389629810485"/>
        <bgColor indexed="65"/>
      </patternFill>
    </fill>
    <fill>
      <patternFill patternType="solid">
        <fgColor theme="7" tint="0.39997558519241921"/>
        <bgColor indexed="65"/>
      </patternFill>
    </fill>
    <fill>
      <patternFill patternType="solid">
        <fgColor theme="8"/>
      </patternFill>
    </fill>
    <fill>
      <patternFill patternType="solid">
        <fgColor theme="8" tint="0.79998168889431442"/>
        <bgColor indexed="65"/>
      </patternFill>
    </fill>
    <fill>
      <patternFill patternType="solid">
        <fgColor theme="8" tint="0.59999389629810485"/>
        <bgColor indexed="65"/>
      </patternFill>
    </fill>
    <fill>
      <patternFill patternType="solid">
        <fgColor theme="8" tint="0.39997558519241921"/>
        <bgColor indexed="65"/>
      </patternFill>
    </fill>
    <fill>
      <patternFill patternType="solid">
        <fgColor theme="9"/>
      </patternFill>
    </fill>
    <fill>
      <patternFill patternType="solid">
        <fgColor theme="9" tint="0.79998168889431442"/>
        <bgColor indexed="65"/>
      </patternFill>
    </fill>
    <fill>
      <patternFill patternType="solid">
        <fgColor theme="9" tint="0.59999389629810485"/>
        <bgColor indexed="65"/>
      </patternFill>
    </fill>
    <fill>
      <patternFill patternType="solid">
        <fgColor theme="9" tint="0.39997558519241921"/>
        <bgColor indexed="65"/>
      </patternFill>
    </fill>
    <fill>
      <patternFill patternType="solid">
        <fgColor indexed="47"/>
        <bgColor indexed="64"/>
      </patternFill>
    </fill>
  </fills>
  <borders count="22">
    <border>
      <left/>
      <right/>
      <top/>
      <bottom/>
      <diagonal/>
    </border>
    <border>
      <left/>
      <right/>
      <top/>
      <bottom style="thick">
        <color theme="4"/>
      </bottom>
      <diagonal/>
    </border>
    <border>
      <left/>
      <right/>
      <top/>
      <bottom style="thick">
        <color theme="4" tint="0.499984740745262"/>
      </bottom>
      <diagonal/>
    </border>
    <border>
      <left/>
      <right/>
      <top/>
      <bottom style="medium">
        <color theme="4" tint="0.39997558519241921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/>
      <right/>
      <top/>
      <bottom style="double">
        <color rgb="FFFF8001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 style="thin">
        <color theme="4"/>
      </top>
      <bottom style="double">
        <color theme="4"/>
      </bottom>
      <diagonal/>
    </border>
    <border>
      <left style="medium">
        <color indexed="64"/>
      </left>
      <right style="thin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medium">
        <color indexed="64"/>
      </bottom>
      <diagonal/>
    </border>
    <border>
      <left style="medium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medium">
        <color indexed="64"/>
      </right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medium">
        <color indexed="64"/>
      </top>
      <bottom style="medium">
        <color indexed="64"/>
      </bottom>
      <diagonal/>
    </border>
    <border>
      <left style="thin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</borders>
  <cellStyleXfs count="42">
    <xf numFmtId="0" fontId="0" fillId="0" borderId="0"/>
    <xf numFmtId="0" fontId="2" fillId="0" borderId="0" applyNumberFormat="0" applyFill="0" applyBorder="0" applyAlignment="0" applyProtection="0"/>
    <xf numFmtId="0" fontId="3" fillId="0" borderId="1" applyNumberFormat="0" applyFill="0" applyAlignment="0" applyProtection="0"/>
    <xf numFmtId="0" fontId="4" fillId="0" borderId="2" applyNumberFormat="0" applyFill="0" applyAlignment="0" applyProtection="0"/>
    <xf numFmtId="0" fontId="5" fillId="0" borderId="3" applyNumberFormat="0" applyFill="0" applyAlignment="0" applyProtection="0"/>
    <xf numFmtId="0" fontId="5" fillId="0" borderId="0" applyNumberFormat="0" applyFill="0" applyBorder="0" applyAlignment="0" applyProtection="0"/>
    <xf numFmtId="0" fontId="6" fillId="2" borderId="0" applyNumberFormat="0" applyBorder="0" applyAlignment="0" applyProtection="0"/>
    <xf numFmtId="0" fontId="7" fillId="3" borderId="0" applyNumberFormat="0" applyBorder="0" applyAlignment="0" applyProtection="0"/>
    <xf numFmtId="0" fontId="8" fillId="4" borderId="0" applyNumberFormat="0" applyBorder="0" applyAlignment="0" applyProtection="0"/>
    <xf numFmtId="0" fontId="9" fillId="5" borderId="4" applyNumberFormat="0" applyAlignment="0" applyProtection="0"/>
    <xf numFmtId="0" fontId="10" fillId="6" borderId="5" applyNumberFormat="0" applyAlignment="0" applyProtection="0"/>
    <xf numFmtId="0" fontId="11" fillId="6" borderId="4" applyNumberFormat="0" applyAlignment="0" applyProtection="0"/>
    <xf numFmtId="0" fontId="12" fillId="0" borderId="6" applyNumberFormat="0" applyFill="0" applyAlignment="0" applyProtection="0"/>
    <xf numFmtId="0" fontId="13" fillId="7" borderId="7" applyNumberFormat="0" applyAlignment="0" applyProtection="0"/>
    <xf numFmtId="0" fontId="14" fillId="0" borderId="0" applyNumberFormat="0" applyFill="0" applyBorder="0" applyAlignment="0" applyProtection="0"/>
    <xf numFmtId="0" fontId="1" fillId="8" borderId="8" applyNumberFormat="0" applyFont="0" applyAlignment="0" applyProtection="0"/>
    <xf numFmtId="0" fontId="15" fillId="0" borderId="0" applyNumberFormat="0" applyFill="0" applyBorder="0" applyAlignment="0" applyProtection="0"/>
    <xf numFmtId="0" fontId="16" fillId="0" borderId="9" applyNumberFormat="0" applyFill="0" applyAlignment="0" applyProtection="0"/>
    <xf numFmtId="0" fontId="17" fillId="9" borderId="0" applyNumberFormat="0" applyBorder="0" applyAlignment="0" applyProtection="0"/>
    <xf numFmtId="0" fontId="1" fillId="10" borderId="0" applyNumberFormat="0" applyBorder="0" applyAlignment="0" applyProtection="0"/>
    <xf numFmtId="0" fontId="1" fillId="11" borderId="0" applyNumberFormat="0" applyBorder="0" applyAlignment="0" applyProtection="0"/>
    <xf numFmtId="0" fontId="1" fillId="12" borderId="0" applyNumberFormat="0" applyBorder="0" applyAlignment="0" applyProtection="0"/>
    <xf numFmtId="0" fontId="17" fillId="13" borderId="0" applyNumberFormat="0" applyBorder="0" applyAlignment="0" applyProtection="0"/>
    <xf numFmtId="0" fontId="1" fillId="14" borderId="0" applyNumberFormat="0" applyBorder="0" applyAlignment="0" applyProtection="0"/>
    <xf numFmtId="0" fontId="1" fillId="15" borderId="0" applyNumberFormat="0" applyBorder="0" applyAlignment="0" applyProtection="0"/>
    <xf numFmtId="0" fontId="1" fillId="16" borderId="0" applyNumberFormat="0" applyBorder="0" applyAlignment="0" applyProtection="0"/>
    <xf numFmtId="0" fontId="17" fillId="17" borderId="0" applyNumberFormat="0" applyBorder="0" applyAlignment="0" applyProtection="0"/>
    <xf numFmtId="0" fontId="1" fillId="18" borderId="0" applyNumberFormat="0" applyBorder="0" applyAlignment="0" applyProtection="0"/>
    <xf numFmtId="0" fontId="1" fillId="19" borderId="0" applyNumberFormat="0" applyBorder="0" applyAlignment="0" applyProtection="0"/>
    <xf numFmtId="0" fontId="1" fillId="20" borderId="0" applyNumberFormat="0" applyBorder="0" applyAlignment="0" applyProtection="0"/>
    <xf numFmtId="0" fontId="17" fillId="21" borderId="0" applyNumberFormat="0" applyBorder="0" applyAlignment="0" applyProtection="0"/>
    <xf numFmtId="0" fontId="1" fillId="22" borderId="0" applyNumberFormat="0" applyBorder="0" applyAlignment="0" applyProtection="0"/>
    <xf numFmtId="0" fontId="1" fillId="23" borderId="0" applyNumberFormat="0" applyBorder="0" applyAlignment="0" applyProtection="0"/>
    <xf numFmtId="0" fontId="1" fillId="24" borderId="0" applyNumberFormat="0" applyBorder="0" applyAlignment="0" applyProtection="0"/>
    <xf numFmtId="0" fontId="17" fillId="25" borderId="0" applyNumberFormat="0" applyBorder="0" applyAlignment="0" applyProtection="0"/>
    <xf numFmtId="0" fontId="1" fillId="26" borderId="0" applyNumberFormat="0" applyBorder="0" applyAlignment="0" applyProtection="0"/>
    <xf numFmtId="0" fontId="1" fillId="27" borderId="0" applyNumberFormat="0" applyBorder="0" applyAlignment="0" applyProtection="0"/>
    <xf numFmtId="0" fontId="1" fillId="28" borderId="0" applyNumberFormat="0" applyBorder="0" applyAlignment="0" applyProtection="0"/>
    <xf numFmtId="0" fontId="17" fillId="29" borderId="0" applyNumberFormat="0" applyBorder="0" applyAlignment="0" applyProtection="0"/>
    <xf numFmtId="0" fontId="1" fillId="30" borderId="0" applyNumberFormat="0" applyBorder="0" applyAlignment="0" applyProtection="0"/>
    <xf numFmtId="0" fontId="1" fillId="31" borderId="0" applyNumberFormat="0" applyBorder="0" applyAlignment="0" applyProtection="0"/>
    <xf numFmtId="0" fontId="1" fillId="32" borderId="0" applyNumberFormat="0" applyBorder="0" applyAlignment="0" applyProtection="0"/>
  </cellStyleXfs>
  <cellXfs count="14">
    <xf numFmtId="0" fontId="0" fillId="0" borderId="0" xfId="0"/>
    <xf numFmtId="0" fontId="0" fillId="0" borderId="11" xfId="0" applyBorder="1"/>
    <xf numFmtId="0" fontId="0" fillId="0" borderId="12" xfId="0" applyBorder="1"/>
    <xf numFmtId="0" fontId="0" fillId="0" borderId="13" xfId="0" applyBorder="1"/>
    <xf numFmtId="0" fontId="0" fillId="0" borderId="14" xfId="0" applyBorder="1"/>
    <xf numFmtId="0" fontId="0" fillId="0" borderId="15" xfId="0" applyBorder="1"/>
    <xf numFmtId="0" fontId="0" fillId="0" borderId="16" xfId="0" applyBorder="1"/>
    <xf numFmtId="0" fontId="0" fillId="0" borderId="18" xfId="0" applyBorder="1"/>
    <xf numFmtId="0" fontId="0" fillId="0" borderId="19" xfId="0" applyBorder="1"/>
    <xf numFmtId="0" fontId="16" fillId="33" borderId="10" xfId="0" applyFont="1" applyFill="1" applyBorder="1"/>
    <xf numFmtId="0" fontId="16" fillId="33" borderId="20" xfId="0" applyFont="1" applyFill="1" applyBorder="1"/>
    <xf numFmtId="0" fontId="16" fillId="33" borderId="21" xfId="0" applyFont="1" applyFill="1" applyBorder="1"/>
    <xf numFmtId="164" fontId="0" fillId="0" borderId="17" xfId="0" applyNumberFormat="1" applyBorder="1"/>
    <xf numFmtId="164" fontId="0" fillId="0" borderId="11" xfId="0" applyNumberFormat="1" applyBorder="1"/>
  </cellXfs>
  <cellStyles count="42">
    <cellStyle name="20% - Ênfase1" xfId="19" builtinId="30" customBuiltin="1"/>
    <cellStyle name="20% - Ênfase2" xfId="23" builtinId="34" customBuiltin="1"/>
    <cellStyle name="20% - Ênfase3" xfId="27" builtinId="38" customBuiltin="1"/>
    <cellStyle name="20% - Ênfase4" xfId="31" builtinId="42" customBuiltin="1"/>
    <cellStyle name="20% - Ênfase5" xfId="35" builtinId="46" customBuiltin="1"/>
    <cellStyle name="20% - Ênfase6" xfId="39" builtinId="50" customBuiltin="1"/>
    <cellStyle name="40% - Ênfase1" xfId="20" builtinId="31" customBuiltin="1"/>
    <cellStyle name="40% - Ênfase2" xfId="24" builtinId="35" customBuiltin="1"/>
    <cellStyle name="40% - Ênfase3" xfId="28" builtinId="39" customBuiltin="1"/>
    <cellStyle name="40% - Ênfase4" xfId="32" builtinId="43" customBuiltin="1"/>
    <cellStyle name="40% - Ênfase5" xfId="36" builtinId="47" customBuiltin="1"/>
    <cellStyle name="40% - Ênfase6" xfId="40" builtinId="51" customBuiltin="1"/>
    <cellStyle name="60% - Ênfase1" xfId="21" builtinId="32" customBuiltin="1"/>
    <cellStyle name="60% - Ênfase2" xfId="25" builtinId="36" customBuiltin="1"/>
    <cellStyle name="60% - Ênfase3" xfId="29" builtinId="40" customBuiltin="1"/>
    <cellStyle name="60% - Ênfase4" xfId="33" builtinId="44" customBuiltin="1"/>
    <cellStyle name="60% - Ênfase5" xfId="37" builtinId="48" customBuiltin="1"/>
    <cellStyle name="60% - Ênfase6" xfId="41" builtinId="52" customBuiltin="1"/>
    <cellStyle name="Bom" xfId="6" builtinId="26" customBuiltin="1"/>
    <cellStyle name="Cálculo" xfId="11" builtinId="22" customBuiltin="1"/>
    <cellStyle name="Célula de Verificação" xfId="13" builtinId="23" customBuiltin="1"/>
    <cellStyle name="Célula Vinculada" xfId="12" builtinId="24" customBuiltin="1"/>
    <cellStyle name="Ênfase1" xfId="18" builtinId="29" customBuiltin="1"/>
    <cellStyle name="Ênfase2" xfId="22" builtinId="33" customBuiltin="1"/>
    <cellStyle name="Ênfase3" xfId="26" builtinId="37" customBuiltin="1"/>
    <cellStyle name="Ênfase4" xfId="30" builtinId="41" customBuiltin="1"/>
    <cellStyle name="Ênfase5" xfId="34" builtinId="45" customBuiltin="1"/>
    <cellStyle name="Ênfase6" xfId="38" builtinId="49" customBuiltin="1"/>
    <cellStyle name="Entrada" xfId="9" builtinId="20" customBuiltin="1"/>
    <cellStyle name="Neutro" xfId="8" builtinId="28" customBuiltin="1"/>
    <cellStyle name="Normal" xfId="0" builtinId="0"/>
    <cellStyle name="Nota" xfId="15" builtinId="10" customBuiltin="1"/>
    <cellStyle name="Ruim" xfId="7" builtinId="27" customBuiltin="1"/>
    <cellStyle name="Saída" xfId="10" builtinId="21" customBuiltin="1"/>
    <cellStyle name="Texto de Aviso" xfId="14" builtinId="11" customBuiltin="1"/>
    <cellStyle name="Texto Explicativo" xfId="16" builtinId="53" customBuiltin="1"/>
    <cellStyle name="Título" xfId="1" builtinId="15" customBuiltin="1"/>
    <cellStyle name="Título 1" xfId="2" builtinId="16" customBuiltin="1"/>
    <cellStyle name="Título 2" xfId="3" builtinId="17" customBuiltin="1"/>
    <cellStyle name="Título 3" xfId="4" builtinId="18" customBuiltin="1"/>
    <cellStyle name="Título 4" xfId="5" builtinId="19" customBuiltin="1"/>
    <cellStyle name="Total" xfId="17" builtinId="25" customBuiltin="1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customXml" Target="../customXml/item3.xml"/><Relationship Id="rId3" Type="http://schemas.openxmlformats.org/officeDocument/2006/relationships/styles" Target="styles.xml"/><Relationship Id="rId7" Type="http://schemas.openxmlformats.org/officeDocument/2006/relationships/customXml" Target="../customXml/item2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6" Type="http://schemas.openxmlformats.org/officeDocument/2006/relationships/customXml" Target="../customXml/item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Tema do Offic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BE00112-F145-4AC8-9131-A4B23C1B32BD}">
  <dimension ref="A1:C30"/>
  <sheetViews>
    <sheetView tabSelected="1" workbookViewId="0"/>
  </sheetViews>
  <sheetFormatPr defaultRowHeight="14.4" x14ac:dyDescent="0.3"/>
  <cols>
    <col min="1" max="1" width="16.5546875" bestFit="1" customWidth="1"/>
    <col min="2" max="2" width="25.88671875" bestFit="1" customWidth="1"/>
    <col min="3" max="3" width="7.44140625" bestFit="1" customWidth="1"/>
  </cols>
  <sheetData>
    <row r="1" spans="1:3" ht="15" thickBot="1" x14ac:dyDescent="0.35">
      <c r="A1" s="9" t="s">
        <v>0</v>
      </c>
      <c r="B1" s="10" t="s">
        <v>1</v>
      </c>
      <c r="C1" s="11" t="s">
        <v>2</v>
      </c>
    </row>
    <row r="2" spans="1:3" x14ac:dyDescent="0.3">
      <c r="A2" s="12">
        <v>980001</v>
      </c>
      <c r="B2" s="7" t="str">
        <f>"DÉBITO DIRETO-Tab"</f>
        <v>DÉBITO DIRETO-Tab</v>
      </c>
      <c r="C2" s="8" t="str">
        <f>"UN"</f>
        <v>UN</v>
      </c>
    </row>
    <row r="3" spans="1:3" x14ac:dyDescent="0.3">
      <c r="A3" s="13">
        <v>990001</v>
      </c>
      <c r="B3" s="2" t="str">
        <f>"DÉBITO DIRETO"</f>
        <v>DÉBITO DIRETO</v>
      </c>
      <c r="C3" s="3" t="str">
        <f>"UN"</f>
        <v>UN</v>
      </c>
    </row>
    <row r="4" spans="1:3" x14ac:dyDescent="0.3">
      <c r="A4" s="1" t="str">
        <f>"ADT"</f>
        <v>ADT</v>
      </c>
      <c r="B4" s="2" t="str">
        <f>"Aditivo - Tintas"</f>
        <v>Aditivo - Tintas</v>
      </c>
      <c r="C4" s="3" t="str">
        <f>"kg"</f>
        <v>kg</v>
      </c>
    </row>
    <row r="5" spans="1:3" x14ac:dyDescent="0.3">
      <c r="A5" s="1" t="str">
        <f>"AP"</f>
        <v>AP</v>
      </c>
      <c r="B5" s="2" t="str">
        <f>"Alta Pressão - HPL"</f>
        <v>Alta Pressão - HPL</v>
      </c>
      <c r="C5" s="3" t="str">
        <f>"KG"</f>
        <v>KG</v>
      </c>
    </row>
    <row r="6" spans="1:3" x14ac:dyDescent="0.3">
      <c r="A6" s="1" t="str">
        <f>"AP-TRIAL"</f>
        <v>AP-TRIAL</v>
      </c>
      <c r="B6" s="2" t="str">
        <f>"Alta Pressão-HPL-Trial"</f>
        <v>Alta Pressão-HPL-Trial</v>
      </c>
      <c r="C6" s="3" t="str">
        <f>"KG"</f>
        <v>KG</v>
      </c>
    </row>
    <row r="7" spans="1:3" x14ac:dyDescent="0.3">
      <c r="A7" s="1" t="str">
        <f>"BP"</f>
        <v>BP</v>
      </c>
      <c r="B7" s="2" t="str">
        <f>"Baixa Pressão-LPL"</f>
        <v>Baixa Pressão-LPL</v>
      </c>
      <c r="C7" s="3" t="str">
        <f>"KG"</f>
        <v>KG</v>
      </c>
    </row>
    <row r="8" spans="1:3" x14ac:dyDescent="0.3">
      <c r="A8" s="1" t="str">
        <f>"BP-TRIAL"</f>
        <v>BP-TRIAL</v>
      </c>
      <c r="B8" s="2" t="str">
        <f>"Baixa Pressão LPL-Trial"</f>
        <v>Baixa Pressão LPL-Trial</v>
      </c>
      <c r="C8" s="3" t="str">
        <f>"KG"</f>
        <v>KG</v>
      </c>
    </row>
    <row r="9" spans="1:3" x14ac:dyDescent="0.3">
      <c r="A9" s="1" t="str">
        <f>"CAT"</f>
        <v>CAT</v>
      </c>
      <c r="B9" s="2" t="str">
        <f>"Catalisador  - Tintas"</f>
        <v>Catalisador  - Tintas</v>
      </c>
      <c r="C9" s="3" t="str">
        <f>"kg"</f>
        <v>kg</v>
      </c>
    </row>
    <row r="10" spans="1:3" x14ac:dyDescent="0.3">
      <c r="A10" s="1" t="str">
        <f>"CPL"</f>
        <v>CPL</v>
      </c>
      <c r="B10" s="2" t="str">
        <f>"Laminado Contínuo"</f>
        <v>Laminado Contínuo</v>
      </c>
      <c r="C10" s="3" t="str">
        <f>"KG"</f>
        <v>KG</v>
      </c>
    </row>
    <row r="11" spans="1:3" x14ac:dyDescent="0.3">
      <c r="A11" s="1" t="str">
        <f>"FF"</f>
        <v>FF</v>
      </c>
      <c r="B11" s="2" t="str">
        <f>"Finish Foil - Standard"</f>
        <v>Finish Foil - Standard</v>
      </c>
      <c r="C11" s="3" t="str">
        <f t="shared" ref="C11:C23" si="0">"m2"</f>
        <v>m2</v>
      </c>
    </row>
    <row r="12" spans="1:3" x14ac:dyDescent="0.3">
      <c r="A12" s="1" t="str">
        <f>"FF ITECH"</f>
        <v>FF ITECH</v>
      </c>
      <c r="B12" s="2" t="str">
        <f>"FF I-TECH"</f>
        <v>FF I-TECH</v>
      </c>
      <c r="C12" s="3" t="str">
        <f t="shared" si="0"/>
        <v>m2</v>
      </c>
    </row>
    <row r="13" spans="1:3" x14ac:dyDescent="0.3">
      <c r="A13" s="1" t="str">
        <f>"FF-AB"</f>
        <v>FF-AB</v>
      </c>
      <c r="B13" s="2" t="str">
        <f>"Finish Foil - Alto Brilho"</f>
        <v>Finish Foil - Alto Brilho</v>
      </c>
      <c r="C13" s="3" t="str">
        <f t="shared" si="0"/>
        <v>m2</v>
      </c>
    </row>
    <row r="14" spans="1:3" x14ac:dyDescent="0.3">
      <c r="A14" s="1" t="str">
        <f>"FF-INT"</f>
        <v>FF-INT</v>
      </c>
      <c r="B14" s="2" t="str">
        <f>"Finish Foil - Internal"</f>
        <v>Finish Foil - Internal</v>
      </c>
      <c r="C14" s="3" t="str">
        <f t="shared" si="0"/>
        <v>m2</v>
      </c>
    </row>
    <row r="15" spans="1:3" x14ac:dyDescent="0.3">
      <c r="A15" s="1" t="str">
        <f>"FF-MATT"</f>
        <v>FF-MATT</v>
      </c>
      <c r="B15" s="2" t="str">
        <f>"Finish Foil - Matt"</f>
        <v>Finish Foil - Matt</v>
      </c>
      <c r="C15" s="3" t="str">
        <f t="shared" si="0"/>
        <v>m2</v>
      </c>
    </row>
    <row r="16" spans="1:3" x14ac:dyDescent="0.3">
      <c r="A16" s="1" t="str">
        <f>"FF-REC"</f>
        <v>FF-REC</v>
      </c>
      <c r="B16" s="2" t="str">
        <f>"Finish Foil - Recoatable"</f>
        <v>Finish Foil - Recoatable</v>
      </c>
      <c r="C16" s="3" t="str">
        <f t="shared" si="0"/>
        <v>m2</v>
      </c>
    </row>
    <row r="17" spans="1:3" x14ac:dyDescent="0.3">
      <c r="A17" s="1" t="str">
        <f>"FF-S/L"</f>
        <v>FF-S/L</v>
      </c>
      <c r="B17" s="2" t="str">
        <f>"Finish Foil - Sem Verniz"</f>
        <v>Finish Foil - Sem Verniz</v>
      </c>
      <c r="C17" s="3" t="str">
        <f t="shared" si="0"/>
        <v>m2</v>
      </c>
    </row>
    <row r="18" spans="1:3" x14ac:dyDescent="0.3">
      <c r="A18" s="1" t="str">
        <f>"FF-SB"</f>
        <v>FF-SB</v>
      </c>
      <c r="B18" s="2" t="str">
        <f>"Finish Foil - Super Brilho"</f>
        <v>Finish Foil - Super Brilho</v>
      </c>
      <c r="C18" s="3" t="str">
        <f t="shared" si="0"/>
        <v>m2</v>
      </c>
    </row>
    <row r="19" spans="1:3" x14ac:dyDescent="0.3">
      <c r="A19" s="1" t="str">
        <f>"FF-SHG"</f>
        <v>FF-SHG</v>
      </c>
      <c r="B19" s="2" t="str">
        <f>"Finish Foil - SHG"</f>
        <v>Finish Foil - SHG</v>
      </c>
      <c r="C19" s="3" t="str">
        <f t="shared" si="0"/>
        <v>m2</v>
      </c>
    </row>
    <row r="20" spans="1:3" x14ac:dyDescent="0.3">
      <c r="A20" s="1" t="str">
        <f>"FF-SM"</f>
        <v>FF-SM</v>
      </c>
      <c r="B20" s="2" t="str">
        <f>"Finish Foil - Semi-Matt"</f>
        <v>Finish Foil - Semi-Matt</v>
      </c>
      <c r="C20" s="3" t="str">
        <f t="shared" si="0"/>
        <v>m2</v>
      </c>
    </row>
    <row r="21" spans="1:3" x14ac:dyDescent="0.3">
      <c r="A21" s="1" t="str">
        <f>"FF-TRIAL"</f>
        <v>FF-TRIAL</v>
      </c>
      <c r="B21" s="2" t="str">
        <f>"Finish Foil-Trial"</f>
        <v>Finish Foil-Trial</v>
      </c>
      <c r="C21" s="3" t="str">
        <f t="shared" si="0"/>
        <v>m2</v>
      </c>
    </row>
    <row r="22" spans="1:3" x14ac:dyDescent="0.3">
      <c r="A22" s="1" t="str">
        <f>"FFU"</f>
        <v>FFU</v>
      </c>
      <c r="B22" s="2" t="str">
        <f>"Finish Foil Unicolor"</f>
        <v>Finish Foil Unicolor</v>
      </c>
      <c r="C22" s="3" t="str">
        <f t="shared" si="0"/>
        <v>m2</v>
      </c>
    </row>
    <row r="23" spans="1:3" x14ac:dyDescent="0.3">
      <c r="A23" s="1" t="str">
        <f>"FILMES T"</f>
        <v>FILMES T</v>
      </c>
      <c r="B23" s="2" t="str">
        <f>"FILMES TESTES"</f>
        <v>FILMES TESTES</v>
      </c>
      <c r="C23" s="3" t="str">
        <f t="shared" si="0"/>
        <v>m2</v>
      </c>
    </row>
    <row r="24" spans="1:3" x14ac:dyDescent="0.3">
      <c r="A24" s="1" t="str">
        <f>"FLOORING"</f>
        <v>FLOORING</v>
      </c>
      <c r="B24" s="2" t="str">
        <f>"Flooring"</f>
        <v>Flooring</v>
      </c>
      <c r="C24" s="3" t="str">
        <f>"KG"</f>
        <v>KG</v>
      </c>
    </row>
    <row r="25" spans="1:3" x14ac:dyDescent="0.3">
      <c r="A25" s="1" t="str">
        <f>"REV"</f>
        <v>REV</v>
      </c>
      <c r="B25" s="2" t="str">
        <f>"REVENDA"</f>
        <v>REVENDA</v>
      </c>
      <c r="C25" s="3" t="str">
        <f>"kg"</f>
        <v>kg</v>
      </c>
    </row>
    <row r="26" spans="1:3" x14ac:dyDescent="0.3">
      <c r="A26" s="1" t="str">
        <f>"SOL"</f>
        <v>SOL</v>
      </c>
      <c r="B26" s="2" t="str">
        <f>"Solvente  - Tintas"</f>
        <v>Solvente  - Tintas</v>
      </c>
      <c r="C26" s="3" t="str">
        <f>"kg"</f>
        <v>kg</v>
      </c>
    </row>
    <row r="27" spans="1:3" x14ac:dyDescent="0.3">
      <c r="A27" s="1" t="str">
        <f>"TABER"</f>
        <v>TABER</v>
      </c>
      <c r="B27" s="2" t="str">
        <f>"TINTAS E LACAS TABERCOLOR"</f>
        <v>TINTAS E LACAS TABERCOLOR</v>
      </c>
      <c r="C27" s="3" t="str">
        <f>"KG"</f>
        <v>KG</v>
      </c>
    </row>
    <row r="28" spans="1:3" x14ac:dyDescent="0.3">
      <c r="A28" s="1" t="str">
        <f>"TIN"</f>
        <v>TIN</v>
      </c>
      <c r="B28" s="2" t="str">
        <f>"Tintas  - Tintas"</f>
        <v>Tintas  - Tintas</v>
      </c>
      <c r="C28" s="3" t="str">
        <f>"kg"</f>
        <v>kg</v>
      </c>
    </row>
    <row r="29" spans="1:3" ht="15" thickBot="1" x14ac:dyDescent="0.35">
      <c r="A29" s="4" t="str">
        <f>"VNZ"</f>
        <v>VNZ</v>
      </c>
      <c r="B29" s="5" t="str">
        <f>"Verniz  - Tintas"</f>
        <v>Verniz  - Tintas</v>
      </c>
      <c r="C29" s="6" t="str">
        <f>"kg"</f>
        <v>kg</v>
      </c>
    </row>
    <row r="30" spans="1:3" x14ac:dyDescent="0.3">
      <c r="A30" t="s">
        <v>3</v>
      </c>
    </row>
  </sheetData>
  <pageMargins left="0.78740157499999996" right="0.78740157499999996" top="0.984251969" bottom="0.984251969" header="0.4921259845" footer="0.4921259845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F97EE73F6824CB4CBC81148F022C7122" ma:contentTypeVersion="19" ma:contentTypeDescription="Criar um novo documento." ma:contentTypeScope="" ma:versionID="c135dfd5689eb1f41c942b6de29d974a">
  <xsd:schema xmlns:xsd="http://www.w3.org/2001/XMLSchema" xmlns:xs="http://www.w3.org/2001/XMLSchema" xmlns:p="http://schemas.microsoft.com/office/2006/metadata/properties" xmlns:ns2="d196706a-de7c-4813-9c30-935ec1d4cc5d" xmlns:ns3="dd292427-de11-427f-a4cf-93902db2c621" targetNamespace="http://schemas.microsoft.com/office/2006/metadata/properties" ma:root="true" ma:fieldsID="9f598600a6f7a583361fdb2bebd14dd7" ns2:_="" ns3:_="">
    <xsd:import namespace="d196706a-de7c-4813-9c30-935ec1d4cc5d"/>
    <xsd:import namespace="dd292427-de11-427f-a4cf-93902db2c621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3:SharedWithUsers" minOccurs="0"/>
                <xsd:element ref="ns3:SharedWithDetails" minOccurs="0"/>
                <xsd:element ref="ns2:MediaServiceAutoKeyPoints" minOccurs="0"/>
                <xsd:element ref="ns2:MediaServiceKeyPoints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2:MediaServiceDateTaken" minOccurs="0"/>
                <xsd:element ref="ns2:MediaServiceLocation" minOccurs="0"/>
                <xsd:element ref="ns2:MediaLengthInSeconds" minOccurs="0"/>
                <xsd:element ref="ns2:lcf76f155ced4ddcb4097134ff3c332f" minOccurs="0"/>
                <xsd:element ref="ns3:TaxCatchAll" minOccurs="0"/>
                <xsd:element ref="ns2:MediaServiceSearchProperties" minOccurs="0"/>
                <xsd:element ref="ns2:MediaServiceObjectDetectorVersions" minOccurs="0"/>
                <xsd:element ref="ns2:MediaServiceBillingMetadata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d196706a-de7c-4813-9c30-935ec1d4cc5d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AutoKeyPoints" ma:index="12" nillable="true" ma:displayName="MediaServiceAutoKeyPoints" ma:hidden="true" ma:internalName="MediaServiceAutoKeyPoints" ma:readOnly="true">
      <xsd:simpleType>
        <xsd:restriction base="dms:Note"/>
      </xsd:simpleType>
    </xsd:element>
    <xsd:element name="MediaServiceKeyPoints" ma:index="13" nillable="true" ma:displayName="KeyPoints" ma:internalName="MediaServiceKeyPoints" ma:readOnly="true">
      <xsd:simpleType>
        <xsd:restriction base="dms:Note">
          <xsd:maxLength value="255"/>
        </xsd:restriction>
      </xsd:simpleType>
    </xsd:element>
    <xsd:element name="MediaServiceOCR" ma:index="14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5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6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DateTaken" ma:index="17" nillable="true" ma:displayName="MediaServiceDateTaken" ma:hidden="true" ma:internalName="MediaServiceDateTaken" ma:readOnly="true">
      <xsd:simpleType>
        <xsd:restriction base="dms:Text"/>
      </xsd:simpleType>
    </xsd:element>
    <xsd:element name="MediaServiceLocation" ma:index="18" nillable="true" ma:displayName="Location" ma:internalName="MediaServiceLocation" ma:readOnly="true">
      <xsd:simpleType>
        <xsd:restriction base="dms:Text"/>
      </xsd:simpleType>
    </xsd:element>
    <xsd:element name="MediaLengthInSeconds" ma:index="19" nillable="true" ma:displayName="MediaLengthInSeconds" ma:hidden="true" ma:internalName="MediaLengthInSeconds" ma:readOnly="true">
      <xsd:simpleType>
        <xsd:restriction base="dms:Unknown"/>
      </xsd:simpleType>
    </xsd:element>
    <xsd:element name="lcf76f155ced4ddcb4097134ff3c332f" ma:index="21" nillable="true" ma:taxonomy="true" ma:internalName="lcf76f155ced4ddcb4097134ff3c332f" ma:taxonomyFieldName="MediaServiceImageTags" ma:displayName="Etiquetas de Imagem" ma:readOnly="false" ma:fieldId="{5cf76f15-5ced-4ddc-b409-7134ff3c332f}" ma:taxonomyMulti="true" ma:sspId="8e0251ee-03ea-4cdd-a84b-a8795fd5a69c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SearchProperties" ma:index="23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ObjectDetectorVersions" ma:index="24" nillable="true" ma:displayName="MediaServiceObjectDetectorVersions" ma:description="" ma:hidden="true" ma:indexed="true" ma:internalName="MediaServiceObjectDetectorVersions" ma:readOnly="true">
      <xsd:simpleType>
        <xsd:restriction base="dms:Text"/>
      </xsd:simpleType>
    </xsd:element>
    <xsd:element name="MediaServiceBillingMetadata" ma:index="25" nillable="true" ma:displayName="MediaServiceBillingMetadata" ma:hidden="true" ma:internalName="MediaServiceBillingMetadata" ma:readOnly="true">
      <xsd:simpleType>
        <xsd:restriction base="dms:Note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dd292427-de11-427f-a4cf-93902db2c621" elementFormDefault="qualified">
    <xsd:import namespace="http://schemas.microsoft.com/office/2006/documentManagement/types"/>
    <xsd:import namespace="http://schemas.microsoft.com/office/infopath/2007/PartnerControls"/>
    <xsd:element name="SharedWithUsers" ma:index="10" nillable="true" ma:displayName="Partilhado Com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11" nillable="true" ma:displayName="Detalhes de Partilhado Com" ma:internalName="SharedWithDetails" ma:readOnly="true">
      <xsd:simpleType>
        <xsd:restriction base="dms:Note">
          <xsd:maxLength value="255"/>
        </xsd:restriction>
      </xsd:simpleType>
    </xsd:element>
    <xsd:element name="TaxCatchAll" ma:index="22" nillable="true" ma:displayName="Taxonomy Catch All Column" ma:hidden="true" ma:list="{ac84fc97-ffa8-40ad-9fb7-0ddf2e67ea48}" ma:internalName="TaxCatchAll" ma:showField="CatchAllData" ma:web="dd292427-de11-427f-a4cf-93902db2c621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ú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2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3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TaxCatchAll xmlns="dd292427-de11-427f-a4cf-93902db2c621" xsi:nil="true"/>
    <lcf76f155ced4ddcb4097134ff3c332f xmlns="d196706a-de7c-4813-9c30-935ec1d4cc5d">
      <Terms xmlns="http://schemas.microsoft.com/office/infopath/2007/PartnerControls"/>
    </lcf76f155ced4ddcb4097134ff3c332f>
  </documentManagement>
</p:properties>
</file>

<file path=customXml/itemProps1.xml><?xml version="1.0" encoding="utf-8"?>
<ds:datastoreItem xmlns:ds="http://schemas.openxmlformats.org/officeDocument/2006/customXml" ds:itemID="{DA575D66-5521-43CD-9FBB-09BDF7A045D5}"/>
</file>

<file path=customXml/itemProps2.xml><?xml version="1.0" encoding="utf-8"?>
<ds:datastoreItem xmlns:ds="http://schemas.openxmlformats.org/officeDocument/2006/customXml" ds:itemID="{A2046E91-04D4-48AB-AEC7-6E18B1D8CF56}"/>
</file>

<file path=customXml/itemProps3.xml><?xml version="1.0" encoding="utf-8"?>
<ds:datastoreItem xmlns:ds="http://schemas.openxmlformats.org/officeDocument/2006/customXml" ds:itemID="{1F5D6CE5-5539-420F-B840-C146D8663BDA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Planilhas</vt:lpstr>
      </vt:variant>
      <vt:variant>
        <vt:i4>1</vt:i4>
      </vt:variant>
    </vt:vector>
  </HeadingPairs>
  <TitlesOfParts>
    <vt:vector size="1" baseType="lpstr">
      <vt:lpstr>Planilha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Joao Almeida</dc:creator>
  <cp:lastModifiedBy>Joao Almeida</cp:lastModifiedBy>
  <dcterms:created xsi:type="dcterms:W3CDTF">2025-01-16T12:02:22Z</dcterms:created>
  <dcterms:modified xsi:type="dcterms:W3CDTF">2025-01-16T12:02:38Z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0x010100F97EE73F6824CB4CBC81148F022C7122</vt:lpwstr>
  </property>
</Properties>
</file>