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A9C5D98E-5241-4C91-8114-D8779053390A}" xr6:coauthVersionLast="47" xr6:coauthVersionMax="47" xr10:uidLastSave="{00000000-0000-0000-0000-000000000000}"/>
  <bookViews>
    <workbookView xWindow="-108" yWindow="-108" windowWidth="23256" windowHeight="14016" xr2:uid="{CC29F77D-DC2B-4DDA-B21D-6FD3C33195CC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</calcChain>
</file>

<file path=xl/sharedStrings.xml><?xml version="1.0" encoding="utf-8"?>
<sst xmlns="http://schemas.openxmlformats.org/spreadsheetml/2006/main" count="4" uniqueCount="4">
  <si>
    <t>Fam Cml</t>
  </si>
  <si>
    <t>Desc</t>
  </si>
  <si>
    <t>UM Pad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</si>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</sst>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4" fontId="0" fillId="0" borderId="17" xfId="0" applyNumberFormat="1" applyBorder="1"/>
    <xf numFmtId="164" fontId="0" fillId="0" borderId="11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0112-F145-4AC8-9131-A4B23C1B32BD}">
  <dimension ref="A1:C30"/>
  <sheetViews>
    <sheetView tabSelected="1" workbookViewId="0"/>
  </sheetViews>
  <sheetFormatPr defaultRowHeight="14.4" x14ac:dyDescent="0.3"/>
  <cols>
    <col min="1" max="1" width="16.5546875" bestFit="1" customWidth="1"/>
    <col min="2" max="2" width="25.88671875" bestFit="1" customWidth="1"/>
    <col min="3" max="3" width="7.44140625" bestFit="1" customWidth="1"/>
  </cols>
  <sheetData>
    <row r="1" spans="1:3" ht="15" thickBot="1" x14ac:dyDescent="0.35">
      <c r="A1" s="9" t="s">
        <v>0</v>
      </c>
      <c r="B1" s="10" t="s">
        <v>1</v>
      </c>
      <c r="C1" s="11" t="s">
        <v>2</v>
      </c>
    </row>
    <row r="2" spans="1:3" x14ac:dyDescent="0.3">
      <c r="A2" s="12">
        <v>980001</v>
      </c>
      <c r="B2" s="7" t="str">
        <f>"DÉBITO DIRETO-Tab"</f>
        <v>DÉBITO DIRETO-Tab</v>
      </c>
      <c r="C2" s="8" t="str">
        <f>"UN"</f>
        <v>UN</v>
      </c>
    </row>
    <row r="3" spans="1:3" x14ac:dyDescent="0.3">
      <c r="A3" s="13">
        <v>990001</v>
      </c>
      <c r="B3" s="2" t="str">
        <f>"DÉBITO DIRETO"</f>
        <v>DÉBITO DIRETO</v>
      </c>
      <c r="C3" s="3" t="str">
        <f>"UN"</f>
        <v>UN</v>
      </c>
    </row>
    <row r="4" spans="1:3" x14ac:dyDescent="0.3">
      <c r="A4" s="1" t="str">
        <f>"ADT"</f>
        <v>ADT</v>
      </c>
      <c r="B4" s="2" t="str">
        <f>"Aditivo - Tintas"</f>
        <v>Aditivo - Tintas</v>
      </c>
      <c r="C4" s="3" t="str">
        <f>"kg"</f>
        <v>kg</v>
      </c>
    </row>
    <row r="5" spans="1:3" x14ac:dyDescent="0.3">
      <c r="A5" s="1" t="str">
        <f>"AP"</f>
        <v>AP</v>
      </c>
      <c r="B5" s="2" t="str">
        <f>"Alta Pressão - HPL"</f>
        <v>Alta Pressão - HPL</v>
      </c>
      <c r="C5" s="3" t="str">
        <f>"KG"</f>
        <v>KG</v>
      </c>
    </row>
    <row r="6" spans="1:3" x14ac:dyDescent="0.3">
      <c r="A6" s="1" t="str">
        <f>"AP-TRIAL"</f>
        <v>AP-TRIAL</v>
      </c>
      <c r="B6" s="2" t="str">
        <f>"Alta Pressão-HPL-Trial"</f>
        <v>Alta Pressão-HPL-Trial</v>
      </c>
      <c r="C6" s="3" t="str">
        <f>"KG"</f>
        <v>KG</v>
      </c>
    </row>
    <row r="7" spans="1:3" x14ac:dyDescent="0.3">
      <c r="A7" s="1" t="str">
        <f>"BP"</f>
        <v>BP</v>
      </c>
      <c r="B7" s="2" t="str">
        <f>"Baixa Pressão-LPL"</f>
        <v>Baixa Pressão-LPL</v>
      </c>
      <c r="C7" s="3" t="str">
        <f>"KG"</f>
        <v>KG</v>
      </c>
    </row>
    <row r="8" spans="1:3" x14ac:dyDescent="0.3">
      <c r="A8" s="1" t="str">
        <f>"BP-TRIAL"</f>
        <v>BP-TRIAL</v>
      </c>
      <c r="B8" s="2" t="str">
        <f>"Baixa Pressão LPL-Trial"</f>
        <v>Baixa Pressão LPL-Trial</v>
      </c>
      <c r="C8" s="3" t="str">
        <f>"KG"</f>
        <v>KG</v>
      </c>
    </row>
    <row r="9" spans="1:3" x14ac:dyDescent="0.3">
      <c r="A9" s="1" t="str">
        <f>"CAT"</f>
        <v>CAT</v>
      </c>
      <c r="B9" s="2" t="str">
        <f>"Catalisador  - Tintas"</f>
        <v>Catalisador  - Tintas</v>
      </c>
      <c r="C9" s="3" t="str">
        <f>"kg"</f>
        <v>kg</v>
      </c>
    </row>
    <row r="10" spans="1:3" x14ac:dyDescent="0.3">
      <c r="A10" s="1" t="str">
        <f>"CPL"</f>
        <v>CPL</v>
      </c>
      <c r="B10" s="2" t="str">
        <f>"Laminado Contínuo"</f>
        <v>Laminado Contínuo</v>
      </c>
      <c r="C10" s="3" t="str">
        <f>"KG"</f>
        <v>KG</v>
      </c>
    </row>
    <row r="11" spans="1:3" x14ac:dyDescent="0.3">
      <c r="A11" s="1" t="str">
        <f>"FF"</f>
        <v>FF</v>
      </c>
      <c r="B11" s="2" t="str">
        <f>"Finish Foil - Standard"</f>
        <v>Finish Foil - Standard</v>
      </c>
      <c r="C11" s="3" t="str">
        <f t="shared" ref="C11:C23" si="0">"m2"</f>
        <v>m2</v>
      </c>
    </row>
    <row r="12" spans="1:3" x14ac:dyDescent="0.3">
      <c r="A12" s="1" t="str">
        <f>"FF ITECH"</f>
        <v>FF ITECH</v>
      </c>
      <c r="B12" s="2" t="str">
        <f>"FF I-TECH"</f>
        <v>FF I-TECH</v>
      </c>
      <c r="C12" s="3" t="str">
        <f t="shared" si="0"/>
        <v>m2</v>
      </c>
    </row>
    <row r="13" spans="1:3" x14ac:dyDescent="0.3">
      <c r="A13" s="1" t="str">
        <f>"FF-AB"</f>
        <v>FF-AB</v>
      </c>
      <c r="B13" s="2" t="str">
        <f>"Finish Foil - Alto Brilho"</f>
        <v>Finish Foil - Alto Brilho</v>
      </c>
      <c r="C13" s="3" t="str">
        <f t="shared" si="0"/>
        <v>m2</v>
      </c>
    </row>
    <row r="14" spans="1:3" x14ac:dyDescent="0.3">
      <c r="A14" s="1" t="str">
        <f>"FF-INT"</f>
        <v>FF-INT</v>
      </c>
      <c r="B14" s="2" t="str">
        <f>"Finish Foil - Internal"</f>
        <v>Finish Foil - Internal</v>
      </c>
      <c r="C14" s="3" t="str">
        <f t="shared" si="0"/>
        <v>m2</v>
      </c>
    </row>
    <row r="15" spans="1:3" x14ac:dyDescent="0.3">
      <c r="A15" s="1" t="str">
        <f>"FF-MATT"</f>
        <v>FF-MATT</v>
      </c>
      <c r="B15" s="2" t="str">
        <f>"Finish Foil - Matt"</f>
        <v>Finish Foil - Matt</v>
      </c>
      <c r="C15" s="3" t="str">
        <f t="shared" si="0"/>
        <v>m2</v>
      </c>
    </row>
    <row r="16" spans="1:3" x14ac:dyDescent="0.3">
      <c r="A16" s="1" t="str">
        <f>"FF-REC"</f>
        <v>FF-REC</v>
      </c>
      <c r="B16" s="2" t="str">
        <f>"Finish Foil - Recoatable"</f>
        <v>Finish Foil - Recoatable</v>
      </c>
      <c r="C16" s="3" t="str">
        <f t="shared" si="0"/>
        <v>m2</v>
      </c>
    </row>
    <row r="17" spans="1:3" x14ac:dyDescent="0.3">
      <c r="A17" s="1" t="str">
        <f>"FF-S/L"</f>
        <v>FF-S/L</v>
      </c>
      <c r="B17" s="2" t="str">
        <f>"Finish Foil - Sem Verniz"</f>
        <v>Finish Foil - Sem Verniz</v>
      </c>
      <c r="C17" s="3" t="str">
        <f t="shared" si="0"/>
        <v>m2</v>
      </c>
    </row>
    <row r="18" spans="1:3" x14ac:dyDescent="0.3">
      <c r="A18" s="1" t="str">
        <f>"FF-SB"</f>
        <v>FF-SB</v>
      </c>
      <c r="B18" s="2" t="str">
        <f>"Finish Foil - Super Brilho"</f>
        <v>Finish Foil - Super Brilho</v>
      </c>
      <c r="C18" s="3" t="str">
        <f t="shared" si="0"/>
        <v>m2</v>
      </c>
    </row>
    <row r="19" spans="1:3" x14ac:dyDescent="0.3">
      <c r="A19" s="1" t="str">
        <f>"FF-SHG"</f>
        <v>FF-SHG</v>
      </c>
      <c r="B19" s="2" t="str">
        <f>"Finish Foil - SHG"</f>
        <v>Finish Foil - SHG</v>
      </c>
      <c r="C19" s="3" t="str">
        <f t="shared" si="0"/>
        <v>m2</v>
      </c>
    </row>
    <row r="20" spans="1:3" x14ac:dyDescent="0.3">
      <c r="A20" s="1" t="str">
        <f>"FF-SM"</f>
        <v>FF-SM</v>
      </c>
      <c r="B20" s="2" t="str">
        <f>"Finish Foil - Semi-Matt"</f>
        <v>Finish Foil - Semi-Matt</v>
      </c>
      <c r="C20" s="3" t="str">
        <f t="shared" si="0"/>
        <v>m2</v>
      </c>
    </row>
    <row r="21" spans="1:3" x14ac:dyDescent="0.3">
      <c r="A21" s="1" t="str">
        <f>"FF-TRIAL"</f>
        <v>FF-TRIAL</v>
      </c>
      <c r="B21" s="2" t="str">
        <f>"Finish Foil-Trial"</f>
        <v>Finish Foil-Trial</v>
      </c>
      <c r="C21" s="3" t="str">
        <f t="shared" si="0"/>
        <v>m2</v>
      </c>
    </row>
    <row r="22" spans="1:3" x14ac:dyDescent="0.3">
      <c r="A22" s="1" t="str">
        <f>"FFU"</f>
        <v>FFU</v>
      </c>
      <c r="B22" s="2" t="str">
        <f>"Finish Foil Unicolor"</f>
        <v>Finish Foil Unicolor</v>
      </c>
      <c r="C22" s="3" t="str">
        <f t="shared" si="0"/>
        <v>m2</v>
      </c>
    </row>
    <row r="23" spans="1:3" x14ac:dyDescent="0.3">
      <c r="A23" s="1" t="str">
        <f>"FILMES T"</f>
        <v>FILMES T</v>
      </c>
      <c r="B23" s="2" t="str">
        <f>"FILMES TESTES"</f>
        <v>FILMES TESTES</v>
      </c>
      <c r="C23" s="3" t="str">
        <f t="shared" si="0"/>
        <v>m2</v>
      </c>
    </row>
    <row r="24" spans="1:3" x14ac:dyDescent="0.3">
      <c r="A24" s="1" t="str">
        <f>"FLOORING"</f>
        <v>FLOORING</v>
      </c>
      <c r="B24" s="2" t="str">
        <f>"Flooring"</f>
        <v>Flooring</v>
      </c>
      <c r="C24" s="3" t="str">
        <f>"KG"</f>
        <v>KG</v>
      </c>
    </row>
    <row r="25" spans="1:3" x14ac:dyDescent="0.3">
      <c r="A25" s="1" t="str">
        <f>"REV"</f>
        <v>REV</v>
      </c>
      <c r="B25" s="2" t="str">
        <f>"REVENDA"</f>
        <v>REVENDA</v>
      </c>
      <c r="C25" s="3" t="str">
        <f>"kg"</f>
        <v>kg</v>
      </c>
    </row>
    <row r="26" spans="1:3" x14ac:dyDescent="0.3">
      <c r="A26" s="1" t="str">
        <f>"SOL"</f>
        <v>SOL</v>
      </c>
      <c r="B26" s="2" t="str">
        <f>"Solvente  - Tintas"</f>
        <v>Solvente  - Tintas</v>
      </c>
      <c r="C26" s="3" t="str">
        <f>"kg"</f>
        <v>kg</v>
      </c>
    </row>
    <row r="27" spans="1:3" x14ac:dyDescent="0.3">
      <c r="A27" s="1" t="str">
        <f>"TABER"</f>
        <v>TABER</v>
      </c>
      <c r="B27" s="2" t="str">
        <f>"TINTAS E LACAS TABERCOLOR"</f>
        <v>TINTAS E LACAS TABERCOLOR</v>
      </c>
      <c r="C27" s="3" t="str">
        <f>"KG"</f>
        <v>KG</v>
      </c>
    </row>
    <row r="28" spans="1:3" x14ac:dyDescent="0.3">
      <c r="A28" s="1" t="str">
        <f>"TIN"</f>
        <v>TIN</v>
      </c>
      <c r="B28" s="2" t="str">
        <f>"Tintas  - Tintas"</f>
        <v>Tintas  - Tintas</v>
      </c>
      <c r="C28" s="3" t="str">
        <f>"kg"</f>
        <v>kg</v>
      </c>
    </row>
    <row r="29" spans="1:3" ht="15" thickBot="1" x14ac:dyDescent="0.35">
      <c r="A29" s="4" t="str">
        <f>"VNZ"</f>
        <v>VNZ</v>
      </c>
      <c r="B29" s="5" t="str">
        <f>"Verniz  - Tintas"</f>
        <v>Verniz  - Tintas</v>
      </c>
      <c r="C29" s="6" t="str">
        <f>"kg"</f>
        <v>kg</v>
      </c>
    </row>
    <row r="30" spans="1:3" x14ac:dyDescent="0.3">
      <c r="A30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67C0C-FBC9-458E-ACC9-3E0428233C7E}"/>
</file>

<file path=customXml/itemProps2.xml><?xml version="1.0" encoding="utf-8"?>
<ds:datastoreItem xmlns:ds="http://schemas.openxmlformats.org/officeDocument/2006/customXml" ds:itemID="{C4262C9A-EB31-4DF6-BFFE-F1B38A6CEB60}"/>
</file>

<file path=customXml/itemProps3.xml><?xml version="1.0" encoding="utf-8"?>
<ds:datastoreItem xmlns:ds="http://schemas.openxmlformats.org/officeDocument/2006/customXml" ds:itemID="{A6D97618-C58E-4F0A-A099-A463C22CE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2025-01-16T12:02:22Z</dcterms:created>
  <dcterms:modified xsi:type="dcterms:W3CDTF">2025-01-16T12:02:38Z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