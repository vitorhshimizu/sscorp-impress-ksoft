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E474F6F-236D-4ED4-83C6-CD39C1C35846}" xr6:coauthVersionLast="47" xr6:coauthVersionMax="47" xr10:uidLastSave="{00000000-0000-0000-0000-000000000000}"/>
  <bookViews>
    <workbookView xWindow="-108" yWindow="-108" windowWidth="23256" windowHeight="14016" xr2:uid="{E2C1F1CC-7A92-4036-A2C7-D6971FDAC84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A58" i="1"/>
  <c r="B58" i="1"/>
  <c r="C58" i="1"/>
  <c r="A59" i="1"/>
  <c r="B59" i="1"/>
  <c r="C59" i="1"/>
  <c r="B60" i="1"/>
  <c r="C60" i="1"/>
  <c r="A61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A70" i="1"/>
  <c r="B70" i="1"/>
  <c r="C70" i="1"/>
  <c r="A71" i="1"/>
  <c r="B71" i="1"/>
  <c r="C71" i="1"/>
  <c r="A72" i="1"/>
  <c r="B72" i="1"/>
  <c r="C72" i="1"/>
  <c r="B73" i="1"/>
  <c r="C73" i="1"/>
  <c r="A74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</calcChain>
</file>

<file path=xl/sharedStrings.xml><?xml version="1.0" encoding="utf-8"?>
<sst xmlns="http://schemas.openxmlformats.org/spreadsheetml/2006/main" count="4" uniqueCount="4">
  <si>
    <t>Família</t>
  </si>
  <si>
    <t>Descrição</t>
  </si>
  <si>
    <t>UNP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</si>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</sst>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0"/>
    <numFmt numFmtId="165" formatCode="######0000"/>
    <numFmt numFmtId="166" formatCode="#####00000"/>
    <numFmt numFmtId="167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1" xfId="0" applyNumberFormat="1" applyBorder="1"/>
    <xf numFmtId="165" fontId="0" fillId="0" borderId="11" xfId="0" applyNumberFormat="1" applyBorder="1"/>
    <xf numFmtId="166" fontId="0" fillId="0" borderId="11" xfId="0" applyNumberFormat="1" applyBorder="1"/>
    <xf numFmtId="167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6255-BED5-4D02-8756-AB67FFE96DD9}">
  <dimension ref="A1:C146"/>
  <sheetViews>
    <sheetView tabSelected="1" workbookViewId="0">
      <selection activeCell="B2" sqref="B2"/>
    </sheetView>
  </sheetViews>
  <sheetFormatPr defaultRowHeight="14.4" x14ac:dyDescent="0.3"/>
  <cols>
    <col min="1" max="1" width="10.109375" bestFit="1" customWidth="1"/>
    <col min="2" max="2" width="33.77734375" bestFit="1" customWidth="1"/>
    <col min="3" max="3" width="4.664062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 t="str">
        <f>""</f>
        <v/>
      </c>
      <c r="B2" s="8" t="str">
        <f>"16.009"</f>
        <v>16.009</v>
      </c>
      <c r="C2" s="9" t="str">
        <f>"UN"</f>
        <v>UN</v>
      </c>
    </row>
    <row r="3" spans="1:3" x14ac:dyDescent="0.3">
      <c r="A3" s="1" t="str">
        <f>"01.100"</f>
        <v>01.100</v>
      </c>
      <c r="B3" s="2" t="str">
        <f>"GASES"</f>
        <v>GASES</v>
      </c>
      <c r="C3" s="3" t="str">
        <f>"M3"</f>
        <v>M3</v>
      </c>
    </row>
    <row r="4" spans="1:3" x14ac:dyDescent="0.3">
      <c r="A4" s="1" t="str">
        <f>"10.000"</f>
        <v>10.000</v>
      </c>
      <c r="B4" s="2" t="str">
        <f>"MP PAPÉIS - LBWP"</f>
        <v>MP PAPÉIS - LBWP</v>
      </c>
      <c r="C4" s="3" t="str">
        <f>"KG"</f>
        <v>KG</v>
      </c>
    </row>
    <row r="5" spans="1:3" x14ac:dyDescent="0.3">
      <c r="A5" s="1" t="str">
        <f>"10.100"</f>
        <v>10.100</v>
      </c>
      <c r="B5" s="2" t="str">
        <f>"MP PAPÉIS LBWP FSC 70%"</f>
        <v>MP PAPÉIS LBWP FSC 70%</v>
      </c>
      <c r="C5" s="3" t="str">
        <f>"kg"</f>
        <v>kg</v>
      </c>
    </row>
    <row r="6" spans="1:3" x14ac:dyDescent="0.3">
      <c r="A6" s="1" t="str">
        <f>"10.200"</f>
        <v>10.200</v>
      </c>
      <c r="B6" s="2" t="str">
        <f>"MP PAPÉIS LBWP MAD CONTR FSC"</f>
        <v>MP PAPÉIS LBWP MAD CONTR FSC</v>
      </c>
      <c r="C6" s="3" t="str">
        <f>"kg"</f>
        <v>kg</v>
      </c>
    </row>
    <row r="7" spans="1:3" x14ac:dyDescent="0.3">
      <c r="A7" s="1" t="str">
        <f>"11.000"</f>
        <v>11.000</v>
      </c>
      <c r="B7" s="2" t="str">
        <f>"MP PAPÉIS - PIP"</f>
        <v>MP PAPÉIS - PIP</v>
      </c>
      <c r="C7" s="3" t="str">
        <f>"KG"</f>
        <v>KG</v>
      </c>
    </row>
    <row r="8" spans="1:3" x14ac:dyDescent="0.3">
      <c r="A8" s="1" t="str">
        <f>"13.000"</f>
        <v>13.000</v>
      </c>
      <c r="B8" s="2" t="str">
        <f>"MP PAPÉIS - SATURAÇÃO"</f>
        <v>MP PAPÉIS - SATURAÇÃO</v>
      </c>
      <c r="C8" s="3" t="str">
        <f>"KG"</f>
        <v>KG</v>
      </c>
    </row>
    <row r="9" spans="1:3" x14ac:dyDescent="0.3">
      <c r="A9" s="1" t="str">
        <f>"13.100"</f>
        <v>13.100</v>
      </c>
      <c r="B9" s="2" t="str">
        <f>"MP PAPÉIS SATURAÇÃO FSC 70%"</f>
        <v>MP PAPÉIS SATURAÇÃO FSC 70%</v>
      </c>
      <c r="C9" s="3" t="str">
        <f>"kg"</f>
        <v>kg</v>
      </c>
    </row>
    <row r="10" spans="1:3" x14ac:dyDescent="0.3">
      <c r="A10" s="1" t="str">
        <f>"13.200"</f>
        <v>13.200</v>
      </c>
      <c r="B10" s="2" t="str">
        <f>"MP PAPÉIS SATURAÇÃO MAD CONTR"</f>
        <v>MP PAPÉIS SATURAÇÃO MAD CONTR</v>
      </c>
      <c r="C10" s="3" t="str">
        <f>"kg"</f>
        <v>kg</v>
      </c>
    </row>
    <row r="11" spans="1:3" x14ac:dyDescent="0.3">
      <c r="A11" s="14">
        <v>1633</v>
      </c>
      <c r="B11" s="2" t="str">
        <f>"OYSTER WHITE"</f>
        <v>OYSTER WHITE</v>
      </c>
      <c r="C11" s="3" t="str">
        <f>"m2"</f>
        <v>m2</v>
      </c>
    </row>
    <row r="12" spans="1:3" x14ac:dyDescent="0.3">
      <c r="A12" s="1" t="str">
        <f>"19.000"</f>
        <v>19.000</v>
      </c>
      <c r="B12" s="2" t="str">
        <f>"AMOSTRAS PAPEL BASE"</f>
        <v>AMOSTRAS PAPEL BASE</v>
      </c>
      <c r="C12" s="3" t="str">
        <f>"KG"</f>
        <v>KG</v>
      </c>
    </row>
    <row r="13" spans="1:3" x14ac:dyDescent="0.3">
      <c r="A13" s="1" t="str">
        <f>"20.000"</f>
        <v>20.000</v>
      </c>
      <c r="B13" s="2" t="str">
        <f>"MP TINTAS"</f>
        <v>MP TINTAS</v>
      </c>
      <c r="C13" s="3" t="str">
        <f>"KG"</f>
        <v>KG</v>
      </c>
    </row>
    <row r="14" spans="1:3" x14ac:dyDescent="0.3">
      <c r="A14" s="1" t="str">
        <f>"30.000"</f>
        <v>30.000</v>
      </c>
      <c r="B14" s="2" t="str">
        <f>"MP LACAS - SH CURE"</f>
        <v>MP LACAS - SH CURE</v>
      </c>
      <c r="C14" s="3" t="str">
        <f>"KG"</f>
        <v>KG</v>
      </c>
    </row>
    <row r="15" spans="1:3" x14ac:dyDescent="0.3">
      <c r="A15" s="1" t="str">
        <f>"30.100"</f>
        <v>30.100</v>
      </c>
      <c r="B15" s="2" t="str">
        <f>"LAMINAS (DOCTOR BLADE)"</f>
        <v>LAMINAS (DOCTOR BLADE)</v>
      </c>
      <c r="C15" s="3" t="str">
        <f>"UN"</f>
        <v>UN</v>
      </c>
    </row>
    <row r="16" spans="1:3" x14ac:dyDescent="0.3">
      <c r="A16" s="1" t="str">
        <f>"30.200"</f>
        <v>30.200</v>
      </c>
      <c r="B16" s="2" t="str">
        <f>"LUBRIFICANTES"</f>
        <v>LUBRIFICANTES</v>
      </c>
      <c r="C16" s="3" t="str">
        <f>"KG"</f>
        <v>KG</v>
      </c>
    </row>
    <row r="17" spans="1:3" x14ac:dyDescent="0.3">
      <c r="A17" s="1" t="str">
        <f>"30.300"</f>
        <v>30.300</v>
      </c>
      <c r="B17" s="2" t="str">
        <f>"MATERIAL DE CONSUMO DIV.PRODUÇ"</f>
        <v>MATERIAL DE CONSUMO DIV.PRODUÇ</v>
      </c>
      <c r="C17" s="3" t="str">
        <f>"UN"</f>
        <v>UN</v>
      </c>
    </row>
    <row r="18" spans="1:3" x14ac:dyDescent="0.3">
      <c r="A18" s="1" t="str">
        <f>"32.000"</f>
        <v>32.000</v>
      </c>
      <c r="B18" s="2" t="str">
        <f>"MATERIAIS DE MANUTENÇÃO"</f>
        <v>MATERIAIS DE MANUTENÇÃO</v>
      </c>
      <c r="C18" s="3" t="str">
        <f>"UN"</f>
        <v>UN</v>
      </c>
    </row>
    <row r="19" spans="1:3" x14ac:dyDescent="0.3">
      <c r="A19" s="1" t="str">
        <f>"33.000"</f>
        <v>33.000</v>
      </c>
      <c r="B19" s="2" t="str">
        <f>"MP LACAS - UV CURE"</f>
        <v>MP LACAS - UV CURE</v>
      </c>
      <c r="C19" s="3" t="str">
        <f>"KG"</f>
        <v>KG</v>
      </c>
    </row>
    <row r="20" spans="1:3" x14ac:dyDescent="0.3">
      <c r="A20" s="1" t="str">
        <f>"34.000"</f>
        <v>34.000</v>
      </c>
      <c r="B20" s="2" t="str">
        <f>"MATERIAL DE CONSUMO DIV. ETE"</f>
        <v>MATERIAL DE CONSUMO DIV. ETE</v>
      </c>
      <c r="C20" s="3" t="str">
        <f>"UN"</f>
        <v>UN</v>
      </c>
    </row>
    <row r="21" spans="1:3" x14ac:dyDescent="0.3">
      <c r="A21" s="1" t="str">
        <f>"35.000"</f>
        <v>35.000</v>
      </c>
      <c r="B21" s="2" t="str">
        <f>"IMOBILIZADOS MANUTENÇÃO"</f>
        <v>IMOBILIZADOS MANUTENÇÃO</v>
      </c>
      <c r="C21" s="3" t="str">
        <f>"UN"</f>
        <v>UN</v>
      </c>
    </row>
    <row r="22" spans="1:3" x14ac:dyDescent="0.3">
      <c r="A22" s="1" t="str">
        <f>"40.000"</f>
        <v>40.000</v>
      </c>
      <c r="B22" s="2" t="str">
        <f>"MP RESINAS"</f>
        <v>MP RESINAS</v>
      </c>
      <c r="C22" s="3" t="str">
        <f t="shared" ref="C22:C36" si="0">"KG"</f>
        <v>KG</v>
      </c>
    </row>
    <row r="23" spans="1:3" x14ac:dyDescent="0.3">
      <c r="A23" s="1" t="str">
        <f>"41.000"</f>
        <v>41.000</v>
      </c>
      <c r="B23" s="2" t="str">
        <f>"MP SOLVENTES"</f>
        <v>MP SOLVENTES</v>
      </c>
      <c r="C23" s="3" t="str">
        <f t="shared" si="0"/>
        <v>KG</v>
      </c>
    </row>
    <row r="24" spans="1:3" x14ac:dyDescent="0.3">
      <c r="A24" s="1" t="str">
        <f>"42.000"</f>
        <v>42.000</v>
      </c>
      <c r="B24" s="2" t="str">
        <f>"MP ADITIVOS CERAS CARGAS"</f>
        <v>MP ADITIVOS CERAS CARGAS</v>
      </c>
      <c r="C24" s="3" t="str">
        <f t="shared" si="0"/>
        <v>KG</v>
      </c>
    </row>
    <row r="25" spans="1:3" x14ac:dyDescent="0.3">
      <c r="A25" s="1" t="str">
        <f>"44.000"</f>
        <v>44.000</v>
      </c>
      <c r="B25" s="2" t="str">
        <f>"MP MONOMEROS FOTO OLIGOMEROS"</f>
        <v>MP MONOMEROS FOTO OLIGOMEROS</v>
      </c>
      <c r="C25" s="3" t="str">
        <f t="shared" si="0"/>
        <v>KG</v>
      </c>
    </row>
    <row r="26" spans="1:3" x14ac:dyDescent="0.3">
      <c r="A26" s="1" t="str">
        <f>"45.000"</f>
        <v>45.000</v>
      </c>
      <c r="B26" s="2" t="str">
        <f>"MP CATALISADORES"</f>
        <v>MP CATALISADORES</v>
      </c>
      <c r="C26" s="3" t="str">
        <f t="shared" si="0"/>
        <v>KG</v>
      </c>
    </row>
    <row r="27" spans="1:3" x14ac:dyDescent="0.3">
      <c r="A27" s="1" t="str">
        <f>"47.000"</f>
        <v>47.000</v>
      </c>
      <c r="B27" s="2" t="str">
        <f>"MP PIGMENTOS"</f>
        <v>MP PIGMENTOS</v>
      </c>
      <c r="C27" s="3" t="str">
        <f t="shared" si="0"/>
        <v>KG</v>
      </c>
    </row>
    <row r="28" spans="1:3" x14ac:dyDescent="0.3">
      <c r="A28" s="1" t="str">
        <f>"50.000"</f>
        <v>50.000</v>
      </c>
      <c r="B28" s="2" t="str">
        <f>"PROD. INT. TINTAS BRASIL"</f>
        <v>PROD. INT. TINTAS BRASIL</v>
      </c>
      <c r="C28" s="3" t="str">
        <f t="shared" si="0"/>
        <v>KG</v>
      </c>
    </row>
    <row r="29" spans="1:3" x14ac:dyDescent="0.3">
      <c r="A29" s="1" t="str">
        <f>"51.000"</f>
        <v>51.000</v>
      </c>
      <c r="B29" s="2" t="str">
        <f>"PROD. INT. TINTAS ESPANHA"</f>
        <v>PROD. INT. TINTAS ESPANHA</v>
      </c>
      <c r="C29" s="3" t="str">
        <f t="shared" si="0"/>
        <v>KG</v>
      </c>
    </row>
    <row r="30" spans="1:3" x14ac:dyDescent="0.3">
      <c r="A30" s="1" t="str">
        <f>"52.000"</f>
        <v>52.000</v>
      </c>
      <c r="B30" s="2" t="str">
        <f>"PROD. INT. TINTAS FFOIL"</f>
        <v>PROD. INT. TINTAS FFOIL</v>
      </c>
      <c r="C30" s="3" t="str">
        <f t="shared" si="0"/>
        <v>KG</v>
      </c>
    </row>
    <row r="31" spans="1:3" x14ac:dyDescent="0.3">
      <c r="A31" s="1" t="str">
        <f>"53.000"</f>
        <v>53.000</v>
      </c>
      <c r="B31" s="2" t="str">
        <f>"PROD. INT. TINTAS IMPREGNACAO"</f>
        <v>PROD. INT. TINTAS IMPREGNACAO</v>
      </c>
      <c r="C31" s="3" t="str">
        <f t="shared" si="0"/>
        <v>KG</v>
      </c>
    </row>
    <row r="32" spans="1:3" x14ac:dyDescent="0.3">
      <c r="A32" s="1" t="str">
        <f>"54.000"</f>
        <v>54.000</v>
      </c>
      <c r="B32" s="2" t="str">
        <f>"PROD. INT. TINTAS NACAR"</f>
        <v>PROD. INT. TINTAS NACAR</v>
      </c>
      <c r="C32" s="3" t="str">
        <f t="shared" si="0"/>
        <v>KG</v>
      </c>
    </row>
    <row r="33" spans="1:3" x14ac:dyDescent="0.3">
      <c r="A33" s="1" t="str">
        <f>"55.000"</f>
        <v>55.000</v>
      </c>
      <c r="B33" s="2" t="str">
        <f>"PROD. INT. RESINA P/ TINTAS"</f>
        <v>PROD. INT. RESINA P/ TINTAS</v>
      </c>
      <c r="C33" s="3" t="str">
        <f t="shared" si="0"/>
        <v>KG</v>
      </c>
    </row>
    <row r="34" spans="1:3" x14ac:dyDescent="0.3">
      <c r="A34" s="1" t="str">
        <f>"56.000"</f>
        <v>56.000</v>
      </c>
      <c r="B34" s="2" t="str">
        <f>"PROD. INT. ADITIVOS"</f>
        <v>PROD. INT. ADITIVOS</v>
      </c>
      <c r="C34" s="3" t="str">
        <f t="shared" si="0"/>
        <v>KG</v>
      </c>
    </row>
    <row r="35" spans="1:3" x14ac:dyDescent="0.3">
      <c r="A35" s="1" t="str">
        <f>"57.000"</f>
        <v>57.000</v>
      </c>
      <c r="B35" s="2" t="str">
        <f>"PROD. INT. TINTA RETRAB./DILUI"</f>
        <v>PROD. INT. TINTA RETRAB./DILUI</v>
      </c>
      <c r="C35" s="3" t="str">
        <f t="shared" si="0"/>
        <v>KG</v>
      </c>
    </row>
    <row r="36" spans="1:3" x14ac:dyDescent="0.3">
      <c r="A36" s="1" t="str">
        <f>"58.000"</f>
        <v>58.000</v>
      </c>
      <c r="B36" s="2" t="str">
        <f>"PI CONCENTRADOS PIGMENTOS"</f>
        <v>PI CONCENTRADOS PIGMENTOS</v>
      </c>
      <c r="C36" s="3" t="str">
        <f t="shared" si="0"/>
        <v>KG</v>
      </c>
    </row>
    <row r="37" spans="1:3" x14ac:dyDescent="0.3">
      <c r="A37" s="1" t="str">
        <f>"61.000"</f>
        <v>61.000</v>
      </c>
      <c r="B37" s="2" t="str">
        <f>"ATIVO FIXO"</f>
        <v>ATIVO FIXO</v>
      </c>
      <c r="C37" s="3" t="str">
        <f>"UN"</f>
        <v>UN</v>
      </c>
    </row>
    <row r="38" spans="1:3" x14ac:dyDescent="0.3">
      <c r="A38" s="1" t="str">
        <f>"63.000"</f>
        <v>63.000</v>
      </c>
      <c r="B38" s="2" t="str">
        <f>"ITECH MADEIRA CONTROLADA"</f>
        <v>ITECH MADEIRA CONTROLADA</v>
      </c>
      <c r="C38" s="3" t="str">
        <f>"M2"</f>
        <v>M2</v>
      </c>
    </row>
    <row r="39" spans="1:3" x14ac:dyDescent="0.3">
      <c r="A39" s="1" t="str">
        <f>"64.000"</f>
        <v>64.000</v>
      </c>
      <c r="B39" s="2" t="str">
        <f>"FF MADEIRA CONTROLADA"</f>
        <v>FF MADEIRA CONTROLADA</v>
      </c>
      <c r="C39" s="3" t="str">
        <f>"M2"</f>
        <v>M2</v>
      </c>
    </row>
    <row r="40" spans="1:3" x14ac:dyDescent="0.3">
      <c r="A40" s="1" t="str">
        <f>"66.000"</f>
        <v>66.000</v>
      </c>
      <c r="B40" s="2" t="str">
        <f>"PAPEL DECOR MAD CONTROLADA"</f>
        <v>PAPEL DECOR MAD CONTROLADA</v>
      </c>
      <c r="C40" s="3" t="str">
        <f>"kg"</f>
        <v>kg</v>
      </c>
    </row>
    <row r="41" spans="1:3" x14ac:dyDescent="0.3">
      <c r="A41" s="1" t="str">
        <f>"67.000"</f>
        <v>67.000</v>
      </c>
      <c r="B41" s="2" t="str">
        <f>"ITECH FSC MISTO"</f>
        <v>ITECH FSC MISTO</v>
      </c>
      <c r="C41" s="3" t="str">
        <f>"M2"</f>
        <v>M2</v>
      </c>
    </row>
    <row r="42" spans="1:3" x14ac:dyDescent="0.3">
      <c r="A42" s="1" t="str">
        <f>"68.000"</f>
        <v>68.000</v>
      </c>
      <c r="B42" s="2" t="str">
        <f>"FF FSC MISTO"</f>
        <v>FF FSC MISTO</v>
      </c>
      <c r="C42" s="3" t="str">
        <f>"M2"</f>
        <v>M2</v>
      </c>
    </row>
    <row r="43" spans="1:3" x14ac:dyDescent="0.3">
      <c r="A43" s="1" t="str">
        <f>"69.000"</f>
        <v>69.000</v>
      </c>
      <c r="B43" s="2" t="str">
        <f>"PAPEL DECOR FSC MISTO"</f>
        <v>PAPEL DECOR FSC MISTO</v>
      </c>
      <c r="C43" s="3" t="str">
        <f t="shared" ref="C43:C69" si="1">"KG"</f>
        <v>KG</v>
      </c>
    </row>
    <row r="44" spans="1:3" x14ac:dyDescent="0.3">
      <c r="A44" s="1" t="str">
        <f>"70.000"</f>
        <v>70.000</v>
      </c>
      <c r="B44" s="2" t="str">
        <f>"EMB. TUBETES"</f>
        <v>EMB. TUBETES</v>
      </c>
      <c r="C44" s="3" t="str">
        <f t="shared" si="1"/>
        <v>KG</v>
      </c>
    </row>
    <row r="45" spans="1:3" x14ac:dyDescent="0.3">
      <c r="A45" s="14">
        <v>7010</v>
      </c>
      <c r="B45" s="2" t="str">
        <f>"ACA - Tintas Imp Papel Decor"</f>
        <v>ACA - Tintas Imp Papel Decor</v>
      </c>
      <c r="C45" s="3" t="str">
        <f t="shared" si="1"/>
        <v>KG</v>
      </c>
    </row>
    <row r="46" spans="1:3" x14ac:dyDescent="0.3">
      <c r="A46" s="14">
        <v>7015</v>
      </c>
      <c r="B46" s="2" t="str">
        <f>"ACA - Laca Verniz Papel Decor"</f>
        <v>ACA - Laca Verniz Papel Decor</v>
      </c>
      <c r="C46" s="3" t="str">
        <f t="shared" si="1"/>
        <v>KG</v>
      </c>
    </row>
    <row r="47" spans="1:3" x14ac:dyDescent="0.3">
      <c r="A47" s="14">
        <v>7021</v>
      </c>
      <c r="B47" s="2" t="str">
        <f>"ACA - Tintas Industria Madeira"</f>
        <v>ACA - Tintas Industria Madeira</v>
      </c>
      <c r="C47" s="3" t="str">
        <f t="shared" si="1"/>
        <v>KG</v>
      </c>
    </row>
    <row r="48" spans="1:3" x14ac:dyDescent="0.3">
      <c r="A48" s="14">
        <v>7022</v>
      </c>
      <c r="B48" s="2" t="str">
        <f>"ACA - Laca Verniz Ind. Madeira"</f>
        <v>ACA - Laca Verniz Ind. Madeira</v>
      </c>
      <c r="C48" s="3" t="str">
        <f t="shared" si="1"/>
        <v>KG</v>
      </c>
    </row>
    <row r="49" spans="1:3" x14ac:dyDescent="0.3">
      <c r="A49" s="14">
        <v>7023</v>
      </c>
      <c r="B49" s="2" t="str">
        <f>"ACA - Tintas Imp. Hardboard"</f>
        <v>ACA - Tintas Imp. Hardboard</v>
      </c>
      <c r="C49" s="3" t="str">
        <f t="shared" si="1"/>
        <v>KG</v>
      </c>
    </row>
    <row r="50" spans="1:3" x14ac:dyDescent="0.3">
      <c r="A50" s="14">
        <v>7024</v>
      </c>
      <c r="B50" s="2" t="str">
        <f>"ACA - Linha Pisos"</f>
        <v>ACA - Linha Pisos</v>
      </c>
      <c r="C50" s="3" t="str">
        <f t="shared" si="1"/>
        <v>KG</v>
      </c>
    </row>
    <row r="51" spans="1:3" x14ac:dyDescent="0.3">
      <c r="A51" s="14">
        <v>7040</v>
      </c>
      <c r="B51" s="2" t="str">
        <f>"ACA - Catalisador Fotoiniciado"</f>
        <v>ACA - Catalisador Fotoiniciado</v>
      </c>
      <c r="C51" s="3" t="str">
        <f t="shared" si="1"/>
        <v>KG</v>
      </c>
    </row>
    <row r="52" spans="1:3" x14ac:dyDescent="0.3">
      <c r="A52" s="14">
        <v>7050</v>
      </c>
      <c r="B52" s="2" t="str">
        <f>"ACA - Solvente"</f>
        <v>ACA - Solvente</v>
      </c>
      <c r="C52" s="3" t="str">
        <f t="shared" si="1"/>
        <v>KG</v>
      </c>
    </row>
    <row r="53" spans="1:3" x14ac:dyDescent="0.3">
      <c r="A53" s="14">
        <v>7060</v>
      </c>
      <c r="B53" s="2" t="str">
        <f>"ACA - Dispersor Aquoso Papel"</f>
        <v>ACA - Dispersor Aquoso Papel</v>
      </c>
      <c r="C53" s="3" t="str">
        <f t="shared" si="1"/>
        <v>KG</v>
      </c>
    </row>
    <row r="54" spans="1:3" x14ac:dyDescent="0.3">
      <c r="A54" s="14">
        <v>7070</v>
      </c>
      <c r="B54" s="2" t="str">
        <f>"ACA - Aditivo"</f>
        <v>ACA - Aditivo</v>
      </c>
      <c r="C54" s="3" t="str">
        <f t="shared" si="1"/>
        <v>KG</v>
      </c>
    </row>
    <row r="55" spans="1:3" x14ac:dyDescent="0.3">
      <c r="A55" s="14">
        <v>7080</v>
      </c>
      <c r="B55" s="2" t="str">
        <f>"ACA - Tintas Industria Grafica"</f>
        <v>ACA - Tintas Industria Grafica</v>
      </c>
      <c r="C55" s="3" t="str">
        <f t="shared" si="1"/>
        <v>KG</v>
      </c>
    </row>
    <row r="56" spans="1:3" x14ac:dyDescent="0.3">
      <c r="A56" s="14">
        <v>7085</v>
      </c>
      <c r="B56" s="2" t="str">
        <f>"ACA - Laca Verniz Ind. Grafica"</f>
        <v>ACA - Laca Verniz Ind. Grafica</v>
      </c>
      <c r="C56" s="3" t="str">
        <f t="shared" si="1"/>
        <v>KG</v>
      </c>
    </row>
    <row r="57" spans="1:3" x14ac:dyDescent="0.3">
      <c r="A57" s="14">
        <v>7090</v>
      </c>
      <c r="B57" s="2" t="str">
        <f>"ACA - Prototipo Laboratorio"</f>
        <v>ACA - Prototipo Laboratorio</v>
      </c>
      <c r="C57" s="3" t="str">
        <f t="shared" si="1"/>
        <v>KG</v>
      </c>
    </row>
    <row r="58" spans="1:3" x14ac:dyDescent="0.3">
      <c r="A58" s="1" t="str">
        <f>"71.000"</f>
        <v>71.000</v>
      </c>
      <c r="B58" s="2" t="str">
        <f>"EMB. MARGARIDAS"</f>
        <v>EMB. MARGARIDAS</v>
      </c>
      <c r="C58" s="3" t="str">
        <f t="shared" si="1"/>
        <v>KG</v>
      </c>
    </row>
    <row r="59" spans="1:3" x14ac:dyDescent="0.3">
      <c r="A59" s="1" t="str">
        <f>"71.001"</f>
        <v>71.001</v>
      </c>
      <c r="B59" s="2" t="str">
        <f>"TINTAS INTERMEDIÁRIAS"</f>
        <v>TINTAS INTERMEDIÁRIAS</v>
      </c>
      <c r="C59" s="3" t="str">
        <f t="shared" si="1"/>
        <v>KG</v>
      </c>
    </row>
    <row r="60" spans="1:3" x14ac:dyDescent="0.3">
      <c r="A60" s="14">
        <v>7101</v>
      </c>
      <c r="B60" s="2" t="str">
        <f>"INT - Produto Intermediario"</f>
        <v>INT - Produto Intermediario</v>
      </c>
      <c r="C60" s="3" t="str">
        <f t="shared" si="1"/>
        <v>KG</v>
      </c>
    </row>
    <row r="61" spans="1:3" x14ac:dyDescent="0.3">
      <c r="A61" s="1" t="str">
        <f>"72.000"</f>
        <v>72.000</v>
      </c>
      <c r="B61" s="2" t="str">
        <f>"EMB. OUTROS"</f>
        <v>EMB. OUTROS</v>
      </c>
      <c r="C61" s="3" t="str">
        <f t="shared" si="1"/>
        <v>KG</v>
      </c>
    </row>
    <row r="62" spans="1:3" x14ac:dyDescent="0.3">
      <c r="A62" s="14">
        <v>7210</v>
      </c>
      <c r="B62" s="2" t="str">
        <f>"MP - Resina"</f>
        <v>MP - Resina</v>
      </c>
      <c r="C62" s="3" t="str">
        <f t="shared" si="1"/>
        <v>KG</v>
      </c>
    </row>
    <row r="63" spans="1:3" x14ac:dyDescent="0.3">
      <c r="A63" s="14">
        <v>7215</v>
      </c>
      <c r="B63" s="2" t="str">
        <f>"MP - Monomero Oligomero"</f>
        <v>MP - Monomero Oligomero</v>
      </c>
      <c r="C63" s="3" t="str">
        <f t="shared" si="1"/>
        <v>KG</v>
      </c>
    </row>
    <row r="64" spans="1:3" x14ac:dyDescent="0.3">
      <c r="A64" s="14">
        <v>7220</v>
      </c>
      <c r="B64" s="2" t="str">
        <f>"MP - Pigmento"</f>
        <v>MP - Pigmento</v>
      </c>
      <c r="C64" s="3" t="str">
        <f t="shared" si="1"/>
        <v>KG</v>
      </c>
    </row>
    <row r="65" spans="1:3" x14ac:dyDescent="0.3">
      <c r="A65" s="14">
        <v>7230</v>
      </c>
      <c r="B65" s="2" t="str">
        <f>"MP - Carga e Silica"</f>
        <v>MP - Carga e Silica</v>
      </c>
      <c r="C65" s="3" t="str">
        <f t="shared" si="1"/>
        <v>KG</v>
      </c>
    </row>
    <row r="66" spans="1:3" x14ac:dyDescent="0.3">
      <c r="A66" s="14">
        <v>7240</v>
      </c>
      <c r="B66" s="2" t="str">
        <f>"MP - Aditivo"</f>
        <v>MP - Aditivo</v>
      </c>
      <c r="C66" s="3" t="str">
        <f t="shared" si="1"/>
        <v>KG</v>
      </c>
    </row>
    <row r="67" spans="1:3" x14ac:dyDescent="0.3">
      <c r="A67" s="14">
        <v>7241</v>
      </c>
      <c r="B67" s="2" t="str">
        <f>"RECEITAS IFA"</f>
        <v>RECEITAS IFA</v>
      </c>
      <c r="C67" s="3" t="str">
        <f t="shared" si="1"/>
        <v>KG</v>
      </c>
    </row>
    <row r="68" spans="1:3" x14ac:dyDescent="0.3">
      <c r="A68" s="14">
        <v>7250</v>
      </c>
      <c r="B68" s="2" t="str">
        <f>"MP - Solvente"</f>
        <v>MP - Solvente</v>
      </c>
      <c r="C68" s="3" t="str">
        <f t="shared" si="1"/>
        <v>KG</v>
      </c>
    </row>
    <row r="69" spans="1:3" x14ac:dyDescent="0.3">
      <c r="A69" s="14">
        <v>7260</v>
      </c>
      <c r="B69" s="2" t="str">
        <f>"MP - Catalisador"</f>
        <v>MP - Catalisador</v>
      </c>
      <c r="C69" s="3" t="str">
        <f t="shared" si="1"/>
        <v>KG</v>
      </c>
    </row>
    <row r="70" spans="1:3" x14ac:dyDescent="0.3">
      <c r="A70" s="1" t="str">
        <f>"73.000"</f>
        <v>73.000</v>
      </c>
      <c r="B70" s="2" t="str">
        <f>"MATERIAIS AUXILIARES"</f>
        <v>MATERIAIS AUXILIARES</v>
      </c>
      <c r="C70" s="3" t="str">
        <f>"UN"</f>
        <v>UN</v>
      </c>
    </row>
    <row r="71" spans="1:3" x14ac:dyDescent="0.3">
      <c r="A71" s="1" t="str">
        <f>"74.000"</f>
        <v>74.000</v>
      </c>
      <c r="B71" s="2" t="str">
        <f>"FITAS ADESIVAS/DUPLA FACE"</f>
        <v>FITAS ADESIVAS/DUPLA FACE</v>
      </c>
      <c r="C71" s="3" t="str">
        <f>"UN"</f>
        <v>UN</v>
      </c>
    </row>
    <row r="72" spans="1:3" x14ac:dyDescent="0.3">
      <c r="A72" s="1" t="str">
        <f>"75.000"</f>
        <v>75.000</v>
      </c>
      <c r="B72" s="2" t="str">
        <f>"MATERIAL SEGURANÇA - EPI"</f>
        <v>MATERIAL SEGURANÇA - EPI</v>
      </c>
      <c r="C72" s="3" t="str">
        <f>"UN"</f>
        <v>UN</v>
      </c>
    </row>
    <row r="73" spans="1:3" x14ac:dyDescent="0.3">
      <c r="A73" s="14">
        <v>7501</v>
      </c>
      <c r="B73" s="2" t="str">
        <f>"EMB - Embalagem"</f>
        <v>EMB - Embalagem</v>
      </c>
      <c r="C73" s="3" t="str">
        <f>"un"</f>
        <v>un</v>
      </c>
    </row>
    <row r="74" spans="1:3" x14ac:dyDescent="0.3">
      <c r="A74" s="1" t="str">
        <f>"76.000"</f>
        <v>76.000</v>
      </c>
      <c r="B74" s="2" t="str">
        <f>"MATERIAL LIMPEZA"</f>
        <v>MATERIAL LIMPEZA</v>
      </c>
      <c r="C74" s="3" t="str">
        <f>"UN"</f>
        <v>UN</v>
      </c>
    </row>
    <row r="75" spans="1:3" x14ac:dyDescent="0.3">
      <c r="A75" s="14">
        <v>7610</v>
      </c>
      <c r="B75" s="2" t="str">
        <f>"LOT - Prod Piloto Tinta Imp Pa"</f>
        <v>LOT - Prod Piloto Tinta Imp Pa</v>
      </c>
      <c r="C75" s="3" t="str">
        <f t="shared" ref="C75:C80" si="2">"kg"</f>
        <v>kg</v>
      </c>
    </row>
    <row r="76" spans="1:3" x14ac:dyDescent="0.3">
      <c r="A76" s="14">
        <v>7615</v>
      </c>
      <c r="B76" s="2" t="str">
        <f>"LOT - Laca Verniz Papel Decor"</f>
        <v>LOT - Laca Verniz Papel Decor</v>
      </c>
      <c r="C76" s="3" t="str">
        <f t="shared" si="2"/>
        <v>kg</v>
      </c>
    </row>
    <row r="77" spans="1:3" x14ac:dyDescent="0.3">
      <c r="A77" s="14">
        <v>7621</v>
      </c>
      <c r="B77" s="2" t="str">
        <f>"LOT - Tintas Industria Madeira"</f>
        <v>LOT - Tintas Industria Madeira</v>
      </c>
      <c r="C77" s="3" t="str">
        <f t="shared" si="2"/>
        <v>kg</v>
      </c>
    </row>
    <row r="78" spans="1:3" x14ac:dyDescent="0.3">
      <c r="A78" s="14">
        <v>7622</v>
      </c>
      <c r="B78" s="2" t="str">
        <f>"LOT - Laca Verniz Ind Madeira"</f>
        <v>LOT - Laca Verniz Ind Madeira</v>
      </c>
      <c r="C78" s="3" t="str">
        <f t="shared" si="2"/>
        <v>kg</v>
      </c>
    </row>
    <row r="79" spans="1:3" x14ac:dyDescent="0.3">
      <c r="A79" s="14">
        <v>7623</v>
      </c>
      <c r="B79" s="2" t="str">
        <f>"LOT - Tintas Imp. Hardboard"</f>
        <v>LOT - Tintas Imp. Hardboard</v>
      </c>
      <c r="C79" s="3" t="str">
        <f t="shared" si="2"/>
        <v>kg</v>
      </c>
    </row>
    <row r="80" spans="1:3" x14ac:dyDescent="0.3">
      <c r="A80" s="14">
        <v>7624</v>
      </c>
      <c r="B80" s="2" t="str">
        <f>"LOT - Linha Pisos"</f>
        <v>LOT - Linha Pisos</v>
      </c>
      <c r="C80" s="3" t="str">
        <f t="shared" si="2"/>
        <v>kg</v>
      </c>
    </row>
    <row r="81" spans="1:3" x14ac:dyDescent="0.3">
      <c r="A81" s="14">
        <v>7630</v>
      </c>
      <c r="B81" s="2" t="str">
        <f>"PROD. BASE AGUA P/ MADEIRA"</f>
        <v>PROD. BASE AGUA P/ MADEIRA</v>
      </c>
      <c r="C81" s="3" t="str">
        <f>"Kg"</f>
        <v>Kg</v>
      </c>
    </row>
    <row r="82" spans="1:3" x14ac:dyDescent="0.3">
      <c r="A82" s="14">
        <v>7640</v>
      </c>
      <c r="B82" s="2" t="str">
        <f>"LOT - Catalisador Fotoiniciado"</f>
        <v>LOT - Catalisador Fotoiniciado</v>
      </c>
      <c r="C82" s="3" t="str">
        <f>"kg"</f>
        <v>kg</v>
      </c>
    </row>
    <row r="83" spans="1:3" x14ac:dyDescent="0.3">
      <c r="A83" s="14">
        <v>7650</v>
      </c>
      <c r="B83" s="2" t="str">
        <f>"LOT - Solvente"</f>
        <v>LOT - Solvente</v>
      </c>
      <c r="C83" s="3" t="str">
        <f>"kg"</f>
        <v>kg</v>
      </c>
    </row>
    <row r="84" spans="1:3" x14ac:dyDescent="0.3">
      <c r="A84" s="14">
        <v>7660</v>
      </c>
      <c r="B84" s="2" t="str">
        <f>"LOT - Dispersor Aquoso Papel"</f>
        <v>LOT - Dispersor Aquoso Papel</v>
      </c>
      <c r="C84" s="3" t="str">
        <f>"KG"</f>
        <v>KG</v>
      </c>
    </row>
    <row r="85" spans="1:3" x14ac:dyDescent="0.3">
      <c r="A85" s="14">
        <v>7670</v>
      </c>
      <c r="B85" s="2" t="str">
        <f>"LOT - Aditivo"</f>
        <v>LOT - Aditivo</v>
      </c>
      <c r="C85" s="3" t="str">
        <f>"kg"</f>
        <v>kg</v>
      </c>
    </row>
    <row r="86" spans="1:3" x14ac:dyDescent="0.3">
      <c r="A86" s="14">
        <v>7680</v>
      </c>
      <c r="B86" s="2" t="str">
        <f>"LOT - Tintas Ind Grafica"</f>
        <v>LOT - Tintas Ind Grafica</v>
      </c>
      <c r="C86" s="3" t="str">
        <f>"kg"</f>
        <v>kg</v>
      </c>
    </row>
    <row r="87" spans="1:3" x14ac:dyDescent="0.3">
      <c r="A87" s="14">
        <v>7685</v>
      </c>
      <c r="B87" s="2" t="str">
        <f>"LOT - Laca Verniz Ind Grafica"</f>
        <v>LOT - Laca Verniz Ind Grafica</v>
      </c>
      <c r="C87" s="3" t="str">
        <f>"kg"</f>
        <v>kg</v>
      </c>
    </row>
    <row r="88" spans="1:3" x14ac:dyDescent="0.3">
      <c r="A88" s="14">
        <v>7690</v>
      </c>
      <c r="B88" s="2" t="str">
        <f>"LOT - Prototipo Laboratorio"</f>
        <v>LOT - Prototipo Laboratorio</v>
      </c>
      <c r="C88" s="3" t="str">
        <f>"kg"</f>
        <v>kg</v>
      </c>
    </row>
    <row r="89" spans="1:3" x14ac:dyDescent="0.3">
      <c r="A89" s="1" t="str">
        <f>"80.000"</f>
        <v>80.000</v>
      </c>
      <c r="B89" s="2" t="str">
        <f>"FINISH FOIL - QB"</f>
        <v>FINISH FOIL - QB</v>
      </c>
      <c r="C89" s="3" t="str">
        <f>"m2"</f>
        <v>m2</v>
      </c>
    </row>
    <row r="90" spans="1:3" x14ac:dyDescent="0.3">
      <c r="A90" s="1" t="str">
        <f>"81.000"</f>
        <v>81.000</v>
      </c>
      <c r="B90" s="2" t="str">
        <f>"BAIXA PRESSÃO - QB"</f>
        <v>BAIXA PRESSÃO - QB</v>
      </c>
      <c r="C90" s="3" t="str">
        <f>"KG"</f>
        <v>KG</v>
      </c>
    </row>
    <row r="91" spans="1:3" x14ac:dyDescent="0.3">
      <c r="A91" s="1" t="str">
        <f>"82.000"</f>
        <v>82.000</v>
      </c>
      <c r="B91" s="2" t="str">
        <f>"ALTA PRESSÃO - QB"</f>
        <v>ALTA PRESSÃO - QB</v>
      </c>
      <c r="C91" s="3" t="str">
        <f>"KG"</f>
        <v>KG</v>
      </c>
    </row>
    <row r="92" spans="1:3" x14ac:dyDescent="0.3">
      <c r="A92" s="1" t="str">
        <f>"83.000"</f>
        <v>83.000</v>
      </c>
      <c r="B92" s="2" t="str">
        <f>"LAMINADO CONTINUO - QB"</f>
        <v>LAMINADO CONTINUO - QB</v>
      </c>
      <c r="C92" s="3" t="str">
        <f>"KG"</f>
        <v>KG</v>
      </c>
    </row>
    <row r="93" spans="1:3" x14ac:dyDescent="0.3">
      <c r="A93" s="13">
        <v>88</v>
      </c>
      <c r="B93" s="2" t="str">
        <f>"IP TESTES"</f>
        <v>IP TESTES</v>
      </c>
      <c r="C93" s="3" t="str">
        <f t="shared" ref="C93:C114" si="3">"m2"</f>
        <v>m2</v>
      </c>
    </row>
    <row r="94" spans="1:3" x14ac:dyDescent="0.3">
      <c r="A94" s="1" t="str">
        <f>"89-U51"</f>
        <v>89-U51</v>
      </c>
      <c r="B94" s="2" t="str">
        <f>"FF I-TECH UV MATT"</f>
        <v>FF I-TECH UV MATT</v>
      </c>
      <c r="C94" s="3" t="str">
        <f t="shared" si="3"/>
        <v>m2</v>
      </c>
    </row>
    <row r="95" spans="1:3" x14ac:dyDescent="0.3">
      <c r="A95" s="1" t="str">
        <f>"90-101"</f>
        <v>90-101</v>
      </c>
      <c r="B95" s="2" t="str">
        <f>"FINISH FOIL BRILHO STD PP"</f>
        <v>FINISH FOIL BRILHO STD PP</v>
      </c>
      <c r="C95" s="3" t="str">
        <f t="shared" si="3"/>
        <v>m2</v>
      </c>
    </row>
    <row r="96" spans="1:3" x14ac:dyDescent="0.3">
      <c r="A96" s="1" t="str">
        <f>"90-102"</f>
        <v>90-102</v>
      </c>
      <c r="B96" s="2" t="str">
        <f>"FINISH FOIL BRILHO STD PP"</f>
        <v>FINISH FOIL BRILHO STD PP</v>
      </c>
      <c r="C96" s="3" t="str">
        <f t="shared" si="3"/>
        <v>m2</v>
      </c>
    </row>
    <row r="97" spans="1:3" x14ac:dyDescent="0.3">
      <c r="A97" s="1" t="str">
        <f>"90-111"</f>
        <v>90-111</v>
      </c>
      <c r="B97" s="2" t="str">
        <f>"FINISH FOIL BRILHO STD LC"</f>
        <v>FINISH FOIL BRILHO STD LC</v>
      </c>
      <c r="C97" s="3" t="str">
        <f t="shared" si="3"/>
        <v>m2</v>
      </c>
    </row>
    <row r="98" spans="1:3" x14ac:dyDescent="0.3">
      <c r="A98" s="1" t="str">
        <f>"90-113"</f>
        <v>90-113</v>
      </c>
      <c r="B98" s="2" t="str">
        <f>"FINISH FOIL BRILHANTE"</f>
        <v>FINISH FOIL BRILHANTE</v>
      </c>
      <c r="C98" s="3" t="str">
        <f t="shared" si="3"/>
        <v>m2</v>
      </c>
    </row>
    <row r="99" spans="1:3" x14ac:dyDescent="0.3">
      <c r="A99" s="1" t="str">
        <f>"90-116"</f>
        <v>90-116</v>
      </c>
      <c r="B99" s="2" t="str">
        <f>"FINISH FOIL STD - ESPECIAL"</f>
        <v>FINISH FOIL STD - ESPECIAL</v>
      </c>
      <c r="C99" s="3" t="str">
        <f t="shared" si="3"/>
        <v>m2</v>
      </c>
    </row>
    <row r="100" spans="1:3" x14ac:dyDescent="0.3">
      <c r="A100" s="1" t="str">
        <f>"90-117"</f>
        <v>90-117</v>
      </c>
      <c r="B100" s="2" t="str">
        <f>"FINISH FOIL SEMI-MATT"</f>
        <v>FINISH FOIL SEMI-MATT</v>
      </c>
      <c r="C100" s="3" t="str">
        <f t="shared" si="3"/>
        <v>m2</v>
      </c>
    </row>
    <row r="101" spans="1:3" x14ac:dyDescent="0.3">
      <c r="A101" s="1" t="str">
        <f>"90-118"</f>
        <v>90-118</v>
      </c>
      <c r="B101" s="2" t="str">
        <f>"FINISH FOIL MATT"</f>
        <v>FINISH FOIL MATT</v>
      </c>
      <c r="C101" s="3" t="str">
        <f t="shared" si="3"/>
        <v>m2</v>
      </c>
    </row>
    <row r="102" spans="1:3" x14ac:dyDescent="0.3">
      <c r="A102" s="1" t="str">
        <f>"90-142"</f>
        <v>90-142</v>
      </c>
      <c r="B102" s="2" t="str">
        <f>"FINISH FOIL RECOATABLE"</f>
        <v>FINISH FOIL RECOATABLE</v>
      </c>
      <c r="C102" s="3" t="str">
        <f t="shared" si="3"/>
        <v>m2</v>
      </c>
    </row>
    <row r="103" spans="1:3" x14ac:dyDescent="0.3">
      <c r="A103" s="1" t="str">
        <f>"90-147"</f>
        <v>90-147</v>
      </c>
      <c r="B103" s="2" t="str">
        <f>"FINISH FOIL RECOATABLE"</f>
        <v>FINISH FOIL RECOATABLE</v>
      </c>
      <c r="C103" s="3" t="str">
        <f t="shared" si="3"/>
        <v>m2</v>
      </c>
    </row>
    <row r="104" spans="1:3" x14ac:dyDescent="0.3">
      <c r="A104" s="1" t="str">
        <f>"90-213"</f>
        <v>90-213</v>
      </c>
      <c r="B104" s="2" t="str">
        <f>"FINISH FOIL STD"</f>
        <v>FINISH FOIL STD</v>
      </c>
      <c r="C104" s="3" t="str">
        <f t="shared" si="3"/>
        <v>m2</v>
      </c>
    </row>
    <row r="105" spans="1:3" x14ac:dyDescent="0.3">
      <c r="A105" s="1" t="str">
        <f>"90-512"</f>
        <v>90-512</v>
      </c>
      <c r="B105" s="2" t="str">
        <f>"FINISH FOIL SEMI-MATT"</f>
        <v>FINISH FOIL SEMI-MATT</v>
      </c>
      <c r="C105" s="3" t="str">
        <f t="shared" si="3"/>
        <v>m2</v>
      </c>
    </row>
    <row r="106" spans="1:3" x14ac:dyDescent="0.3">
      <c r="A106" s="1" t="str">
        <f>"90-513"</f>
        <v>90-513</v>
      </c>
      <c r="B106" s="2" t="str">
        <f>"FINISH FOIL MATT"</f>
        <v>FINISH FOIL MATT</v>
      </c>
      <c r="C106" s="3" t="str">
        <f t="shared" si="3"/>
        <v>m2</v>
      </c>
    </row>
    <row r="107" spans="1:3" x14ac:dyDescent="0.3">
      <c r="A107" s="1" t="str">
        <f>"90-SL"</f>
        <v>90-SL</v>
      </c>
      <c r="B107" s="2" t="str">
        <f>"FINISH FOIL SEM ACABAMENTO"</f>
        <v>FINISH FOIL SEM ACABAMENTO</v>
      </c>
      <c r="C107" s="3" t="str">
        <f t="shared" si="3"/>
        <v>m2</v>
      </c>
    </row>
    <row r="108" spans="1:3" x14ac:dyDescent="0.3">
      <c r="A108" s="1" t="str">
        <f>"90-U00"</f>
        <v>90-U00</v>
      </c>
      <c r="B108" s="2" t="str">
        <f>"FINISH FOIL STD (UV)"</f>
        <v>FINISH FOIL STD (UV)</v>
      </c>
      <c r="C108" s="3" t="str">
        <f t="shared" si="3"/>
        <v>m2</v>
      </c>
    </row>
    <row r="109" spans="1:3" x14ac:dyDescent="0.3">
      <c r="A109" s="1" t="str">
        <f>"90-U01"</f>
        <v>90-U01</v>
      </c>
      <c r="B109" s="2" t="str">
        <f>"FINISH FOIL ALTO BRILHO"</f>
        <v>FINISH FOIL ALTO BRILHO</v>
      </c>
      <c r="C109" s="3" t="str">
        <f t="shared" si="3"/>
        <v>m2</v>
      </c>
    </row>
    <row r="110" spans="1:3" x14ac:dyDescent="0.3">
      <c r="A110" s="1" t="str">
        <f>"90-U11"</f>
        <v>90-U11</v>
      </c>
      <c r="B110" s="2" t="str">
        <f>"FINISH FOIL SUPER BRILHO"</f>
        <v>FINISH FOIL SUPER BRILHO</v>
      </c>
      <c r="C110" s="3" t="str">
        <f t="shared" si="3"/>
        <v>m2</v>
      </c>
    </row>
    <row r="111" spans="1:3" x14ac:dyDescent="0.3">
      <c r="A111" s="1" t="str">
        <f>"90-U21"</f>
        <v>90-U21</v>
      </c>
      <c r="B111" s="2" t="str">
        <f>"FINISH FOIL SHG"</f>
        <v>FINISH FOIL SHG</v>
      </c>
      <c r="C111" s="3" t="str">
        <f t="shared" si="3"/>
        <v>m2</v>
      </c>
    </row>
    <row r="112" spans="1:3" x14ac:dyDescent="0.3">
      <c r="A112" s="1" t="str">
        <f>"90-U25"</f>
        <v>90-U25</v>
      </c>
      <c r="B112" s="2" t="str">
        <f>"FINISH FOIL SHG - FITA BORDA"</f>
        <v>FINISH FOIL SHG - FITA BORDA</v>
      </c>
      <c r="C112" s="3" t="str">
        <f t="shared" si="3"/>
        <v>m2</v>
      </c>
    </row>
    <row r="113" spans="1:3" x14ac:dyDescent="0.3">
      <c r="A113" s="1" t="str">
        <f>"90-U51"</f>
        <v>90-U51</v>
      </c>
      <c r="B113" s="2" t="str">
        <f>"FINISH FOIL UV MATT"</f>
        <v>FINISH FOIL UV MATT</v>
      </c>
      <c r="C113" s="3" t="str">
        <f t="shared" si="3"/>
        <v>m2</v>
      </c>
    </row>
    <row r="114" spans="1:3" x14ac:dyDescent="0.3">
      <c r="A114" s="1" t="str">
        <f>"90-U61"</f>
        <v>90-U61</v>
      </c>
      <c r="B114" s="2" t="str">
        <f>"FINISH FOIL UV SEMI MATT"</f>
        <v>FINISH FOIL UV SEMI MATT</v>
      </c>
      <c r="C114" s="3" t="str">
        <f t="shared" si="3"/>
        <v>m2</v>
      </c>
    </row>
    <row r="115" spans="1:3" x14ac:dyDescent="0.3">
      <c r="A115" s="1" t="str">
        <f>"91-92-93"</f>
        <v>91-92-93</v>
      </c>
      <c r="B115" s="2" t="str">
        <f>"LAMINATE- LPL/HPL/CPL/FLOORING"</f>
        <v>LAMINATE- LPL/HPL/CPL/FLOORING</v>
      </c>
      <c r="C115" s="3" t="str">
        <f>"KG"</f>
        <v>KG</v>
      </c>
    </row>
    <row r="116" spans="1:3" x14ac:dyDescent="0.3">
      <c r="A116" s="15">
        <v>95001</v>
      </c>
      <c r="B116" s="2" t="str">
        <f>"IP Impresso Escuro"</f>
        <v>IP Impresso Escuro</v>
      </c>
      <c r="C116" s="3" t="str">
        <f t="shared" ref="C116:C124" si="4">"m2"</f>
        <v>m2</v>
      </c>
    </row>
    <row r="117" spans="1:3" x14ac:dyDescent="0.3">
      <c r="A117" s="15">
        <v>95002</v>
      </c>
      <c r="B117" s="2" t="str">
        <f>"IP Impresso Claro"</f>
        <v>IP Impresso Claro</v>
      </c>
      <c r="C117" s="3" t="str">
        <f t="shared" si="4"/>
        <v>m2</v>
      </c>
    </row>
    <row r="118" spans="1:3" x14ac:dyDescent="0.3">
      <c r="A118" s="15">
        <v>95003</v>
      </c>
      <c r="B118" s="2" t="str">
        <f>"IP Branco"</f>
        <v>IP Branco</v>
      </c>
      <c r="C118" s="3" t="str">
        <f t="shared" si="4"/>
        <v>m2</v>
      </c>
    </row>
    <row r="119" spans="1:3" x14ac:dyDescent="0.3">
      <c r="A119" s="15">
        <v>95004</v>
      </c>
      <c r="B119" s="2" t="str">
        <f>"IP Preto"</f>
        <v>IP Preto</v>
      </c>
      <c r="C119" s="3" t="str">
        <f t="shared" si="4"/>
        <v>m2</v>
      </c>
    </row>
    <row r="120" spans="1:3" x14ac:dyDescent="0.3">
      <c r="A120" s="15">
        <v>95005</v>
      </c>
      <c r="B120" s="2" t="str">
        <f>"IP Unicolor Escuro"</f>
        <v>IP Unicolor Escuro</v>
      </c>
      <c r="C120" s="3" t="str">
        <f t="shared" si="4"/>
        <v>m2</v>
      </c>
    </row>
    <row r="121" spans="1:3" x14ac:dyDescent="0.3">
      <c r="A121" s="15">
        <v>95006</v>
      </c>
      <c r="B121" s="2" t="str">
        <f>"IP Unicolor Claro"</f>
        <v>IP Unicolor Claro</v>
      </c>
      <c r="C121" s="3" t="str">
        <f t="shared" si="4"/>
        <v>m2</v>
      </c>
    </row>
    <row r="122" spans="1:3" x14ac:dyDescent="0.3">
      <c r="A122" s="15">
        <v>95007</v>
      </c>
      <c r="B122" s="2" t="str">
        <f>"IP Metalico"</f>
        <v>IP Metalico</v>
      </c>
      <c r="C122" s="3" t="str">
        <f t="shared" si="4"/>
        <v>m2</v>
      </c>
    </row>
    <row r="123" spans="1:3" x14ac:dyDescent="0.3">
      <c r="A123" s="15">
        <v>95008</v>
      </c>
      <c r="B123" s="2" t="str">
        <f>"IP Pisos"</f>
        <v>IP Pisos</v>
      </c>
      <c r="C123" s="3" t="str">
        <f t="shared" si="4"/>
        <v>m2</v>
      </c>
    </row>
    <row r="124" spans="1:3" x14ac:dyDescent="0.3">
      <c r="A124" s="16">
        <v>960001</v>
      </c>
      <c r="B124" s="2" t="str">
        <f>"FILME POLIESTER"</f>
        <v>FILME POLIESTER</v>
      </c>
      <c r="C124" s="3" t="str">
        <f t="shared" si="4"/>
        <v>m2</v>
      </c>
    </row>
    <row r="125" spans="1:3" x14ac:dyDescent="0.3">
      <c r="A125" s="16">
        <v>970001</v>
      </c>
      <c r="B125" s="2" t="str">
        <f>"LAMINATE- HPL OVERLAY"</f>
        <v>LAMINATE- HPL OVERLAY</v>
      </c>
      <c r="C125" s="3" t="str">
        <f>"KG"</f>
        <v>KG</v>
      </c>
    </row>
    <row r="126" spans="1:3" x14ac:dyDescent="0.3">
      <c r="A126" s="16">
        <v>980001</v>
      </c>
      <c r="B126" s="2" t="str">
        <f>"DESENVOLVIMENTO DE PRODUTO-SAT"</f>
        <v>DESENVOLVIMENTO DE PRODUTO-SAT</v>
      </c>
      <c r="C126" s="3" t="str">
        <f>"KG"</f>
        <v>KG</v>
      </c>
    </row>
    <row r="127" spans="1:3" x14ac:dyDescent="0.3">
      <c r="A127" s="16">
        <v>980002</v>
      </c>
      <c r="B127" s="2" t="str">
        <f>"DESENVOLVIMENTO DE PRODUTO-FF"</f>
        <v>DESENVOLVIMENTO DE PRODUTO-FF</v>
      </c>
      <c r="C127" s="3" t="str">
        <f>"m2"</f>
        <v>m2</v>
      </c>
    </row>
    <row r="128" spans="1:3" x14ac:dyDescent="0.3">
      <c r="A128" s="16">
        <v>980003</v>
      </c>
      <c r="B128" s="2" t="str">
        <f>"DESENVOLVIMENTO DE PRODUTO-EXP"</f>
        <v>DESENVOLVIMENTO DE PRODUTO-EXP</v>
      </c>
      <c r="C128" s="3" t="str">
        <f>"m2"</f>
        <v>m2</v>
      </c>
    </row>
    <row r="129" spans="1:3" x14ac:dyDescent="0.3">
      <c r="A129" s="16">
        <v>980004</v>
      </c>
      <c r="B129" s="2" t="str">
        <f>"DESENVOLVIMENTO PRODUTO-FILMES"</f>
        <v>DESENVOLVIMENTO PRODUTO-FILMES</v>
      </c>
      <c r="C129" s="3" t="str">
        <f>"m2"</f>
        <v>m2</v>
      </c>
    </row>
    <row r="130" spans="1:3" x14ac:dyDescent="0.3">
      <c r="A130" s="16">
        <v>980005</v>
      </c>
      <c r="B130" s="2" t="str">
        <f>"DESENVOLVIMENTO PRODUTO-TABER"</f>
        <v>DESENVOLVIMENTO PRODUTO-TABER</v>
      </c>
      <c r="C130" s="3" t="str">
        <f>"KG"</f>
        <v>KG</v>
      </c>
    </row>
    <row r="131" spans="1:3" x14ac:dyDescent="0.3">
      <c r="A131" s="16">
        <v>980006</v>
      </c>
      <c r="B131" s="2" t="str">
        <f>"DESENVOLVIMENTO PRODUTO-AP OL"</f>
        <v>DESENVOLVIMENTO PRODUTO-AP OL</v>
      </c>
      <c r="C131" s="3" t="str">
        <f>"kg"</f>
        <v>kg</v>
      </c>
    </row>
    <row r="132" spans="1:3" x14ac:dyDescent="0.3">
      <c r="A132" s="16">
        <v>990001</v>
      </c>
      <c r="B132" s="2" t="str">
        <f>"DÉBITO DIRETO"</f>
        <v>DÉBITO DIRETO</v>
      </c>
      <c r="C132" s="3" t="str">
        <f>"UN"</f>
        <v>UN</v>
      </c>
    </row>
    <row r="133" spans="1:3" x14ac:dyDescent="0.3">
      <c r="A133" s="16">
        <v>990002</v>
      </c>
      <c r="B133" s="2" t="str">
        <f>"SERVICOS"</f>
        <v>SERVICOS</v>
      </c>
      <c r="C133" s="3" t="str">
        <f>"SV"</f>
        <v>SV</v>
      </c>
    </row>
    <row r="134" spans="1:3" x14ac:dyDescent="0.3">
      <c r="A134" s="1" t="str">
        <f>"BERNECK"</f>
        <v>BERNECK</v>
      </c>
      <c r="B134" s="2" t="str">
        <f>"BERNECK IP PAPEIS TERCEIROS"</f>
        <v>BERNECK IP PAPEIS TERCEIROS</v>
      </c>
      <c r="C134" s="3" t="str">
        <f>"kg"</f>
        <v>kg</v>
      </c>
    </row>
    <row r="135" spans="1:3" x14ac:dyDescent="0.3">
      <c r="A135" s="1" t="str">
        <f>"BRASPAN"</f>
        <v>BRASPAN</v>
      </c>
      <c r="B135" s="2" t="str">
        <f>"BRASPAN IP PAPEIS TERCEIROS"</f>
        <v>BRASPAN IP PAPEIS TERCEIROS</v>
      </c>
      <c r="C135" s="3" t="str">
        <f>"kg"</f>
        <v>kg</v>
      </c>
    </row>
    <row r="136" spans="1:3" x14ac:dyDescent="0.3">
      <c r="A136" s="1" t="str">
        <f>"CILINDRO"</f>
        <v>CILINDRO</v>
      </c>
      <c r="B136" s="2" t="str">
        <f>"CILINDRO"</f>
        <v>CILINDRO</v>
      </c>
      <c r="C136" s="3" t="str">
        <f>"UN"</f>
        <v>UN</v>
      </c>
    </row>
    <row r="137" spans="1:3" x14ac:dyDescent="0.3">
      <c r="A137" s="1" t="str">
        <f>"DURATEX"</f>
        <v>DURATEX</v>
      </c>
      <c r="B137" s="2" t="str">
        <f>"DURATEX PAPEL DE TERCEIROS"</f>
        <v>DURATEX PAPEL DE TERCEIROS</v>
      </c>
      <c r="C137" s="3" t="str">
        <f>"KG"</f>
        <v>KG</v>
      </c>
    </row>
    <row r="138" spans="1:3" x14ac:dyDescent="0.3">
      <c r="A138" s="1" t="str">
        <f>"EUCATEX"</f>
        <v>EUCATEX</v>
      </c>
      <c r="B138" s="2" t="str">
        <f>"EUCATEX IP PAPEIS TERCEIROS"</f>
        <v>EUCATEX IP PAPEIS TERCEIROS</v>
      </c>
      <c r="C138" s="3" t="str">
        <f>"kg"</f>
        <v>kg</v>
      </c>
    </row>
    <row r="139" spans="1:3" x14ac:dyDescent="0.3">
      <c r="A139" s="1" t="str">
        <f>"FIBRAPLA"</f>
        <v>FIBRAPLA</v>
      </c>
      <c r="B139" s="2" t="str">
        <f>"FIBRAPLAC IP PAPEIS TERCEIROS"</f>
        <v>FIBRAPLAC IP PAPEIS TERCEIROS</v>
      </c>
      <c r="C139" s="3" t="str">
        <f>"kg"</f>
        <v>kg</v>
      </c>
    </row>
    <row r="140" spans="1:3" x14ac:dyDescent="0.3">
      <c r="A140" s="1" t="str">
        <f>"FLORAPL"</f>
        <v>FLORAPL</v>
      </c>
      <c r="B140" s="2" t="str">
        <f>"FLORAPLAC IP PAPEIS TERCEIROS"</f>
        <v>FLORAPLAC IP PAPEIS TERCEIROS</v>
      </c>
      <c r="C140" s="3" t="str">
        <f>"KG"</f>
        <v>KG</v>
      </c>
    </row>
    <row r="141" spans="1:3" x14ac:dyDescent="0.3">
      <c r="A141" s="1" t="str">
        <f>"GREENPLA"</f>
        <v>GREENPLA</v>
      </c>
      <c r="B141" s="2" t="str">
        <f>"GREENPLAC IP PAPEIS TERCEIROS"</f>
        <v>GREENPLAC IP PAPEIS TERCEIROS</v>
      </c>
      <c r="C141" s="3" t="str">
        <f>"KG"</f>
        <v>KG</v>
      </c>
    </row>
    <row r="142" spans="1:3" x14ac:dyDescent="0.3">
      <c r="A142" s="1" t="str">
        <f>"GUARARAP"</f>
        <v>GUARARAP</v>
      </c>
      <c r="B142" s="2" t="str">
        <f>"GUARARAPES IP PAPEIS TERCEIROS"</f>
        <v>GUARARAPES IP PAPEIS TERCEIROS</v>
      </c>
      <c r="C142" s="3" t="str">
        <f>"kg"</f>
        <v>kg</v>
      </c>
    </row>
    <row r="143" spans="1:3" x14ac:dyDescent="0.3">
      <c r="A143" s="1" t="str">
        <f>"KARIKAL"</f>
        <v>KARIKAL</v>
      </c>
      <c r="B143" s="2" t="str">
        <f>"KARIKAL IP PAPEIS TERCEIROS"</f>
        <v>KARIKAL IP PAPEIS TERCEIROS</v>
      </c>
      <c r="C143" s="3" t="str">
        <f>"kg"</f>
        <v>kg</v>
      </c>
    </row>
    <row r="144" spans="1:3" x14ac:dyDescent="0.3">
      <c r="A144" s="1" t="str">
        <f>"LAMIGRAF"</f>
        <v>LAMIGRAF</v>
      </c>
      <c r="B144" s="2" t="str">
        <f>"LAMIGRAF IP PAPEIS TERCEIROS"</f>
        <v>LAMIGRAF IP PAPEIS TERCEIROS</v>
      </c>
      <c r="C144" s="3" t="str">
        <f>"KG"</f>
        <v>KG</v>
      </c>
    </row>
    <row r="145" spans="1:3" ht="15" thickBot="1" x14ac:dyDescent="0.35">
      <c r="A145" s="4" t="str">
        <f>"UNILIN"</f>
        <v>UNILIN</v>
      </c>
      <c r="B145" s="5" t="str">
        <f>"UNILIN IP PAPEIS TERCEIROS"</f>
        <v>UNILIN IP PAPEIS TERCEIROS</v>
      </c>
      <c r="C145" s="6" t="str">
        <f>"KG"</f>
        <v>KG</v>
      </c>
    </row>
    <row r="146" spans="1:3" x14ac:dyDescent="0.3">
      <c r="A146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7AC114-F4E4-4B8D-9CF4-1A2793DB52B5}"/>
</file>

<file path=customXml/itemProps2.xml><?xml version="1.0" encoding="utf-8"?>
<ds:datastoreItem xmlns:ds="http://schemas.openxmlformats.org/officeDocument/2006/customXml" ds:itemID="{0969BA8C-5D89-4811-8D28-7103A6321E2D}"/>
</file>

<file path=customXml/itemProps3.xml><?xml version="1.0" encoding="utf-8"?>
<ds:datastoreItem xmlns:ds="http://schemas.openxmlformats.org/officeDocument/2006/customXml" ds:itemID="{5CB9AE20-5512-4FC3-ADA1-3C0682D74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2025-01-16T12:01:45Z</dcterms:created>
  <dcterms:modified xsi:type="dcterms:W3CDTF">2025-01-16T12:02:14Z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