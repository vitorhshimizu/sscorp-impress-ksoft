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0BC098BD-D533-40A8-AB1C-CA4268212A9A}" xr6:coauthVersionLast="47" xr6:coauthVersionMax="47" xr10:uidLastSave="{00000000-0000-0000-0000-000000000000}"/>
  <bookViews>
    <workbookView xWindow="-120" yWindow="-120" windowWidth="29040" windowHeight="15840" xr2:uid="{0AD0C0C4-1DA1-49E2-B78C-763B237E2F2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</calcChain>
</file>

<file path=xl/sharedStrings.xml><?xml version="1.0" encoding="utf-8"?>
<sst xmlns="http://schemas.openxmlformats.org/spreadsheetml/2006/main" count="38" uniqueCount="10">
  <si>
    <t>Embalagem</t>
  </si>
  <si>
    <t>Sigla</t>
  </si>
  <si>
    <t>Descrição</t>
  </si>
  <si>
    <t>Peso Embalagem</t>
  </si>
  <si>
    <t>Emite Etiqueta</t>
  </si>
  <si>
    <t>Volume</t>
  </si>
  <si>
    <t>Oculta</t>
  </si>
  <si>
    <t>Sim</t>
  </si>
  <si>
    <t>Não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</si>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</sst>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000"/>
    <numFmt numFmtId="165" formatCode="###,###,##0.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1" xfId="0" applyBorder="1"/>
    <xf numFmtId="0" fontId="0" fillId="0" borderId="12" xfId="0" applyBorder="1"/>
    <xf numFmtId="164" fontId="0" fillId="0" borderId="12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15" xfId="0" applyNumberFormat="1" applyBorder="1" applyAlignment="1">
      <alignment horizontal="right"/>
    </xf>
    <xf numFmtId="165" fontId="0" fillId="0" borderId="15" xfId="0" applyNumberForma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8" xfId="0" applyNumberFormat="1" applyBorder="1" applyAlignment="1">
      <alignment horizontal="right"/>
    </xf>
    <xf numFmtId="165" fontId="0" fillId="0" borderId="18" xfId="0" applyNumberFormat="1" applyBorder="1" applyAlignment="1">
      <alignment horizontal="right"/>
    </xf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0" xfId="0" applyFont="1" applyFill="1" applyBorder="1" applyAlignment="1">
      <alignment horizontal="right"/>
    </xf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CC83-2C0F-4F45-B53F-70F055F4E812}">
  <dimension ref="A1:G17"/>
  <sheetViews>
    <sheetView tabSelected="1" workbookViewId="0">
      <selection activeCell="D9" sqref="D9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18.5703125" bestFit="1" customWidth="1"/>
    <col min="4" max="4" width="16.140625" bestFit="1" customWidth="1"/>
    <col min="5" max="5" width="14.140625" bestFit="1" customWidth="1"/>
    <col min="6" max="6" width="12.5703125" bestFit="1" customWidth="1"/>
    <col min="7" max="7" width="6.7109375" bestFit="1" customWidth="1"/>
  </cols>
  <sheetData>
    <row r="1" spans="1:7" ht="15.75" thickBot="1" x14ac:dyDescent="0.3">
      <c r="A1" s="16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8" t="s">
        <v>5</v>
      </c>
      <c r="G1" s="19" t="s">
        <v>6</v>
      </c>
    </row>
    <row r="2" spans="1:7" x14ac:dyDescent="0.25">
      <c r="A2" s="11" t="str">
        <f>"BALDE"</f>
        <v>BALDE</v>
      </c>
      <c r="B2" s="12" t="str">
        <f>"BAL"</f>
        <v>BAL</v>
      </c>
      <c r="C2" s="12" t="str">
        <f>"BALDE"</f>
        <v>BALDE</v>
      </c>
      <c r="D2" s="13">
        <v>0</v>
      </c>
      <c r="E2" s="12" t="s">
        <v>7</v>
      </c>
      <c r="F2" s="14">
        <v>0</v>
      </c>
      <c r="G2" s="15" t="s">
        <v>8</v>
      </c>
    </row>
    <row r="3" spans="1:7" x14ac:dyDescent="0.25">
      <c r="A3" s="1" t="str">
        <f>"BOBINA"</f>
        <v>BOBINA</v>
      </c>
      <c r="B3" s="2" t="str">
        <f>"BOB"</f>
        <v>BOB</v>
      </c>
      <c r="C3" s="2" t="str">
        <f>"BOBINA"</f>
        <v>BOBINA</v>
      </c>
      <c r="D3" s="3">
        <v>0</v>
      </c>
      <c r="E3" s="2" t="s">
        <v>7</v>
      </c>
      <c r="F3" s="4">
        <v>0</v>
      </c>
      <c r="G3" s="5" t="s">
        <v>8</v>
      </c>
    </row>
    <row r="4" spans="1:7" x14ac:dyDescent="0.25">
      <c r="A4" s="1" t="str">
        <f>"BOMBONA"</f>
        <v>BOMBONA</v>
      </c>
      <c r="B4" s="2" t="str">
        <f>"BOM"</f>
        <v>BOM</v>
      </c>
      <c r="C4" s="2" t="str">
        <f>"BOMBONA"</f>
        <v>BOMBONA</v>
      </c>
      <c r="D4" s="3">
        <v>10</v>
      </c>
      <c r="E4" s="2" t="s">
        <v>7</v>
      </c>
      <c r="F4" s="4">
        <v>0</v>
      </c>
      <c r="G4" s="5" t="s">
        <v>8</v>
      </c>
    </row>
    <row r="5" spans="1:7" x14ac:dyDescent="0.25">
      <c r="A5" s="1" t="str">
        <f>"Bulk Liner"</f>
        <v>Bulk Liner</v>
      </c>
      <c r="B5" s="2" t="str">
        <f>"BL"</f>
        <v>BL</v>
      </c>
      <c r="C5" s="2" t="str">
        <f>"Bulk Liner"</f>
        <v>Bulk Liner</v>
      </c>
      <c r="D5" s="3">
        <v>0</v>
      </c>
      <c r="E5" s="2" t="s">
        <v>7</v>
      </c>
      <c r="F5" s="4">
        <v>0</v>
      </c>
      <c r="G5" s="5" t="s">
        <v>8</v>
      </c>
    </row>
    <row r="6" spans="1:7" x14ac:dyDescent="0.25">
      <c r="A6" s="1" t="str">
        <f>"CAIXA"</f>
        <v>CAIXA</v>
      </c>
      <c r="B6" s="2" t="str">
        <f>"CX"</f>
        <v>CX</v>
      </c>
      <c r="C6" s="2" t="str">
        <f>"CAIXA"</f>
        <v>CAIXA</v>
      </c>
      <c r="D6" s="3">
        <v>0</v>
      </c>
      <c r="E6" s="2" t="s">
        <v>7</v>
      </c>
      <c r="F6" s="4">
        <v>0</v>
      </c>
      <c r="G6" s="5" t="s">
        <v>8</v>
      </c>
    </row>
    <row r="7" spans="1:7" x14ac:dyDescent="0.25">
      <c r="A7" s="1" t="str">
        <f>"CONTEINER"</f>
        <v>CONTEINER</v>
      </c>
      <c r="B7" s="2" t="str">
        <f>"CON"</f>
        <v>CON</v>
      </c>
      <c r="C7" s="2" t="str">
        <f>"CONTEINER IP"</f>
        <v>CONTEINER IP</v>
      </c>
      <c r="D7" s="3">
        <v>245</v>
      </c>
      <c r="E7" s="2" t="s">
        <v>7</v>
      </c>
      <c r="F7" s="4">
        <v>0</v>
      </c>
      <c r="G7" s="5" t="s">
        <v>8</v>
      </c>
    </row>
    <row r="8" spans="1:7" x14ac:dyDescent="0.25">
      <c r="A8" s="1" t="str">
        <f>"KILO"</f>
        <v>KILO</v>
      </c>
      <c r="B8" s="2" t="str">
        <f>"KG"</f>
        <v>KG</v>
      </c>
      <c r="C8" s="2" t="str">
        <f>"KILO"</f>
        <v>KILO</v>
      </c>
      <c r="D8" s="3">
        <v>0</v>
      </c>
      <c r="E8" s="2" t="s">
        <v>7</v>
      </c>
      <c r="F8" s="4">
        <v>0</v>
      </c>
      <c r="G8" s="5" t="s">
        <v>8</v>
      </c>
    </row>
    <row r="9" spans="1:7" x14ac:dyDescent="0.25">
      <c r="A9" s="1" t="str">
        <f>"PADRÃO"</f>
        <v>PADRÃO</v>
      </c>
      <c r="B9" s="2" t="str">
        <f>"PAD"</f>
        <v>PAD</v>
      </c>
      <c r="C9" s="2" t="str">
        <f>"PALETE PADRÃO IP"</f>
        <v>PALETE PADRÃO IP</v>
      </c>
      <c r="D9" s="3">
        <v>235</v>
      </c>
      <c r="E9" s="2" t="s">
        <v>7</v>
      </c>
      <c r="F9" s="4">
        <v>0</v>
      </c>
      <c r="G9" s="5" t="s">
        <v>8</v>
      </c>
    </row>
    <row r="10" spans="1:7" x14ac:dyDescent="0.25">
      <c r="A10" s="1" t="str">
        <f>"PALET"</f>
        <v>PALET</v>
      </c>
      <c r="B10" s="2" t="str">
        <f>"PAL"</f>
        <v>PAL</v>
      </c>
      <c r="C10" s="2" t="str">
        <f>"PALETS"</f>
        <v>PALETS</v>
      </c>
      <c r="D10" s="3">
        <v>0</v>
      </c>
      <c r="E10" s="2" t="s">
        <v>7</v>
      </c>
      <c r="F10" s="4">
        <v>1</v>
      </c>
      <c r="G10" s="5" t="s">
        <v>8</v>
      </c>
    </row>
    <row r="11" spans="1:7" x14ac:dyDescent="0.25">
      <c r="A11" s="1" t="str">
        <f>"PALET DUPL"</f>
        <v>PALET DUPL</v>
      </c>
      <c r="B11" s="2" t="str">
        <f>"DUP"</f>
        <v>DUP</v>
      </c>
      <c r="C11" s="2" t="str">
        <f>"PALETE DUPLO IP"</f>
        <v>PALETE DUPLO IP</v>
      </c>
      <c r="D11" s="3">
        <v>750.34</v>
      </c>
      <c r="E11" s="2" t="s">
        <v>7</v>
      </c>
      <c r="F11" s="4">
        <v>0</v>
      </c>
      <c r="G11" s="5" t="s">
        <v>8</v>
      </c>
    </row>
    <row r="12" spans="1:7" x14ac:dyDescent="0.25">
      <c r="A12" s="1" t="str">
        <f>"Pallet Fer"</f>
        <v>Pallet Fer</v>
      </c>
      <c r="B12" s="2" t="str">
        <f>"FER"</f>
        <v>FER</v>
      </c>
      <c r="C12" s="2" t="str">
        <f>"PALETE DE FERRO IP"</f>
        <v>PALETE DE FERRO IP</v>
      </c>
      <c r="D12" s="3">
        <v>500</v>
      </c>
      <c r="E12" s="2" t="s">
        <v>7</v>
      </c>
      <c r="F12" s="4">
        <v>0</v>
      </c>
      <c r="G12" s="5" t="s">
        <v>8</v>
      </c>
    </row>
    <row r="13" spans="1:7" x14ac:dyDescent="0.25">
      <c r="A13" s="1" t="str">
        <f>"SACAS"</f>
        <v>SACAS</v>
      </c>
      <c r="B13" s="2" t="str">
        <f>"SCS"</f>
        <v>SCS</v>
      </c>
      <c r="C13" s="2" t="str">
        <f>"SACAS"</f>
        <v>SACAS</v>
      </c>
      <c r="D13" s="3">
        <v>0</v>
      </c>
      <c r="E13" s="2" t="s">
        <v>8</v>
      </c>
      <c r="F13" s="4">
        <v>0</v>
      </c>
      <c r="G13" s="5" t="s">
        <v>8</v>
      </c>
    </row>
    <row r="14" spans="1:7" x14ac:dyDescent="0.25">
      <c r="A14" s="1" t="str">
        <f>"TAMBOR"</f>
        <v>TAMBOR</v>
      </c>
      <c r="B14" s="2" t="str">
        <f>"TAM"</f>
        <v>TAM</v>
      </c>
      <c r="C14" s="2" t="str">
        <f>"TAMBOR"</f>
        <v>TAMBOR</v>
      </c>
      <c r="D14" s="3">
        <v>20</v>
      </c>
      <c r="E14" s="2" t="s">
        <v>8</v>
      </c>
      <c r="F14" s="4">
        <v>0</v>
      </c>
      <c r="G14" s="5" t="s">
        <v>8</v>
      </c>
    </row>
    <row r="15" spans="1:7" x14ac:dyDescent="0.25">
      <c r="A15" s="1" t="str">
        <f>"Tonelada"</f>
        <v>Tonelada</v>
      </c>
      <c r="B15" s="2" t="str">
        <f>"TON"</f>
        <v>TON</v>
      </c>
      <c r="C15" s="2" t="str">
        <f>"Tonelada"</f>
        <v>Tonelada</v>
      </c>
      <c r="D15" s="3">
        <v>0</v>
      </c>
      <c r="E15" s="2" t="s">
        <v>7</v>
      </c>
      <c r="F15" s="4">
        <v>0</v>
      </c>
      <c r="G15" s="5" t="s">
        <v>8</v>
      </c>
    </row>
    <row r="16" spans="1:7" ht="15.75" thickBot="1" x14ac:dyDescent="0.3">
      <c r="A16" s="6" t="str">
        <f>"VOLUME"</f>
        <v>VOLUME</v>
      </c>
      <c r="B16" s="7" t="str">
        <f>"VOL"</f>
        <v>VOL</v>
      </c>
      <c r="C16" s="7" t="str">
        <f>"VOLUME"</f>
        <v>VOLUME</v>
      </c>
      <c r="D16" s="8">
        <v>0</v>
      </c>
      <c r="E16" s="7" t="s">
        <v>7</v>
      </c>
      <c r="F16" s="9">
        <v>0</v>
      </c>
      <c r="G16" s="10" t="s">
        <v>8</v>
      </c>
    </row>
    <row r="17" spans="1:1" x14ac:dyDescent="0.25">
      <c r="A17" t="s">
        <v>9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DC6FE4-73CD-47CB-A26B-8045339971CA}"/>
</file>

<file path=customXml/itemProps2.xml><?xml version="1.0" encoding="utf-8"?>
<ds:datastoreItem xmlns:ds="http://schemas.openxmlformats.org/officeDocument/2006/customXml" ds:itemID="{BA5B0522-211D-4616-A348-C03337A667D8}"/>
</file>

<file path=customXml/itemProps3.xml><?xml version="1.0" encoding="utf-8"?>
<ds:datastoreItem xmlns:ds="http://schemas.openxmlformats.org/officeDocument/2006/customXml" ds:itemID="{F4356A9B-ED74-4E2F-A6C6-6A25F0BFD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2025-01-30T13:32:26Z</dcterms:created>
  <dcterms:modified xsi:type="dcterms:W3CDTF">2025-01-30T13:32:58Z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