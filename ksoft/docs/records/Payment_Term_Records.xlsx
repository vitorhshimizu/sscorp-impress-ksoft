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4906E2EA-889A-4AFA-9707-4DB0C26FBBF8}" xr6:coauthVersionLast="47" xr6:coauthVersionMax="47" xr10:uidLastSave="{00000000-0000-0000-0000-000000000000}"/>
  <bookViews>
    <workbookView xWindow="-108" yWindow="-108" windowWidth="23256" windowHeight="14016" xr2:uid="{3B423E95-E7EE-4A17-A9C7-0ACAD3590BFA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B2" i="1"/>
  <c r="D2" i="1"/>
  <c r="E2" i="1"/>
  <c r="F2" i="1"/>
  <c r="G2" i="1"/>
  <c r="H2" i="1"/>
  <c r="I2" i="1"/>
  <c r="J2" i="1"/>
  <c r="K2" i="1"/>
  <c r="L2" i="1"/>
  <c r="M2" i="1"/>
  <c r="N2" i="1"/>
  <c r="O2" i="1"/>
  <c r="P2" i="1"/>
  <c r="B3" i="1"/>
  <c r="D3" i="1"/>
  <c r="F3" i="1"/>
  <c r="G3" i="1"/>
  <c r="H3" i="1"/>
  <c r="I3" i="1"/>
  <c r="J3" i="1"/>
  <c r="K3" i="1"/>
  <c r="L3" i="1"/>
  <c r="M3" i="1"/>
  <c r="N3" i="1"/>
  <c r="O3" i="1"/>
  <c r="P3" i="1"/>
  <c r="B4" i="1"/>
  <c r="D4" i="1"/>
  <c r="F4" i="1"/>
  <c r="G4" i="1"/>
  <c r="H4" i="1"/>
  <c r="I4" i="1"/>
  <c r="J4" i="1"/>
  <c r="K4" i="1"/>
  <c r="L4" i="1"/>
  <c r="M4" i="1"/>
  <c r="N4" i="1"/>
  <c r="O4" i="1"/>
  <c r="P4" i="1"/>
  <c r="B5" i="1"/>
  <c r="D5" i="1"/>
  <c r="F5" i="1"/>
  <c r="G5" i="1"/>
  <c r="H5" i="1"/>
  <c r="I5" i="1"/>
  <c r="J5" i="1"/>
  <c r="K5" i="1"/>
  <c r="L5" i="1"/>
  <c r="M5" i="1"/>
  <c r="N5" i="1"/>
  <c r="O5" i="1"/>
  <c r="P5" i="1"/>
  <c r="B6" i="1"/>
  <c r="D6" i="1"/>
  <c r="F6" i="1"/>
  <c r="G6" i="1"/>
  <c r="H6" i="1"/>
  <c r="I6" i="1"/>
  <c r="J6" i="1"/>
  <c r="K6" i="1"/>
  <c r="L6" i="1"/>
  <c r="M6" i="1"/>
  <c r="N6" i="1"/>
  <c r="O6" i="1"/>
  <c r="P6" i="1"/>
  <c r="B7" i="1"/>
  <c r="D7" i="1"/>
  <c r="F7" i="1"/>
  <c r="G7" i="1"/>
  <c r="H7" i="1"/>
  <c r="I7" i="1"/>
  <c r="J7" i="1"/>
  <c r="K7" i="1"/>
  <c r="L7" i="1"/>
  <c r="M7" i="1"/>
  <c r="N7" i="1"/>
  <c r="O7" i="1"/>
  <c r="P7" i="1"/>
  <c r="B8" i="1"/>
  <c r="D8" i="1"/>
  <c r="F8" i="1"/>
  <c r="G8" i="1"/>
  <c r="H8" i="1"/>
  <c r="I8" i="1"/>
  <c r="J8" i="1"/>
  <c r="K8" i="1"/>
  <c r="L8" i="1"/>
  <c r="M8" i="1"/>
  <c r="N8" i="1"/>
  <c r="O8" i="1"/>
  <c r="P8" i="1"/>
  <c r="B9" i="1"/>
  <c r="D9" i="1"/>
  <c r="G9" i="1"/>
  <c r="H9" i="1"/>
  <c r="I9" i="1"/>
  <c r="J9" i="1"/>
  <c r="K9" i="1"/>
  <c r="L9" i="1"/>
  <c r="M9" i="1"/>
  <c r="N9" i="1"/>
  <c r="O9" i="1"/>
  <c r="P9" i="1"/>
  <c r="B10" i="1"/>
  <c r="D10" i="1"/>
  <c r="H10" i="1"/>
  <c r="I10" i="1"/>
  <c r="J10" i="1"/>
  <c r="K10" i="1"/>
  <c r="L10" i="1"/>
  <c r="M10" i="1"/>
  <c r="N10" i="1"/>
  <c r="O10" i="1"/>
  <c r="P10" i="1"/>
  <c r="B11" i="1"/>
  <c r="D11" i="1"/>
  <c r="F11" i="1"/>
  <c r="G11" i="1"/>
  <c r="H11" i="1"/>
  <c r="I11" i="1"/>
  <c r="J11" i="1"/>
  <c r="K11" i="1"/>
  <c r="L11" i="1"/>
  <c r="M11" i="1"/>
  <c r="N11" i="1"/>
  <c r="O11" i="1"/>
  <c r="P11" i="1"/>
  <c r="B12" i="1"/>
  <c r="D12" i="1"/>
  <c r="F12" i="1"/>
  <c r="G12" i="1"/>
  <c r="H12" i="1"/>
  <c r="I12" i="1"/>
  <c r="J12" i="1"/>
  <c r="K12" i="1"/>
  <c r="L12" i="1"/>
  <c r="M12" i="1"/>
  <c r="N12" i="1"/>
  <c r="O12" i="1"/>
  <c r="P12" i="1"/>
  <c r="B13" i="1"/>
  <c r="D13" i="1"/>
  <c r="F13" i="1"/>
  <c r="G13" i="1"/>
  <c r="H13" i="1"/>
  <c r="I13" i="1"/>
  <c r="J13" i="1"/>
  <c r="K13" i="1"/>
  <c r="L13" i="1"/>
  <c r="M13" i="1"/>
  <c r="N13" i="1"/>
  <c r="O13" i="1"/>
  <c r="P13" i="1"/>
  <c r="B14" i="1"/>
  <c r="D14" i="1"/>
  <c r="F14" i="1"/>
  <c r="G14" i="1"/>
  <c r="H14" i="1"/>
  <c r="I14" i="1"/>
  <c r="J14" i="1"/>
  <c r="K14" i="1"/>
  <c r="L14" i="1"/>
  <c r="M14" i="1"/>
  <c r="N14" i="1"/>
  <c r="O14" i="1"/>
  <c r="P14" i="1"/>
  <c r="B15" i="1"/>
  <c r="D15" i="1"/>
  <c r="F15" i="1"/>
  <c r="G15" i="1"/>
  <c r="H15" i="1"/>
  <c r="I15" i="1"/>
  <c r="J15" i="1"/>
  <c r="K15" i="1"/>
  <c r="L15" i="1"/>
  <c r="M15" i="1"/>
  <c r="N15" i="1"/>
  <c r="O15" i="1"/>
  <c r="P15" i="1"/>
  <c r="B16" i="1"/>
  <c r="D16" i="1"/>
  <c r="F16" i="1"/>
  <c r="G16" i="1"/>
  <c r="H16" i="1"/>
  <c r="I16" i="1"/>
  <c r="J16" i="1"/>
  <c r="K16" i="1"/>
  <c r="L16" i="1"/>
  <c r="M16" i="1"/>
  <c r="N16" i="1"/>
  <c r="O16" i="1"/>
  <c r="P16" i="1"/>
  <c r="B17" i="1"/>
  <c r="D17" i="1"/>
  <c r="K17" i="1"/>
  <c r="L17" i="1"/>
  <c r="M17" i="1"/>
  <c r="N17" i="1"/>
  <c r="O17" i="1"/>
  <c r="P17" i="1"/>
  <c r="B18" i="1"/>
  <c r="D18" i="1"/>
  <c r="F18" i="1"/>
  <c r="G18" i="1"/>
  <c r="H18" i="1"/>
  <c r="I18" i="1"/>
  <c r="J18" i="1"/>
  <c r="K18" i="1"/>
  <c r="L18" i="1"/>
  <c r="M18" i="1"/>
  <c r="N18" i="1"/>
  <c r="O18" i="1"/>
  <c r="P18" i="1"/>
  <c r="B19" i="1"/>
  <c r="D19" i="1"/>
  <c r="J19" i="1"/>
  <c r="K19" i="1"/>
  <c r="L19" i="1"/>
  <c r="M19" i="1"/>
  <c r="N19" i="1"/>
  <c r="O19" i="1"/>
  <c r="P19" i="1"/>
  <c r="B20" i="1"/>
  <c r="D20" i="1"/>
  <c r="G20" i="1"/>
  <c r="H20" i="1"/>
  <c r="I20" i="1"/>
  <c r="J20" i="1"/>
  <c r="K20" i="1"/>
  <c r="L20" i="1"/>
  <c r="M20" i="1"/>
  <c r="N20" i="1"/>
  <c r="O20" i="1"/>
  <c r="P20" i="1"/>
  <c r="B21" i="1"/>
  <c r="D21" i="1"/>
  <c r="F21" i="1"/>
  <c r="G21" i="1"/>
  <c r="H21" i="1"/>
  <c r="I21" i="1"/>
  <c r="J21" i="1"/>
  <c r="K21" i="1"/>
  <c r="L21" i="1"/>
  <c r="M21" i="1"/>
  <c r="N21" i="1"/>
  <c r="O21" i="1"/>
  <c r="P21" i="1"/>
  <c r="B22" i="1"/>
  <c r="D22" i="1"/>
  <c r="F22" i="1"/>
  <c r="G22" i="1"/>
  <c r="H22" i="1"/>
  <c r="I22" i="1"/>
  <c r="J22" i="1"/>
  <c r="K22" i="1"/>
  <c r="L22" i="1"/>
  <c r="M22" i="1"/>
  <c r="N22" i="1"/>
  <c r="O22" i="1"/>
  <c r="P22" i="1"/>
  <c r="B23" i="1"/>
  <c r="D23" i="1"/>
  <c r="F23" i="1"/>
  <c r="G23" i="1"/>
  <c r="H23" i="1"/>
  <c r="I23" i="1"/>
  <c r="J23" i="1"/>
  <c r="K23" i="1"/>
  <c r="L23" i="1"/>
  <c r="M23" i="1"/>
  <c r="N23" i="1"/>
  <c r="O23" i="1"/>
  <c r="P23" i="1"/>
  <c r="B24" i="1"/>
  <c r="D24" i="1"/>
  <c r="F24" i="1"/>
  <c r="G24" i="1"/>
  <c r="H24" i="1"/>
  <c r="I24" i="1"/>
  <c r="J24" i="1"/>
  <c r="K24" i="1"/>
  <c r="L24" i="1"/>
  <c r="M24" i="1"/>
  <c r="N24" i="1"/>
  <c r="O24" i="1"/>
  <c r="P24" i="1"/>
  <c r="B25" i="1"/>
  <c r="D25" i="1"/>
  <c r="F25" i="1"/>
  <c r="G25" i="1"/>
  <c r="H25" i="1"/>
  <c r="I25" i="1"/>
  <c r="J25" i="1"/>
  <c r="K25" i="1"/>
  <c r="L25" i="1"/>
  <c r="M25" i="1"/>
  <c r="N25" i="1"/>
  <c r="O25" i="1"/>
  <c r="P25" i="1"/>
  <c r="B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D29" i="1"/>
  <c r="F29" i="1"/>
  <c r="G29" i="1"/>
  <c r="H29" i="1"/>
  <c r="I29" i="1"/>
  <c r="J29" i="1"/>
  <c r="K29" i="1"/>
  <c r="L29" i="1"/>
  <c r="M29" i="1"/>
  <c r="N29" i="1"/>
  <c r="O29" i="1"/>
  <c r="P29" i="1"/>
  <c r="B30" i="1"/>
  <c r="D30" i="1"/>
  <c r="H30" i="1"/>
  <c r="I30" i="1"/>
  <c r="J30" i="1"/>
  <c r="K30" i="1"/>
  <c r="L30" i="1"/>
  <c r="M30" i="1"/>
  <c r="N30" i="1"/>
  <c r="O30" i="1"/>
  <c r="P30" i="1"/>
  <c r="B31" i="1"/>
  <c r="D31" i="1"/>
  <c r="F31" i="1"/>
  <c r="G31" i="1"/>
  <c r="H31" i="1"/>
  <c r="I31" i="1"/>
  <c r="J31" i="1"/>
  <c r="K31" i="1"/>
  <c r="L31" i="1"/>
  <c r="M31" i="1"/>
  <c r="N31" i="1"/>
  <c r="O31" i="1"/>
  <c r="P31" i="1"/>
  <c r="B32" i="1"/>
  <c r="D32" i="1"/>
  <c r="F32" i="1"/>
  <c r="G32" i="1"/>
  <c r="H32" i="1"/>
  <c r="I32" i="1"/>
  <c r="J32" i="1"/>
  <c r="K32" i="1"/>
  <c r="L32" i="1"/>
  <c r="M32" i="1"/>
  <c r="N32" i="1"/>
  <c r="O32" i="1"/>
  <c r="P32" i="1"/>
  <c r="B33" i="1"/>
  <c r="D33" i="1"/>
  <c r="F33" i="1"/>
  <c r="G33" i="1"/>
  <c r="H33" i="1"/>
  <c r="I33" i="1"/>
  <c r="J33" i="1"/>
  <c r="K33" i="1"/>
  <c r="L33" i="1"/>
  <c r="M33" i="1"/>
  <c r="N33" i="1"/>
  <c r="O33" i="1"/>
  <c r="P33" i="1"/>
  <c r="B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5" i="1"/>
  <c r="D35" i="1"/>
  <c r="F35" i="1"/>
  <c r="G35" i="1"/>
  <c r="H35" i="1"/>
  <c r="I35" i="1"/>
  <c r="J35" i="1"/>
  <c r="K35" i="1"/>
  <c r="L35" i="1"/>
  <c r="M35" i="1"/>
  <c r="N35" i="1"/>
  <c r="O35" i="1"/>
  <c r="P35" i="1"/>
  <c r="B36" i="1"/>
  <c r="D36" i="1"/>
  <c r="I36" i="1"/>
  <c r="J36" i="1"/>
  <c r="K36" i="1"/>
  <c r="L36" i="1"/>
  <c r="M36" i="1"/>
  <c r="N36" i="1"/>
  <c r="O36" i="1"/>
  <c r="P36" i="1"/>
  <c r="B37" i="1"/>
  <c r="D37" i="1"/>
  <c r="F37" i="1"/>
  <c r="G37" i="1"/>
  <c r="H37" i="1"/>
  <c r="I37" i="1"/>
  <c r="J37" i="1"/>
  <c r="K37" i="1"/>
  <c r="L37" i="1"/>
  <c r="M37" i="1"/>
  <c r="N37" i="1"/>
  <c r="O37" i="1"/>
  <c r="P37" i="1"/>
  <c r="B38" i="1"/>
  <c r="D38" i="1"/>
  <c r="K38" i="1"/>
  <c r="L38" i="1"/>
  <c r="M38" i="1"/>
  <c r="N38" i="1"/>
  <c r="O38" i="1"/>
  <c r="P38" i="1"/>
  <c r="B39" i="1"/>
  <c r="D39" i="1"/>
  <c r="I39" i="1"/>
  <c r="J39" i="1"/>
  <c r="K39" i="1"/>
  <c r="L39" i="1"/>
  <c r="M39" i="1"/>
  <c r="N39" i="1"/>
  <c r="O39" i="1"/>
  <c r="P39" i="1"/>
  <c r="B40" i="1"/>
  <c r="D40" i="1"/>
  <c r="I40" i="1"/>
  <c r="J40" i="1"/>
  <c r="K40" i="1"/>
  <c r="L40" i="1"/>
  <c r="M40" i="1"/>
  <c r="N40" i="1"/>
  <c r="O40" i="1"/>
  <c r="P40" i="1"/>
  <c r="B41" i="1"/>
  <c r="D41" i="1"/>
  <c r="H41" i="1"/>
  <c r="I41" i="1"/>
  <c r="J41" i="1"/>
  <c r="K41" i="1"/>
  <c r="L41" i="1"/>
  <c r="M41" i="1"/>
  <c r="N41" i="1"/>
  <c r="O41" i="1"/>
  <c r="P41" i="1"/>
  <c r="B42" i="1"/>
  <c r="D42" i="1"/>
  <c r="F42" i="1"/>
  <c r="G42" i="1"/>
  <c r="H42" i="1"/>
  <c r="I42" i="1"/>
  <c r="J42" i="1"/>
  <c r="K42" i="1"/>
  <c r="L42" i="1"/>
  <c r="M42" i="1"/>
  <c r="N42" i="1"/>
  <c r="O42" i="1"/>
  <c r="P42" i="1"/>
  <c r="B43" i="1"/>
  <c r="D43" i="1"/>
  <c r="F43" i="1"/>
  <c r="G43" i="1"/>
  <c r="H43" i="1"/>
  <c r="I43" i="1"/>
  <c r="J43" i="1"/>
  <c r="K43" i="1"/>
  <c r="L43" i="1"/>
  <c r="M43" i="1"/>
  <c r="N43" i="1"/>
  <c r="O43" i="1"/>
  <c r="P43" i="1"/>
  <c r="B44" i="1"/>
  <c r="D44" i="1"/>
  <c r="J44" i="1"/>
  <c r="K44" i="1"/>
  <c r="L44" i="1"/>
  <c r="M44" i="1"/>
  <c r="N44" i="1"/>
  <c r="O44" i="1"/>
  <c r="P44" i="1"/>
  <c r="B45" i="1"/>
  <c r="D45" i="1"/>
  <c r="I45" i="1"/>
  <c r="J45" i="1"/>
  <c r="K45" i="1"/>
  <c r="L45" i="1"/>
  <c r="M45" i="1"/>
  <c r="N45" i="1"/>
  <c r="O45" i="1"/>
  <c r="P45" i="1"/>
  <c r="B46" i="1"/>
  <c r="D46" i="1"/>
  <c r="G46" i="1"/>
  <c r="H46" i="1"/>
  <c r="I46" i="1"/>
  <c r="J46" i="1"/>
  <c r="K46" i="1"/>
  <c r="L46" i="1"/>
  <c r="M46" i="1"/>
  <c r="N46" i="1"/>
  <c r="O46" i="1"/>
  <c r="P46" i="1"/>
  <c r="B47" i="1"/>
  <c r="D47" i="1"/>
  <c r="F47" i="1"/>
  <c r="G47" i="1"/>
  <c r="H47" i="1"/>
  <c r="I47" i="1"/>
  <c r="J47" i="1"/>
  <c r="K47" i="1"/>
  <c r="L47" i="1"/>
  <c r="M47" i="1"/>
  <c r="N47" i="1"/>
  <c r="O47" i="1"/>
  <c r="P47" i="1"/>
  <c r="B48" i="1"/>
  <c r="D48" i="1"/>
  <c r="J48" i="1"/>
  <c r="K48" i="1"/>
  <c r="L48" i="1"/>
  <c r="M48" i="1"/>
  <c r="N48" i="1"/>
  <c r="O48" i="1"/>
  <c r="P48" i="1"/>
  <c r="B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B50" i="1"/>
  <c r="D50" i="1"/>
  <c r="G50" i="1"/>
  <c r="H50" i="1"/>
  <c r="I50" i="1"/>
  <c r="J50" i="1"/>
  <c r="K50" i="1"/>
  <c r="L50" i="1"/>
  <c r="M50" i="1"/>
  <c r="N50" i="1"/>
  <c r="O50" i="1"/>
  <c r="P50" i="1"/>
  <c r="B51" i="1"/>
  <c r="D51" i="1"/>
  <c r="F51" i="1"/>
  <c r="G51" i="1"/>
  <c r="H51" i="1"/>
  <c r="I51" i="1"/>
  <c r="J51" i="1"/>
  <c r="K51" i="1"/>
  <c r="L51" i="1"/>
  <c r="M51" i="1"/>
  <c r="N51" i="1"/>
  <c r="O51" i="1"/>
  <c r="P51" i="1"/>
  <c r="B52" i="1"/>
  <c r="D52" i="1"/>
  <c r="H52" i="1"/>
  <c r="I52" i="1"/>
  <c r="J52" i="1"/>
  <c r="K52" i="1"/>
  <c r="L52" i="1"/>
  <c r="M52" i="1"/>
  <c r="N52" i="1"/>
  <c r="O52" i="1"/>
  <c r="P52" i="1"/>
  <c r="B53" i="1"/>
  <c r="D53" i="1"/>
  <c r="F53" i="1"/>
  <c r="G53" i="1"/>
  <c r="H53" i="1"/>
  <c r="I53" i="1"/>
  <c r="J53" i="1"/>
  <c r="K53" i="1"/>
  <c r="L53" i="1"/>
  <c r="M53" i="1"/>
  <c r="N53" i="1"/>
  <c r="O53" i="1"/>
  <c r="P53" i="1"/>
  <c r="B54" i="1"/>
  <c r="D54" i="1"/>
  <c r="H54" i="1"/>
  <c r="I54" i="1"/>
  <c r="J54" i="1"/>
  <c r="K54" i="1"/>
  <c r="L54" i="1"/>
  <c r="M54" i="1"/>
  <c r="N54" i="1"/>
  <c r="O54" i="1"/>
  <c r="P54" i="1"/>
  <c r="B55" i="1"/>
  <c r="D55" i="1"/>
  <c r="G55" i="1"/>
  <c r="H55" i="1"/>
  <c r="I55" i="1"/>
  <c r="J55" i="1"/>
  <c r="K55" i="1"/>
  <c r="L55" i="1"/>
  <c r="M55" i="1"/>
  <c r="N55" i="1"/>
  <c r="O55" i="1"/>
  <c r="P55" i="1"/>
  <c r="B56" i="1"/>
  <c r="D56" i="1"/>
  <c r="G56" i="1"/>
  <c r="H56" i="1"/>
  <c r="I56" i="1"/>
  <c r="J56" i="1"/>
  <c r="K56" i="1"/>
  <c r="L56" i="1"/>
  <c r="M56" i="1"/>
  <c r="N56" i="1"/>
  <c r="O56" i="1"/>
  <c r="P56" i="1"/>
  <c r="B57" i="1"/>
  <c r="D57" i="1"/>
  <c r="G57" i="1"/>
  <c r="H57" i="1"/>
  <c r="I57" i="1"/>
  <c r="J57" i="1"/>
  <c r="K57" i="1"/>
  <c r="L57" i="1"/>
  <c r="M57" i="1"/>
  <c r="N57" i="1"/>
  <c r="O57" i="1"/>
  <c r="P57" i="1"/>
  <c r="B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9" i="1"/>
  <c r="D59" i="1"/>
  <c r="F59" i="1"/>
  <c r="G59" i="1"/>
  <c r="H59" i="1"/>
  <c r="I59" i="1"/>
  <c r="J59" i="1"/>
  <c r="K59" i="1"/>
  <c r="L59" i="1"/>
  <c r="M59" i="1"/>
  <c r="N59" i="1"/>
  <c r="O59" i="1"/>
  <c r="P59" i="1"/>
  <c r="B60" i="1"/>
  <c r="D60" i="1"/>
  <c r="H60" i="1"/>
  <c r="I60" i="1"/>
  <c r="J60" i="1"/>
  <c r="K60" i="1"/>
  <c r="L60" i="1"/>
  <c r="M60" i="1"/>
  <c r="N60" i="1"/>
  <c r="O60" i="1"/>
  <c r="P60" i="1"/>
  <c r="B61" i="1"/>
  <c r="D61" i="1"/>
  <c r="F61" i="1"/>
  <c r="G61" i="1"/>
  <c r="H61" i="1"/>
  <c r="I61" i="1"/>
  <c r="J61" i="1"/>
  <c r="K61" i="1"/>
  <c r="L61" i="1"/>
  <c r="M61" i="1"/>
  <c r="N61" i="1"/>
  <c r="O61" i="1"/>
  <c r="P61" i="1"/>
  <c r="B62" i="1"/>
  <c r="D62" i="1"/>
  <c r="I62" i="1"/>
  <c r="J62" i="1"/>
  <c r="K62" i="1"/>
  <c r="L62" i="1"/>
  <c r="M62" i="1"/>
  <c r="N62" i="1"/>
  <c r="O62" i="1"/>
  <c r="P62" i="1"/>
  <c r="B63" i="1"/>
  <c r="D63" i="1"/>
  <c r="F63" i="1"/>
  <c r="G63" i="1"/>
  <c r="H63" i="1"/>
  <c r="I63" i="1"/>
  <c r="J63" i="1"/>
  <c r="K63" i="1"/>
  <c r="L63" i="1"/>
  <c r="M63" i="1"/>
  <c r="N63" i="1"/>
  <c r="O63" i="1"/>
  <c r="P63" i="1"/>
  <c r="B64" i="1"/>
  <c r="D64" i="1"/>
  <c r="F64" i="1"/>
  <c r="G64" i="1"/>
  <c r="H64" i="1"/>
  <c r="I64" i="1"/>
  <c r="J64" i="1"/>
  <c r="K64" i="1"/>
  <c r="L64" i="1"/>
  <c r="M64" i="1"/>
  <c r="N64" i="1"/>
  <c r="O64" i="1"/>
  <c r="P64" i="1"/>
  <c r="B65" i="1"/>
  <c r="D65" i="1"/>
  <c r="E65" i="1"/>
  <c r="G65" i="1"/>
  <c r="H65" i="1"/>
  <c r="I65" i="1"/>
  <c r="J65" i="1"/>
  <c r="K65" i="1"/>
  <c r="L65" i="1"/>
  <c r="M65" i="1"/>
  <c r="N65" i="1"/>
  <c r="O65" i="1"/>
  <c r="P65" i="1"/>
  <c r="B66" i="1"/>
  <c r="D66" i="1"/>
  <c r="F66" i="1"/>
  <c r="G66" i="1"/>
  <c r="H66" i="1"/>
  <c r="I66" i="1"/>
  <c r="J66" i="1"/>
  <c r="K66" i="1"/>
  <c r="L66" i="1"/>
  <c r="M66" i="1"/>
  <c r="N66" i="1"/>
  <c r="O66" i="1"/>
  <c r="P66" i="1"/>
  <c r="B67" i="1"/>
  <c r="D67" i="1"/>
  <c r="F67" i="1"/>
  <c r="G67" i="1"/>
  <c r="H67" i="1"/>
  <c r="I67" i="1"/>
  <c r="J67" i="1"/>
  <c r="K67" i="1"/>
  <c r="L67" i="1"/>
  <c r="M67" i="1"/>
  <c r="N67" i="1"/>
  <c r="O67" i="1"/>
  <c r="P67" i="1"/>
  <c r="B68" i="1"/>
  <c r="D68" i="1"/>
  <c r="F68" i="1"/>
  <c r="G68" i="1"/>
  <c r="H68" i="1"/>
  <c r="I68" i="1"/>
  <c r="J68" i="1"/>
  <c r="K68" i="1"/>
  <c r="L68" i="1"/>
  <c r="M68" i="1"/>
  <c r="N68" i="1"/>
  <c r="O68" i="1"/>
  <c r="P68" i="1"/>
  <c r="B69" i="1"/>
  <c r="D69" i="1"/>
  <c r="F69" i="1"/>
  <c r="G69" i="1"/>
  <c r="H69" i="1"/>
  <c r="I69" i="1"/>
  <c r="J69" i="1"/>
  <c r="K69" i="1"/>
  <c r="L69" i="1"/>
  <c r="M69" i="1"/>
  <c r="N69" i="1"/>
  <c r="O69" i="1"/>
  <c r="P69" i="1"/>
  <c r="B70" i="1"/>
  <c r="D70" i="1"/>
  <c r="F70" i="1"/>
  <c r="G70" i="1"/>
  <c r="H70" i="1"/>
  <c r="I70" i="1"/>
  <c r="J70" i="1"/>
  <c r="K70" i="1"/>
  <c r="L70" i="1"/>
  <c r="M70" i="1"/>
  <c r="N70" i="1"/>
  <c r="O70" i="1"/>
  <c r="P70" i="1"/>
  <c r="B71" i="1"/>
  <c r="D71" i="1"/>
  <c r="H71" i="1"/>
  <c r="I71" i="1"/>
  <c r="J71" i="1"/>
  <c r="K71" i="1"/>
  <c r="L71" i="1"/>
  <c r="M71" i="1"/>
  <c r="N71" i="1"/>
  <c r="O71" i="1"/>
  <c r="P71" i="1"/>
  <c r="B72" i="1"/>
  <c r="D72" i="1"/>
  <c r="F72" i="1"/>
  <c r="G72" i="1"/>
  <c r="H72" i="1"/>
  <c r="I72" i="1"/>
  <c r="J72" i="1"/>
  <c r="K72" i="1"/>
  <c r="L72" i="1"/>
  <c r="M72" i="1"/>
  <c r="N72" i="1"/>
  <c r="O72" i="1"/>
  <c r="P72" i="1"/>
  <c r="B73" i="1"/>
  <c r="D73" i="1"/>
  <c r="H73" i="1"/>
  <c r="I73" i="1"/>
  <c r="J73" i="1"/>
  <c r="K73" i="1"/>
  <c r="L73" i="1"/>
  <c r="M73" i="1"/>
  <c r="N73" i="1"/>
  <c r="O73" i="1"/>
  <c r="P73" i="1"/>
  <c r="B74" i="1"/>
  <c r="D74" i="1"/>
  <c r="H74" i="1"/>
  <c r="I74" i="1"/>
  <c r="J74" i="1"/>
  <c r="K74" i="1"/>
  <c r="L74" i="1"/>
  <c r="M74" i="1"/>
  <c r="N74" i="1"/>
  <c r="O74" i="1"/>
  <c r="P74" i="1"/>
  <c r="B75" i="1"/>
  <c r="D75" i="1"/>
  <c r="F75" i="1"/>
  <c r="G75" i="1"/>
  <c r="H75" i="1"/>
  <c r="I75" i="1"/>
  <c r="J75" i="1"/>
  <c r="K75" i="1"/>
  <c r="L75" i="1"/>
  <c r="M75" i="1"/>
  <c r="N75" i="1"/>
  <c r="O75" i="1"/>
  <c r="P75" i="1"/>
  <c r="B76" i="1"/>
  <c r="D76" i="1"/>
  <c r="E76" i="1"/>
  <c r="I76" i="1"/>
  <c r="J76" i="1"/>
  <c r="K76" i="1"/>
  <c r="L76" i="1"/>
  <c r="M76" i="1"/>
  <c r="N76" i="1"/>
  <c r="O76" i="1"/>
  <c r="P76" i="1"/>
  <c r="B77" i="1"/>
  <c r="D77" i="1"/>
  <c r="F77" i="1"/>
  <c r="G77" i="1"/>
  <c r="H77" i="1"/>
  <c r="I77" i="1"/>
  <c r="J77" i="1"/>
  <c r="K77" i="1"/>
  <c r="L77" i="1"/>
  <c r="M77" i="1"/>
  <c r="N77" i="1"/>
  <c r="O77" i="1"/>
  <c r="P77" i="1"/>
  <c r="B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B79" i="1"/>
  <c r="D79" i="1"/>
  <c r="H79" i="1"/>
  <c r="I79" i="1"/>
  <c r="J79" i="1"/>
  <c r="K79" i="1"/>
  <c r="L79" i="1"/>
  <c r="M79" i="1"/>
  <c r="N79" i="1"/>
  <c r="O79" i="1"/>
  <c r="P79" i="1"/>
  <c r="B80" i="1"/>
  <c r="D80" i="1"/>
  <c r="G80" i="1"/>
  <c r="H80" i="1"/>
  <c r="I80" i="1"/>
  <c r="J80" i="1"/>
  <c r="K80" i="1"/>
  <c r="L80" i="1"/>
  <c r="M80" i="1"/>
  <c r="N80" i="1"/>
  <c r="O80" i="1"/>
  <c r="P80" i="1"/>
  <c r="B81" i="1"/>
  <c r="D81" i="1"/>
  <c r="G81" i="1"/>
  <c r="H81" i="1"/>
  <c r="I81" i="1"/>
  <c r="J81" i="1"/>
  <c r="K81" i="1"/>
  <c r="L81" i="1"/>
  <c r="M81" i="1"/>
  <c r="N81" i="1"/>
  <c r="O81" i="1"/>
  <c r="P81" i="1"/>
  <c r="B82" i="1"/>
  <c r="D82" i="1"/>
  <c r="F82" i="1"/>
  <c r="G82" i="1"/>
  <c r="H82" i="1"/>
  <c r="I82" i="1"/>
  <c r="J82" i="1"/>
  <c r="K82" i="1"/>
  <c r="L82" i="1"/>
  <c r="M82" i="1"/>
  <c r="N82" i="1"/>
  <c r="O82" i="1"/>
  <c r="P82" i="1"/>
  <c r="B83" i="1"/>
  <c r="D83" i="1"/>
  <c r="F83" i="1"/>
  <c r="G83" i="1"/>
  <c r="H83" i="1"/>
  <c r="I83" i="1"/>
  <c r="J83" i="1"/>
  <c r="K83" i="1"/>
  <c r="L83" i="1"/>
  <c r="M83" i="1"/>
  <c r="N83" i="1"/>
  <c r="O83" i="1"/>
  <c r="P83" i="1"/>
  <c r="B84" i="1"/>
  <c r="D84" i="1"/>
  <c r="H84" i="1"/>
  <c r="I84" i="1"/>
  <c r="J84" i="1"/>
  <c r="K84" i="1"/>
  <c r="L84" i="1"/>
  <c r="M84" i="1"/>
  <c r="N84" i="1"/>
  <c r="O84" i="1"/>
  <c r="P84" i="1"/>
  <c r="B85" i="1"/>
  <c r="D85" i="1"/>
  <c r="F85" i="1"/>
  <c r="G85" i="1"/>
  <c r="H85" i="1"/>
  <c r="I85" i="1"/>
  <c r="J85" i="1"/>
  <c r="K85" i="1"/>
  <c r="L85" i="1"/>
  <c r="M85" i="1"/>
  <c r="N85" i="1"/>
  <c r="O85" i="1"/>
  <c r="P85" i="1"/>
  <c r="B86" i="1"/>
  <c r="D86" i="1"/>
  <c r="E86" i="1"/>
  <c r="H86" i="1"/>
  <c r="I86" i="1"/>
  <c r="J86" i="1"/>
  <c r="K86" i="1"/>
  <c r="L86" i="1"/>
  <c r="M86" i="1"/>
  <c r="N86" i="1"/>
  <c r="O86" i="1"/>
  <c r="P86" i="1"/>
  <c r="B87" i="1"/>
  <c r="D87" i="1"/>
  <c r="F87" i="1"/>
  <c r="G87" i="1"/>
  <c r="H87" i="1"/>
  <c r="I87" i="1"/>
  <c r="J87" i="1"/>
  <c r="K87" i="1"/>
  <c r="L87" i="1"/>
  <c r="M87" i="1"/>
  <c r="N87" i="1"/>
  <c r="O87" i="1"/>
  <c r="P87" i="1"/>
  <c r="B88" i="1"/>
  <c r="D88" i="1"/>
  <c r="G88" i="1"/>
  <c r="H88" i="1"/>
  <c r="I88" i="1"/>
  <c r="J88" i="1"/>
  <c r="K88" i="1"/>
  <c r="L88" i="1"/>
  <c r="M88" i="1"/>
  <c r="N88" i="1"/>
  <c r="O88" i="1"/>
  <c r="P88" i="1"/>
  <c r="B89" i="1"/>
  <c r="D89" i="1"/>
  <c r="G89" i="1"/>
  <c r="H89" i="1"/>
  <c r="I89" i="1"/>
  <c r="J89" i="1"/>
  <c r="K89" i="1"/>
  <c r="L89" i="1"/>
  <c r="M89" i="1"/>
  <c r="N89" i="1"/>
  <c r="O89" i="1"/>
  <c r="P89" i="1"/>
  <c r="B90" i="1"/>
  <c r="D90" i="1"/>
  <c r="F90" i="1"/>
  <c r="G90" i="1"/>
  <c r="H90" i="1"/>
  <c r="I90" i="1"/>
  <c r="J90" i="1"/>
  <c r="K90" i="1"/>
  <c r="L90" i="1"/>
  <c r="M90" i="1"/>
  <c r="N90" i="1"/>
  <c r="O90" i="1"/>
  <c r="P90" i="1"/>
  <c r="B91" i="1"/>
  <c r="D91" i="1"/>
  <c r="E91" i="1"/>
  <c r="G91" i="1"/>
  <c r="H91" i="1"/>
  <c r="I91" i="1"/>
  <c r="J91" i="1"/>
  <c r="K91" i="1"/>
  <c r="L91" i="1"/>
  <c r="M91" i="1"/>
  <c r="N91" i="1"/>
  <c r="O91" i="1"/>
  <c r="P91" i="1"/>
  <c r="B92" i="1"/>
  <c r="D92" i="1"/>
  <c r="H92" i="1"/>
  <c r="I92" i="1"/>
  <c r="J92" i="1"/>
  <c r="K92" i="1"/>
  <c r="L92" i="1"/>
  <c r="M92" i="1"/>
  <c r="N92" i="1"/>
  <c r="O92" i="1"/>
  <c r="P92" i="1"/>
  <c r="B93" i="1"/>
  <c r="D93" i="1"/>
  <c r="E93" i="1"/>
  <c r="G93" i="1"/>
  <c r="H93" i="1"/>
  <c r="I93" i="1"/>
  <c r="J93" i="1"/>
  <c r="K93" i="1"/>
  <c r="L93" i="1"/>
  <c r="M93" i="1"/>
  <c r="N93" i="1"/>
  <c r="O93" i="1"/>
  <c r="P93" i="1"/>
  <c r="B94" i="1"/>
  <c r="D94" i="1"/>
  <c r="F94" i="1"/>
  <c r="G94" i="1"/>
  <c r="H94" i="1"/>
  <c r="I94" i="1"/>
  <c r="J94" i="1"/>
  <c r="K94" i="1"/>
  <c r="L94" i="1"/>
  <c r="M94" i="1"/>
  <c r="N94" i="1"/>
  <c r="O94" i="1"/>
  <c r="P94" i="1"/>
  <c r="B95" i="1"/>
  <c r="D95" i="1"/>
  <c r="F95" i="1"/>
  <c r="G95" i="1"/>
  <c r="H95" i="1"/>
  <c r="I95" i="1"/>
  <c r="J95" i="1"/>
  <c r="K95" i="1"/>
  <c r="L95" i="1"/>
  <c r="M95" i="1"/>
  <c r="N95" i="1"/>
  <c r="O95" i="1"/>
  <c r="P95" i="1"/>
  <c r="B96" i="1"/>
  <c r="D96" i="1"/>
  <c r="G96" i="1"/>
  <c r="H96" i="1"/>
  <c r="I96" i="1"/>
  <c r="J96" i="1"/>
  <c r="K96" i="1"/>
  <c r="L96" i="1"/>
  <c r="M96" i="1"/>
  <c r="N96" i="1"/>
  <c r="O96" i="1"/>
  <c r="P96" i="1"/>
  <c r="B97" i="1"/>
  <c r="D97" i="1"/>
  <c r="F97" i="1"/>
  <c r="G97" i="1"/>
  <c r="H97" i="1"/>
  <c r="I97" i="1"/>
  <c r="J97" i="1"/>
  <c r="K97" i="1"/>
  <c r="L97" i="1"/>
  <c r="M97" i="1"/>
  <c r="N97" i="1"/>
  <c r="O97" i="1"/>
  <c r="P97" i="1"/>
  <c r="B98" i="1"/>
  <c r="D98" i="1"/>
  <c r="G98" i="1"/>
  <c r="H98" i="1"/>
  <c r="I98" i="1"/>
  <c r="J98" i="1"/>
  <c r="K98" i="1"/>
  <c r="L98" i="1"/>
  <c r="M98" i="1"/>
  <c r="N98" i="1"/>
  <c r="O98" i="1"/>
  <c r="P98" i="1"/>
  <c r="B99" i="1"/>
  <c r="D99" i="1"/>
  <c r="E99" i="1"/>
  <c r="H99" i="1"/>
  <c r="I99" i="1"/>
  <c r="J99" i="1"/>
  <c r="K99" i="1"/>
  <c r="L99" i="1"/>
  <c r="M99" i="1"/>
  <c r="N99" i="1"/>
  <c r="O99" i="1"/>
  <c r="P99" i="1"/>
  <c r="B100" i="1"/>
  <c r="D100" i="1"/>
  <c r="H100" i="1"/>
  <c r="I100" i="1"/>
  <c r="J100" i="1"/>
  <c r="K100" i="1"/>
  <c r="L100" i="1"/>
  <c r="M100" i="1"/>
  <c r="N100" i="1"/>
  <c r="O100" i="1"/>
  <c r="P100" i="1"/>
  <c r="B101" i="1"/>
  <c r="D101" i="1"/>
  <c r="H101" i="1"/>
  <c r="I101" i="1"/>
  <c r="J101" i="1"/>
  <c r="K101" i="1"/>
  <c r="L101" i="1"/>
  <c r="M101" i="1"/>
  <c r="N101" i="1"/>
  <c r="O101" i="1"/>
  <c r="P101" i="1"/>
  <c r="B102" i="1"/>
  <c r="D102" i="1"/>
  <c r="H102" i="1"/>
  <c r="I102" i="1"/>
  <c r="J102" i="1"/>
  <c r="K102" i="1"/>
  <c r="L102" i="1"/>
  <c r="M102" i="1"/>
  <c r="N102" i="1"/>
  <c r="O102" i="1"/>
  <c r="P102" i="1"/>
  <c r="B103" i="1"/>
  <c r="D103" i="1"/>
  <c r="G103" i="1"/>
  <c r="H103" i="1"/>
  <c r="I103" i="1"/>
  <c r="J103" i="1"/>
  <c r="K103" i="1"/>
  <c r="L103" i="1"/>
  <c r="M103" i="1"/>
  <c r="N103" i="1"/>
  <c r="O103" i="1"/>
  <c r="P103" i="1"/>
  <c r="B104" i="1"/>
  <c r="D104" i="1"/>
  <c r="E104" i="1"/>
  <c r="G104" i="1"/>
  <c r="H104" i="1"/>
  <c r="I104" i="1"/>
  <c r="J104" i="1"/>
  <c r="K104" i="1"/>
  <c r="L104" i="1"/>
  <c r="M104" i="1"/>
  <c r="N104" i="1"/>
  <c r="O104" i="1"/>
  <c r="P104" i="1"/>
  <c r="B105" i="1"/>
  <c r="D105" i="1"/>
  <c r="G105" i="1"/>
  <c r="H105" i="1"/>
  <c r="I105" i="1"/>
  <c r="J105" i="1"/>
  <c r="K105" i="1"/>
  <c r="L105" i="1"/>
  <c r="M105" i="1"/>
  <c r="N105" i="1"/>
  <c r="O105" i="1"/>
  <c r="P105" i="1"/>
  <c r="B106" i="1"/>
  <c r="D106" i="1"/>
  <c r="H106" i="1"/>
  <c r="I106" i="1"/>
  <c r="J106" i="1"/>
  <c r="K106" i="1"/>
  <c r="L106" i="1"/>
  <c r="M106" i="1"/>
  <c r="N106" i="1"/>
  <c r="O106" i="1"/>
  <c r="P106" i="1"/>
  <c r="B107" i="1"/>
  <c r="D107" i="1"/>
  <c r="G107" i="1"/>
  <c r="H107" i="1"/>
  <c r="I107" i="1"/>
  <c r="J107" i="1"/>
  <c r="K107" i="1"/>
  <c r="L107" i="1"/>
  <c r="M107" i="1"/>
  <c r="N107" i="1"/>
  <c r="O107" i="1"/>
  <c r="P107" i="1"/>
  <c r="B108" i="1"/>
  <c r="D108" i="1"/>
  <c r="J108" i="1"/>
  <c r="K108" i="1"/>
  <c r="L108" i="1"/>
  <c r="M108" i="1"/>
  <c r="N108" i="1"/>
  <c r="O108" i="1"/>
  <c r="P108" i="1"/>
  <c r="B109" i="1"/>
  <c r="D109" i="1"/>
  <c r="F109" i="1"/>
  <c r="G109" i="1"/>
  <c r="H109" i="1"/>
  <c r="I109" i="1"/>
  <c r="J109" i="1"/>
  <c r="K109" i="1"/>
  <c r="L109" i="1"/>
  <c r="M109" i="1"/>
  <c r="N109" i="1"/>
  <c r="O109" i="1"/>
  <c r="P109" i="1"/>
  <c r="B110" i="1"/>
  <c r="D110" i="1"/>
  <c r="H110" i="1"/>
  <c r="I110" i="1"/>
  <c r="J110" i="1"/>
  <c r="K110" i="1"/>
  <c r="L110" i="1"/>
  <c r="M110" i="1"/>
  <c r="N110" i="1"/>
  <c r="O110" i="1"/>
  <c r="P110" i="1"/>
  <c r="B111" i="1"/>
  <c r="D111" i="1"/>
  <c r="H111" i="1"/>
  <c r="I111" i="1"/>
  <c r="J111" i="1"/>
  <c r="K111" i="1"/>
  <c r="L111" i="1"/>
  <c r="M111" i="1"/>
  <c r="N111" i="1"/>
  <c r="O111" i="1"/>
  <c r="P111" i="1"/>
  <c r="B112" i="1"/>
  <c r="D112" i="1"/>
  <c r="K112" i="1"/>
  <c r="L112" i="1"/>
  <c r="M112" i="1"/>
  <c r="N112" i="1"/>
  <c r="O112" i="1"/>
  <c r="P112" i="1"/>
  <c r="B113" i="1"/>
  <c r="D113" i="1"/>
  <c r="E113" i="1"/>
  <c r="H113" i="1"/>
  <c r="I113" i="1"/>
  <c r="J113" i="1"/>
  <c r="K113" i="1"/>
  <c r="L113" i="1"/>
  <c r="M113" i="1"/>
  <c r="N113" i="1"/>
  <c r="O113" i="1"/>
  <c r="P113" i="1"/>
  <c r="B114" i="1"/>
  <c r="D114" i="1"/>
  <c r="F114" i="1"/>
  <c r="G114" i="1"/>
  <c r="H114" i="1"/>
  <c r="I114" i="1"/>
  <c r="J114" i="1"/>
  <c r="K114" i="1"/>
  <c r="L114" i="1"/>
  <c r="M114" i="1"/>
  <c r="N114" i="1"/>
  <c r="O114" i="1"/>
  <c r="P114" i="1"/>
  <c r="B115" i="1"/>
  <c r="D115" i="1"/>
  <c r="B116" i="1"/>
  <c r="D116" i="1"/>
  <c r="F116" i="1"/>
  <c r="G116" i="1"/>
  <c r="H116" i="1"/>
  <c r="I116" i="1"/>
  <c r="J116" i="1"/>
  <c r="K116" i="1"/>
  <c r="L116" i="1"/>
  <c r="M116" i="1"/>
  <c r="N116" i="1"/>
  <c r="O116" i="1"/>
  <c r="P116" i="1"/>
  <c r="B117" i="1"/>
  <c r="D117" i="1"/>
  <c r="G117" i="1"/>
  <c r="H117" i="1"/>
  <c r="I117" i="1"/>
  <c r="J117" i="1"/>
  <c r="K117" i="1"/>
  <c r="L117" i="1"/>
  <c r="M117" i="1"/>
  <c r="N117" i="1"/>
  <c r="O117" i="1"/>
  <c r="P117" i="1"/>
  <c r="B118" i="1"/>
  <c r="D118" i="1"/>
  <c r="G118" i="1"/>
  <c r="H118" i="1"/>
  <c r="I118" i="1"/>
  <c r="J118" i="1"/>
  <c r="K118" i="1"/>
  <c r="L118" i="1"/>
  <c r="M118" i="1"/>
  <c r="N118" i="1"/>
  <c r="O118" i="1"/>
  <c r="P118" i="1"/>
  <c r="B119" i="1"/>
  <c r="D119" i="1"/>
  <c r="I119" i="1"/>
  <c r="J119" i="1"/>
  <c r="K119" i="1"/>
  <c r="L119" i="1"/>
  <c r="M119" i="1"/>
  <c r="N119" i="1"/>
  <c r="O119" i="1"/>
  <c r="P119" i="1"/>
  <c r="B120" i="1"/>
  <c r="D120" i="1"/>
  <c r="F120" i="1"/>
  <c r="G120" i="1"/>
  <c r="H120" i="1"/>
  <c r="I120" i="1"/>
  <c r="J120" i="1"/>
  <c r="K120" i="1"/>
  <c r="L120" i="1"/>
  <c r="M120" i="1"/>
  <c r="N120" i="1"/>
  <c r="O120" i="1"/>
  <c r="P120" i="1"/>
  <c r="B121" i="1"/>
  <c r="D121" i="1"/>
  <c r="H121" i="1"/>
  <c r="I121" i="1"/>
  <c r="J121" i="1"/>
  <c r="K121" i="1"/>
  <c r="L121" i="1"/>
  <c r="M121" i="1"/>
  <c r="N121" i="1"/>
  <c r="O121" i="1"/>
  <c r="P121" i="1"/>
  <c r="B122" i="1"/>
  <c r="D122" i="1"/>
  <c r="F122" i="1"/>
  <c r="G122" i="1"/>
  <c r="H122" i="1"/>
  <c r="I122" i="1"/>
  <c r="J122" i="1"/>
  <c r="K122" i="1"/>
  <c r="L122" i="1"/>
  <c r="M122" i="1"/>
  <c r="N122" i="1"/>
  <c r="O122" i="1"/>
  <c r="P122" i="1"/>
  <c r="B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B124" i="1"/>
  <c r="D124" i="1"/>
  <c r="F124" i="1"/>
  <c r="G124" i="1"/>
  <c r="H124" i="1"/>
  <c r="I124" i="1"/>
  <c r="J124" i="1"/>
  <c r="K124" i="1"/>
  <c r="L124" i="1"/>
  <c r="M124" i="1"/>
  <c r="N124" i="1"/>
  <c r="O124" i="1"/>
  <c r="P124" i="1"/>
  <c r="B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B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B127" i="1"/>
  <c r="D127" i="1"/>
  <c r="I127" i="1"/>
  <c r="J127" i="1"/>
  <c r="K127" i="1"/>
  <c r="L127" i="1"/>
  <c r="M127" i="1"/>
  <c r="N127" i="1"/>
  <c r="O127" i="1"/>
  <c r="P127" i="1"/>
  <c r="B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B129" i="1"/>
  <c r="D129" i="1"/>
  <c r="H129" i="1"/>
  <c r="I129" i="1"/>
  <c r="J129" i="1"/>
  <c r="K129" i="1"/>
  <c r="L129" i="1"/>
  <c r="M129" i="1"/>
  <c r="N129" i="1"/>
  <c r="O129" i="1"/>
  <c r="P129" i="1"/>
  <c r="B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B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B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B133" i="1"/>
  <c r="D133" i="1"/>
  <c r="I133" i="1"/>
  <c r="J133" i="1"/>
  <c r="K133" i="1"/>
  <c r="L133" i="1"/>
  <c r="M133" i="1"/>
  <c r="N133" i="1"/>
  <c r="O133" i="1"/>
  <c r="P133" i="1"/>
  <c r="B134" i="1"/>
  <c r="D134" i="1"/>
  <c r="H134" i="1"/>
  <c r="I134" i="1"/>
  <c r="J134" i="1"/>
  <c r="K134" i="1"/>
  <c r="L134" i="1"/>
  <c r="M134" i="1"/>
  <c r="N134" i="1"/>
  <c r="O134" i="1"/>
  <c r="P134" i="1"/>
  <c r="B135" i="1"/>
  <c r="D135" i="1"/>
  <c r="H135" i="1"/>
  <c r="I135" i="1"/>
  <c r="J135" i="1"/>
  <c r="K135" i="1"/>
  <c r="L135" i="1"/>
  <c r="M135" i="1"/>
  <c r="N135" i="1"/>
  <c r="O135" i="1"/>
  <c r="P135" i="1"/>
  <c r="B136" i="1"/>
  <c r="D136" i="1"/>
  <c r="G136" i="1"/>
  <c r="H136" i="1"/>
  <c r="I136" i="1"/>
  <c r="J136" i="1"/>
  <c r="K136" i="1"/>
  <c r="L136" i="1"/>
  <c r="M136" i="1"/>
  <c r="N136" i="1"/>
  <c r="O136" i="1"/>
  <c r="P136" i="1"/>
  <c r="B137" i="1"/>
  <c r="D137" i="1"/>
  <c r="F137" i="1"/>
  <c r="G137" i="1"/>
  <c r="H137" i="1"/>
  <c r="I137" i="1"/>
  <c r="J137" i="1"/>
  <c r="K137" i="1"/>
  <c r="L137" i="1"/>
  <c r="M137" i="1"/>
  <c r="N137" i="1"/>
  <c r="O137" i="1"/>
  <c r="P137" i="1"/>
  <c r="B138" i="1"/>
  <c r="D138" i="1"/>
  <c r="H138" i="1"/>
  <c r="I138" i="1"/>
  <c r="J138" i="1"/>
  <c r="K138" i="1"/>
  <c r="L138" i="1"/>
  <c r="M138" i="1"/>
  <c r="N138" i="1"/>
  <c r="O138" i="1"/>
  <c r="P138" i="1"/>
  <c r="B139" i="1"/>
  <c r="D139" i="1"/>
  <c r="F139" i="1"/>
  <c r="G139" i="1"/>
  <c r="H139" i="1"/>
  <c r="I139" i="1"/>
  <c r="J139" i="1"/>
  <c r="K139" i="1"/>
  <c r="L139" i="1"/>
  <c r="M139" i="1"/>
  <c r="N139" i="1"/>
  <c r="O139" i="1"/>
  <c r="P139" i="1"/>
  <c r="B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B141" i="1"/>
  <c r="D141" i="1"/>
  <c r="I141" i="1"/>
  <c r="J141" i="1"/>
  <c r="K141" i="1"/>
  <c r="L141" i="1"/>
  <c r="M141" i="1"/>
  <c r="N141" i="1"/>
  <c r="O141" i="1"/>
  <c r="P141" i="1"/>
  <c r="B142" i="1"/>
  <c r="D142" i="1"/>
  <c r="F142" i="1"/>
  <c r="G142" i="1"/>
  <c r="H142" i="1"/>
  <c r="I142" i="1"/>
  <c r="J142" i="1"/>
  <c r="K142" i="1"/>
  <c r="L142" i="1"/>
  <c r="M142" i="1"/>
  <c r="N142" i="1"/>
  <c r="O142" i="1"/>
  <c r="P142" i="1"/>
  <c r="B143" i="1"/>
  <c r="D143" i="1"/>
  <c r="F143" i="1"/>
  <c r="G143" i="1"/>
  <c r="H143" i="1"/>
  <c r="I143" i="1"/>
  <c r="J143" i="1"/>
  <c r="K143" i="1"/>
  <c r="L143" i="1"/>
  <c r="M143" i="1"/>
  <c r="N143" i="1"/>
  <c r="O143" i="1"/>
  <c r="P143" i="1"/>
  <c r="B144" i="1"/>
  <c r="D144" i="1"/>
  <c r="F144" i="1"/>
  <c r="G144" i="1"/>
  <c r="H144" i="1"/>
  <c r="I144" i="1"/>
  <c r="J144" i="1"/>
  <c r="K144" i="1"/>
  <c r="L144" i="1"/>
  <c r="M144" i="1"/>
  <c r="N144" i="1"/>
  <c r="O144" i="1"/>
  <c r="P144" i="1"/>
  <c r="B145" i="1"/>
  <c r="D145" i="1"/>
  <c r="F145" i="1"/>
  <c r="G145" i="1"/>
  <c r="H145" i="1"/>
  <c r="I145" i="1"/>
  <c r="J145" i="1"/>
  <c r="K145" i="1"/>
  <c r="L145" i="1"/>
  <c r="M145" i="1"/>
  <c r="N145" i="1"/>
  <c r="O145" i="1"/>
  <c r="P145" i="1"/>
  <c r="B146" i="1"/>
  <c r="D146" i="1"/>
  <c r="F146" i="1"/>
  <c r="G146" i="1"/>
  <c r="H146" i="1"/>
  <c r="I146" i="1"/>
  <c r="J146" i="1"/>
  <c r="K146" i="1"/>
  <c r="L146" i="1"/>
  <c r="M146" i="1"/>
  <c r="N146" i="1"/>
  <c r="O146" i="1"/>
  <c r="P146" i="1"/>
  <c r="B147" i="1"/>
  <c r="D147" i="1"/>
  <c r="G147" i="1"/>
  <c r="H147" i="1"/>
  <c r="I147" i="1"/>
  <c r="J147" i="1"/>
  <c r="K147" i="1"/>
  <c r="L147" i="1"/>
  <c r="M147" i="1"/>
  <c r="N147" i="1"/>
  <c r="O147" i="1"/>
  <c r="P147" i="1"/>
  <c r="B148" i="1"/>
  <c r="D148" i="1"/>
  <c r="H148" i="1"/>
  <c r="I148" i="1"/>
  <c r="J148" i="1"/>
  <c r="K148" i="1"/>
  <c r="L148" i="1"/>
  <c r="M148" i="1"/>
  <c r="N148" i="1"/>
  <c r="O148" i="1"/>
  <c r="P148" i="1"/>
  <c r="B149" i="1"/>
  <c r="D149" i="1"/>
  <c r="H149" i="1"/>
  <c r="I149" i="1"/>
  <c r="J149" i="1"/>
  <c r="K149" i="1"/>
  <c r="L149" i="1"/>
  <c r="M149" i="1"/>
  <c r="N149" i="1"/>
  <c r="O149" i="1"/>
  <c r="P149" i="1"/>
  <c r="B150" i="1"/>
  <c r="D150" i="1"/>
  <c r="J150" i="1"/>
  <c r="K150" i="1"/>
  <c r="L150" i="1"/>
  <c r="M150" i="1"/>
  <c r="N150" i="1"/>
  <c r="O150" i="1"/>
  <c r="P150" i="1"/>
  <c r="B151" i="1"/>
  <c r="D151" i="1"/>
  <c r="H151" i="1"/>
  <c r="I151" i="1"/>
  <c r="J151" i="1"/>
  <c r="K151" i="1"/>
  <c r="L151" i="1"/>
  <c r="M151" i="1"/>
  <c r="N151" i="1"/>
  <c r="O151" i="1"/>
  <c r="P151" i="1"/>
  <c r="B152" i="1"/>
  <c r="D152" i="1"/>
  <c r="F152" i="1"/>
  <c r="G152" i="1"/>
  <c r="H152" i="1"/>
  <c r="I152" i="1"/>
  <c r="J152" i="1"/>
  <c r="K152" i="1"/>
  <c r="L152" i="1"/>
  <c r="M152" i="1"/>
  <c r="N152" i="1"/>
  <c r="O152" i="1"/>
  <c r="P152" i="1"/>
  <c r="B153" i="1"/>
  <c r="D153" i="1"/>
  <c r="F153" i="1"/>
  <c r="G153" i="1"/>
  <c r="H153" i="1"/>
  <c r="I153" i="1"/>
  <c r="J153" i="1"/>
  <c r="K153" i="1"/>
  <c r="L153" i="1"/>
  <c r="M153" i="1"/>
  <c r="N153" i="1"/>
  <c r="O153" i="1"/>
  <c r="P153" i="1"/>
  <c r="B154" i="1"/>
  <c r="D154" i="1"/>
  <c r="F154" i="1"/>
  <c r="G154" i="1"/>
  <c r="H154" i="1"/>
  <c r="I154" i="1"/>
  <c r="J154" i="1"/>
  <c r="K154" i="1"/>
  <c r="L154" i="1"/>
  <c r="M154" i="1"/>
  <c r="N154" i="1"/>
  <c r="O154" i="1"/>
  <c r="P154" i="1"/>
  <c r="B155" i="1"/>
  <c r="D155" i="1"/>
  <c r="H155" i="1"/>
  <c r="I155" i="1"/>
  <c r="J155" i="1"/>
  <c r="K155" i="1"/>
  <c r="L155" i="1"/>
  <c r="M155" i="1"/>
  <c r="N155" i="1"/>
  <c r="O155" i="1"/>
  <c r="P155" i="1"/>
  <c r="B156" i="1"/>
  <c r="D156" i="1"/>
  <c r="F156" i="1"/>
  <c r="G156" i="1"/>
  <c r="H156" i="1"/>
  <c r="I156" i="1"/>
  <c r="J156" i="1"/>
  <c r="K156" i="1"/>
  <c r="L156" i="1"/>
  <c r="M156" i="1"/>
  <c r="N156" i="1"/>
  <c r="O156" i="1"/>
  <c r="P156" i="1"/>
  <c r="B157" i="1"/>
  <c r="D157" i="1"/>
  <c r="F157" i="1"/>
  <c r="G157" i="1"/>
  <c r="H157" i="1"/>
  <c r="I157" i="1"/>
  <c r="J157" i="1"/>
  <c r="K157" i="1"/>
  <c r="L157" i="1"/>
  <c r="M157" i="1"/>
  <c r="N157" i="1"/>
  <c r="O157" i="1"/>
  <c r="P157" i="1"/>
  <c r="B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B159" i="1"/>
  <c r="D159" i="1"/>
  <c r="F159" i="1"/>
  <c r="G159" i="1"/>
  <c r="H159" i="1"/>
  <c r="I159" i="1"/>
  <c r="J159" i="1"/>
  <c r="K159" i="1"/>
  <c r="L159" i="1"/>
  <c r="M159" i="1"/>
  <c r="N159" i="1"/>
  <c r="O159" i="1"/>
  <c r="P159" i="1"/>
  <c r="B160" i="1"/>
  <c r="D160" i="1"/>
  <c r="H160" i="1"/>
  <c r="I160" i="1"/>
  <c r="J160" i="1"/>
  <c r="K160" i="1"/>
  <c r="L160" i="1"/>
  <c r="M160" i="1"/>
  <c r="N160" i="1"/>
  <c r="O160" i="1"/>
  <c r="P160" i="1"/>
  <c r="B161" i="1"/>
  <c r="D161" i="1"/>
  <c r="F161" i="1"/>
  <c r="G161" i="1"/>
  <c r="H161" i="1"/>
  <c r="I161" i="1"/>
  <c r="J161" i="1"/>
  <c r="K161" i="1"/>
  <c r="L161" i="1"/>
  <c r="M161" i="1"/>
  <c r="N161" i="1"/>
  <c r="O161" i="1"/>
  <c r="P161" i="1"/>
  <c r="B162" i="1"/>
  <c r="D162" i="1"/>
  <c r="F162" i="1"/>
  <c r="G162" i="1"/>
  <c r="H162" i="1"/>
  <c r="I162" i="1"/>
  <c r="J162" i="1"/>
  <c r="K162" i="1"/>
  <c r="L162" i="1"/>
  <c r="M162" i="1"/>
  <c r="N162" i="1"/>
  <c r="O162" i="1"/>
  <c r="P162" i="1"/>
  <c r="B163" i="1"/>
  <c r="D163" i="1"/>
  <c r="G163" i="1"/>
  <c r="H163" i="1"/>
  <c r="I163" i="1"/>
  <c r="J163" i="1"/>
  <c r="K163" i="1"/>
  <c r="L163" i="1"/>
  <c r="M163" i="1"/>
  <c r="N163" i="1"/>
  <c r="O163" i="1"/>
  <c r="P163" i="1"/>
  <c r="B164" i="1"/>
  <c r="D164" i="1"/>
  <c r="F164" i="1"/>
  <c r="G164" i="1"/>
  <c r="H164" i="1"/>
  <c r="I164" i="1"/>
  <c r="J164" i="1"/>
  <c r="K164" i="1"/>
  <c r="L164" i="1"/>
  <c r="M164" i="1"/>
  <c r="N164" i="1"/>
  <c r="O164" i="1"/>
  <c r="P164" i="1"/>
  <c r="B165" i="1"/>
  <c r="D165" i="1"/>
  <c r="F165" i="1"/>
  <c r="G165" i="1"/>
  <c r="H165" i="1"/>
  <c r="I165" i="1"/>
  <c r="J165" i="1"/>
  <c r="K165" i="1"/>
  <c r="L165" i="1"/>
  <c r="M165" i="1"/>
  <c r="N165" i="1"/>
  <c r="O165" i="1"/>
  <c r="P165" i="1"/>
  <c r="B166" i="1"/>
  <c r="D166" i="1"/>
  <c r="F166" i="1"/>
  <c r="G166" i="1"/>
  <c r="H166" i="1"/>
  <c r="I166" i="1"/>
  <c r="J166" i="1"/>
  <c r="K166" i="1"/>
  <c r="L166" i="1"/>
  <c r="M166" i="1"/>
  <c r="N166" i="1"/>
  <c r="O166" i="1"/>
  <c r="P166" i="1"/>
  <c r="B167" i="1"/>
  <c r="D167" i="1"/>
  <c r="H167" i="1"/>
  <c r="I167" i="1"/>
  <c r="J167" i="1"/>
  <c r="K167" i="1"/>
  <c r="L167" i="1"/>
  <c r="M167" i="1"/>
  <c r="N167" i="1"/>
  <c r="O167" i="1"/>
  <c r="P167" i="1"/>
  <c r="B168" i="1"/>
  <c r="D168" i="1"/>
  <c r="G168" i="1"/>
  <c r="H168" i="1"/>
  <c r="I168" i="1"/>
  <c r="J168" i="1"/>
  <c r="K168" i="1"/>
  <c r="L168" i="1"/>
  <c r="M168" i="1"/>
  <c r="N168" i="1"/>
  <c r="O168" i="1"/>
  <c r="P168" i="1"/>
  <c r="B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B170" i="1"/>
  <c r="D170" i="1"/>
  <c r="F170" i="1"/>
  <c r="G170" i="1"/>
  <c r="H170" i="1"/>
  <c r="I170" i="1"/>
  <c r="J170" i="1"/>
  <c r="K170" i="1"/>
  <c r="L170" i="1"/>
  <c r="M170" i="1"/>
  <c r="N170" i="1"/>
  <c r="O170" i="1"/>
  <c r="P170" i="1"/>
  <c r="B171" i="1"/>
  <c r="D171" i="1"/>
  <c r="F171" i="1"/>
  <c r="G171" i="1"/>
  <c r="H171" i="1"/>
  <c r="I171" i="1"/>
  <c r="J171" i="1"/>
  <c r="K171" i="1"/>
  <c r="L171" i="1"/>
  <c r="M171" i="1"/>
  <c r="N171" i="1"/>
  <c r="O171" i="1"/>
  <c r="P171" i="1"/>
  <c r="B172" i="1"/>
  <c r="D172" i="1"/>
  <c r="F172" i="1"/>
  <c r="G172" i="1"/>
  <c r="H172" i="1"/>
  <c r="I172" i="1"/>
  <c r="J172" i="1"/>
  <c r="K172" i="1"/>
  <c r="L172" i="1"/>
  <c r="M172" i="1"/>
  <c r="N172" i="1"/>
  <c r="O172" i="1"/>
  <c r="P172" i="1"/>
  <c r="B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B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</calcChain>
</file>

<file path=xl/sharedStrings.xml><?xml version="1.0" encoding="utf-8"?>
<sst xmlns="http://schemas.openxmlformats.org/spreadsheetml/2006/main" count="178" uniqueCount="6">
  <si>
    <t>Cond</t>
  </si>
  <si>
    <t>Descrição</t>
  </si>
  <si>
    <t>Vencimento</t>
  </si>
  <si>
    <t>Prazos</t>
  </si>
  <si>
    <t>Não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</si>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</sst>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5" fontId="0" fillId="0" borderId="12" xfId="0" applyNumberFormat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0" fontId="0" fillId="0" borderId="15" xfId="0" applyBorder="1"/>
    <xf numFmtId="165" fontId="0" fillId="0" borderId="15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0" fontId="0" fillId="0" borderId="18" xfId="0" applyBorder="1"/>
    <xf numFmtId="165" fontId="0" fillId="0" borderId="18" xfId="0" applyNumberFormat="1" applyBorder="1" applyAlignment="1">
      <alignment horizontal="right"/>
    </xf>
    <xf numFmtId="165" fontId="0" fillId="0" borderId="19" xfId="0" applyNumberFormat="1" applyBorder="1" applyAlignment="1">
      <alignment horizontal="right"/>
    </xf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0" xfId="0" applyFont="1" applyFill="1" applyBorder="1" applyAlignment="1">
      <alignment horizontal="right"/>
    </xf>
    <xf numFmtId="0" fontId="16" fillId="33" borderId="21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169A-EB0D-4B34-8C59-F59615B2538C}">
  <dimension ref="A1:P175"/>
  <sheetViews>
    <sheetView tabSelected="1" workbookViewId="0">
      <selection sqref="A1:XFD2"/>
    </sheetView>
  </sheetViews>
  <sheetFormatPr defaultRowHeight="14.4" x14ac:dyDescent="0.3"/>
  <cols>
    <col min="1" max="1" width="6.6640625" bestFit="1" customWidth="1"/>
    <col min="2" max="2" width="27.33203125" bestFit="1" customWidth="1"/>
    <col min="3" max="3" width="8.21875" bestFit="1" customWidth="1"/>
    <col min="4" max="4" width="12.6640625" bestFit="1" customWidth="1"/>
    <col min="5" max="5" width="6.33203125" bestFit="1" customWidth="1"/>
    <col min="6" max="6" width="3" bestFit="1" customWidth="1"/>
    <col min="7" max="16" width="4" bestFit="1" customWidth="1"/>
  </cols>
  <sheetData>
    <row r="1" spans="1:16" ht="15" thickBot="1" x14ac:dyDescent="0.35">
      <c r="A1" s="13" t="s">
        <v>0</v>
      </c>
      <c r="B1" s="14" t="s">
        <v>1</v>
      </c>
      <c r="C1" s="14" t="e">
        <f>+Negócios</f>
        <v>#NAME?</v>
      </c>
      <c r="D1" s="14" t="s">
        <v>2</v>
      </c>
      <c r="E1" s="15" t="s">
        <v>3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6"/>
    </row>
    <row r="2" spans="1:16" x14ac:dyDescent="0.3">
      <c r="A2" s="9">
        <v>1</v>
      </c>
      <c r="B2" s="10" t="str">
        <f>"A VISTA"</f>
        <v>A VISTA</v>
      </c>
      <c r="C2" s="10" t="s">
        <v>4</v>
      </c>
      <c r="D2" s="10" t="str">
        <f>"A Vista"</f>
        <v>A Vista</v>
      </c>
      <c r="E2" s="11" t="str">
        <f>""</f>
        <v/>
      </c>
      <c r="F2" s="11" t="str">
        <f>""</f>
        <v/>
      </c>
      <c r="G2" s="11" t="str">
        <f>""</f>
        <v/>
      </c>
      <c r="H2" s="11" t="str">
        <f>""</f>
        <v/>
      </c>
      <c r="I2" s="11" t="str">
        <f>""</f>
        <v/>
      </c>
      <c r="J2" s="11" t="str">
        <f>""</f>
        <v/>
      </c>
      <c r="K2" s="11" t="str">
        <f>""</f>
        <v/>
      </c>
      <c r="L2" s="11" t="str">
        <f>""</f>
        <v/>
      </c>
      <c r="M2" s="11" t="str">
        <f>""</f>
        <v/>
      </c>
      <c r="N2" s="11" t="str">
        <f>""</f>
        <v/>
      </c>
      <c r="O2" s="11" t="str">
        <f>""</f>
        <v/>
      </c>
      <c r="P2" s="12" t="str">
        <f>""</f>
        <v/>
      </c>
    </row>
    <row r="3" spans="1:16" x14ac:dyDescent="0.3">
      <c r="A3" s="1">
        <v>2</v>
      </c>
      <c r="B3" s="2" t="str">
        <f>"7 DIAS"</f>
        <v>7 DIAS</v>
      </c>
      <c r="C3" s="2" t="s">
        <v>4</v>
      </c>
      <c r="D3" s="2" t="str">
        <f t="shared" ref="D3:D11" si="0">"Dias da Data"</f>
        <v>Dias da Data</v>
      </c>
      <c r="E3" s="3">
        <v>7</v>
      </c>
      <c r="F3" s="3" t="str">
        <f>""</f>
        <v/>
      </c>
      <c r="G3" s="3" t="str">
        <f>""</f>
        <v/>
      </c>
      <c r="H3" s="3" t="str">
        <f>""</f>
        <v/>
      </c>
      <c r="I3" s="3" t="str">
        <f>""</f>
        <v/>
      </c>
      <c r="J3" s="3" t="str">
        <f>""</f>
        <v/>
      </c>
      <c r="K3" s="3" t="str">
        <f>""</f>
        <v/>
      </c>
      <c r="L3" s="3" t="str">
        <f>""</f>
        <v/>
      </c>
      <c r="M3" s="3" t="str">
        <f>""</f>
        <v/>
      </c>
      <c r="N3" s="3" t="str">
        <f>""</f>
        <v/>
      </c>
      <c r="O3" s="3" t="str">
        <f>""</f>
        <v/>
      </c>
      <c r="P3" s="4" t="str">
        <f>""</f>
        <v/>
      </c>
    </row>
    <row r="4" spans="1:16" x14ac:dyDescent="0.3">
      <c r="A4" s="1">
        <v>3</v>
      </c>
      <c r="B4" s="2" t="str">
        <f>"10 DIAS"</f>
        <v>10 DIAS</v>
      </c>
      <c r="C4" s="2" t="s">
        <v>4</v>
      </c>
      <c r="D4" s="2" t="str">
        <f t="shared" si="0"/>
        <v>Dias da Data</v>
      </c>
      <c r="E4" s="3">
        <v>10</v>
      </c>
      <c r="F4" s="3" t="str">
        <f>""</f>
        <v/>
      </c>
      <c r="G4" s="3" t="str">
        <f>""</f>
        <v/>
      </c>
      <c r="H4" s="3" t="str">
        <f>""</f>
        <v/>
      </c>
      <c r="I4" s="3" t="str">
        <f>""</f>
        <v/>
      </c>
      <c r="J4" s="3" t="str">
        <f>""</f>
        <v/>
      </c>
      <c r="K4" s="3" t="str">
        <f>""</f>
        <v/>
      </c>
      <c r="L4" s="3" t="str">
        <f>""</f>
        <v/>
      </c>
      <c r="M4" s="3" t="str">
        <f>""</f>
        <v/>
      </c>
      <c r="N4" s="3" t="str">
        <f>""</f>
        <v/>
      </c>
      <c r="O4" s="3" t="str">
        <f>""</f>
        <v/>
      </c>
      <c r="P4" s="4" t="str">
        <f>""</f>
        <v/>
      </c>
    </row>
    <row r="5" spans="1:16" x14ac:dyDescent="0.3">
      <c r="A5" s="1">
        <v>4</v>
      </c>
      <c r="B5" s="2" t="str">
        <f>"14 DIAS"</f>
        <v>14 DIAS</v>
      </c>
      <c r="C5" s="2" t="s">
        <v>4</v>
      </c>
      <c r="D5" s="2" t="str">
        <f t="shared" si="0"/>
        <v>Dias da Data</v>
      </c>
      <c r="E5" s="3">
        <v>14</v>
      </c>
      <c r="F5" s="3" t="str">
        <f>""</f>
        <v/>
      </c>
      <c r="G5" s="3" t="str">
        <f>""</f>
        <v/>
      </c>
      <c r="H5" s="3" t="str">
        <f>""</f>
        <v/>
      </c>
      <c r="I5" s="3" t="str">
        <f>""</f>
        <v/>
      </c>
      <c r="J5" s="3" t="str">
        <f>""</f>
        <v/>
      </c>
      <c r="K5" s="3" t="str">
        <f>""</f>
        <v/>
      </c>
      <c r="L5" s="3" t="str">
        <f>""</f>
        <v/>
      </c>
      <c r="M5" s="3" t="str">
        <f>""</f>
        <v/>
      </c>
      <c r="N5" s="3" t="str">
        <f>""</f>
        <v/>
      </c>
      <c r="O5" s="3" t="str">
        <f>""</f>
        <v/>
      </c>
      <c r="P5" s="4" t="str">
        <f>""</f>
        <v/>
      </c>
    </row>
    <row r="6" spans="1:16" x14ac:dyDescent="0.3">
      <c r="A6" s="1">
        <v>5</v>
      </c>
      <c r="B6" s="2" t="str">
        <f>"21 DIAS"</f>
        <v>21 DIAS</v>
      </c>
      <c r="C6" s="2" t="s">
        <v>4</v>
      </c>
      <c r="D6" s="2" t="str">
        <f t="shared" si="0"/>
        <v>Dias da Data</v>
      </c>
      <c r="E6" s="3">
        <v>21</v>
      </c>
      <c r="F6" s="3" t="str">
        <f>""</f>
        <v/>
      </c>
      <c r="G6" s="3" t="str">
        <f>""</f>
        <v/>
      </c>
      <c r="H6" s="3" t="str">
        <f>""</f>
        <v/>
      </c>
      <c r="I6" s="3" t="str">
        <f>""</f>
        <v/>
      </c>
      <c r="J6" s="3" t="str">
        <f>""</f>
        <v/>
      </c>
      <c r="K6" s="3" t="str">
        <f>""</f>
        <v/>
      </c>
      <c r="L6" s="3" t="str">
        <f>""</f>
        <v/>
      </c>
      <c r="M6" s="3" t="str">
        <f>""</f>
        <v/>
      </c>
      <c r="N6" s="3" t="str">
        <f>""</f>
        <v/>
      </c>
      <c r="O6" s="3" t="str">
        <f>""</f>
        <v/>
      </c>
      <c r="P6" s="4" t="str">
        <f>""</f>
        <v/>
      </c>
    </row>
    <row r="7" spans="1:16" x14ac:dyDescent="0.3">
      <c r="A7" s="1">
        <v>6</v>
      </c>
      <c r="B7" s="2" t="str">
        <f>"28 DIAS"</f>
        <v>28 DIAS</v>
      </c>
      <c r="C7" s="2" t="s">
        <v>4</v>
      </c>
      <c r="D7" s="2" t="str">
        <f t="shared" si="0"/>
        <v>Dias da Data</v>
      </c>
      <c r="E7" s="3">
        <v>28</v>
      </c>
      <c r="F7" s="3" t="str">
        <f>""</f>
        <v/>
      </c>
      <c r="G7" s="3" t="str">
        <f>""</f>
        <v/>
      </c>
      <c r="H7" s="3" t="str">
        <f>""</f>
        <v/>
      </c>
      <c r="I7" s="3" t="str">
        <f>""</f>
        <v/>
      </c>
      <c r="J7" s="3" t="str">
        <f>""</f>
        <v/>
      </c>
      <c r="K7" s="3" t="str">
        <f>""</f>
        <v/>
      </c>
      <c r="L7" s="3" t="str">
        <f>""</f>
        <v/>
      </c>
      <c r="M7" s="3" t="str">
        <f>""</f>
        <v/>
      </c>
      <c r="N7" s="3" t="str">
        <f>""</f>
        <v/>
      </c>
      <c r="O7" s="3" t="str">
        <f>""</f>
        <v/>
      </c>
      <c r="P7" s="4" t="str">
        <f>""</f>
        <v/>
      </c>
    </row>
    <row r="8" spans="1:16" x14ac:dyDescent="0.3">
      <c r="A8" s="1">
        <v>7</v>
      </c>
      <c r="B8" s="2" t="str">
        <f>"30 DIAS"</f>
        <v>30 DIAS</v>
      </c>
      <c r="C8" s="2" t="s">
        <v>4</v>
      </c>
      <c r="D8" s="2" t="str">
        <f t="shared" si="0"/>
        <v>Dias da Data</v>
      </c>
      <c r="E8" s="3">
        <v>30</v>
      </c>
      <c r="F8" s="3" t="str">
        <f>""</f>
        <v/>
      </c>
      <c r="G8" s="3" t="str">
        <f>""</f>
        <v/>
      </c>
      <c r="H8" s="3" t="str">
        <f>""</f>
        <v/>
      </c>
      <c r="I8" s="3" t="str">
        <f>""</f>
        <v/>
      </c>
      <c r="J8" s="3" t="str">
        <f>""</f>
        <v/>
      </c>
      <c r="K8" s="3" t="str">
        <f>""</f>
        <v/>
      </c>
      <c r="L8" s="3" t="str">
        <f>""</f>
        <v/>
      </c>
      <c r="M8" s="3" t="str">
        <f>""</f>
        <v/>
      </c>
      <c r="N8" s="3" t="str">
        <f>""</f>
        <v/>
      </c>
      <c r="O8" s="3" t="str">
        <f>""</f>
        <v/>
      </c>
      <c r="P8" s="4" t="str">
        <f>""</f>
        <v/>
      </c>
    </row>
    <row r="9" spans="1:16" x14ac:dyDescent="0.3">
      <c r="A9" s="1">
        <v>8</v>
      </c>
      <c r="B9" s="2" t="str">
        <f>"30/60 DIAS"</f>
        <v>30/60 DIAS</v>
      </c>
      <c r="C9" s="2" t="s">
        <v>4</v>
      </c>
      <c r="D9" s="2" t="str">
        <f t="shared" si="0"/>
        <v>Dias da Data</v>
      </c>
      <c r="E9" s="3">
        <v>30</v>
      </c>
      <c r="F9" s="3">
        <v>60</v>
      </c>
      <c r="G9" s="3" t="str">
        <f>""</f>
        <v/>
      </c>
      <c r="H9" s="3" t="str">
        <f>""</f>
        <v/>
      </c>
      <c r="I9" s="3" t="str">
        <f>""</f>
        <v/>
      </c>
      <c r="J9" s="3" t="str">
        <f>""</f>
        <v/>
      </c>
      <c r="K9" s="3" t="str">
        <f>""</f>
        <v/>
      </c>
      <c r="L9" s="3" t="str">
        <f>""</f>
        <v/>
      </c>
      <c r="M9" s="3" t="str">
        <f>""</f>
        <v/>
      </c>
      <c r="N9" s="3" t="str">
        <f>""</f>
        <v/>
      </c>
      <c r="O9" s="3" t="str">
        <f>""</f>
        <v/>
      </c>
      <c r="P9" s="4" t="str">
        <f>""</f>
        <v/>
      </c>
    </row>
    <row r="10" spans="1:16" x14ac:dyDescent="0.3">
      <c r="A10" s="1">
        <v>9</v>
      </c>
      <c r="B10" s="2" t="str">
        <f>"30/60/90 DIAS"</f>
        <v>30/60/90 DIAS</v>
      </c>
      <c r="C10" s="2" t="s">
        <v>4</v>
      </c>
      <c r="D10" s="2" t="str">
        <f t="shared" si="0"/>
        <v>Dias da Data</v>
      </c>
      <c r="E10" s="3">
        <v>30</v>
      </c>
      <c r="F10" s="3">
        <v>60</v>
      </c>
      <c r="G10" s="3">
        <v>90</v>
      </c>
      <c r="H10" s="3" t="str">
        <f>""</f>
        <v/>
      </c>
      <c r="I10" s="3" t="str">
        <f>""</f>
        <v/>
      </c>
      <c r="J10" s="3" t="str">
        <f>""</f>
        <v/>
      </c>
      <c r="K10" s="3" t="str">
        <f>""</f>
        <v/>
      </c>
      <c r="L10" s="3" t="str">
        <f>""</f>
        <v/>
      </c>
      <c r="M10" s="3" t="str">
        <f>""</f>
        <v/>
      </c>
      <c r="N10" s="3" t="str">
        <f>""</f>
        <v/>
      </c>
      <c r="O10" s="3" t="str">
        <f>""</f>
        <v/>
      </c>
      <c r="P10" s="4" t="str">
        <f>""</f>
        <v/>
      </c>
    </row>
    <row r="11" spans="1:16" x14ac:dyDescent="0.3">
      <c r="A11" s="1">
        <v>10</v>
      </c>
      <c r="B11" s="2" t="str">
        <f>"45 DIAS"</f>
        <v>45 DIAS</v>
      </c>
      <c r="C11" s="2" t="s">
        <v>4</v>
      </c>
      <c r="D11" s="2" t="str">
        <f t="shared" si="0"/>
        <v>Dias da Data</v>
      </c>
      <c r="E11" s="3">
        <v>45</v>
      </c>
      <c r="F11" s="3" t="str">
        <f>""</f>
        <v/>
      </c>
      <c r="G11" s="3" t="str">
        <f>""</f>
        <v/>
      </c>
      <c r="H11" s="3" t="str">
        <f>""</f>
        <v/>
      </c>
      <c r="I11" s="3" t="str">
        <f>""</f>
        <v/>
      </c>
      <c r="J11" s="3" t="str">
        <f>""</f>
        <v/>
      </c>
      <c r="K11" s="3" t="str">
        <f>""</f>
        <v/>
      </c>
      <c r="L11" s="3" t="str">
        <f>""</f>
        <v/>
      </c>
      <c r="M11" s="3" t="str">
        <f>""</f>
        <v/>
      </c>
      <c r="N11" s="3" t="str">
        <f>""</f>
        <v/>
      </c>
      <c r="O11" s="3" t="str">
        <f>""</f>
        <v/>
      </c>
      <c r="P11" s="4" t="str">
        <f>""</f>
        <v/>
      </c>
    </row>
    <row r="12" spans="1:16" x14ac:dyDescent="0.3">
      <c r="A12" s="1">
        <v>11</v>
      </c>
      <c r="B12" s="2" t="str">
        <f>"30 DIAS"</f>
        <v>30 DIAS</v>
      </c>
      <c r="C12" s="2" t="s">
        <v>4</v>
      </c>
      <c r="D12" s="2" t="str">
        <f>"Fora Mes"</f>
        <v>Fora Mes</v>
      </c>
      <c r="E12" s="3">
        <v>30</v>
      </c>
      <c r="F12" s="3" t="str">
        <f>""</f>
        <v/>
      </c>
      <c r="G12" s="3" t="str">
        <f>""</f>
        <v/>
      </c>
      <c r="H12" s="3" t="str">
        <f>""</f>
        <v/>
      </c>
      <c r="I12" s="3" t="str">
        <f>""</f>
        <v/>
      </c>
      <c r="J12" s="3" t="str">
        <f>""</f>
        <v/>
      </c>
      <c r="K12" s="3" t="str">
        <f>""</f>
        <v/>
      </c>
      <c r="L12" s="3" t="str">
        <f>""</f>
        <v/>
      </c>
      <c r="M12" s="3" t="str">
        <f>""</f>
        <v/>
      </c>
      <c r="N12" s="3" t="str">
        <f>""</f>
        <v/>
      </c>
      <c r="O12" s="3" t="str">
        <f>""</f>
        <v/>
      </c>
      <c r="P12" s="4" t="str">
        <f>""</f>
        <v/>
      </c>
    </row>
    <row r="13" spans="1:16" x14ac:dyDescent="0.3">
      <c r="A13" s="1">
        <v>12</v>
      </c>
      <c r="B13" s="2" t="str">
        <f>"56 DIAS"</f>
        <v>56 DIAS</v>
      </c>
      <c r="C13" s="2" t="s">
        <v>4</v>
      </c>
      <c r="D13" s="2" t="str">
        <f>"Dias da Data"</f>
        <v>Dias da Data</v>
      </c>
      <c r="E13" s="3">
        <v>56</v>
      </c>
      <c r="F13" s="3" t="str">
        <f>""</f>
        <v/>
      </c>
      <c r="G13" s="3" t="str">
        <f>""</f>
        <v/>
      </c>
      <c r="H13" s="3" t="str">
        <f>""</f>
        <v/>
      </c>
      <c r="I13" s="3" t="str">
        <f>""</f>
        <v/>
      </c>
      <c r="J13" s="3" t="str">
        <f>""</f>
        <v/>
      </c>
      <c r="K13" s="3" t="str">
        <f>""</f>
        <v/>
      </c>
      <c r="L13" s="3" t="str">
        <f>""</f>
        <v/>
      </c>
      <c r="M13" s="3" t="str">
        <f>""</f>
        <v/>
      </c>
      <c r="N13" s="3" t="str">
        <f>""</f>
        <v/>
      </c>
      <c r="O13" s="3" t="str">
        <f>""</f>
        <v/>
      </c>
      <c r="P13" s="4" t="str">
        <f>""</f>
        <v/>
      </c>
    </row>
    <row r="14" spans="1:16" x14ac:dyDescent="0.3">
      <c r="A14" s="1">
        <v>13</v>
      </c>
      <c r="B14" s="2" t="str">
        <f>"30 DIAS"</f>
        <v>30 DIAS</v>
      </c>
      <c r="C14" s="2" t="s">
        <v>4</v>
      </c>
      <c r="D14" s="2" t="str">
        <f>"Fora Semana"</f>
        <v>Fora Semana</v>
      </c>
      <c r="E14" s="3">
        <v>30</v>
      </c>
      <c r="F14" s="3" t="str">
        <f>""</f>
        <v/>
      </c>
      <c r="G14" s="3" t="str">
        <f>""</f>
        <v/>
      </c>
      <c r="H14" s="3" t="str">
        <f>""</f>
        <v/>
      </c>
      <c r="I14" s="3" t="str">
        <f>""</f>
        <v/>
      </c>
      <c r="J14" s="3" t="str">
        <f>""</f>
        <v/>
      </c>
      <c r="K14" s="3" t="str">
        <f>""</f>
        <v/>
      </c>
      <c r="L14" s="3" t="str">
        <f>""</f>
        <v/>
      </c>
      <c r="M14" s="3" t="str">
        <f>""</f>
        <v/>
      </c>
      <c r="N14" s="3" t="str">
        <f>""</f>
        <v/>
      </c>
      <c r="O14" s="3" t="str">
        <f>""</f>
        <v/>
      </c>
      <c r="P14" s="4" t="str">
        <f>""</f>
        <v/>
      </c>
    </row>
    <row r="15" spans="1:16" x14ac:dyDescent="0.3">
      <c r="A15" s="1">
        <v>14</v>
      </c>
      <c r="B15" s="2" t="str">
        <f>"18 DIAS"</f>
        <v>18 DIAS</v>
      </c>
      <c r="C15" s="2" t="s">
        <v>4</v>
      </c>
      <c r="D15" s="2" t="str">
        <f t="shared" ref="D15:D25" si="1">"Dias da Data"</f>
        <v>Dias da Data</v>
      </c>
      <c r="E15" s="3">
        <v>18</v>
      </c>
      <c r="F15" s="3" t="str">
        <f>""</f>
        <v/>
      </c>
      <c r="G15" s="3" t="str">
        <f>""</f>
        <v/>
      </c>
      <c r="H15" s="3" t="str">
        <f>""</f>
        <v/>
      </c>
      <c r="I15" s="3" t="str">
        <f>""</f>
        <v/>
      </c>
      <c r="J15" s="3" t="str">
        <f>""</f>
        <v/>
      </c>
      <c r="K15" s="3" t="str">
        <f>""</f>
        <v/>
      </c>
      <c r="L15" s="3" t="str">
        <f>""</f>
        <v/>
      </c>
      <c r="M15" s="3" t="str">
        <f>""</f>
        <v/>
      </c>
      <c r="N15" s="3" t="str">
        <f>""</f>
        <v/>
      </c>
      <c r="O15" s="3" t="str">
        <f>""</f>
        <v/>
      </c>
      <c r="P15" s="4" t="str">
        <f>""</f>
        <v/>
      </c>
    </row>
    <row r="16" spans="1:16" x14ac:dyDescent="0.3">
      <c r="A16" s="1">
        <v>15</v>
      </c>
      <c r="B16" s="2" t="str">
        <f>"15 dias"</f>
        <v>15 dias</v>
      </c>
      <c r="C16" s="2" t="s">
        <v>4</v>
      </c>
      <c r="D16" s="2" t="str">
        <f t="shared" si="1"/>
        <v>Dias da Data</v>
      </c>
      <c r="E16" s="3">
        <v>15</v>
      </c>
      <c r="F16" s="3" t="str">
        <f>""</f>
        <v/>
      </c>
      <c r="G16" s="3" t="str">
        <f>""</f>
        <v/>
      </c>
      <c r="H16" s="3" t="str">
        <f>""</f>
        <v/>
      </c>
      <c r="I16" s="3" t="str">
        <f>""</f>
        <v/>
      </c>
      <c r="J16" s="3" t="str">
        <f>""</f>
        <v/>
      </c>
      <c r="K16" s="3" t="str">
        <f>""</f>
        <v/>
      </c>
      <c r="L16" s="3" t="str">
        <f>""</f>
        <v/>
      </c>
      <c r="M16" s="3" t="str">
        <f>""</f>
        <v/>
      </c>
      <c r="N16" s="3" t="str">
        <f>""</f>
        <v/>
      </c>
      <c r="O16" s="3" t="str">
        <f>""</f>
        <v/>
      </c>
      <c r="P16" s="4" t="str">
        <f>""</f>
        <v/>
      </c>
    </row>
    <row r="17" spans="1:16" x14ac:dyDescent="0.3">
      <c r="A17" s="1">
        <v>16</v>
      </c>
      <c r="B17" s="2" t="str">
        <f>"06 PARCELAS - SEMANAL"</f>
        <v>06 PARCELAS - SEMANAL</v>
      </c>
      <c r="C17" s="2" t="s">
        <v>4</v>
      </c>
      <c r="D17" s="2" t="str">
        <f t="shared" si="1"/>
        <v>Dias da Data</v>
      </c>
      <c r="E17" s="3">
        <v>21</v>
      </c>
      <c r="F17" s="3">
        <v>28</v>
      </c>
      <c r="G17" s="3">
        <v>35</v>
      </c>
      <c r="H17" s="3">
        <v>42</v>
      </c>
      <c r="I17" s="3">
        <v>49</v>
      </c>
      <c r="J17" s="3">
        <v>56</v>
      </c>
      <c r="K17" s="3" t="str">
        <f>""</f>
        <v/>
      </c>
      <c r="L17" s="3" t="str">
        <f>""</f>
        <v/>
      </c>
      <c r="M17" s="3" t="str">
        <f>""</f>
        <v/>
      </c>
      <c r="N17" s="3" t="str">
        <f>""</f>
        <v/>
      </c>
      <c r="O17" s="3" t="str">
        <f>""</f>
        <v/>
      </c>
      <c r="P17" s="4" t="str">
        <f>""</f>
        <v/>
      </c>
    </row>
    <row r="18" spans="1:16" x14ac:dyDescent="0.3">
      <c r="A18" s="1">
        <v>17</v>
      </c>
      <c r="B18" s="2" t="str">
        <f>"5 DIAS"</f>
        <v>5 DIAS</v>
      </c>
      <c r="C18" s="2" t="s">
        <v>4</v>
      </c>
      <c r="D18" s="2" t="str">
        <f t="shared" si="1"/>
        <v>Dias da Data</v>
      </c>
      <c r="E18" s="3">
        <v>5</v>
      </c>
      <c r="F18" s="3" t="str">
        <f>""</f>
        <v/>
      </c>
      <c r="G18" s="3" t="str">
        <f>""</f>
        <v/>
      </c>
      <c r="H18" s="3" t="str">
        <f>""</f>
        <v/>
      </c>
      <c r="I18" s="3" t="str">
        <f>""</f>
        <v/>
      </c>
      <c r="J18" s="3" t="str">
        <f>""</f>
        <v/>
      </c>
      <c r="K18" s="3" t="str">
        <f>""</f>
        <v/>
      </c>
      <c r="L18" s="3" t="str">
        <f>""</f>
        <v/>
      </c>
      <c r="M18" s="3" t="str">
        <f>""</f>
        <v/>
      </c>
      <c r="N18" s="3" t="str">
        <f>""</f>
        <v/>
      </c>
      <c r="O18" s="3" t="str">
        <f>""</f>
        <v/>
      </c>
      <c r="P18" s="4" t="str">
        <f>""</f>
        <v/>
      </c>
    </row>
    <row r="19" spans="1:16" x14ac:dyDescent="0.3">
      <c r="A19" s="1">
        <v>18</v>
      </c>
      <c r="B19" s="2" t="str">
        <f>"30/60/90/120/150 DIAS"</f>
        <v>30/60/90/120/150 DIAS</v>
      </c>
      <c r="C19" s="2" t="s">
        <v>4</v>
      </c>
      <c r="D19" s="2" t="str">
        <f t="shared" si="1"/>
        <v>Dias da Data</v>
      </c>
      <c r="E19" s="3">
        <v>30</v>
      </c>
      <c r="F19" s="3">
        <v>60</v>
      </c>
      <c r="G19" s="3">
        <v>90</v>
      </c>
      <c r="H19" s="3">
        <v>120</v>
      </c>
      <c r="I19" s="3">
        <v>150</v>
      </c>
      <c r="J19" s="3" t="str">
        <f>""</f>
        <v/>
      </c>
      <c r="K19" s="3" t="str">
        <f>""</f>
        <v/>
      </c>
      <c r="L19" s="3" t="str">
        <f>""</f>
        <v/>
      </c>
      <c r="M19" s="3" t="str">
        <f>""</f>
        <v/>
      </c>
      <c r="N19" s="3" t="str">
        <f>""</f>
        <v/>
      </c>
      <c r="O19" s="3" t="str">
        <f>""</f>
        <v/>
      </c>
      <c r="P19" s="4" t="str">
        <f>""</f>
        <v/>
      </c>
    </row>
    <row r="20" spans="1:16" x14ac:dyDescent="0.3">
      <c r="A20" s="1">
        <v>19</v>
      </c>
      <c r="B20" s="2" t="str">
        <f>"60/90 DIAS"</f>
        <v>60/90 DIAS</v>
      </c>
      <c r="C20" s="2" t="s">
        <v>4</v>
      </c>
      <c r="D20" s="2" t="str">
        <f t="shared" si="1"/>
        <v>Dias da Data</v>
      </c>
      <c r="E20" s="3">
        <v>60</v>
      </c>
      <c r="F20" s="3">
        <v>90</v>
      </c>
      <c r="G20" s="3" t="str">
        <f>""</f>
        <v/>
      </c>
      <c r="H20" s="3" t="str">
        <f>""</f>
        <v/>
      </c>
      <c r="I20" s="3" t="str">
        <f>""</f>
        <v/>
      </c>
      <c r="J20" s="3" t="str">
        <f>""</f>
        <v/>
      </c>
      <c r="K20" s="3" t="str">
        <f>""</f>
        <v/>
      </c>
      <c r="L20" s="3" t="str">
        <f>""</f>
        <v/>
      </c>
      <c r="M20" s="3" t="str">
        <f>""</f>
        <v/>
      </c>
      <c r="N20" s="3" t="str">
        <f>""</f>
        <v/>
      </c>
      <c r="O20" s="3" t="str">
        <f>""</f>
        <v/>
      </c>
      <c r="P20" s="4" t="str">
        <f>""</f>
        <v/>
      </c>
    </row>
    <row r="21" spans="1:16" x14ac:dyDescent="0.3">
      <c r="A21" s="1">
        <v>20</v>
      </c>
      <c r="B21" s="2" t="str">
        <f>"20 DIAS"</f>
        <v>20 DIAS</v>
      </c>
      <c r="C21" s="2" t="s">
        <v>4</v>
      </c>
      <c r="D21" s="2" t="str">
        <f t="shared" si="1"/>
        <v>Dias da Data</v>
      </c>
      <c r="E21" s="3">
        <v>20</v>
      </c>
      <c r="F21" s="3" t="str">
        <f>""</f>
        <v/>
      </c>
      <c r="G21" s="3" t="str">
        <f>""</f>
        <v/>
      </c>
      <c r="H21" s="3" t="str">
        <f>""</f>
        <v/>
      </c>
      <c r="I21" s="3" t="str">
        <f>""</f>
        <v/>
      </c>
      <c r="J21" s="3" t="str">
        <f>""</f>
        <v/>
      </c>
      <c r="K21" s="3" t="str">
        <f>""</f>
        <v/>
      </c>
      <c r="L21" s="3" t="str">
        <f>""</f>
        <v/>
      </c>
      <c r="M21" s="3" t="str">
        <f>""</f>
        <v/>
      </c>
      <c r="N21" s="3" t="str">
        <f>""</f>
        <v/>
      </c>
      <c r="O21" s="3" t="str">
        <f>""</f>
        <v/>
      </c>
      <c r="P21" s="4" t="str">
        <f>""</f>
        <v/>
      </c>
    </row>
    <row r="22" spans="1:16" x14ac:dyDescent="0.3">
      <c r="A22" s="1">
        <v>21</v>
      </c>
      <c r="B22" s="2" t="str">
        <f>"5 DIAS"</f>
        <v>5 DIAS</v>
      </c>
      <c r="C22" s="2" t="s">
        <v>4</v>
      </c>
      <c r="D22" s="2" t="str">
        <f t="shared" si="1"/>
        <v>Dias da Data</v>
      </c>
      <c r="E22" s="3">
        <v>5</v>
      </c>
      <c r="F22" s="3" t="str">
        <f>""</f>
        <v/>
      </c>
      <c r="G22" s="3" t="str">
        <f>""</f>
        <v/>
      </c>
      <c r="H22" s="3" t="str">
        <f>""</f>
        <v/>
      </c>
      <c r="I22" s="3" t="str">
        <f>""</f>
        <v/>
      </c>
      <c r="J22" s="3" t="str">
        <f>""</f>
        <v/>
      </c>
      <c r="K22" s="3" t="str">
        <f>""</f>
        <v/>
      </c>
      <c r="L22" s="3" t="str">
        <f>""</f>
        <v/>
      </c>
      <c r="M22" s="3" t="str">
        <f>""</f>
        <v/>
      </c>
      <c r="N22" s="3" t="str">
        <f>""</f>
        <v/>
      </c>
      <c r="O22" s="3" t="str">
        <f>""</f>
        <v/>
      </c>
      <c r="P22" s="4" t="str">
        <f>""</f>
        <v/>
      </c>
    </row>
    <row r="23" spans="1:16" x14ac:dyDescent="0.3">
      <c r="A23" s="1">
        <v>22</v>
      </c>
      <c r="B23" s="2" t="str">
        <f>"28 DIAS"</f>
        <v>28 DIAS</v>
      </c>
      <c r="C23" s="2" t="s">
        <v>4</v>
      </c>
      <c r="D23" s="2" t="str">
        <f t="shared" si="1"/>
        <v>Dias da Data</v>
      </c>
      <c r="E23" s="3">
        <v>28</v>
      </c>
      <c r="F23" s="3" t="str">
        <f>""</f>
        <v/>
      </c>
      <c r="G23" s="3" t="str">
        <f>""</f>
        <v/>
      </c>
      <c r="H23" s="3" t="str">
        <f>""</f>
        <v/>
      </c>
      <c r="I23" s="3" t="str">
        <f>""</f>
        <v/>
      </c>
      <c r="J23" s="3" t="str">
        <f>""</f>
        <v/>
      </c>
      <c r="K23" s="3" t="str">
        <f>""</f>
        <v/>
      </c>
      <c r="L23" s="3" t="str">
        <f>""</f>
        <v/>
      </c>
      <c r="M23" s="3" t="str">
        <f>""</f>
        <v/>
      </c>
      <c r="N23" s="3" t="str">
        <f>""</f>
        <v/>
      </c>
      <c r="O23" s="3" t="str">
        <f>""</f>
        <v/>
      </c>
      <c r="P23" s="4" t="str">
        <f>""</f>
        <v/>
      </c>
    </row>
    <row r="24" spans="1:16" x14ac:dyDescent="0.3">
      <c r="A24" s="1">
        <v>23</v>
      </c>
      <c r="B24" s="2" t="str">
        <f>"4 DIAS"</f>
        <v>4 DIAS</v>
      </c>
      <c r="C24" s="2" t="s">
        <v>4</v>
      </c>
      <c r="D24" s="2" t="str">
        <f t="shared" si="1"/>
        <v>Dias da Data</v>
      </c>
      <c r="E24" s="3">
        <v>4</v>
      </c>
      <c r="F24" s="3" t="str">
        <f>""</f>
        <v/>
      </c>
      <c r="G24" s="3" t="str">
        <f>""</f>
        <v/>
      </c>
      <c r="H24" s="3" t="str">
        <f>""</f>
        <v/>
      </c>
      <c r="I24" s="3" t="str">
        <f>""</f>
        <v/>
      </c>
      <c r="J24" s="3" t="str">
        <f>""</f>
        <v/>
      </c>
      <c r="K24" s="3" t="str">
        <f>""</f>
        <v/>
      </c>
      <c r="L24" s="3" t="str">
        <f>""</f>
        <v/>
      </c>
      <c r="M24" s="3" t="str">
        <f>""</f>
        <v/>
      </c>
      <c r="N24" s="3" t="str">
        <f>""</f>
        <v/>
      </c>
      <c r="O24" s="3" t="str">
        <f>""</f>
        <v/>
      </c>
      <c r="P24" s="4" t="str">
        <f>""</f>
        <v/>
      </c>
    </row>
    <row r="25" spans="1:16" x14ac:dyDescent="0.3">
      <c r="A25" s="1">
        <v>24</v>
      </c>
      <c r="B25" s="2" t="str">
        <f>"15 DIAS"</f>
        <v>15 DIAS</v>
      </c>
      <c r="C25" s="2" t="s">
        <v>4</v>
      </c>
      <c r="D25" s="2" t="str">
        <f t="shared" si="1"/>
        <v>Dias da Data</v>
      </c>
      <c r="E25" s="3">
        <v>15</v>
      </c>
      <c r="F25" s="3" t="str">
        <f>""</f>
        <v/>
      </c>
      <c r="G25" s="3" t="str">
        <f>""</f>
        <v/>
      </c>
      <c r="H25" s="3" t="str">
        <f>""</f>
        <v/>
      </c>
      <c r="I25" s="3" t="str">
        <f>""</f>
        <v/>
      </c>
      <c r="J25" s="3" t="str">
        <f>""</f>
        <v/>
      </c>
      <c r="K25" s="3" t="str">
        <f>""</f>
        <v/>
      </c>
      <c r="L25" s="3" t="str">
        <f>""</f>
        <v/>
      </c>
      <c r="M25" s="3" t="str">
        <f>""</f>
        <v/>
      </c>
      <c r="N25" s="3" t="str">
        <f>""</f>
        <v/>
      </c>
      <c r="O25" s="3" t="str">
        <f>""</f>
        <v/>
      </c>
      <c r="P25" s="4" t="str">
        <f>""</f>
        <v/>
      </c>
    </row>
    <row r="26" spans="1:16" x14ac:dyDescent="0.3">
      <c r="A26" s="1">
        <v>25</v>
      </c>
      <c r="B26" s="2" t="str">
        <f>"Fixo dia 15 de cada mês"</f>
        <v>Fixo dia 15 de cada mês</v>
      </c>
      <c r="C26" s="2" t="s">
        <v>4</v>
      </c>
      <c r="D26" s="2" t="str">
        <f>"A Vista"</f>
        <v>A Vista</v>
      </c>
      <c r="E26" s="3" t="str">
        <f>""</f>
        <v/>
      </c>
      <c r="F26" s="3" t="str">
        <f>""</f>
        <v/>
      </c>
      <c r="G26" s="3" t="str">
        <f>""</f>
        <v/>
      </c>
      <c r="H26" s="3" t="str">
        <f>""</f>
        <v/>
      </c>
      <c r="I26" s="3" t="str">
        <f>""</f>
        <v/>
      </c>
      <c r="J26" s="3" t="str">
        <f>""</f>
        <v/>
      </c>
      <c r="K26" s="3" t="str">
        <f>""</f>
        <v/>
      </c>
      <c r="L26" s="3" t="str">
        <f>""</f>
        <v/>
      </c>
      <c r="M26" s="3" t="str">
        <f>""</f>
        <v/>
      </c>
      <c r="N26" s="3" t="str">
        <f>""</f>
        <v/>
      </c>
      <c r="O26" s="3" t="str">
        <f>""</f>
        <v/>
      </c>
      <c r="P26" s="4" t="str">
        <f>""</f>
        <v/>
      </c>
    </row>
    <row r="27" spans="1:16" x14ac:dyDescent="0.3">
      <c r="A27" s="1">
        <v>26</v>
      </c>
      <c r="B27" s="2" t="str">
        <f>"Fixo dia 02 de cada mês"</f>
        <v>Fixo dia 02 de cada mês</v>
      </c>
      <c r="C27" s="2" t="s">
        <v>4</v>
      </c>
      <c r="D27" s="2" t="str">
        <f>"A Vista"</f>
        <v>A Vista</v>
      </c>
      <c r="E27" s="3" t="str">
        <f>""</f>
        <v/>
      </c>
      <c r="F27" s="3" t="str">
        <f>""</f>
        <v/>
      </c>
      <c r="G27" s="3" t="str">
        <f>""</f>
        <v/>
      </c>
      <c r="H27" s="3" t="str">
        <f>""</f>
        <v/>
      </c>
      <c r="I27" s="3" t="str">
        <f>""</f>
        <v/>
      </c>
      <c r="J27" s="3" t="str">
        <f>""</f>
        <v/>
      </c>
      <c r="K27" s="3" t="str">
        <f>""</f>
        <v/>
      </c>
      <c r="L27" s="3" t="str">
        <f>""</f>
        <v/>
      </c>
      <c r="M27" s="3" t="str">
        <f>""</f>
        <v/>
      </c>
      <c r="N27" s="3" t="str">
        <f>""</f>
        <v/>
      </c>
      <c r="O27" s="3" t="str">
        <f>""</f>
        <v/>
      </c>
      <c r="P27" s="4" t="str">
        <f>""</f>
        <v/>
      </c>
    </row>
    <row r="28" spans="1:16" x14ac:dyDescent="0.3">
      <c r="A28" s="1">
        <v>27</v>
      </c>
      <c r="B28" s="2" t="str">
        <f>"Fixo dia 25 de cada mês"</f>
        <v>Fixo dia 25 de cada mês</v>
      </c>
      <c r="C28" s="2" t="s">
        <v>4</v>
      </c>
      <c r="D28" s="2" t="str">
        <f>"A Vista"</f>
        <v>A Vista</v>
      </c>
      <c r="E28" s="3" t="str">
        <f>""</f>
        <v/>
      </c>
      <c r="F28" s="3" t="str">
        <f>""</f>
        <v/>
      </c>
      <c r="G28" s="3" t="str">
        <f>""</f>
        <v/>
      </c>
      <c r="H28" s="3" t="str">
        <f>""</f>
        <v/>
      </c>
      <c r="I28" s="3" t="str">
        <f>""</f>
        <v/>
      </c>
      <c r="J28" s="3" t="str">
        <f>""</f>
        <v/>
      </c>
      <c r="K28" s="3" t="str">
        <f>""</f>
        <v/>
      </c>
      <c r="L28" s="3" t="str">
        <f>""</f>
        <v/>
      </c>
      <c r="M28" s="3" t="str">
        <f>""</f>
        <v/>
      </c>
      <c r="N28" s="3" t="str">
        <f>""</f>
        <v/>
      </c>
      <c r="O28" s="3" t="str">
        <f>""</f>
        <v/>
      </c>
      <c r="P28" s="4" t="str">
        <f>""</f>
        <v/>
      </c>
    </row>
    <row r="29" spans="1:16" x14ac:dyDescent="0.3">
      <c r="A29" s="1">
        <v>28</v>
      </c>
      <c r="B29" s="2" t="str">
        <f>"6 DIAS"</f>
        <v>6 DIAS</v>
      </c>
      <c r="C29" s="2" t="s">
        <v>4</v>
      </c>
      <c r="D29" s="2" t="str">
        <f>"Dias da Data"</f>
        <v>Dias da Data</v>
      </c>
      <c r="E29" s="3">
        <v>6</v>
      </c>
      <c r="F29" s="3" t="str">
        <f>""</f>
        <v/>
      </c>
      <c r="G29" s="3" t="str">
        <f>""</f>
        <v/>
      </c>
      <c r="H29" s="3" t="str">
        <f>""</f>
        <v/>
      </c>
      <c r="I29" s="3" t="str">
        <f>""</f>
        <v/>
      </c>
      <c r="J29" s="3" t="str">
        <f>""</f>
        <v/>
      </c>
      <c r="K29" s="3" t="str">
        <f>""</f>
        <v/>
      </c>
      <c r="L29" s="3" t="str">
        <f>""</f>
        <v/>
      </c>
      <c r="M29" s="3" t="str">
        <f>""</f>
        <v/>
      </c>
      <c r="N29" s="3" t="str">
        <f>""</f>
        <v/>
      </c>
      <c r="O29" s="3" t="str">
        <f>""</f>
        <v/>
      </c>
      <c r="P29" s="4" t="str">
        <f>""</f>
        <v/>
      </c>
    </row>
    <row r="30" spans="1:16" x14ac:dyDescent="0.3">
      <c r="A30" s="1">
        <v>29</v>
      </c>
      <c r="B30" s="2" t="str">
        <f>"60/90/120 dias"</f>
        <v>60/90/120 dias</v>
      </c>
      <c r="C30" s="2" t="s">
        <v>4</v>
      </c>
      <c r="D30" s="2" t="str">
        <f>"Dias da Data"</f>
        <v>Dias da Data</v>
      </c>
      <c r="E30" s="3">
        <v>60</v>
      </c>
      <c r="F30" s="3">
        <v>90</v>
      </c>
      <c r="G30" s="3">
        <v>120</v>
      </c>
      <c r="H30" s="3" t="str">
        <f>""</f>
        <v/>
      </c>
      <c r="I30" s="3" t="str">
        <f>""</f>
        <v/>
      </c>
      <c r="J30" s="3" t="str">
        <f>""</f>
        <v/>
      </c>
      <c r="K30" s="3" t="str">
        <f>""</f>
        <v/>
      </c>
      <c r="L30" s="3" t="str">
        <f>""</f>
        <v/>
      </c>
      <c r="M30" s="3" t="str">
        <f>""</f>
        <v/>
      </c>
      <c r="N30" s="3" t="str">
        <f>""</f>
        <v/>
      </c>
      <c r="O30" s="3" t="str">
        <f>""</f>
        <v/>
      </c>
      <c r="P30" s="4" t="str">
        <f>""</f>
        <v/>
      </c>
    </row>
    <row r="31" spans="1:16" x14ac:dyDescent="0.3">
      <c r="A31" s="1">
        <v>30</v>
      </c>
      <c r="B31" s="2" t="str">
        <f>"30 DIAS"</f>
        <v>30 DIAS</v>
      </c>
      <c r="C31" s="2" t="s">
        <v>4</v>
      </c>
      <c r="D31" s="2" t="str">
        <f>"Dias da Data"</f>
        <v>Dias da Data</v>
      </c>
      <c r="E31" s="3">
        <v>30</v>
      </c>
      <c r="F31" s="3" t="str">
        <f>""</f>
        <v/>
      </c>
      <c r="G31" s="3" t="str">
        <f>""</f>
        <v/>
      </c>
      <c r="H31" s="3" t="str">
        <f>""</f>
        <v/>
      </c>
      <c r="I31" s="3" t="str">
        <f>""</f>
        <v/>
      </c>
      <c r="J31" s="3" t="str">
        <f>""</f>
        <v/>
      </c>
      <c r="K31" s="3" t="str">
        <f>""</f>
        <v/>
      </c>
      <c r="L31" s="3" t="str">
        <f>""</f>
        <v/>
      </c>
      <c r="M31" s="3" t="str">
        <f>""</f>
        <v/>
      </c>
      <c r="N31" s="3" t="str">
        <f>""</f>
        <v/>
      </c>
      <c r="O31" s="3" t="str">
        <f>""</f>
        <v/>
      </c>
      <c r="P31" s="4" t="str">
        <f>""</f>
        <v/>
      </c>
    </row>
    <row r="32" spans="1:16" x14ac:dyDescent="0.3">
      <c r="A32" s="1">
        <v>31</v>
      </c>
      <c r="B32" s="2" t="str">
        <f>"60 DIAS"</f>
        <v>60 DIAS</v>
      </c>
      <c r="C32" s="2" t="s">
        <v>4</v>
      </c>
      <c r="D32" s="2" t="str">
        <f>"Dias da Data"</f>
        <v>Dias da Data</v>
      </c>
      <c r="E32" s="3">
        <v>60</v>
      </c>
      <c r="F32" s="3" t="str">
        <f>""</f>
        <v/>
      </c>
      <c r="G32" s="3" t="str">
        <f>""</f>
        <v/>
      </c>
      <c r="H32" s="3" t="str">
        <f>""</f>
        <v/>
      </c>
      <c r="I32" s="3" t="str">
        <f>""</f>
        <v/>
      </c>
      <c r="J32" s="3" t="str">
        <f>""</f>
        <v/>
      </c>
      <c r="K32" s="3" t="str">
        <f>""</f>
        <v/>
      </c>
      <c r="L32" s="3" t="str">
        <f>""</f>
        <v/>
      </c>
      <c r="M32" s="3" t="str">
        <f>""</f>
        <v/>
      </c>
      <c r="N32" s="3" t="str">
        <f>""</f>
        <v/>
      </c>
      <c r="O32" s="3" t="str">
        <f>""</f>
        <v/>
      </c>
      <c r="P32" s="4" t="str">
        <f>""</f>
        <v/>
      </c>
    </row>
    <row r="33" spans="1:16" x14ac:dyDescent="0.3">
      <c r="A33" s="1">
        <v>32</v>
      </c>
      <c r="B33" s="2" t="str">
        <f>"90 DIAS"</f>
        <v>90 DIAS</v>
      </c>
      <c r="C33" s="2" t="s">
        <v>4</v>
      </c>
      <c r="D33" s="2" t="str">
        <f>"Dias da Data"</f>
        <v>Dias da Data</v>
      </c>
      <c r="E33" s="3">
        <v>90</v>
      </c>
      <c r="F33" s="3" t="str">
        <f>""</f>
        <v/>
      </c>
      <c r="G33" s="3" t="str">
        <f>""</f>
        <v/>
      </c>
      <c r="H33" s="3" t="str">
        <f>""</f>
        <v/>
      </c>
      <c r="I33" s="3" t="str">
        <f>""</f>
        <v/>
      </c>
      <c r="J33" s="3" t="str">
        <f>""</f>
        <v/>
      </c>
      <c r="K33" s="3" t="str">
        <f>""</f>
        <v/>
      </c>
      <c r="L33" s="3" t="str">
        <f>""</f>
        <v/>
      </c>
      <c r="M33" s="3" t="str">
        <f>""</f>
        <v/>
      </c>
      <c r="N33" s="3" t="str">
        <f>""</f>
        <v/>
      </c>
      <c r="O33" s="3" t="str">
        <f>""</f>
        <v/>
      </c>
      <c r="P33" s="4" t="str">
        <f>""</f>
        <v/>
      </c>
    </row>
    <row r="34" spans="1:16" x14ac:dyDescent="0.3">
      <c r="A34" s="1">
        <v>33</v>
      </c>
      <c r="B34" s="2" t="str">
        <f>"ANTECIPADO"</f>
        <v>ANTECIPADO</v>
      </c>
      <c r="C34" s="2" t="s">
        <v>4</v>
      </c>
      <c r="D34" s="2" t="str">
        <f>"Antecipado"</f>
        <v>Antecipado</v>
      </c>
      <c r="E34" s="3" t="str">
        <f>""</f>
        <v/>
      </c>
      <c r="F34" s="3" t="str">
        <f>""</f>
        <v/>
      </c>
      <c r="G34" s="3" t="str">
        <f>""</f>
        <v/>
      </c>
      <c r="H34" s="3" t="str">
        <f>""</f>
        <v/>
      </c>
      <c r="I34" s="3" t="str">
        <f>""</f>
        <v/>
      </c>
      <c r="J34" s="3" t="str">
        <f>""</f>
        <v/>
      </c>
      <c r="K34" s="3" t="str">
        <f>""</f>
        <v/>
      </c>
      <c r="L34" s="3" t="str">
        <f>""</f>
        <v/>
      </c>
      <c r="M34" s="3" t="str">
        <f>""</f>
        <v/>
      </c>
      <c r="N34" s="3" t="str">
        <f>""</f>
        <v/>
      </c>
      <c r="O34" s="3" t="str">
        <f>""</f>
        <v/>
      </c>
      <c r="P34" s="4" t="str">
        <f>""</f>
        <v/>
      </c>
    </row>
    <row r="35" spans="1:16" x14ac:dyDescent="0.3">
      <c r="A35" s="1">
        <v>34</v>
      </c>
      <c r="B35" s="2" t="str">
        <f>"60 DIAS"</f>
        <v>60 DIAS</v>
      </c>
      <c r="C35" s="2" t="s">
        <v>4</v>
      </c>
      <c r="D35" s="2" t="str">
        <f t="shared" ref="D35:D48" si="2">"Dias da Data"</f>
        <v>Dias da Data</v>
      </c>
      <c r="E35" s="3">
        <v>60</v>
      </c>
      <c r="F35" s="3" t="str">
        <f>""</f>
        <v/>
      </c>
      <c r="G35" s="3" t="str">
        <f>""</f>
        <v/>
      </c>
      <c r="H35" s="3" t="str">
        <f>""</f>
        <v/>
      </c>
      <c r="I35" s="3" t="str">
        <f>""</f>
        <v/>
      </c>
      <c r="J35" s="3" t="str">
        <f>""</f>
        <v/>
      </c>
      <c r="K35" s="3" t="str">
        <f>""</f>
        <v/>
      </c>
      <c r="L35" s="3" t="str">
        <f>""</f>
        <v/>
      </c>
      <c r="M35" s="3" t="str">
        <f>""</f>
        <v/>
      </c>
      <c r="N35" s="3" t="str">
        <f>""</f>
        <v/>
      </c>
      <c r="O35" s="3" t="str">
        <f>""</f>
        <v/>
      </c>
      <c r="P35" s="4" t="str">
        <f>""</f>
        <v/>
      </c>
    </row>
    <row r="36" spans="1:16" x14ac:dyDescent="0.3">
      <c r="A36" s="1">
        <v>35</v>
      </c>
      <c r="B36" s="2" t="str">
        <f>"30/60/90/120 DIAS"</f>
        <v>30/60/90/120 DIAS</v>
      </c>
      <c r="C36" s="2" t="s">
        <v>4</v>
      </c>
      <c r="D36" s="2" t="str">
        <f t="shared" si="2"/>
        <v>Dias da Data</v>
      </c>
      <c r="E36" s="3">
        <v>30</v>
      </c>
      <c r="F36" s="3">
        <v>60</v>
      </c>
      <c r="G36" s="3">
        <v>90</v>
      </c>
      <c r="H36" s="3">
        <v>120</v>
      </c>
      <c r="I36" s="3" t="str">
        <f>""</f>
        <v/>
      </c>
      <c r="J36" s="3" t="str">
        <f>""</f>
        <v/>
      </c>
      <c r="K36" s="3" t="str">
        <f>""</f>
        <v/>
      </c>
      <c r="L36" s="3" t="str">
        <f>""</f>
        <v/>
      </c>
      <c r="M36" s="3" t="str">
        <f>""</f>
        <v/>
      </c>
      <c r="N36" s="3" t="str">
        <f>""</f>
        <v/>
      </c>
      <c r="O36" s="3" t="str">
        <f>""</f>
        <v/>
      </c>
      <c r="P36" s="4" t="str">
        <f>""</f>
        <v/>
      </c>
    </row>
    <row r="37" spans="1:16" x14ac:dyDescent="0.3">
      <c r="A37" s="1">
        <v>36</v>
      </c>
      <c r="B37" s="2" t="str">
        <f>"28 DIAS"</f>
        <v>28 DIAS</v>
      </c>
      <c r="C37" s="2" t="s">
        <v>4</v>
      </c>
      <c r="D37" s="2" t="str">
        <f t="shared" si="2"/>
        <v>Dias da Data</v>
      </c>
      <c r="E37" s="3">
        <v>28</v>
      </c>
      <c r="F37" s="3" t="str">
        <f>""</f>
        <v/>
      </c>
      <c r="G37" s="3" t="str">
        <f>""</f>
        <v/>
      </c>
      <c r="H37" s="3" t="str">
        <f>""</f>
        <v/>
      </c>
      <c r="I37" s="3" t="str">
        <f>""</f>
        <v/>
      </c>
      <c r="J37" s="3" t="str">
        <f>""</f>
        <v/>
      </c>
      <c r="K37" s="3" t="str">
        <f>""</f>
        <v/>
      </c>
      <c r="L37" s="3" t="str">
        <f>""</f>
        <v/>
      </c>
      <c r="M37" s="3" t="str">
        <f>""</f>
        <v/>
      </c>
      <c r="N37" s="3" t="str">
        <f>""</f>
        <v/>
      </c>
      <c r="O37" s="3" t="str">
        <f>""</f>
        <v/>
      </c>
      <c r="P37" s="4" t="str">
        <f>""</f>
        <v/>
      </c>
    </row>
    <row r="38" spans="1:16" x14ac:dyDescent="0.3">
      <c r="A38" s="1">
        <v>37</v>
      </c>
      <c r="B38" s="2" t="str">
        <f>"30 / 45 / 60 / 75 / 90 / 105"</f>
        <v>30 / 45 / 60 / 75 / 90 / 105</v>
      </c>
      <c r="C38" s="2" t="s">
        <v>4</v>
      </c>
      <c r="D38" s="2" t="str">
        <f t="shared" si="2"/>
        <v>Dias da Data</v>
      </c>
      <c r="E38" s="3">
        <v>30</v>
      </c>
      <c r="F38" s="3">
        <v>45</v>
      </c>
      <c r="G38" s="3">
        <v>60</v>
      </c>
      <c r="H38" s="3">
        <v>75</v>
      </c>
      <c r="I38" s="3">
        <v>90</v>
      </c>
      <c r="J38" s="3">
        <v>105</v>
      </c>
      <c r="K38" s="3" t="str">
        <f>""</f>
        <v/>
      </c>
      <c r="L38" s="3" t="str">
        <f>""</f>
        <v/>
      </c>
      <c r="M38" s="3" t="str">
        <f>""</f>
        <v/>
      </c>
      <c r="N38" s="3" t="str">
        <f>""</f>
        <v/>
      </c>
      <c r="O38" s="3" t="str">
        <f>""</f>
        <v/>
      </c>
      <c r="P38" s="4" t="str">
        <f>""</f>
        <v/>
      </c>
    </row>
    <row r="39" spans="1:16" x14ac:dyDescent="0.3">
      <c r="A39" s="1">
        <v>38</v>
      </c>
      <c r="B39" s="2" t="str">
        <f>"21/28/35/42"</f>
        <v>21/28/35/42</v>
      </c>
      <c r="C39" s="2" t="s">
        <v>4</v>
      </c>
      <c r="D39" s="2" t="str">
        <f t="shared" si="2"/>
        <v>Dias da Data</v>
      </c>
      <c r="E39" s="3">
        <v>21</v>
      </c>
      <c r="F39" s="3">
        <v>28</v>
      </c>
      <c r="G39" s="3">
        <v>35</v>
      </c>
      <c r="H39" s="3">
        <v>42</v>
      </c>
      <c r="I39" s="3" t="str">
        <f>""</f>
        <v/>
      </c>
      <c r="J39" s="3" t="str">
        <f>""</f>
        <v/>
      </c>
      <c r="K39" s="3" t="str">
        <f>""</f>
        <v/>
      </c>
      <c r="L39" s="3" t="str">
        <f>""</f>
        <v/>
      </c>
      <c r="M39" s="3" t="str">
        <f>""</f>
        <v/>
      </c>
      <c r="N39" s="3" t="str">
        <f>""</f>
        <v/>
      </c>
      <c r="O39" s="3" t="str">
        <f>""</f>
        <v/>
      </c>
      <c r="P39" s="4" t="str">
        <f>""</f>
        <v/>
      </c>
    </row>
    <row r="40" spans="1:16" x14ac:dyDescent="0.3">
      <c r="A40" s="1">
        <v>39</v>
      </c>
      <c r="B40" s="2" t="str">
        <f>"33/40/47/54"</f>
        <v>33/40/47/54</v>
      </c>
      <c r="C40" s="2" t="s">
        <v>4</v>
      </c>
      <c r="D40" s="2" t="str">
        <f t="shared" si="2"/>
        <v>Dias da Data</v>
      </c>
      <c r="E40" s="3">
        <v>33</v>
      </c>
      <c r="F40" s="3">
        <v>40</v>
      </c>
      <c r="G40" s="3">
        <v>47</v>
      </c>
      <c r="H40" s="3">
        <v>54</v>
      </c>
      <c r="I40" s="3" t="str">
        <f>""</f>
        <v/>
      </c>
      <c r="J40" s="3" t="str">
        <f>""</f>
        <v/>
      </c>
      <c r="K40" s="3" t="str">
        <f>""</f>
        <v/>
      </c>
      <c r="L40" s="3" t="str">
        <f>""</f>
        <v/>
      </c>
      <c r="M40" s="3" t="str">
        <f>""</f>
        <v/>
      </c>
      <c r="N40" s="3" t="str">
        <f>""</f>
        <v/>
      </c>
      <c r="O40" s="3" t="str">
        <f>""</f>
        <v/>
      </c>
      <c r="P40" s="4" t="str">
        <f>""</f>
        <v/>
      </c>
    </row>
    <row r="41" spans="1:16" x14ac:dyDescent="0.3">
      <c r="A41" s="1">
        <v>40</v>
      </c>
      <c r="B41" s="2" t="str">
        <f>"40/60/90 DIAS"</f>
        <v>40/60/90 DIAS</v>
      </c>
      <c r="C41" s="2" t="s">
        <v>4</v>
      </c>
      <c r="D41" s="2" t="str">
        <f t="shared" si="2"/>
        <v>Dias da Data</v>
      </c>
      <c r="E41" s="3">
        <v>40</v>
      </c>
      <c r="F41" s="3">
        <v>60</v>
      </c>
      <c r="G41" s="3">
        <v>90</v>
      </c>
      <c r="H41" s="3" t="str">
        <f>""</f>
        <v/>
      </c>
      <c r="I41" s="3" t="str">
        <f>""</f>
        <v/>
      </c>
      <c r="J41" s="3" t="str">
        <f>""</f>
        <v/>
      </c>
      <c r="K41" s="3" t="str">
        <f>""</f>
        <v/>
      </c>
      <c r="L41" s="3" t="str">
        <f>""</f>
        <v/>
      </c>
      <c r="M41" s="3" t="str">
        <f>""</f>
        <v/>
      </c>
      <c r="N41" s="3" t="str">
        <f>""</f>
        <v/>
      </c>
      <c r="O41" s="3" t="str">
        <f>""</f>
        <v/>
      </c>
      <c r="P41" s="4" t="str">
        <f>""</f>
        <v/>
      </c>
    </row>
    <row r="42" spans="1:16" x14ac:dyDescent="0.3">
      <c r="A42" s="1">
        <v>41</v>
      </c>
      <c r="B42" s="2" t="str">
        <f>"35 DIAS"</f>
        <v>35 DIAS</v>
      </c>
      <c r="C42" s="2" t="s">
        <v>4</v>
      </c>
      <c r="D42" s="2" t="str">
        <f t="shared" si="2"/>
        <v>Dias da Data</v>
      </c>
      <c r="E42" s="3">
        <v>35</v>
      </c>
      <c r="F42" s="3" t="str">
        <f>""</f>
        <v/>
      </c>
      <c r="G42" s="3" t="str">
        <f>""</f>
        <v/>
      </c>
      <c r="H42" s="3" t="str">
        <f>""</f>
        <v/>
      </c>
      <c r="I42" s="3" t="str">
        <f>""</f>
        <v/>
      </c>
      <c r="J42" s="3" t="str">
        <f>""</f>
        <v/>
      </c>
      <c r="K42" s="3" t="str">
        <f>""</f>
        <v/>
      </c>
      <c r="L42" s="3" t="str">
        <f>""</f>
        <v/>
      </c>
      <c r="M42" s="3" t="str">
        <f>""</f>
        <v/>
      </c>
      <c r="N42" s="3" t="str">
        <f>""</f>
        <v/>
      </c>
      <c r="O42" s="3" t="str">
        <f>""</f>
        <v/>
      </c>
      <c r="P42" s="4" t="str">
        <f>""</f>
        <v/>
      </c>
    </row>
    <row r="43" spans="1:16" x14ac:dyDescent="0.3">
      <c r="A43" s="1">
        <v>42</v>
      </c>
      <c r="B43" s="2" t="str">
        <f>"22 DIAS"</f>
        <v>22 DIAS</v>
      </c>
      <c r="C43" s="2" t="s">
        <v>4</v>
      </c>
      <c r="D43" s="2" t="str">
        <f t="shared" si="2"/>
        <v>Dias da Data</v>
      </c>
      <c r="E43" s="3">
        <v>22</v>
      </c>
      <c r="F43" s="3" t="str">
        <f>""</f>
        <v/>
      </c>
      <c r="G43" s="3" t="str">
        <f>""</f>
        <v/>
      </c>
      <c r="H43" s="3" t="str">
        <f>""</f>
        <v/>
      </c>
      <c r="I43" s="3" t="str">
        <f>""</f>
        <v/>
      </c>
      <c r="J43" s="3" t="str">
        <f>""</f>
        <v/>
      </c>
      <c r="K43" s="3" t="str">
        <f>""</f>
        <v/>
      </c>
      <c r="L43" s="3" t="str">
        <f>""</f>
        <v/>
      </c>
      <c r="M43" s="3" t="str">
        <f>""</f>
        <v/>
      </c>
      <c r="N43" s="3" t="str">
        <f>""</f>
        <v/>
      </c>
      <c r="O43" s="3" t="str">
        <f>""</f>
        <v/>
      </c>
      <c r="P43" s="4" t="str">
        <f>""</f>
        <v/>
      </c>
    </row>
    <row r="44" spans="1:16" x14ac:dyDescent="0.3">
      <c r="A44" s="1">
        <v>43</v>
      </c>
      <c r="B44" s="2" t="str">
        <f>"21/28/35/42/49"</f>
        <v>21/28/35/42/49</v>
      </c>
      <c r="C44" s="2" t="s">
        <v>4</v>
      </c>
      <c r="D44" s="2" t="str">
        <f t="shared" si="2"/>
        <v>Dias da Data</v>
      </c>
      <c r="E44" s="3">
        <v>21</v>
      </c>
      <c r="F44" s="3">
        <v>28</v>
      </c>
      <c r="G44" s="3">
        <v>35</v>
      </c>
      <c r="H44" s="3">
        <v>42</v>
      </c>
      <c r="I44" s="3">
        <v>49</v>
      </c>
      <c r="J44" s="3" t="str">
        <f>""</f>
        <v/>
      </c>
      <c r="K44" s="3" t="str">
        <f>""</f>
        <v/>
      </c>
      <c r="L44" s="3" t="str">
        <f>""</f>
        <v/>
      </c>
      <c r="M44" s="3" t="str">
        <f>""</f>
        <v/>
      </c>
      <c r="N44" s="3" t="str">
        <f>""</f>
        <v/>
      </c>
      <c r="O44" s="3" t="str">
        <f>""</f>
        <v/>
      </c>
      <c r="P44" s="4" t="str">
        <f>""</f>
        <v/>
      </c>
    </row>
    <row r="45" spans="1:16" x14ac:dyDescent="0.3">
      <c r="A45" s="1">
        <v>44</v>
      </c>
      <c r="B45" s="2" t="str">
        <f>"14/28/42/56"</f>
        <v>14/28/42/56</v>
      </c>
      <c r="C45" s="2" t="s">
        <v>4</v>
      </c>
      <c r="D45" s="2" t="str">
        <f t="shared" si="2"/>
        <v>Dias da Data</v>
      </c>
      <c r="E45" s="3">
        <v>14</v>
      </c>
      <c r="F45" s="3">
        <v>28</v>
      </c>
      <c r="G45" s="3">
        <v>42</v>
      </c>
      <c r="H45" s="3">
        <v>56</v>
      </c>
      <c r="I45" s="3" t="str">
        <f>""</f>
        <v/>
      </c>
      <c r="J45" s="3" t="str">
        <f>""</f>
        <v/>
      </c>
      <c r="K45" s="3" t="str">
        <f>""</f>
        <v/>
      </c>
      <c r="L45" s="3" t="str">
        <f>""</f>
        <v/>
      </c>
      <c r="M45" s="3" t="str">
        <f>""</f>
        <v/>
      </c>
      <c r="N45" s="3" t="str">
        <f>""</f>
        <v/>
      </c>
      <c r="O45" s="3" t="str">
        <f>""</f>
        <v/>
      </c>
      <c r="P45" s="4" t="str">
        <f>""</f>
        <v/>
      </c>
    </row>
    <row r="46" spans="1:16" x14ac:dyDescent="0.3">
      <c r="A46" s="1">
        <v>45</v>
      </c>
      <c r="B46" s="2" t="str">
        <f>"28/56 DIAS"</f>
        <v>28/56 DIAS</v>
      </c>
      <c r="C46" s="2" t="s">
        <v>4</v>
      </c>
      <c r="D46" s="2" t="str">
        <f t="shared" si="2"/>
        <v>Dias da Data</v>
      </c>
      <c r="E46" s="3">
        <v>28</v>
      </c>
      <c r="F46" s="3">
        <v>56</v>
      </c>
      <c r="G46" s="3" t="str">
        <f>""</f>
        <v/>
      </c>
      <c r="H46" s="3" t="str">
        <f>""</f>
        <v/>
      </c>
      <c r="I46" s="3" t="str">
        <f>""</f>
        <v/>
      </c>
      <c r="J46" s="3" t="str">
        <f>""</f>
        <v/>
      </c>
      <c r="K46" s="3" t="str">
        <f>""</f>
        <v/>
      </c>
      <c r="L46" s="3" t="str">
        <f>""</f>
        <v/>
      </c>
      <c r="M46" s="3" t="str">
        <f>""</f>
        <v/>
      </c>
      <c r="N46" s="3" t="str">
        <f>""</f>
        <v/>
      </c>
      <c r="O46" s="3" t="str">
        <f>""</f>
        <v/>
      </c>
      <c r="P46" s="4" t="str">
        <f>""</f>
        <v/>
      </c>
    </row>
    <row r="47" spans="1:16" x14ac:dyDescent="0.3">
      <c r="A47" s="1">
        <v>46</v>
      </c>
      <c r="B47" s="2" t="str">
        <f>"*** não utilizar ***"</f>
        <v>*** não utilizar ***</v>
      </c>
      <c r="C47" s="2" t="s">
        <v>4</v>
      </c>
      <c r="D47" s="2" t="str">
        <f t="shared" si="2"/>
        <v>Dias da Data</v>
      </c>
      <c r="E47" s="3">
        <v>10</v>
      </c>
      <c r="F47" s="3" t="str">
        <f>""</f>
        <v/>
      </c>
      <c r="G47" s="3" t="str">
        <f>""</f>
        <v/>
      </c>
      <c r="H47" s="3" t="str">
        <f>""</f>
        <v/>
      </c>
      <c r="I47" s="3" t="str">
        <f>""</f>
        <v/>
      </c>
      <c r="J47" s="3" t="str">
        <f>""</f>
        <v/>
      </c>
      <c r="K47" s="3" t="str">
        <f>""</f>
        <v/>
      </c>
      <c r="L47" s="3" t="str">
        <f>""</f>
        <v/>
      </c>
      <c r="M47" s="3" t="str">
        <f>""</f>
        <v/>
      </c>
      <c r="N47" s="3" t="str">
        <f>""</f>
        <v/>
      </c>
      <c r="O47" s="3" t="str">
        <f>""</f>
        <v/>
      </c>
      <c r="P47" s="4" t="str">
        <f>""</f>
        <v/>
      </c>
    </row>
    <row r="48" spans="1:16" x14ac:dyDescent="0.3">
      <c r="A48" s="1">
        <v>47</v>
      </c>
      <c r="B48" s="2" t="str">
        <f>"14/28/42/56/70"</f>
        <v>14/28/42/56/70</v>
      </c>
      <c r="C48" s="2" t="s">
        <v>4</v>
      </c>
      <c r="D48" s="2" t="str">
        <f t="shared" si="2"/>
        <v>Dias da Data</v>
      </c>
      <c r="E48" s="3">
        <v>14</v>
      </c>
      <c r="F48" s="3">
        <v>28</v>
      </c>
      <c r="G48" s="3">
        <v>42</v>
      </c>
      <c r="H48" s="3">
        <v>56</v>
      </c>
      <c r="I48" s="3">
        <v>70</v>
      </c>
      <c r="J48" s="3" t="str">
        <f>""</f>
        <v/>
      </c>
      <c r="K48" s="3" t="str">
        <f>""</f>
        <v/>
      </c>
      <c r="L48" s="3" t="str">
        <f>""</f>
        <v/>
      </c>
      <c r="M48" s="3" t="str">
        <f>""</f>
        <v/>
      </c>
      <c r="N48" s="3" t="str">
        <f>""</f>
        <v/>
      </c>
      <c r="O48" s="3" t="str">
        <f>""</f>
        <v/>
      </c>
      <c r="P48" s="4" t="str">
        <f>""</f>
        <v/>
      </c>
    </row>
    <row r="49" spans="1:16" x14ac:dyDescent="0.3">
      <c r="A49" s="1">
        <v>48</v>
      </c>
      <c r="B49" s="2" t="str">
        <f>"Fixo dia 31 de cada mês"</f>
        <v>Fixo dia 31 de cada mês</v>
      </c>
      <c r="C49" s="2" t="s">
        <v>4</v>
      </c>
      <c r="D49" s="2" t="str">
        <f>"Apresentacao"</f>
        <v>Apresentacao</v>
      </c>
      <c r="E49" s="3" t="str">
        <f>""</f>
        <v/>
      </c>
      <c r="F49" s="3" t="str">
        <f>""</f>
        <v/>
      </c>
      <c r="G49" s="3" t="str">
        <f>""</f>
        <v/>
      </c>
      <c r="H49" s="3" t="str">
        <f>""</f>
        <v/>
      </c>
      <c r="I49" s="3" t="str">
        <f>""</f>
        <v/>
      </c>
      <c r="J49" s="3" t="str">
        <f>""</f>
        <v/>
      </c>
      <c r="K49" s="3" t="str">
        <f>""</f>
        <v/>
      </c>
      <c r="L49" s="3" t="str">
        <f>""</f>
        <v/>
      </c>
      <c r="M49" s="3" t="str">
        <f>""</f>
        <v/>
      </c>
      <c r="N49" s="3" t="str">
        <f>""</f>
        <v/>
      </c>
      <c r="O49" s="3" t="str">
        <f>""</f>
        <v/>
      </c>
      <c r="P49" s="4" t="str">
        <f>""</f>
        <v/>
      </c>
    </row>
    <row r="50" spans="1:16" x14ac:dyDescent="0.3">
      <c r="A50" s="1">
        <v>49</v>
      </c>
      <c r="B50" s="2" t="str">
        <f>"58/62 dias"</f>
        <v>58/62 dias</v>
      </c>
      <c r="C50" s="2" t="s">
        <v>4</v>
      </c>
      <c r="D50" s="2" t="str">
        <f t="shared" ref="D50:D60" si="3">"Dias da Data"</f>
        <v>Dias da Data</v>
      </c>
      <c r="E50" s="3">
        <v>58</v>
      </c>
      <c r="F50" s="3">
        <v>62</v>
      </c>
      <c r="G50" s="3" t="str">
        <f>""</f>
        <v/>
      </c>
      <c r="H50" s="3" t="str">
        <f>""</f>
        <v/>
      </c>
      <c r="I50" s="3" t="str">
        <f>""</f>
        <v/>
      </c>
      <c r="J50" s="3" t="str">
        <f>""</f>
        <v/>
      </c>
      <c r="K50" s="3" t="str">
        <f>""</f>
        <v/>
      </c>
      <c r="L50" s="3" t="str">
        <f>""</f>
        <v/>
      </c>
      <c r="M50" s="3" t="str">
        <f>""</f>
        <v/>
      </c>
      <c r="N50" s="3" t="str">
        <f>""</f>
        <v/>
      </c>
      <c r="O50" s="3" t="str">
        <f>""</f>
        <v/>
      </c>
      <c r="P50" s="4" t="str">
        <f>""</f>
        <v/>
      </c>
    </row>
    <row r="51" spans="1:16" x14ac:dyDescent="0.3">
      <c r="A51" s="1">
        <v>50</v>
      </c>
      <c r="B51" s="2" t="str">
        <f>"50 DIAS"</f>
        <v>50 DIAS</v>
      </c>
      <c r="C51" s="2" t="s">
        <v>4</v>
      </c>
      <c r="D51" s="2" t="str">
        <f t="shared" si="3"/>
        <v>Dias da Data</v>
      </c>
      <c r="E51" s="3">
        <v>50</v>
      </c>
      <c r="F51" s="3" t="str">
        <f>""</f>
        <v/>
      </c>
      <c r="G51" s="3" t="str">
        <f>""</f>
        <v/>
      </c>
      <c r="H51" s="3" t="str">
        <f>""</f>
        <v/>
      </c>
      <c r="I51" s="3" t="str">
        <f>""</f>
        <v/>
      </c>
      <c r="J51" s="3" t="str">
        <f>""</f>
        <v/>
      </c>
      <c r="K51" s="3" t="str">
        <f>""</f>
        <v/>
      </c>
      <c r="L51" s="3" t="str">
        <f>""</f>
        <v/>
      </c>
      <c r="M51" s="3" t="str">
        <f>""</f>
        <v/>
      </c>
      <c r="N51" s="3" t="str">
        <f>""</f>
        <v/>
      </c>
      <c r="O51" s="3" t="str">
        <f>""</f>
        <v/>
      </c>
      <c r="P51" s="4" t="str">
        <f>""</f>
        <v/>
      </c>
    </row>
    <row r="52" spans="1:16" x14ac:dyDescent="0.3">
      <c r="A52" s="1">
        <v>51</v>
      </c>
      <c r="B52" s="2" t="str">
        <f>"35/65/95 DIAS"</f>
        <v>35/65/95 DIAS</v>
      </c>
      <c r="C52" s="2" t="s">
        <v>4</v>
      </c>
      <c r="D52" s="2" t="str">
        <f t="shared" si="3"/>
        <v>Dias da Data</v>
      </c>
      <c r="E52" s="3">
        <v>35</v>
      </c>
      <c r="F52" s="3">
        <v>65</v>
      </c>
      <c r="G52" s="3">
        <v>95</v>
      </c>
      <c r="H52" s="3" t="str">
        <f>""</f>
        <v/>
      </c>
      <c r="I52" s="3" t="str">
        <f>""</f>
        <v/>
      </c>
      <c r="J52" s="3" t="str">
        <f>""</f>
        <v/>
      </c>
      <c r="K52" s="3" t="str">
        <f>""</f>
        <v/>
      </c>
      <c r="L52" s="3" t="str">
        <f>""</f>
        <v/>
      </c>
      <c r="M52" s="3" t="str">
        <f>""</f>
        <v/>
      </c>
      <c r="N52" s="3" t="str">
        <f>""</f>
        <v/>
      </c>
      <c r="O52" s="3" t="str">
        <f>""</f>
        <v/>
      </c>
      <c r="P52" s="4" t="str">
        <f>""</f>
        <v/>
      </c>
    </row>
    <row r="53" spans="1:16" x14ac:dyDescent="0.3">
      <c r="A53" s="1">
        <v>52</v>
      </c>
      <c r="B53" s="2" t="str">
        <f>"42  DIAS"</f>
        <v>42  DIAS</v>
      </c>
      <c r="C53" s="2" t="s">
        <v>4</v>
      </c>
      <c r="D53" s="2" t="str">
        <f t="shared" si="3"/>
        <v>Dias da Data</v>
      </c>
      <c r="E53" s="3">
        <v>42</v>
      </c>
      <c r="F53" s="3" t="str">
        <f>""</f>
        <v/>
      </c>
      <c r="G53" s="3" t="str">
        <f>""</f>
        <v/>
      </c>
      <c r="H53" s="3" t="str">
        <f>""</f>
        <v/>
      </c>
      <c r="I53" s="3" t="str">
        <f>""</f>
        <v/>
      </c>
      <c r="J53" s="3" t="str">
        <f>""</f>
        <v/>
      </c>
      <c r="K53" s="3" t="str">
        <f>""</f>
        <v/>
      </c>
      <c r="L53" s="3" t="str">
        <f>""</f>
        <v/>
      </c>
      <c r="M53" s="3" t="str">
        <f>""</f>
        <v/>
      </c>
      <c r="N53" s="3" t="str">
        <f>""</f>
        <v/>
      </c>
      <c r="O53" s="3" t="str">
        <f>""</f>
        <v/>
      </c>
      <c r="P53" s="4" t="str">
        <f>""</f>
        <v/>
      </c>
    </row>
    <row r="54" spans="1:16" x14ac:dyDescent="0.3">
      <c r="A54" s="1">
        <v>53</v>
      </c>
      <c r="B54" s="2" t="str">
        <f>"38/45/52 DIAS"</f>
        <v>38/45/52 DIAS</v>
      </c>
      <c r="C54" s="2" t="s">
        <v>4</v>
      </c>
      <c r="D54" s="2" t="str">
        <f t="shared" si="3"/>
        <v>Dias da Data</v>
      </c>
      <c r="E54" s="3">
        <v>38</v>
      </c>
      <c r="F54" s="3">
        <v>45</v>
      </c>
      <c r="G54" s="3">
        <v>52</v>
      </c>
      <c r="H54" s="3" t="str">
        <f>""</f>
        <v/>
      </c>
      <c r="I54" s="3" t="str">
        <f>""</f>
        <v/>
      </c>
      <c r="J54" s="3" t="str">
        <f>""</f>
        <v/>
      </c>
      <c r="K54" s="3" t="str">
        <f>""</f>
        <v/>
      </c>
      <c r="L54" s="3" t="str">
        <f>""</f>
        <v/>
      </c>
      <c r="M54" s="3" t="str">
        <f>""</f>
        <v/>
      </c>
      <c r="N54" s="3" t="str">
        <f>""</f>
        <v/>
      </c>
      <c r="O54" s="3" t="str">
        <f>""</f>
        <v/>
      </c>
      <c r="P54" s="4" t="str">
        <f>""</f>
        <v/>
      </c>
    </row>
    <row r="55" spans="1:16" x14ac:dyDescent="0.3">
      <c r="A55" s="1">
        <v>54</v>
      </c>
      <c r="B55" s="2" t="str">
        <f>"25/35 DIAS"</f>
        <v>25/35 DIAS</v>
      </c>
      <c r="C55" s="2" t="s">
        <v>4</v>
      </c>
      <c r="D55" s="2" t="str">
        <f t="shared" si="3"/>
        <v>Dias da Data</v>
      </c>
      <c r="E55" s="3">
        <v>25</v>
      </c>
      <c r="F55" s="3">
        <v>35</v>
      </c>
      <c r="G55" s="3" t="str">
        <f>""</f>
        <v/>
      </c>
      <c r="H55" s="3" t="str">
        <f>""</f>
        <v/>
      </c>
      <c r="I55" s="3" t="str">
        <f>""</f>
        <v/>
      </c>
      <c r="J55" s="3" t="str">
        <f>""</f>
        <v/>
      </c>
      <c r="K55" s="3" t="str">
        <f>""</f>
        <v/>
      </c>
      <c r="L55" s="3" t="str">
        <f>""</f>
        <v/>
      </c>
      <c r="M55" s="3" t="str">
        <f>""</f>
        <v/>
      </c>
      <c r="N55" s="3" t="str">
        <f>""</f>
        <v/>
      </c>
      <c r="O55" s="3" t="str">
        <f>""</f>
        <v/>
      </c>
      <c r="P55" s="4" t="str">
        <f>""</f>
        <v/>
      </c>
    </row>
    <row r="56" spans="1:16" x14ac:dyDescent="0.3">
      <c r="A56" s="1">
        <v>55</v>
      </c>
      <c r="B56" s="2" t="str">
        <f>"30/45 DIAS"</f>
        <v>30/45 DIAS</v>
      </c>
      <c r="C56" s="2" t="s">
        <v>4</v>
      </c>
      <c r="D56" s="2" t="str">
        <f t="shared" si="3"/>
        <v>Dias da Data</v>
      </c>
      <c r="E56" s="3">
        <v>30</v>
      </c>
      <c r="F56" s="3">
        <v>45</v>
      </c>
      <c r="G56" s="3" t="str">
        <f>""</f>
        <v/>
      </c>
      <c r="H56" s="3" t="str">
        <f>""</f>
        <v/>
      </c>
      <c r="I56" s="3" t="str">
        <f>""</f>
        <v/>
      </c>
      <c r="J56" s="3" t="str">
        <f>""</f>
        <v/>
      </c>
      <c r="K56" s="3" t="str">
        <f>""</f>
        <v/>
      </c>
      <c r="L56" s="3" t="str">
        <f>""</f>
        <v/>
      </c>
      <c r="M56" s="3" t="str">
        <f>""</f>
        <v/>
      </c>
      <c r="N56" s="3" t="str">
        <f>""</f>
        <v/>
      </c>
      <c r="O56" s="3" t="str">
        <f>""</f>
        <v/>
      </c>
      <c r="P56" s="4" t="str">
        <f>""</f>
        <v/>
      </c>
    </row>
    <row r="57" spans="1:16" x14ac:dyDescent="0.3">
      <c r="A57" s="1">
        <v>56</v>
      </c>
      <c r="B57" s="2" t="str">
        <f>"28/42 DIAS"</f>
        <v>28/42 DIAS</v>
      </c>
      <c r="C57" s="2" t="s">
        <v>4</v>
      </c>
      <c r="D57" s="2" t="str">
        <f t="shared" si="3"/>
        <v>Dias da Data</v>
      </c>
      <c r="E57" s="3">
        <v>28</v>
      </c>
      <c r="F57" s="3">
        <v>42</v>
      </c>
      <c r="G57" s="3" t="str">
        <f>""</f>
        <v/>
      </c>
      <c r="H57" s="3" t="str">
        <f>""</f>
        <v/>
      </c>
      <c r="I57" s="3" t="str">
        <f>""</f>
        <v/>
      </c>
      <c r="J57" s="3" t="str">
        <f>""</f>
        <v/>
      </c>
      <c r="K57" s="3" t="str">
        <f>""</f>
        <v/>
      </c>
      <c r="L57" s="3" t="str">
        <f>""</f>
        <v/>
      </c>
      <c r="M57" s="3" t="str">
        <f>""</f>
        <v/>
      </c>
      <c r="N57" s="3" t="str">
        <f>""</f>
        <v/>
      </c>
      <c r="O57" s="3" t="str">
        <f>""</f>
        <v/>
      </c>
      <c r="P57" s="4" t="str">
        <f>""</f>
        <v/>
      </c>
    </row>
    <row r="58" spans="1:16" x14ac:dyDescent="0.3">
      <c r="A58" s="1">
        <v>57</v>
      </c>
      <c r="B58" s="2" t="str">
        <f>"53 DIAS"</f>
        <v>53 DIAS</v>
      </c>
      <c r="C58" s="2" t="s">
        <v>4</v>
      </c>
      <c r="D58" s="2" t="str">
        <f t="shared" si="3"/>
        <v>Dias da Data</v>
      </c>
      <c r="E58" s="3" t="str">
        <f>""</f>
        <v/>
      </c>
      <c r="F58" s="3" t="str">
        <f>""</f>
        <v/>
      </c>
      <c r="G58" s="3" t="str">
        <f>""</f>
        <v/>
      </c>
      <c r="H58" s="3" t="str">
        <f>""</f>
        <v/>
      </c>
      <c r="I58" s="3" t="str">
        <f>""</f>
        <v/>
      </c>
      <c r="J58" s="3" t="str">
        <f>""</f>
        <v/>
      </c>
      <c r="K58" s="3" t="str">
        <f>""</f>
        <v/>
      </c>
      <c r="L58" s="3" t="str">
        <f>""</f>
        <v/>
      </c>
      <c r="M58" s="3" t="str">
        <f>""</f>
        <v/>
      </c>
      <c r="N58" s="3" t="str">
        <f>""</f>
        <v/>
      </c>
      <c r="O58" s="3" t="str">
        <f>""</f>
        <v/>
      </c>
      <c r="P58" s="4" t="str">
        <f>""</f>
        <v/>
      </c>
    </row>
    <row r="59" spans="1:16" x14ac:dyDescent="0.3">
      <c r="A59" s="1">
        <v>58</v>
      </c>
      <c r="B59" s="2" t="str">
        <f>"80 Dias"</f>
        <v>80 Dias</v>
      </c>
      <c r="C59" s="2" t="s">
        <v>4</v>
      </c>
      <c r="D59" s="2" t="str">
        <f t="shared" si="3"/>
        <v>Dias da Data</v>
      </c>
      <c r="E59" s="3">
        <v>80</v>
      </c>
      <c r="F59" s="3" t="str">
        <f>""</f>
        <v/>
      </c>
      <c r="G59" s="3" t="str">
        <f>""</f>
        <v/>
      </c>
      <c r="H59" s="3" t="str">
        <f>""</f>
        <v/>
      </c>
      <c r="I59" s="3" t="str">
        <f>""</f>
        <v/>
      </c>
      <c r="J59" s="3" t="str">
        <f>""</f>
        <v/>
      </c>
      <c r="K59" s="3" t="str">
        <f>""</f>
        <v/>
      </c>
      <c r="L59" s="3" t="str">
        <f>""</f>
        <v/>
      </c>
      <c r="M59" s="3" t="str">
        <f>""</f>
        <v/>
      </c>
      <c r="N59" s="3" t="str">
        <f>""</f>
        <v/>
      </c>
      <c r="O59" s="3" t="str">
        <f>""</f>
        <v/>
      </c>
      <c r="P59" s="4" t="str">
        <f>""</f>
        <v/>
      </c>
    </row>
    <row r="60" spans="1:16" x14ac:dyDescent="0.3">
      <c r="A60" s="1">
        <v>59</v>
      </c>
      <c r="B60" s="2" t="str">
        <f>"45/60/75 Dias"</f>
        <v>45/60/75 Dias</v>
      </c>
      <c r="C60" s="2" t="s">
        <v>4</v>
      </c>
      <c r="D60" s="2" t="str">
        <f t="shared" si="3"/>
        <v>Dias da Data</v>
      </c>
      <c r="E60" s="3">
        <v>45</v>
      </c>
      <c r="F60" s="3">
        <v>60</v>
      </c>
      <c r="G60" s="3">
        <v>75</v>
      </c>
      <c r="H60" s="3" t="str">
        <f>""</f>
        <v/>
      </c>
      <c r="I60" s="3" t="str">
        <f>""</f>
        <v/>
      </c>
      <c r="J60" s="3" t="str">
        <f>""</f>
        <v/>
      </c>
      <c r="K60" s="3" t="str">
        <f>""</f>
        <v/>
      </c>
      <c r="L60" s="3" t="str">
        <f>""</f>
        <v/>
      </c>
      <c r="M60" s="3" t="str">
        <f>""</f>
        <v/>
      </c>
      <c r="N60" s="3" t="str">
        <f>""</f>
        <v/>
      </c>
      <c r="O60" s="3" t="str">
        <f>""</f>
        <v/>
      </c>
      <c r="P60" s="4" t="str">
        <f>""</f>
        <v/>
      </c>
    </row>
    <row r="61" spans="1:16" x14ac:dyDescent="0.3">
      <c r="A61" s="1">
        <v>60</v>
      </c>
      <c r="B61" s="2" t="str">
        <f>"Fixo dia 04 de cada mês"</f>
        <v>Fixo dia 04 de cada mês</v>
      </c>
      <c r="C61" s="2" t="s">
        <v>4</v>
      </c>
      <c r="D61" s="2" t="str">
        <f>"Apresentacao"</f>
        <v>Apresentacao</v>
      </c>
      <c r="E61" s="3">
        <v>4</v>
      </c>
      <c r="F61" s="3" t="str">
        <f>""</f>
        <v/>
      </c>
      <c r="G61" s="3" t="str">
        <f>""</f>
        <v/>
      </c>
      <c r="H61" s="3" t="str">
        <f>""</f>
        <v/>
      </c>
      <c r="I61" s="3" t="str">
        <f>""</f>
        <v/>
      </c>
      <c r="J61" s="3" t="str">
        <f>""</f>
        <v/>
      </c>
      <c r="K61" s="3" t="str">
        <f>""</f>
        <v/>
      </c>
      <c r="L61" s="3" t="str">
        <f>""</f>
        <v/>
      </c>
      <c r="M61" s="3" t="str">
        <f>""</f>
        <v/>
      </c>
      <c r="N61" s="3" t="str">
        <f>""</f>
        <v/>
      </c>
      <c r="O61" s="3" t="str">
        <f>""</f>
        <v/>
      </c>
      <c r="P61" s="4" t="str">
        <f>""</f>
        <v/>
      </c>
    </row>
    <row r="62" spans="1:16" x14ac:dyDescent="0.3">
      <c r="A62" s="1">
        <v>61</v>
      </c>
      <c r="B62" s="2" t="str">
        <f>"30/45/60/75 DIAS"</f>
        <v>30/45/60/75 DIAS</v>
      </c>
      <c r="C62" s="2" t="s">
        <v>4</v>
      </c>
      <c r="D62" s="2" t="str">
        <f t="shared" ref="D62:D68" si="4">"Dias da Data"</f>
        <v>Dias da Data</v>
      </c>
      <c r="E62" s="3">
        <v>30</v>
      </c>
      <c r="F62" s="3">
        <v>45</v>
      </c>
      <c r="G62" s="3">
        <v>60</v>
      </c>
      <c r="H62" s="3">
        <v>75</v>
      </c>
      <c r="I62" s="3" t="str">
        <f>""</f>
        <v/>
      </c>
      <c r="J62" s="3" t="str">
        <f>""</f>
        <v/>
      </c>
      <c r="K62" s="3" t="str">
        <f>""</f>
        <v/>
      </c>
      <c r="L62" s="3" t="str">
        <f>""</f>
        <v/>
      </c>
      <c r="M62" s="3" t="str">
        <f>""</f>
        <v/>
      </c>
      <c r="N62" s="3" t="str">
        <f>""</f>
        <v/>
      </c>
      <c r="O62" s="3" t="str">
        <f>""</f>
        <v/>
      </c>
      <c r="P62" s="4" t="str">
        <f>""</f>
        <v/>
      </c>
    </row>
    <row r="63" spans="1:16" x14ac:dyDescent="0.3">
      <c r="A63" s="1">
        <v>62</v>
      </c>
      <c r="B63" s="2" t="str">
        <f>"60 DIAS S/ encargo"</f>
        <v>60 DIAS S/ encargo</v>
      </c>
      <c r="C63" s="2" t="s">
        <v>4</v>
      </c>
      <c r="D63" s="2" t="str">
        <f t="shared" si="4"/>
        <v>Dias da Data</v>
      </c>
      <c r="E63" s="3">
        <v>60</v>
      </c>
      <c r="F63" s="3" t="str">
        <f>""</f>
        <v/>
      </c>
      <c r="G63" s="3" t="str">
        <f>""</f>
        <v/>
      </c>
      <c r="H63" s="3" t="str">
        <f>""</f>
        <v/>
      </c>
      <c r="I63" s="3" t="str">
        <f>""</f>
        <v/>
      </c>
      <c r="J63" s="3" t="str">
        <f>""</f>
        <v/>
      </c>
      <c r="K63" s="3" t="str">
        <f>""</f>
        <v/>
      </c>
      <c r="L63" s="3" t="str">
        <f>""</f>
        <v/>
      </c>
      <c r="M63" s="3" t="str">
        <f>""</f>
        <v/>
      </c>
      <c r="N63" s="3" t="str">
        <f>""</f>
        <v/>
      </c>
      <c r="O63" s="3" t="str">
        <f>""</f>
        <v/>
      </c>
      <c r="P63" s="4" t="str">
        <f>""</f>
        <v/>
      </c>
    </row>
    <row r="64" spans="1:16" x14ac:dyDescent="0.3">
      <c r="A64" s="1">
        <v>63</v>
      </c>
      <c r="B64" s="2" t="str">
        <f>"21 DIAS + Taxas"</f>
        <v>21 DIAS + Taxas</v>
      </c>
      <c r="C64" s="2" t="s">
        <v>4</v>
      </c>
      <c r="D64" s="2" t="str">
        <f t="shared" si="4"/>
        <v>Dias da Data</v>
      </c>
      <c r="E64" s="3">
        <v>21</v>
      </c>
      <c r="F64" s="3" t="str">
        <f>""</f>
        <v/>
      </c>
      <c r="G64" s="3" t="str">
        <f>""</f>
        <v/>
      </c>
      <c r="H64" s="3" t="str">
        <f>""</f>
        <v/>
      </c>
      <c r="I64" s="3" t="str">
        <f>""</f>
        <v/>
      </c>
      <c r="J64" s="3" t="str">
        <f>""</f>
        <v/>
      </c>
      <c r="K64" s="3" t="str">
        <f>""</f>
        <v/>
      </c>
      <c r="L64" s="3" t="str">
        <f>""</f>
        <v/>
      </c>
      <c r="M64" s="3" t="str">
        <f>""</f>
        <v/>
      </c>
      <c r="N64" s="3" t="str">
        <f>""</f>
        <v/>
      </c>
      <c r="O64" s="3" t="str">
        <f>""</f>
        <v/>
      </c>
      <c r="P64" s="4" t="str">
        <f>""</f>
        <v/>
      </c>
    </row>
    <row r="65" spans="1:16" x14ac:dyDescent="0.3">
      <c r="A65" s="1">
        <v>64</v>
      </c>
      <c r="B65" s="2" t="str">
        <f>"60% A VISTA - 40% 28 DIAS"</f>
        <v>60% A VISTA - 40% 28 DIAS</v>
      </c>
      <c r="C65" s="2" t="s">
        <v>4</v>
      </c>
      <c r="D65" s="2" t="str">
        <f t="shared" si="4"/>
        <v>Dias da Data</v>
      </c>
      <c r="E65" s="3" t="str">
        <f>""</f>
        <v/>
      </c>
      <c r="F65" s="3">
        <v>28</v>
      </c>
      <c r="G65" s="3" t="str">
        <f>""</f>
        <v/>
      </c>
      <c r="H65" s="3" t="str">
        <f>""</f>
        <v/>
      </c>
      <c r="I65" s="3" t="str">
        <f>""</f>
        <v/>
      </c>
      <c r="J65" s="3" t="str">
        <f>""</f>
        <v/>
      </c>
      <c r="K65" s="3" t="str">
        <f>""</f>
        <v/>
      </c>
      <c r="L65" s="3" t="str">
        <f>""</f>
        <v/>
      </c>
      <c r="M65" s="3" t="str">
        <f>""</f>
        <v/>
      </c>
      <c r="N65" s="3" t="str">
        <f>""</f>
        <v/>
      </c>
      <c r="O65" s="3" t="str">
        <f>""</f>
        <v/>
      </c>
      <c r="P65" s="4" t="str">
        <f>""</f>
        <v/>
      </c>
    </row>
    <row r="66" spans="1:16" x14ac:dyDescent="0.3">
      <c r="A66" s="1">
        <v>65</v>
      </c>
      <c r="B66" s="2" t="str">
        <f>"28 DIAS Placas do BR"</f>
        <v>28 DIAS Placas do BR</v>
      </c>
      <c r="C66" s="2" t="s">
        <v>4</v>
      </c>
      <c r="D66" s="2" t="str">
        <f t="shared" si="4"/>
        <v>Dias da Data</v>
      </c>
      <c r="E66" s="3">
        <v>28</v>
      </c>
      <c r="F66" s="3" t="str">
        <f>""</f>
        <v/>
      </c>
      <c r="G66" s="3" t="str">
        <f>""</f>
        <v/>
      </c>
      <c r="H66" s="3" t="str">
        <f>""</f>
        <v/>
      </c>
      <c r="I66" s="3" t="str">
        <f>""</f>
        <v/>
      </c>
      <c r="J66" s="3" t="str">
        <f>""</f>
        <v/>
      </c>
      <c r="K66" s="3" t="str">
        <f>""</f>
        <v/>
      </c>
      <c r="L66" s="3" t="str">
        <f>""</f>
        <v/>
      </c>
      <c r="M66" s="3" t="str">
        <f>""</f>
        <v/>
      </c>
      <c r="N66" s="3" t="str">
        <f>""</f>
        <v/>
      </c>
      <c r="O66" s="3" t="str">
        <f>""</f>
        <v/>
      </c>
      <c r="P66" s="4" t="str">
        <f>""</f>
        <v/>
      </c>
    </row>
    <row r="67" spans="1:16" x14ac:dyDescent="0.3">
      <c r="A67" s="1">
        <v>66</v>
      </c>
      <c r="B67" s="2" t="str">
        <f>"30 DIAS"</f>
        <v>30 DIAS</v>
      </c>
      <c r="C67" s="2" t="s">
        <v>4</v>
      </c>
      <c r="D67" s="2" t="str">
        <f t="shared" si="4"/>
        <v>Dias da Data</v>
      </c>
      <c r="E67" s="3">
        <v>30</v>
      </c>
      <c r="F67" s="3" t="str">
        <f>""</f>
        <v/>
      </c>
      <c r="G67" s="3" t="str">
        <f>""</f>
        <v/>
      </c>
      <c r="H67" s="3" t="str">
        <f>""</f>
        <v/>
      </c>
      <c r="I67" s="3" t="str">
        <f>""</f>
        <v/>
      </c>
      <c r="J67" s="3" t="str">
        <f>""</f>
        <v/>
      </c>
      <c r="K67" s="3" t="str">
        <f>""</f>
        <v/>
      </c>
      <c r="L67" s="3" t="str">
        <f>""</f>
        <v/>
      </c>
      <c r="M67" s="3" t="str">
        <f>""</f>
        <v/>
      </c>
      <c r="N67" s="3" t="str">
        <f>""</f>
        <v/>
      </c>
      <c r="O67" s="3" t="str">
        <f>""</f>
        <v/>
      </c>
      <c r="P67" s="4" t="str">
        <f>""</f>
        <v/>
      </c>
    </row>
    <row r="68" spans="1:16" x14ac:dyDescent="0.3">
      <c r="A68" s="1">
        <v>67</v>
      </c>
      <c r="B68" s="2" t="str">
        <f>"55 DIAS"</f>
        <v>55 DIAS</v>
      </c>
      <c r="C68" s="2" t="s">
        <v>4</v>
      </c>
      <c r="D68" s="2" t="str">
        <f t="shared" si="4"/>
        <v>Dias da Data</v>
      </c>
      <c r="E68" s="3">
        <v>55</v>
      </c>
      <c r="F68" s="3" t="str">
        <f>""</f>
        <v/>
      </c>
      <c r="G68" s="3" t="str">
        <f>""</f>
        <v/>
      </c>
      <c r="H68" s="3" t="str">
        <f>""</f>
        <v/>
      </c>
      <c r="I68" s="3" t="str">
        <f>""</f>
        <v/>
      </c>
      <c r="J68" s="3" t="str">
        <f>""</f>
        <v/>
      </c>
      <c r="K68" s="3" t="str">
        <f>""</f>
        <v/>
      </c>
      <c r="L68" s="3" t="str">
        <f>""</f>
        <v/>
      </c>
      <c r="M68" s="3" t="str">
        <f>""</f>
        <v/>
      </c>
      <c r="N68" s="3" t="str">
        <f>""</f>
        <v/>
      </c>
      <c r="O68" s="3" t="str">
        <f>""</f>
        <v/>
      </c>
      <c r="P68" s="4" t="str">
        <f>""</f>
        <v/>
      </c>
    </row>
    <row r="69" spans="1:16" x14ac:dyDescent="0.3">
      <c r="A69" s="1">
        <v>68</v>
      </c>
      <c r="B69" s="2" t="str">
        <f>"1DFB - 1 dia fora bimestre"</f>
        <v>1DFB - 1 dia fora bimestre</v>
      </c>
      <c r="C69" s="2" t="s">
        <v>4</v>
      </c>
      <c r="D69" s="2" t="str">
        <f>"Fora Mes"</f>
        <v>Fora Mes</v>
      </c>
      <c r="E69" s="3">
        <v>90</v>
      </c>
      <c r="F69" s="3" t="str">
        <f>""</f>
        <v/>
      </c>
      <c r="G69" s="3" t="str">
        <f>""</f>
        <v/>
      </c>
      <c r="H69" s="3" t="str">
        <f>""</f>
        <v/>
      </c>
      <c r="I69" s="3" t="str">
        <f>""</f>
        <v/>
      </c>
      <c r="J69" s="3" t="str">
        <f>""</f>
        <v/>
      </c>
      <c r="K69" s="3" t="str">
        <f>""</f>
        <v/>
      </c>
      <c r="L69" s="3" t="str">
        <f>""</f>
        <v/>
      </c>
      <c r="M69" s="3" t="str">
        <f>""</f>
        <v/>
      </c>
      <c r="N69" s="3" t="str">
        <f>""</f>
        <v/>
      </c>
      <c r="O69" s="3" t="str">
        <f>""</f>
        <v/>
      </c>
      <c r="P69" s="4" t="str">
        <f>""</f>
        <v/>
      </c>
    </row>
    <row r="70" spans="1:16" x14ac:dyDescent="0.3">
      <c r="A70" s="1">
        <v>69</v>
      </c>
      <c r="B70" s="2" t="str">
        <f>"86 DIAS"</f>
        <v>86 DIAS</v>
      </c>
      <c r="C70" s="2" t="s">
        <v>4</v>
      </c>
      <c r="D70" s="2" t="str">
        <f t="shared" ref="D70:D101" si="5">"Dias da Data"</f>
        <v>Dias da Data</v>
      </c>
      <c r="E70" s="3">
        <v>86</v>
      </c>
      <c r="F70" s="3" t="str">
        <f>""</f>
        <v/>
      </c>
      <c r="G70" s="3" t="str">
        <f>""</f>
        <v/>
      </c>
      <c r="H70" s="3" t="str">
        <f>""</f>
        <v/>
      </c>
      <c r="I70" s="3" t="str">
        <f>""</f>
        <v/>
      </c>
      <c r="J70" s="3" t="str">
        <f>""</f>
        <v/>
      </c>
      <c r="K70" s="3" t="str">
        <f>""</f>
        <v/>
      </c>
      <c r="L70" s="3" t="str">
        <f>""</f>
        <v/>
      </c>
      <c r="M70" s="3" t="str">
        <f>""</f>
        <v/>
      </c>
      <c r="N70" s="3" t="str">
        <f>""</f>
        <v/>
      </c>
      <c r="O70" s="3" t="str">
        <f>""</f>
        <v/>
      </c>
      <c r="P70" s="4" t="str">
        <f>""</f>
        <v/>
      </c>
    </row>
    <row r="71" spans="1:16" x14ac:dyDescent="0.3">
      <c r="A71" s="1">
        <v>70</v>
      </c>
      <c r="B71" s="2" t="str">
        <f>"70/75/80 DIAS"</f>
        <v>70/75/80 DIAS</v>
      </c>
      <c r="C71" s="2" t="s">
        <v>4</v>
      </c>
      <c r="D71" s="2" t="str">
        <f t="shared" si="5"/>
        <v>Dias da Data</v>
      </c>
      <c r="E71" s="3">
        <v>70</v>
      </c>
      <c r="F71" s="3">
        <v>75</v>
      </c>
      <c r="G71" s="3">
        <v>80</v>
      </c>
      <c r="H71" s="3" t="str">
        <f>""</f>
        <v/>
      </c>
      <c r="I71" s="3" t="str">
        <f>""</f>
        <v/>
      </c>
      <c r="J71" s="3" t="str">
        <f>""</f>
        <v/>
      </c>
      <c r="K71" s="3" t="str">
        <f>""</f>
        <v/>
      </c>
      <c r="L71" s="3" t="str">
        <f>""</f>
        <v/>
      </c>
      <c r="M71" s="3" t="str">
        <f>""</f>
        <v/>
      </c>
      <c r="N71" s="3" t="str">
        <f>""</f>
        <v/>
      </c>
      <c r="O71" s="3" t="str">
        <f>""</f>
        <v/>
      </c>
      <c r="P71" s="4" t="str">
        <f>""</f>
        <v/>
      </c>
    </row>
    <row r="72" spans="1:16" x14ac:dyDescent="0.3">
      <c r="A72" s="1">
        <v>75</v>
      </c>
      <c r="B72" s="2" t="str">
        <f>"75 DIAS"</f>
        <v>75 DIAS</v>
      </c>
      <c r="C72" s="2" t="s">
        <v>4</v>
      </c>
      <c r="D72" s="2" t="str">
        <f t="shared" si="5"/>
        <v>Dias da Data</v>
      </c>
      <c r="E72" s="3">
        <v>75</v>
      </c>
      <c r="F72" s="3" t="str">
        <f>""</f>
        <v/>
      </c>
      <c r="G72" s="3" t="str">
        <f>""</f>
        <v/>
      </c>
      <c r="H72" s="3" t="str">
        <f>""</f>
        <v/>
      </c>
      <c r="I72" s="3" t="str">
        <f>""</f>
        <v/>
      </c>
      <c r="J72" s="3" t="str">
        <f>""</f>
        <v/>
      </c>
      <c r="K72" s="3" t="str">
        <f>""</f>
        <v/>
      </c>
      <c r="L72" s="3" t="str">
        <f>""</f>
        <v/>
      </c>
      <c r="M72" s="3" t="str">
        <f>""</f>
        <v/>
      </c>
      <c r="N72" s="3" t="str">
        <f>""</f>
        <v/>
      </c>
      <c r="O72" s="3" t="str">
        <f>""</f>
        <v/>
      </c>
      <c r="P72" s="4" t="str">
        <f>""</f>
        <v/>
      </c>
    </row>
    <row r="73" spans="1:16" x14ac:dyDescent="0.3">
      <c r="A73" s="1">
        <v>76</v>
      </c>
      <c r="B73" s="2" t="str">
        <f>"15/30/45 DIAS C/TAXA"</f>
        <v>15/30/45 DIAS C/TAXA</v>
      </c>
      <c r="C73" s="2" t="s">
        <v>4</v>
      </c>
      <c r="D73" s="2" t="str">
        <f t="shared" si="5"/>
        <v>Dias da Data</v>
      </c>
      <c r="E73" s="3">
        <v>15</v>
      </c>
      <c r="F73" s="3">
        <v>30</v>
      </c>
      <c r="G73" s="3">
        <v>45</v>
      </c>
      <c r="H73" s="3" t="str">
        <f>""</f>
        <v/>
      </c>
      <c r="I73" s="3" t="str">
        <f>""</f>
        <v/>
      </c>
      <c r="J73" s="3" t="str">
        <f>""</f>
        <v/>
      </c>
      <c r="K73" s="3" t="str">
        <f>""</f>
        <v/>
      </c>
      <c r="L73" s="3" t="str">
        <f>""</f>
        <v/>
      </c>
      <c r="M73" s="3" t="str">
        <f>""</f>
        <v/>
      </c>
      <c r="N73" s="3" t="str">
        <f>""</f>
        <v/>
      </c>
      <c r="O73" s="3" t="str">
        <f>""</f>
        <v/>
      </c>
      <c r="P73" s="4" t="str">
        <f>""</f>
        <v/>
      </c>
    </row>
    <row r="74" spans="1:16" x14ac:dyDescent="0.3">
      <c r="A74" s="1">
        <v>77</v>
      </c>
      <c r="B74" s="2" t="str">
        <f>"21/42/56"</f>
        <v>21/42/56</v>
      </c>
      <c r="C74" s="2" t="s">
        <v>4</v>
      </c>
      <c r="D74" s="2" t="str">
        <f t="shared" si="5"/>
        <v>Dias da Data</v>
      </c>
      <c r="E74" s="3">
        <v>21</v>
      </c>
      <c r="F74" s="3">
        <v>42</v>
      </c>
      <c r="G74" s="3">
        <v>56</v>
      </c>
      <c r="H74" s="3" t="str">
        <f>""</f>
        <v/>
      </c>
      <c r="I74" s="3" t="str">
        <f>""</f>
        <v/>
      </c>
      <c r="J74" s="3" t="str">
        <f>""</f>
        <v/>
      </c>
      <c r="K74" s="3" t="str">
        <f>""</f>
        <v/>
      </c>
      <c r="L74" s="3" t="str">
        <f>""</f>
        <v/>
      </c>
      <c r="M74" s="3" t="str">
        <f>""</f>
        <v/>
      </c>
      <c r="N74" s="3" t="str">
        <f>""</f>
        <v/>
      </c>
      <c r="O74" s="3" t="str">
        <f>""</f>
        <v/>
      </c>
      <c r="P74" s="4" t="str">
        <f>""</f>
        <v/>
      </c>
    </row>
    <row r="75" spans="1:16" x14ac:dyDescent="0.3">
      <c r="A75" s="1">
        <v>78</v>
      </c>
      <c r="B75" s="2" t="str">
        <f>"90 Days from the shipment date"</f>
        <v>90 Days from the shipment date</v>
      </c>
      <c r="C75" s="2" t="s">
        <v>4</v>
      </c>
      <c r="D75" s="2" t="str">
        <f t="shared" si="5"/>
        <v>Dias da Data</v>
      </c>
      <c r="E75" s="3">
        <v>90</v>
      </c>
      <c r="F75" s="3" t="str">
        <f>""</f>
        <v/>
      </c>
      <c r="G75" s="3" t="str">
        <f>""</f>
        <v/>
      </c>
      <c r="H75" s="3" t="str">
        <f>""</f>
        <v/>
      </c>
      <c r="I75" s="3" t="str">
        <f>""</f>
        <v/>
      </c>
      <c r="J75" s="3" t="str">
        <f>""</f>
        <v/>
      </c>
      <c r="K75" s="3" t="str">
        <f>""</f>
        <v/>
      </c>
      <c r="L75" s="3" t="str">
        <f>""</f>
        <v/>
      </c>
      <c r="M75" s="3" t="str">
        <f>""</f>
        <v/>
      </c>
      <c r="N75" s="3" t="str">
        <f>""</f>
        <v/>
      </c>
      <c r="O75" s="3" t="str">
        <f>""</f>
        <v/>
      </c>
      <c r="P75" s="4" t="str">
        <f>""</f>
        <v/>
      </c>
    </row>
    <row r="76" spans="1:16" x14ac:dyDescent="0.3">
      <c r="A76" s="1">
        <v>79</v>
      </c>
      <c r="B76" s="2" t="str">
        <f>"A VISTA/30/60/90"</f>
        <v>A VISTA/30/60/90</v>
      </c>
      <c r="C76" s="2" t="s">
        <v>4</v>
      </c>
      <c r="D76" s="2" t="str">
        <f t="shared" si="5"/>
        <v>Dias da Data</v>
      </c>
      <c r="E76" s="3" t="str">
        <f>""</f>
        <v/>
      </c>
      <c r="F76" s="3">
        <v>30</v>
      </c>
      <c r="G76" s="3">
        <v>60</v>
      </c>
      <c r="H76" s="3">
        <v>90</v>
      </c>
      <c r="I76" s="3" t="str">
        <f>""</f>
        <v/>
      </c>
      <c r="J76" s="3" t="str">
        <f>""</f>
        <v/>
      </c>
      <c r="K76" s="3" t="str">
        <f>""</f>
        <v/>
      </c>
      <c r="L76" s="3" t="str">
        <f>""</f>
        <v/>
      </c>
      <c r="M76" s="3" t="str">
        <f>""</f>
        <v/>
      </c>
      <c r="N76" s="3" t="str">
        <f>""</f>
        <v/>
      </c>
      <c r="O76" s="3" t="str">
        <f>""</f>
        <v/>
      </c>
      <c r="P76" s="4" t="str">
        <f>""</f>
        <v/>
      </c>
    </row>
    <row r="77" spans="1:16" x14ac:dyDescent="0.3">
      <c r="A77" s="1">
        <v>90</v>
      </c>
      <c r="B77" s="2" t="str">
        <f>"90 DIAS"</f>
        <v>90 DIAS</v>
      </c>
      <c r="C77" s="2" t="s">
        <v>4</v>
      </c>
      <c r="D77" s="2" t="str">
        <f t="shared" si="5"/>
        <v>Dias da Data</v>
      </c>
      <c r="E77" s="3">
        <v>90</v>
      </c>
      <c r="F77" s="3" t="str">
        <f>""</f>
        <v/>
      </c>
      <c r="G77" s="3" t="str">
        <f>""</f>
        <v/>
      </c>
      <c r="H77" s="3" t="str">
        <f>""</f>
        <v/>
      </c>
      <c r="I77" s="3" t="str">
        <f>""</f>
        <v/>
      </c>
      <c r="J77" s="3" t="str">
        <f>""</f>
        <v/>
      </c>
      <c r="K77" s="3" t="str">
        <f>""</f>
        <v/>
      </c>
      <c r="L77" s="3" t="str">
        <f>""</f>
        <v/>
      </c>
      <c r="M77" s="3" t="str">
        <f>""</f>
        <v/>
      </c>
      <c r="N77" s="3" t="str">
        <f>""</f>
        <v/>
      </c>
      <c r="O77" s="3" t="str">
        <f>""</f>
        <v/>
      </c>
      <c r="P77" s="4" t="str">
        <f>""</f>
        <v/>
      </c>
    </row>
    <row r="78" spans="1:16" x14ac:dyDescent="0.3">
      <c r="A78" s="1">
        <v>99</v>
      </c>
      <c r="B78" s="2" t="str">
        <f>"SEM PAGAMENTO"</f>
        <v>SEM PAGAMENTO</v>
      </c>
      <c r="C78" s="2" t="s">
        <v>4</v>
      </c>
      <c r="D78" s="2" t="str">
        <f t="shared" si="5"/>
        <v>Dias da Data</v>
      </c>
      <c r="E78" s="3" t="str">
        <f>""</f>
        <v/>
      </c>
      <c r="F78" s="3" t="str">
        <f>""</f>
        <v/>
      </c>
      <c r="G78" s="3" t="str">
        <f>""</f>
        <v/>
      </c>
      <c r="H78" s="3" t="str">
        <f>""</f>
        <v/>
      </c>
      <c r="I78" s="3" t="str">
        <f>""</f>
        <v/>
      </c>
      <c r="J78" s="3" t="str">
        <f>""</f>
        <v/>
      </c>
      <c r="K78" s="3" t="str">
        <f>""</f>
        <v/>
      </c>
      <c r="L78" s="3" t="str">
        <f>""</f>
        <v/>
      </c>
      <c r="M78" s="3" t="str">
        <f>""</f>
        <v/>
      </c>
      <c r="N78" s="3" t="str">
        <f>""</f>
        <v/>
      </c>
      <c r="O78" s="3" t="str">
        <f>""</f>
        <v/>
      </c>
      <c r="P78" s="4" t="str">
        <f>""</f>
        <v/>
      </c>
    </row>
    <row r="79" spans="1:16" x14ac:dyDescent="0.3">
      <c r="A79" s="1">
        <v>100</v>
      </c>
      <c r="B79" s="2" t="str">
        <f>"30/45/60"</f>
        <v>30/45/60</v>
      </c>
      <c r="C79" s="2" t="s">
        <v>4</v>
      </c>
      <c r="D79" s="2" t="str">
        <f t="shared" si="5"/>
        <v>Dias da Data</v>
      </c>
      <c r="E79" s="3">
        <v>30</v>
      </c>
      <c r="F79" s="3">
        <v>45</v>
      </c>
      <c r="G79" s="3">
        <v>60</v>
      </c>
      <c r="H79" s="3" t="str">
        <f>""</f>
        <v/>
      </c>
      <c r="I79" s="3" t="str">
        <f>""</f>
        <v/>
      </c>
      <c r="J79" s="3" t="str">
        <f>""</f>
        <v/>
      </c>
      <c r="K79" s="3" t="str">
        <f>""</f>
        <v/>
      </c>
      <c r="L79" s="3" t="str">
        <f>""</f>
        <v/>
      </c>
      <c r="M79" s="3" t="str">
        <f>""</f>
        <v/>
      </c>
      <c r="N79" s="3" t="str">
        <f>""</f>
        <v/>
      </c>
      <c r="O79" s="3" t="str">
        <f>""</f>
        <v/>
      </c>
      <c r="P79" s="4" t="str">
        <f>""</f>
        <v/>
      </c>
    </row>
    <row r="80" spans="1:16" x14ac:dyDescent="0.3">
      <c r="A80" s="1">
        <v>101</v>
      </c>
      <c r="B80" s="2" t="str">
        <f>"21/50 DIAS"</f>
        <v>21/50 DIAS</v>
      </c>
      <c r="C80" s="2" t="s">
        <v>4</v>
      </c>
      <c r="D80" s="2" t="str">
        <f t="shared" si="5"/>
        <v>Dias da Data</v>
      </c>
      <c r="E80" s="3">
        <v>21</v>
      </c>
      <c r="F80" s="3">
        <v>50</v>
      </c>
      <c r="G80" s="3" t="str">
        <f>""</f>
        <v/>
      </c>
      <c r="H80" s="3" t="str">
        <f>""</f>
        <v/>
      </c>
      <c r="I80" s="3" t="str">
        <f>""</f>
        <v/>
      </c>
      <c r="J80" s="3" t="str">
        <f>""</f>
        <v/>
      </c>
      <c r="K80" s="3" t="str">
        <f>""</f>
        <v/>
      </c>
      <c r="L80" s="3" t="str">
        <f>""</f>
        <v/>
      </c>
      <c r="M80" s="3" t="str">
        <f>""</f>
        <v/>
      </c>
      <c r="N80" s="3" t="str">
        <f>""</f>
        <v/>
      </c>
      <c r="O80" s="3" t="str">
        <f>""</f>
        <v/>
      </c>
      <c r="P80" s="4" t="str">
        <f>""</f>
        <v/>
      </c>
    </row>
    <row r="81" spans="1:16" x14ac:dyDescent="0.3">
      <c r="A81" s="1">
        <v>102</v>
      </c>
      <c r="B81" s="2" t="str">
        <f>"30/60 DIAS + 1%"</f>
        <v>30/60 DIAS + 1%</v>
      </c>
      <c r="C81" s="2" t="s">
        <v>4</v>
      </c>
      <c r="D81" s="2" t="str">
        <f t="shared" si="5"/>
        <v>Dias da Data</v>
      </c>
      <c r="E81" s="3">
        <v>30</v>
      </c>
      <c r="F81" s="3">
        <v>60</v>
      </c>
      <c r="G81" s="3" t="str">
        <f>""</f>
        <v/>
      </c>
      <c r="H81" s="3" t="str">
        <f>""</f>
        <v/>
      </c>
      <c r="I81" s="3" t="str">
        <f>""</f>
        <v/>
      </c>
      <c r="J81" s="3" t="str">
        <f>""</f>
        <v/>
      </c>
      <c r="K81" s="3" t="str">
        <f>""</f>
        <v/>
      </c>
      <c r="L81" s="3" t="str">
        <f>""</f>
        <v/>
      </c>
      <c r="M81" s="3" t="str">
        <f>""</f>
        <v/>
      </c>
      <c r="N81" s="3" t="str">
        <f>""</f>
        <v/>
      </c>
      <c r="O81" s="3" t="str">
        <f>""</f>
        <v/>
      </c>
      <c r="P81" s="4" t="str">
        <f>""</f>
        <v/>
      </c>
    </row>
    <row r="82" spans="1:16" x14ac:dyDescent="0.3">
      <c r="A82" s="1">
        <v>103</v>
      </c>
      <c r="B82" s="2" t="str">
        <f>"10 DIAS"</f>
        <v>10 DIAS</v>
      </c>
      <c r="C82" s="2" t="s">
        <v>4</v>
      </c>
      <c r="D82" s="2" t="str">
        <f t="shared" si="5"/>
        <v>Dias da Data</v>
      </c>
      <c r="E82" s="3">
        <v>10</v>
      </c>
      <c r="F82" s="3" t="str">
        <f>""</f>
        <v/>
      </c>
      <c r="G82" s="3" t="str">
        <f>""</f>
        <v/>
      </c>
      <c r="H82" s="3" t="str">
        <f>""</f>
        <v/>
      </c>
      <c r="I82" s="3" t="str">
        <f>""</f>
        <v/>
      </c>
      <c r="J82" s="3" t="str">
        <f>""</f>
        <v/>
      </c>
      <c r="K82" s="3" t="str">
        <f>""</f>
        <v/>
      </c>
      <c r="L82" s="3" t="str">
        <f>""</f>
        <v/>
      </c>
      <c r="M82" s="3" t="str">
        <f>""</f>
        <v/>
      </c>
      <c r="N82" s="3" t="str">
        <f>""</f>
        <v/>
      </c>
      <c r="O82" s="3" t="str">
        <f>""</f>
        <v/>
      </c>
      <c r="P82" s="4" t="str">
        <f>""</f>
        <v/>
      </c>
    </row>
    <row r="83" spans="1:16" x14ac:dyDescent="0.3">
      <c r="A83" s="1">
        <v>104</v>
      </c>
      <c r="B83" s="2" t="str">
        <f>"SEM PAGAMENTO"</f>
        <v>SEM PAGAMENTO</v>
      </c>
      <c r="C83" s="2" t="s">
        <v>4</v>
      </c>
      <c r="D83" s="2" t="str">
        <f t="shared" si="5"/>
        <v>Dias da Data</v>
      </c>
      <c r="E83" s="3">
        <v>1</v>
      </c>
      <c r="F83" s="3" t="str">
        <f>""</f>
        <v/>
      </c>
      <c r="G83" s="3" t="str">
        <f>""</f>
        <v/>
      </c>
      <c r="H83" s="3" t="str">
        <f>""</f>
        <v/>
      </c>
      <c r="I83" s="3" t="str">
        <f>""</f>
        <v/>
      </c>
      <c r="J83" s="3" t="str">
        <f>""</f>
        <v/>
      </c>
      <c r="K83" s="3" t="str">
        <f>""</f>
        <v/>
      </c>
      <c r="L83" s="3" t="str">
        <f>""</f>
        <v/>
      </c>
      <c r="M83" s="3" t="str">
        <f>""</f>
        <v/>
      </c>
      <c r="N83" s="3" t="str">
        <f>""</f>
        <v/>
      </c>
      <c r="O83" s="3" t="str">
        <f>""</f>
        <v/>
      </c>
      <c r="P83" s="4" t="str">
        <f>""</f>
        <v/>
      </c>
    </row>
    <row r="84" spans="1:16" x14ac:dyDescent="0.3">
      <c r="A84" s="1">
        <v>105</v>
      </c>
      <c r="B84" s="2" t="str">
        <f>"30/45/60 DIAS"</f>
        <v>30/45/60 DIAS</v>
      </c>
      <c r="C84" s="2" t="s">
        <v>4</v>
      </c>
      <c r="D84" s="2" t="str">
        <f t="shared" si="5"/>
        <v>Dias da Data</v>
      </c>
      <c r="E84" s="3">
        <v>30</v>
      </c>
      <c r="F84" s="3">
        <v>45</v>
      </c>
      <c r="G84" s="3">
        <v>60</v>
      </c>
      <c r="H84" s="3" t="str">
        <f>""</f>
        <v/>
      </c>
      <c r="I84" s="3" t="str">
        <f>""</f>
        <v/>
      </c>
      <c r="J84" s="3" t="str">
        <f>""</f>
        <v/>
      </c>
      <c r="K84" s="3" t="str">
        <f>""</f>
        <v/>
      </c>
      <c r="L84" s="3" t="str">
        <f>""</f>
        <v/>
      </c>
      <c r="M84" s="3" t="str">
        <f>""</f>
        <v/>
      </c>
      <c r="N84" s="3" t="str">
        <f>""</f>
        <v/>
      </c>
      <c r="O84" s="3" t="str">
        <f>""</f>
        <v/>
      </c>
      <c r="P84" s="4" t="str">
        <f>""</f>
        <v/>
      </c>
    </row>
    <row r="85" spans="1:16" x14ac:dyDescent="0.3">
      <c r="A85" s="1">
        <v>120</v>
      </c>
      <c r="B85" s="2" t="str">
        <f>"120 DIAS"</f>
        <v>120 DIAS</v>
      </c>
      <c r="C85" s="2" t="s">
        <v>4</v>
      </c>
      <c r="D85" s="2" t="str">
        <f t="shared" si="5"/>
        <v>Dias da Data</v>
      </c>
      <c r="E85" s="3">
        <v>120</v>
      </c>
      <c r="F85" s="3" t="str">
        <f>""</f>
        <v/>
      </c>
      <c r="G85" s="3" t="str">
        <f>""</f>
        <v/>
      </c>
      <c r="H85" s="3" t="str">
        <f>""</f>
        <v/>
      </c>
      <c r="I85" s="3" t="str">
        <f>""</f>
        <v/>
      </c>
      <c r="J85" s="3" t="str">
        <f>""</f>
        <v/>
      </c>
      <c r="K85" s="3" t="str">
        <f>""</f>
        <v/>
      </c>
      <c r="L85" s="3" t="str">
        <f>""</f>
        <v/>
      </c>
      <c r="M85" s="3" t="str">
        <f>""</f>
        <v/>
      </c>
      <c r="N85" s="3" t="str">
        <f>""</f>
        <v/>
      </c>
      <c r="O85" s="3" t="str">
        <f>""</f>
        <v/>
      </c>
      <c r="P85" s="4" t="str">
        <f>""</f>
        <v/>
      </c>
    </row>
    <row r="86" spans="1:16" x14ac:dyDescent="0.3">
      <c r="A86" s="1">
        <v>121</v>
      </c>
      <c r="B86" s="2" t="str">
        <f>"00/30/60 DIAS"</f>
        <v>00/30/60 DIAS</v>
      </c>
      <c r="C86" s="2" t="s">
        <v>4</v>
      </c>
      <c r="D86" s="2" t="str">
        <f t="shared" si="5"/>
        <v>Dias da Data</v>
      </c>
      <c r="E86" s="3" t="str">
        <f>""</f>
        <v/>
      </c>
      <c r="F86" s="3">
        <v>30</v>
      </c>
      <c r="G86" s="3">
        <v>60</v>
      </c>
      <c r="H86" s="3" t="str">
        <f>""</f>
        <v/>
      </c>
      <c r="I86" s="3" t="str">
        <f>""</f>
        <v/>
      </c>
      <c r="J86" s="3" t="str">
        <f>""</f>
        <v/>
      </c>
      <c r="K86" s="3" t="str">
        <f>""</f>
        <v/>
      </c>
      <c r="L86" s="3" t="str">
        <f>""</f>
        <v/>
      </c>
      <c r="M86" s="3" t="str">
        <f>""</f>
        <v/>
      </c>
      <c r="N86" s="3" t="str">
        <f>""</f>
        <v/>
      </c>
      <c r="O86" s="3" t="str">
        <f>""</f>
        <v/>
      </c>
      <c r="P86" s="4" t="str">
        <f>""</f>
        <v/>
      </c>
    </row>
    <row r="87" spans="1:16" x14ac:dyDescent="0.3">
      <c r="A87" s="1">
        <v>122</v>
      </c>
      <c r="B87" s="2" t="str">
        <f>"135 DIAS"</f>
        <v>135 DIAS</v>
      </c>
      <c r="C87" s="2" t="s">
        <v>4</v>
      </c>
      <c r="D87" s="2" t="str">
        <f t="shared" si="5"/>
        <v>Dias da Data</v>
      </c>
      <c r="E87" s="3">
        <v>135</v>
      </c>
      <c r="F87" s="3" t="str">
        <f>""</f>
        <v/>
      </c>
      <c r="G87" s="3" t="str">
        <f>""</f>
        <v/>
      </c>
      <c r="H87" s="3" t="str">
        <f>""</f>
        <v/>
      </c>
      <c r="I87" s="3" t="str">
        <f>""</f>
        <v/>
      </c>
      <c r="J87" s="3" t="str">
        <f>""</f>
        <v/>
      </c>
      <c r="K87" s="3" t="str">
        <f>""</f>
        <v/>
      </c>
      <c r="L87" s="3" t="str">
        <f>""</f>
        <v/>
      </c>
      <c r="M87" s="3" t="str">
        <f>""</f>
        <v/>
      </c>
      <c r="N87" s="3" t="str">
        <f>""</f>
        <v/>
      </c>
      <c r="O87" s="3" t="str">
        <f>""</f>
        <v/>
      </c>
      <c r="P87" s="4" t="str">
        <f>""</f>
        <v/>
      </c>
    </row>
    <row r="88" spans="1:16" x14ac:dyDescent="0.3">
      <c r="A88" s="1">
        <v>123</v>
      </c>
      <c r="B88" s="2" t="str">
        <f>"28/35 DIAS"</f>
        <v>28/35 DIAS</v>
      </c>
      <c r="C88" s="2" t="s">
        <v>4</v>
      </c>
      <c r="D88" s="2" t="str">
        <f t="shared" si="5"/>
        <v>Dias da Data</v>
      </c>
      <c r="E88" s="3">
        <v>28</v>
      </c>
      <c r="F88" s="3">
        <v>35</v>
      </c>
      <c r="G88" s="3" t="str">
        <f>""</f>
        <v/>
      </c>
      <c r="H88" s="3" t="str">
        <f>""</f>
        <v/>
      </c>
      <c r="I88" s="3" t="str">
        <f>""</f>
        <v/>
      </c>
      <c r="J88" s="3" t="str">
        <f>""</f>
        <v/>
      </c>
      <c r="K88" s="3" t="str">
        <f>""</f>
        <v/>
      </c>
      <c r="L88" s="3" t="str">
        <f>""</f>
        <v/>
      </c>
      <c r="M88" s="3" t="str">
        <f>""</f>
        <v/>
      </c>
      <c r="N88" s="3" t="str">
        <f>""</f>
        <v/>
      </c>
      <c r="O88" s="3" t="str">
        <f>""</f>
        <v/>
      </c>
      <c r="P88" s="4" t="str">
        <f>""</f>
        <v/>
      </c>
    </row>
    <row r="89" spans="1:16" x14ac:dyDescent="0.3">
      <c r="A89" s="1">
        <v>124</v>
      </c>
      <c r="B89" s="2" t="str">
        <f>"28/46 DIAS"</f>
        <v>28/46 DIAS</v>
      </c>
      <c r="C89" s="2" t="s">
        <v>4</v>
      </c>
      <c r="D89" s="2" t="str">
        <f t="shared" si="5"/>
        <v>Dias da Data</v>
      </c>
      <c r="E89" s="3">
        <v>28</v>
      </c>
      <c r="F89" s="3">
        <v>46</v>
      </c>
      <c r="G89" s="3" t="str">
        <f>""</f>
        <v/>
      </c>
      <c r="H89" s="3" t="str">
        <f>""</f>
        <v/>
      </c>
      <c r="I89" s="3" t="str">
        <f>""</f>
        <v/>
      </c>
      <c r="J89" s="3" t="str">
        <f>""</f>
        <v/>
      </c>
      <c r="K89" s="3" t="str">
        <f>""</f>
        <v/>
      </c>
      <c r="L89" s="3" t="str">
        <f>""</f>
        <v/>
      </c>
      <c r="M89" s="3" t="str">
        <f>""</f>
        <v/>
      </c>
      <c r="N89" s="3" t="str">
        <f>""</f>
        <v/>
      </c>
      <c r="O89" s="3" t="str">
        <f>""</f>
        <v/>
      </c>
      <c r="P89" s="4" t="str">
        <f>""</f>
        <v/>
      </c>
    </row>
    <row r="90" spans="1:16" x14ac:dyDescent="0.3">
      <c r="A90" s="1">
        <v>125</v>
      </c>
      <c r="B90" s="2" t="str">
        <f>"12 DIAS"</f>
        <v>12 DIAS</v>
      </c>
      <c r="C90" s="2" t="s">
        <v>4</v>
      </c>
      <c r="D90" s="2" t="str">
        <f t="shared" si="5"/>
        <v>Dias da Data</v>
      </c>
      <c r="E90" s="3">
        <v>12</v>
      </c>
      <c r="F90" s="3" t="str">
        <f>""</f>
        <v/>
      </c>
      <c r="G90" s="3" t="str">
        <f>""</f>
        <v/>
      </c>
      <c r="H90" s="3" t="str">
        <f>""</f>
        <v/>
      </c>
      <c r="I90" s="3" t="str">
        <f>""</f>
        <v/>
      </c>
      <c r="J90" s="3" t="str">
        <f>""</f>
        <v/>
      </c>
      <c r="K90" s="3" t="str">
        <f>""</f>
        <v/>
      </c>
      <c r="L90" s="3" t="str">
        <f>""</f>
        <v/>
      </c>
      <c r="M90" s="3" t="str">
        <f>""</f>
        <v/>
      </c>
      <c r="N90" s="3" t="str">
        <f>""</f>
        <v/>
      </c>
      <c r="O90" s="3" t="str">
        <f>""</f>
        <v/>
      </c>
      <c r="P90" s="4" t="str">
        <f>""</f>
        <v/>
      </c>
    </row>
    <row r="91" spans="1:16" x14ac:dyDescent="0.3">
      <c r="A91" s="1">
        <v>126</v>
      </c>
      <c r="B91" s="2" t="str">
        <f>"A VISTA - 30 DIAS"</f>
        <v>A VISTA - 30 DIAS</v>
      </c>
      <c r="C91" s="2" t="s">
        <v>4</v>
      </c>
      <c r="D91" s="2" t="str">
        <f t="shared" si="5"/>
        <v>Dias da Data</v>
      </c>
      <c r="E91" s="3" t="str">
        <f>""</f>
        <v/>
      </c>
      <c r="F91" s="3">
        <v>30</v>
      </c>
      <c r="G91" s="3" t="str">
        <f>""</f>
        <v/>
      </c>
      <c r="H91" s="3" t="str">
        <f>""</f>
        <v/>
      </c>
      <c r="I91" s="3" t="str">
        <f>""</f>
        <v/>
      </c>
      <c r="J91" s="3" t="str">
        <f>""</f>
        <v/>
      </c>
      <c r="K91" s="3" t="str">
        <f>""</f>
        <v/>
      </c>
      <c r="L91" s="3" t="str">
        <f>""</f>
        <v/>
      </c>
      <c r="M91" s="3" t="str">
        <f>""</f>
        <v/>
      </c>
      <c r="N91" s="3" t="str">
        <f>""</f>
        <v/>
      </c>
      <c r="O91" s="3" t="str">
        <f>""</f>
        <v/>
      </c>
      <c r="P91" s="4" t="str">
        <f>""</f>
        <v/>
      </c>
    </row>
    <row r="92" spans="1:16" x14ac:dyDescent="0.3">
      <c r="A92" s="1">
        <v>127</v>
      </c>
      <c r="B92" s="2" t="str">
        <f>"15/45/75 DIAS"</f>
        <v>15/45/75 DIAS</v>
      </c>
      <c r="C92" s="2" t="s">
        <v>4</v>
      </c>
      <c r="D92" s="2" t="str">
        <f t="shared" si="5"/>
        <v>Dias da Data</v>
      </c>
      <c r="E92" s="3">
        <v>15</v>
      </c>
      <c r="F92" s="3">
        <v>45</v>
      </c>
      <c r="G92" s="3">
        <v>75</v>
      </c>
      <c r="H92" s="3" t="str">
        <f>""</f>
        <v/>
      </c>
      <c r="I92" s="3" t="str">
        <f>""</f>
        <v/>
      </c>
      <c r="J92" s="3" t="str">
        <f>""</f>
        <v/>
      </c>
      <c r="K92" s="3" t="str">
        <f>""</f>
        <v/>
      </c>
      <c r="L92" s="3" t="str">
        <f>""</f>
        <v/>
      </c>
      <c r="M92" s="3" t="str">
        <f>""</f>
        <v/>
      </c>
      <c r="N92" s="3" t="str">
        <f>""</f>
        <v/>
      </c>
      <c r="O92" s="3" t="str">
        <f>""</f>
        <v/>
      </c>
      <c r="P92" s="4" t="str">
        <f>""</f>
        <v/>
      </c>
    </row>
    <row r="93" spans="1:16" x14ac:dyDescent="0.3">
      <c r="A93" s="1">
        <v>128</v>
      </c>
      <c r="B93" s="2" t="str">
        <f>"A VISTA - 28 DIAS"</f>
        <v>A VISTA - 28 DIAS</v>
      </c>
      <c r="C93" s="2" t="s">
        <v>4</v>
      </c>
      <c r="D93" s="2" t="str">
        <f t="shared" si="5"/>
        <v>Dias da Data</v>
      </c>
      <c r="E93" s="3" t="str">
        <f>""</f>
        <v/>
      </c>
      <c r="F93" s="3">
        <v>28</v>
      </c>
      <c r="G93" s="3" t="str">
        <f>""</f>
        <v/>
      </c>
      <c r="H93" s="3" t="str">
        <f>""</f>
        <v/>
      </c>
      <c r="I93" s="3" t="str">
        <f>""</f>
        <v/>
      </c>
      <c r="J93" s="3" t="str">
        <f>""</f>
        <v/>
      </c>
      <c r="K93" s="3" t="str">
        <f>""</f>
        <v/>
      </c>
      <c r="L93" s="3" t="str">
        <f>""</f>
        <v/>
      </c>
      <c r="M93" s="3" t="str">
        <f>""</f>
        <v/>
      </c>
      <c r="N93" s="3" t="str">
        <f>""</f>
        <v/>
      </c>
      <c r="O93" s="3" t="str">
        <f>""</f>
        <v/>
      </c>
      <c r="P93" s="4" t="str">
        <f>""</f>
        <v/>
      </c>
    </row>
    <row r="94" spans="1:16" x14ac:dyDescent="0.3">
      <c r="A94" s="1">
        <v>129</v>
      </c>
      <c r="B94" s="2" t="str">
        <f>"56 dias"</f>
        <v>56 dias</v>
      </c>
      <c r="C94" s="2" t="s">
        <v>4</v>
      </c>
      <c r="D94" s="2" t="str">
        <f t="shared" si="5"/>
        <v>Dias da Data</v>
      </c>
      <c r="E94" s="3">
        <v>56</v>
      </c>
      <c r="F94" s="3" t="str">
        <f>""</f>
        <v/>
      </c>
      <c r="G94" s="3" t="str">
        <f>""</f>
        <v/>
      </c>
      <c r="H94" s="3" t="str">
        <f>""</f>
        <v/>
      </c>
      <c r="I94" s="3" t="str">
        <f>""</f>
        <v/>
      </c>
      <c r="J94" s="3" t="str">
        <f>""</f>
        <v/>
      </c>
      <c r="K94" s="3" t="str">
        <f>""</f>
        <v/>
      </c>
      <c r="L94" s="3" t="str">
        <f>""</f>
        <v/>
      </c>
      <c r="M94" s="3" t="str">
        <f>""</f>
        <v/>
      </c>
      <c r="N94" s="3" t="str">
        <f>""</f>
        <v/>
      </c>
      <c r="O94" s="3" t="str">
        <f>""</f>
        <v/>
      </c>
      <c r="P94" s="4" t="str">
        <f>""</f>
        <v/>
      </c>
    </row>
    <row r="95" spans="1:16" x14ac:dyDescent="0.3">
      <c r="A95" s="1">
        <v>130</v>
      </c>
      <c r="B95" s="2" t="str">
        <f>"3 DIAS"</f>
        <v>3 DIAS</v>
      </c>
      <c r="C95" s="2" t="s">
        <v>4</v>
      </c>
      <c r="D95" s="2" t="str">
        <f t="shared" si="5"/>
        <v>Dias da Data</v>
      </c>
      <c r="E95" s="3">
        <v>7</v>
      </c>
      <c r="F95" s="3" t="str">
        <f>""</f>
        <v/>
      </c>
      <c r="G95" s="3" t="str">
        <f>""</f>
        <v/>
      </c>
      <c r="H95" s="3" t="str">
        <f>""</f>
        <v/>
      </c>
      <c r="I95" s="3" t="str">
        <f>""</f>
        <v/>
      </c>
      <c r="J95" s="3" t="str">
        <f>""</f>
        <v/>
      </c>
      <c r="K95" s="3" t="str">
        <f>""</f>
        <v/>
      </c>
      <c r="L95" s="3" t="str">
        <f>""</f>
        <v/>
      </c>
      <c r="M95" s="3" t="str">
        <f>""</f>
        <v/>
      </c>
      <c r="N95" s="3" t="str">
        <f>""</f>
        <v/>
      </c>
      <c r="O95" s="3" t="str">
        <f>""</f>
        <v/>
      </c>
      <c r="P95" s="4" t="str">
        <f>""</f>
        <v/>
      </c>
    </row>
    <row r="96" spans="1:16" x14ac:dyDescent="0.3">
      <c r="A96" s="1">
        <v>131</v>
      </c>
      <c r="B96" s="2" t="str">
        <f>"28/45 DIAS"</f>
        <v>28/45 DIAS</v>
      </c>
      <c r="C96" s="2" t="s">
        <v>4</v>
      </c>
      <c r="D96" s="2" t="str">
        <f t="shared" si="5"/>
        <v>Dias da Data</v>
      </c>
      <c r="E96" s="3">
        <v>28</v>
      </c>
      <c r="F96" s="3">
        <v>45</v>
      </c>
      <c r="G96" s="3" t="str">
        <f>""</f>
        <v/>
      </c>
      <c r="H96" s="3" t="str">
        <f>""</f>
        <v/>
      </c>
      <c r="I96" s="3" t="str">
        <f>""</f>
        <v/>
      </c>
      <c r="J96" s="3" t="str">
        <f>""</f>
        <v/>
      </c>
      <c r="K96" s="3" t="str">
        <f>""</f>
        <v/>
      </c>
      <c r="L96" s="3" t="str">
        <f>""</f>
        <v/>
      </c>
      <c r="M96" s="3" t="str">
        <f>""</f>
        <v/>
      </c>
      <c r="N96" s="3" t="str">
        <f>""</f>
        <v/>
      </c>
      <c r="O96" s="3" t="str">
        <f>""</f>
        <v/>
      </c>
      <c r="P96" s="4" t="str">
        <f>""</f>
        <v/>
      </c>
    </row>
    <row r="97" spans="1:16" x14ac:dyDescent="0.3">
      <c r="A97" s="1">
        <v>132</v>
      </c>
      <c r="B97" s="2" t="str">
        <f>"13 DIAS"</f>
        <v>13 DIAS</v>
      </c>
      <c r="C97" s="2" t="s">
        <v>4</v>
      </c>
      <c r="D97" s="2" t="str">
        <f t="shared" si="5"/>
        <v>Dias da Data</v>
      </c>
      <c r="E97" s="3">
        <v>13</v>
      </c>
      <c r="F97" s="3" t="str">
        <f>""</f>
        <v/>
      </c>
      <c r="G97" s="3" t="str">
        <f>""</f>
        <v/>
      </c>
      <c r="H97" s="3" t="str">
        <f>""</f>
        <v/>
      </c>
      <c r="I97" s="3" t="str">
        <f>""</f>
        <v/>
      </c>
      <c r="J97" s="3" t="str">
        <f>""</f>
        <v/>
      </c>
      <c r="K97" s="3" t="str">
        <f>""</f>
        <v/>
      </c>
      <c r="L97" s="3" t="str">
        <f>""</f>
        <v/>
      </c>
      <c r="M97" s="3" t="str">
        <f>""</f>
        <v/>
      </c>
      <c r="N97" s="3" t="str">
        <f>""</f>
        <v/>
      </c>
      <c r="O97" s="3" t="str">
        <f>""</f>
        <v/>
      </c>
      <c r="P97" s="4" t="str">
        <f>""</f>
        <v/>
      </c>
    </row>
    <row r="98" spans="1:16" x14ac:dyDescent="0.3">
      <c r="A98" s="1">
        <v>133</v>
      </c>
      <c r="B98" s="2" t="str">
        <f>"45/60 DIAS"</f>
        <v>45/60 DIAS</v>
      </c>
      <c r="C98" s="2" t="s">
        <v>4</v>
      </c>
      <c r="D98" s="2" t="str">
        <f t="shared" si="5"/>
        <v>Dias da Data</v>
      </c>
      <c r="E98" s="3">
        <v>45</v>
      </c>
      <c r="F98" s="3">
        <v>60</v>
      </c>
      <c r="G98" s="3" t="str">
        <f>""</f>
        <v/>
      </c>
      <c r="H98" s="3" t="str">
        <f>""</f>
        <v/>
      </c>
      <c r="I98" s="3" t="str">
        <f>""</f>
        <v/>
      </c>
      <c r="J98" s="3" t="str">
        <f>""</f>
        <v/>
      </c>
      <c r="K98" s="3" t="str">
        <f>""</f>
        <v/>
      </c>
      <c r="L98" s="3" t="str">
        <f>""</f>
        <v/>
      </c>
      <c r="M98" s="3" t="str">
        <f>""</f>
        <v/>
      </c>
      <c r="N98" s="3" t="str">
        <f>""</f>
        <v/>
      </c>
      <c r="O98" s="3" t="str">
        <f>""</f>
        <v/>
      </c>
      <c r="P98" s="4" t="str">
        <f>""</f>
        <v/>
      </c>
    </row>
    <row r="99" spans="1:16" x14ac:dyDescent="0.3">
      <c r="A99" s="1">
        <v>134</v>
      </c>
      <c r="B99" s="2" t="str">
        <f>"A VISTA/15/39 DIAS"</f>
        <v>A VISTA/15/39 DIAS</v>
      </c>
      <c r="C99" s="2" t="s">
        <v>4</v>
      </c>
      <c r="D99" s="2" t="str">
        <f t="shared" si="5"/>
        <v>Dias da Data</v>
      </c>
      <c r="E99" s="3" t="str">
        <f>""</f>
        <v/>
      </c>
      <c r="F99" s="3">
        <v>15</v>
      </c>
      <c r="G99" s="3">
        <v>39</v>
      </c>
      <c r="H99" s="3" t="str">
        <f>""</f>
        <v/>
      </c>
      <c r="I99" s="3" t="str">
        <f>""</f>
        <v/>
      </c>
      <c r="J99" s="3" t="str">
        <f>""</f>
        <v/>
      </c>
      <c r="K99" s="3" t="str">
        <f>""</f>
        <v/>
      </c>
      <c r="L99" s="3" t="str">
        <f>""</f>
        <v/>
      </c>
      <c r="M99" s="3" t="str">
        <f>""</f>
        <v/>
      </c>
      <c r="N99" s="3" t="str">
        <f>""</f>
        <v/>
      </c>
      <c r="O99" s="3" t="str">
        <f>""</f>
        <v/>
      </c>
      <c r="P99" s="4" t="str">
        <f>""</f>
        <v/>
      </c>
    </row>
    <row r="100" spans="1:16" x14ac:dyDescent="0.3">
      <c r="A100" s="1">
        <v>135</v>
      </c>
      <c r="B100" s="2" t="str">
        <f>"20/40/60 DIAS"</f>
        <v>20/40/60 DIAS</v>
      </c>
      <c r="C100" s="2" t="s">
        <v>4</v>
      </c>
      <c r="D100" s="2" t="str">
        <f t="shared" si="5"/>
        <v>Dias da Data</v>
      </c>
      <c r="E100" s="3">
        <v>20</v>
      </c>
      <c r="F100" s="3">
        <v>40</v>
      </c>
      <c r="G100" s="3">
        <v>60</v>
      </c>
      <c r="H100" s="3" t="str">
        <f>""</f>
        <v/>
      </c>
      <c r="I100" s="3" t="str">
        <f>""</f>
        <v/>
      </c>
      <c r="J100" s="3" t="str">
        <f>""</f>
        <v/>
      </c>
      <c r="K100" s="3" t="str">
        <f>""</f>
        <v/>
      </c>
      <c r="L100" s="3" t="str">
        <f>""</f>
        <v/>
      </c>
      <c r="M100" s="3" t="str">
        <f>""</f>
        <v/>
      </c>
      <c r="N100" s="3" t="str">
        <f>""</f>
        <v/>
      </c>
      <c r="O100" s="3" t="str">
        <f>""</f>
        <v/>
      </c>
      <c r="P100" s="4" t="str">
        <f>""</f>
        <v/>
      </c>
    </row>
    <row r="101" spans="1:16" x14ac:dyDescent="0.3">
      <c r="A101" s="1">
        <v>136</v>
      </c>
      <c r="B101" s="2" t="str">
        <f>"28/35/42 DIAS"</f>
        <v>28/35/42 DIAS</v>
      </c>
      <c r="C101" s="2" t="s">
        <v>4</v>
      </c>
      <c r="D101" s="2" t="str">
        <f t="shared" si="5"/>
        <v>Dias da Data</v>
      </c>
      <c r="E101" s="3">
        <v>28</v>
      </c>
      <c r="F101" s="3">
        <v>35</v>
      </c>
      <c r="G101" s="3">
        <v>42</v>
      </c>
      <c r="H101" s="3" t="str">
        <f>""</f>
        <v/>
      </c>
      <c r="I101" s="3" t="str">
        <f>""</f>
        <v/>
      </c>
      <c r="J101" s="3" t="str">
        <f>""</f>
        <v/>
      </c>
      <c r="K101" s="3" t="str">
        <f>""</f>
        <v/>
      </c>
      <c r="L101" s="3" t="str">
        <f>""</f>
        <v/>
      </c>
      <c r="M101" s="3" t="str">
        <f>""</f>
        <v/>
      </c>
      <c r="N101" s="3" t="str">
        <f>""</f>
        <v/>
      </c>
      <c r="O101" s="3" t="str">
        <f>""</f>
        <v/>
      </c>
      <c r="P101" s="4" t="str">
        <f>""</f>
        <v/>
      </c>
    </row>
    <row r="102" spans="1:16" x14ac:dyDescent="0.3">
      <c r="A102" s="1">
        <v>137</v>
      </c>
      <c r="B102" s="2" t="str">
        <f>"28/43/58 DIAS"</f>
        <v>28/43/58 DIAS</v>
      </c>
      <c r="C102" s="2" t="s">
        <v>4</v>
      </c>
      <c r="D102" s="2" t="str">
        <f t="shared" ref="D102:D123" si="6">"Dias da Data"</f>
        <v>Dias da Data</v>
      </c>
      <c r="E102" s="3">
        <v>28</v>
      </c>
      <c r="F102" s="3">
        <v>43</v>
      </c>
      <c r="G102" s="3">
        <v>58</v>
      </c>
      <c r="H102" s="3" t="str">
        <f>""</f>
        <v/>
      </c>
      <c r="I102" s="3" t="str">
        <f>""</f>
        <v/>
      </c>
      <c r="J102" s="3" t="str">
        <f>""</f>
        <v/>
      </c>
      <c r="K102" s="3" t="str">
        <f>""</f>
        <v/>
      </c>
      <c r="L102" s="3" t="str">
        <f>""</f>
        <v/>
      </c>
      <c r="M102" s="3" t="str">
        <f>""</f>
        <v/>
      </c>
      <c r="N102" s="3" t="str">
        <f>""</f>
        <v/>
      </c>
      <c r="O102" s="3" t="str">
        <f>""</f>
        <v/>
      </c>
      <c r="P102" s="4" t="str">
        <f>""</f>
        <v/>
      </c>
    </row>
    <row r="103" spans="1:16" x14ac:dyDescent="0.3">
      <c r="A103" s="1">
        <v>138</v>
      </c>
      <c r="B103" s="2" t="str">
        <f>"15/30 DIAS"</f>
        <v>15/30 DIAS</v>
      </c>
      <c r="C103" s="2" t="s">
        <v>4</v>
      </c>
      <c r="D103" s="2" t="str">
        <f t="shared" si="6"/>
        <v>Dias da Data</v>
      </c>
      <c r="E103" s="3">
        <v>15</v>
      </c>
      <c r="F103" s="3">
        <v>30</v>
      </c>
      <c r="G103" s="3" t="str">
        <f>""</f>
        <v/>
      </c>
      <c r="H103" s="3" t="str">
        <f>""</f>
        <v/>
      </c>
      <c r="I103" s="3" t="str">
        <f>""</f>
        <v/>
      </c>
      <c r="J103" s="3" t="str">
        <f>""</f>
        <v/>
      </c>
      <c r="K103" s="3" t="str">
        <f>""</f>
        <v/>
      </c>
      <c r="L103" s="3" t="str">
        <f>""</f>
        <v/>
      </c>
      <c r="M103" s="3" t="str">
        <f>""</f>
        <v/>
      </c>
      <c r="N103" s="3" t="str">
        <f>""</f>
        <v/>
      </c>
      <c r="O103" s="3" t="str">
        <f>""</f>
        <v/>
      </c>
      <c r="P103" s="4" t="str">
        <f>""</f>
        <v/>
      </c>
    </row>
    <row r="104" spans="1:16" x14ac:dyDescent="0.3">
      <c r="A104" s="1">
        <v>139</v>
      </c>
      <c r="B104" s="2" t="str">
        <f>"Á VISTA/15 DIAS"</f>
        <v>Á VISTA/15 DIAS</v>
      </c>
      <c r="C104" s="2" t="s">
        <v>4</v>
      </c>
      <c r="D104" s="2" t="str">
        <f t="shared" si="6"/>
        <v>Dias da Data</v>
      </c>
      <c r="E104" s="3" t="str">
        <f>""</f>
        <v/>
      </c>
      <c r="F104" s="3">
        <v>15</v>
      </c>
      <c r="G104" s="3" t="str">
        <f>""</f>
        <v/>
      </c>
      <c r="H104" s="3" t="str">
        <f>""</f>
        <v/>
      </c>
      <c r="I104" s="3" t="str">
        <f>""</f>
        <v/>
      </c>
      <c r="J104" s="3" t="str">
        <f>""</f>
        <v/>
      </c>
      <c r="K104" s="3" t="str">
        <f>""</f>
        <v/>
      </c>
      <c r="L104" s="3" t="str">
        <f>""</f>
        <v/>
      </c>
      <c r="M104" s="3" t="str">
        <f>""</f>
        <v/>
      </c>
      <c r="N104" s="3" t="str">
        <f>""</f>
        <v/>
      </c>
      <c r="O104" s="3" t="str">
        <f>""</f>
        <v/>
      </c>
      <c r="P104" s="4" t="str">
        <f>""</f>
        <v/>
      </c>
    </row>
    <row r="105" spans="1:16" x14ac:dyDescent="0.3">
      <c r="A105" s="1">
        <v>140</v>
      </c>
      <c r="B105" s="2" t="str">
        <f>"21/42 DIAS"</f>
        <v>21/42 DIAS</v>
      </c>
      <c r="C105" s="2" t="s">
        <v>4</v>
      </c>
      <c r="D105" s="2" t="str">
        <f t="shared" si="6"/>
        <v>Dias da Data</v>
      </c>
      <c r="E105" s="3">
        <v>21</v>
      </c>
      <c r="F105" s="3">
        <v>42</v>
      </c>
      <c r="G105" s="3" t="str">
        <f>""</f>
        <v/>
      </c>
      <c r="H105" s="3" t="str">
        <f>""</f>
        <v/>
      </c>
      <c r="I105" s="3" t="str">
        <f>""</f>
        <v/>
      </c>
      <c r="J105" s="3" t="str">
        <f>""</f>
        <v/>
      </c>
      <c r="K105" s="3" t="str">
        <f>""</f>
        <v/>
      </c>
      <c r="L105" s="3" t="str">
        <f>""</f>
        <v/>
      </c>
      <c r="M105" s="3" t="str">
        <f>""</f>
        <v/>
      </c>
      <c r="N105" s="3" t="str">
        <f>""</f>
        <v/>
      </c>
      <c r="O105" s="3" t="str">
        <f>""</f>
        <v/>
      </c>
      <c r="P105" s="4" t="str">
        <f>""</f>
        <v/>
      </c>
    </row>
    <row r="106" spans="1:16" x14ac:dyDescent="0.3">
      <c r="A106" s="1">
        <v>141</v>
      </c>
      <c r="B106" s="2" t="str">
        <f>"14/21/28 DIAS"</f>
        <v>14/21/28 DIAS</v>
      </c>
      <c r="C106" s="2" t="s">
        <v>4</v>
      </c>
      <c r="D106" s="2" t="str">
        <f t="shared" si="6"/>
        <v>Dias da Data</v>
      </c>
      <c r="E106" s="3">
        <v>14</v>
      </c>
      <c r="F106" s="3">
        <v>21</v>
      </c>
      <c r="G106" s="3">
        <v>28</v>
      </c>
      <c r="H106" s="3" t="str">
        <f>""</f>
        <v/>
      </c>
      <c r="I106" s="3" t="str">
        <f>""</f>
        <v/>
      </c>
      <c r="J106" s="3" t="str">
        <f>""</f>
        <v/>
      </c>
      <c r="K106" s="3" t="str">
        <f>""</f>
        <v/>
      </c>
      <c r="L106" s="3" t="str">
        <f>""</f>
        <v/>
      </c>
      <c r="M106" s="3" t="str">
        <f>""</f>
        <v/>
      </c>
      <c r="N106" s="3" t="str">
        <f>""</f>
        <v/>
      </c>
      <c r="O106" s="3" t="str">
        <f>""</f>
        <v/>
      </c>
      <c r="P106" s="4" t="str">
        <f>""</f>
        <v/>
      </c>
    </row>
    <row r="107" spans="1:16" x14ac:dyDescent="0.3">
      <c r="A107" s="1">
        <v>142</v>
      </c>
      <c r="B107" s="2" t="str">
        <f>"15/45 DIAS"</f>
        <v>15/45 DIAS</v>
      </c>
      <c r="C107" s="2" t="s">
        <v>4</v>
      </c>
      <c r="D107" s="2" t="str">
        <f t="shared" si="6"/>
        <v>Dias da Data</v>
      </c>
      <c r="E107" s="3">
        <v>15</v>
      </c>
      <c r="F107" s="3">
        <v>45</v>
      </c>
      <c r="G107" s="3" t="str">
        <f>""</f>
        <v/>
      </c>
      <c r="H107" s="3" t="str">
        <f>""</f>
        <v/>
      </c>
      <c r="I107" s="3" t="str">
        <f>""</f>
        <v/>
      </c>
      <c r="J107" s="3" t="str">
        <f>""</f>
        <v/>
      </c>
      <c r="K107" s="3" t="str">
        <f>""</f>
        <v/>
      </c>
      <c r="L107" s="3" t="str">
        <f>""</f>
        <v/>
      </c>
      <c r="M107" s="3" t="str">
        <f>""</f>
        <v/>
      </c>
      <c r="N107" s="3" t="str">
        <f>""</f>
        <v/>
      </c>
      <c r="O107" s="3" t="str">
        <f>""</f>
        <v/>
      </c>
      <c r="P107" s="4" t="str">
        <f>""</f>
        <v/>
      </c>
    </row>
    <row r="108" spans="1:16" x14ac:dyDescent="0.3">
      <c r="A108" s="1">
        <v>143</v>
      </c>
      <c r="B108" s="2" t="str">
        <f>"10 / 30 / 60 / 90 / 120"</f>
        <v>10 / 30 / 60 / 90 / 120</v>
      </c>
      <c r="C108" s="2" t="s">
        <v>4</v>
      </c>
      <c r="D108" s="2" t="str">
        <f t="shared" si="6"/>
        <v>Dias da Data</v>
      </c>
      <c r="E108" s="3">
        <v>10</v>
      </c>
      <c r="F108" s="3">
        <v>30</v>
      </c>
      <c r="G108" s="3">
        <v>60</v>
      </c>
      <c r="H108" s="3">
        <v>90</v>
      </c>
      <c r="I108" s="3">
        <v>120</v>
      </c>
      <c r="J108" s="3" t="str">
        <f>""</f>
        <v/>
      </c>
      <c r="K108" s="3" t="str">
        <f>""</f>
        <v/>
      </c>
      <c r="L108" s="3" t="str">
        <f>""</f>
        <v/>
      </c>
      <c r="M108" s="3" t="str">
        <f>""</f>
        <v/>
      </c>
      <c r="N108" s="3" t="str">
        <f>""</f>
        <v/>
      </c>
      <c r="O108" s="3" t="str">
        <f>""</f>
        <v/>
      </c>
      <c r="P108" s="4" t="str">
        <f>""</f>
        <v/>
      </c>
    </row>
    <row r="109" spans="1:16" x14ac:dyDescent="0.3">
      <c r="A109" s="1">
        <v>144</v>
      </c>
      <c r="B109" s="2" t="str">
        <f>"25DIAS"</f>
        <v>25DIAS</v>
      </c>
      <c r="C109" s="2" t="s">
        <v>4</v>
      </c>
      <c r="D109" s="2" t="str">
        <f t="shared" si="6"/>
        <v>Dias da Data</v>
      </c>
      <c r="E109" s="3">
        <v>25</v>
      </c>
      <c r="F109" s="3" t="str">
        <f>""</f>
        <v/>
      </c>
      <c r="G109" s="3" t="str">
        <f>""</f>
        <v/>
      </c>
      <c r="H109" s="3" t="str">
        <f>""</f>
        <v/>
      </c>
      <c r="I109" s="3" t="str">
        <f>""</f>
        <v/>
      </c>
      <c r="J109" s="3" t="str">
        <f>""</f>
        <v/>
      </c>
      <c r="K109" s="3" t="str">
        <f>""</f>
        <v/>
      </c>
      <c r="L109" s="3" t="str">
        <f>""</f>
        <v/>
      </c>
      <c r="M109" s="3" t="str">
        <f>""</f>
        <v/>
      </c>
      <c r="N109" s="3" t="str">
        <f>""</f>
        <v/>
      </c>
      <c r="O109" s="3" t="str">
        <f>""</f>
        <v/>
      </c>
      <c r="P109" s="4" t="str">
        <f>""</f>
        <v/>
      </c>
    </row>
    <row r="110" spans="1:16" x14ac:dyDescent="0.3">
      <c r="A110" s="1">
        <v>145</v>
      </c>
      <c r="B110" s="2" t="str">
        <f>"28/56/84 DIAS"</f>
        <v>28/56/84 DIAS</v>
      </c>
      <c r="C110" s="2" t="s">
        <v>4</v>
      </c>
      <c r="D110" s="2" t="str">
        <f t="shared" si="6"/>
        <v>Dias da Data</v>
      </c>
      <c r="E110" s="3">
        <v>28</v>
      </c>
      <c r="F110" s="3">
        <v>56</v>
      </c>
      <c r="G110" s="3">
        <v>84</v>
      </c>
      <c r="H110" s="3" t="str">
        <f>""</f>
        <v/>
      </c>
      <c r="I110" s="3" t="str">
        <f>""</f>
        <v/>
      </c>
      <c r="J110" s="3" t="str">
        <f>""</f>
        <v/>
      </c>
      <c r="K110" s="3" t="str">
        <f>""</f>
        <v/>
      </c>
      <c r="L110" s="3" t="str">
        <f>""</f>
        <v/>
      </c>
      <c r="M110" s="3" t="str">
        <f>""</f>
        <v/>
      </c>
      <c r="N110" s="3" t="str">
        <f>""</f>
        <v/>
      </c>
      <c r="O110" s="3" t="str">
        <f>""</f>
        <v/>
      </c>
      <c r="P110" s="4" t="str">
        <f>""</f>
        <v/>
      </c>
    </row>
    <row r="111" spans="1:16" x14ac:dyDescent="0.3">
      <c r="A111" s="1">
        <v>146</v>
      </c>
      <c r="B111" s="2" t="str">
        <f>"28/42/56 DIAS"</f>
        <v>28/42/56 DIAS</v>
      </c>
      <c r="C111" s="2" t="s">
        <v>4</v>
      </c>
      <c r="D111" s="2" t="str">
        <f t="shared" si="6"/>
        <v>Dias da Data</v>
      </c>
      <c r="E111" s="3">
        <v>28</v>
      </c>
      <c r="F111" s="3">
        <v>42</v>
      </c>
      <c r="G111" s="3">
        <v>56</v>
      </c>
      <c r="H111" s="3" t="str">
        <f>""</f>
        <v/>
      </c>
      <c r="I111" s="3" t="str">
        <f>""</f>
        <v/>
      </c>
      <c r="J111" s="3" t="str">
        <f>""</f>
        <v/>
      </c>
      <c r="K111" s="3" t="str">
        <f>""</f>
        <v/>
      </c>
      <c r="L111" s="3" t="str">
        <f>""</f>
        <v/>
      </c>
      <c r="M111" s="3" t="str">
        <f>""</f>
        <v/>
      </c>
      <c r="N111" s="3" t="str">
        <f>""</f>
        <v/>
      </c>
      <c r="O111" s="3" t="str">
        <f>""</f>
        <v/>
      </c>
      <c r="P111" s="4" t="str">
        <f>""</f>
        <v/>
      </c>
    </row>
    <row r="112" spans="1:16" x14ac:dyDescent="0.3">
      <c r="A112" s="1">
        <v>147</v>
      </c>
      <c r="B112" s="2" t="str">
        <f>"30/60/90/120/150/180"</f>
        <v>30/60/90/120/150/180</v>
      </c>
      <c r="C112" s="2" t="s">
        <v>4</v>
      </c>
      <c r="D112" s="2" t="str">
        <f t="shared" si="6"/>
        <v>Dias da Data</v>
      </c>
      <c r="E112" s="3">
        <v>30</v>
      </c>
      <c r="F112" s="3">
        <v>60</v>
      </c>
      <c r="G112" s="3">
        <v>90</v>
      </c>
      <c r="H112" s="3">
        <v>120</v>
      </c>
      <c r="I112" s="3">
        <v>150</v>
      </c>
      <c r="J112" s="3">
        <v>180</v>
      </c>
      <c r="K112" s="3" t="str">
        <f>""</f>
        <v/>
      </c>
      <c r="L112" s="3" t="str">
        <f>""</f>
        <v/>
      </c>
      <c r="M112" s="3" t="str">
        <f>""</f>
        <v/>
      </c>
      <c r="N112" s="3" t="str">
        <f>""</f>
        <v/>
      </c>
      <c r="O112" s="3" t="str">
        <f>""</f>
        <v/>
      </c>
      <c r="P112" s="4" t="str">
        <f>""</f>
        <v/>
      </c>
    </row>
    <row r="113" spans="1:16" x14ac:dyDescent="0.3">
      <c r="A113" s="1">
        <v>148</v>
      </c>
      <c r="B113" s="2" t="str">
        <f>"à vista/20/30 DIAS"</f>
        <v>à vista/20/30 DIAS</v>
      </c>
      <c r="C113" s="2" t="s">
        <v>4</v>
      </c>
      <c r="D113" s="2" t="str">
        <f t="shared" si="6"/>
        <v>Dias da Data</v>
      </c>
      <c r="E113" s="3" t="str">
        <f>""</f>
        <v/>
      </c>
      <c r="F113" s="3">
        <v>20</v>
      </c>
      <c r="G113" s="3">
        <v>30</v>
      </c>
      <c r="H113" s="3" t="str">
        <f>""</f>
        <v/>
      </c>
      <c r="I113" s="3" t="str">
        <f>""</f>
        <v/>
      </c>
      <c r="J113" s="3" t="str">
        <f>""</f>
        <v/>
      </c>
      <c r="K113" s="3" t="str">
        <f>""</f>
        <v/>
      </c>
      <c r="L113" s="3" t="str">
        <f>""</f>
        <v/>
      </c>
      <c r="M113" s="3" t="str">
        <f>""</f>
        <v/>
      </c>
      <c r="N113" s="3" t="str">
        <f>""</f>
        <v/>
      </c>
      <c r="O113" s="3" t="str">
        <f>""</f>
        <v/>
      </c>
      <c r="P113" s="4" t="str">
        <f>""</f>
        <v/>
      </c>
    </row>
    <row r="114" spans="1:16" x14ac:dyDescent="0.3">
      <c r="A114" s="1">
        <v>149</v>
      </c>
      <c r="B114" s="2" t="str">
        <f>"105 DIAS"</f>
        <v>105 DIAS</v>
      </c>
      <c r="C114" s="2" t="s">
        <v>4</v>
      </c>
      <c r="D114" s="2" t="str">
        <f t="shared" si="6"/>
        <v>Dias da Data</v>
      </c>
      <c r="E114" s="3">
        <v>105</v>
      </c>
      <c r="F114" s="3" t="str">
        <f>""</f>
        <v/>
      </c>
      <c r="G114" s="3" t="str">
        <f>""</f>
        <v/>
      </c>
      <c r="H114" s="3" t="str">
        <f>""</f>
        <v/>
      </c>
      <c r="I114" s="3" t="str">
        <f>""</f>
        <v/>
      </c>
      <c r="J114" s="3" t="str">
        <f>""</f>
        <v/>
      </c>
      <c r="K114" s="3" t="str">
        <f>""</f>
        <v/>
      </c>
      <c r="L114" s="3" t="str">
        <f>""</f>
        <v/>
      </c>
      <c r="M114" s="3" t="str">
        <f>""</f>
        <v/>
      </c>
      <c r="N114" s="3" t="str">
        <f>""</f>
        <v/>
      </c>
      <c r="O114" s="3" t="str">
        <f>""</f>
        <v/>
      </c>
      <c r="P114" s="4" t="str">
        <f>""</f>
        <v/>
      </c>
    </row>
    <row r="115" spans="1:16" x14ac:dyDescent="0.3">
      <c r="A115" s="1">
        <v>150</v>
      </c>
      <c r="B115" s="2" t="str">
        <f>"12 parcelas"</f>
        <v>12 parcelas</v>
      </c>
      <c r="C115" s="2" t="s">
        <v>4</v>
      </c>
      <c r="D115" s="2" t="str">
        <f t="shared" si="6"/>
        <v>Dias da Data</v>
      </c>
      <c r="E115" s="3">
        <v>30</v>
      </c>
      <c r="F115" s="3">
        <v>60</v>
      </c>
      <c r="G115" s="3">
        <v>90</v>
      </c>
      <c r="H115" s="3">
        <v>120</v>
      </c>
      <c r="I115" s="3">
        <v>150</v>
      </c>
      <c r="J115" s="3">
        <v>180</v>
      </c>
      <c r="K115" s="3">
        <v>210</v>
      </c>
      <c r="L115" s="3">
        <v>240</v>
      </c>
      <c r="M115" s="3">
        <v>270</v>
      </c>
      <c r="N115" s="3">
        <v>300</v>
      </c>
      <c r="O115" s="3">
        <v>330</v>
      </c>
      <c r="P115" s="4">
        <v>360</v>
      </c>
    </row>
    <row r="116" spans="1:16" x14ac:dyDescent="0.3">
      <c r="A116" s="1">
        <v>151</v>
      </c>
      <c r="B116" s="2" t="str">
        <f>"COMPROR - 90 DIAS"</f>
        <v>COMPROR - 90 DIAS</v>
      </c>
      <c r="C116" s="2" t="s">
        <v>4</v>
      </c>
      <c r="D116" s="2" t="str">
        <f t="shared" si="6"/>
        <v>Dias da Data</v>
      </c>
      <c r="E116" s="3">
        <v>90</v>
      </c>
      <c r="F116" s="3" t="str">
        <f>""</f>
        <v/>
      </c>
      <c r="G116" s="3" t="str">
        <f>""</f>
        <v/>
      </c>
      <c r="H116" s="3" t="str">
        <f>""</f>
        <v/>
      </c>
      <c r="I116" s="3" t="str">
        <f>""</f>
        <v/>
      </c>
      <c r="J116" s="3" t="str">
        <f>""</f>
        <v/>
      </c>
      <c r="K116" s="3" t="str">
        <f>""</f>
        <v/>
      </c>
      <c r="L116" s="3" t="str">
        <f>""</f>
        <v/>
      </c>
      <c r="M116" s="3" t="str">
        <f>""</f>
        <v/>
      </c>
      <c r="N116" s="3" t="str">
        <f>""</f>
        <v/>
      </c>
      <c r="O116" s="3" t="str">
        <f>""</f>
        <v/>
      </c>
      <c r="P116" s="4" t="str">
        <f>""</f>
        <v/>
      </c>
    </row>
    <row r="117" spans="1:16" x14ac:dyDescent="0.3">
      <c r="A117" s="1">
        <v>152</v>
      </c>
      <c r="B117" s="2" t="str">
        <f>"35 e 42 DIAS"</f>
        <v>35 e 42 DIAS</v>
      </c>
      <c r="C117" s="2" t="s">
        <v>4</v>
      </c>
      <c r="D117" s="2" t="str">
        <f t="shared" si="6"/>
        <v>Dias da Data</v>
      </c>
      <c r="E117" s="3">
        <v>35</v>
      </c>
      <c r="F117" s="3">
        <v>42</v>
      </c>
      <c r="G117" s="3" t="str">
        <f>""</f>
        <v/>
      </c>
      <c r="H117" s="3" t="str">
        <f>""</f>
        <v/>
      </c>
      <c r="I117" s="3" t="str">
        <f>""</f>
        <v/>
      </c>
      <c r="J117" s="3" t="str">
        <f>""</f>
        <v/>
      </c>
      <c r="K117" s="3" t="str">
        <f>""</f>
        <v/>
      </c>
      <c r="L117" s="3" t="str">
        <f>""</f>
        <v/>
      </c>
      <c r="M117" s="3" t="str">
        <f>""</f>
        <v/>
      </c>
      <c r="N117" s="3" t="str">
        <f>""</f>
        <v/>
      </c>
      <c r="O117" s="3" t="str">
        <f>""</f>
        <v/>
      </c>
      <c r="P117" s="4" t="str">
        <f>""</f>
        <v/>
      </c>
    </row>
    <row r="118" spans="1:16" x14ac:dyDescent="0.3">
      <c r="A118" s="1">
        <v>153</v>
      </c>
      <c r="B118" s="2" t="str">
        <f>"60/75"</f>
        <v>60/75</v>
      </c>
      <c r="C118" s="2" t="s">
        <v>4</v>
      </c>
      <c r="D118" s="2" t="str">
        <f t="shared" si="6"/>
        <v>Dias da Data</v>
      </c>
      <c r="E118" s="3">
        <v>60</v>
      </c>
      <c r="F118" s="3">
        <v>75</v>
      </c>
      <c r="G118" s="3" t="str">
        <f>""</f>
        <v/>
      </c>
      <c r="H118" s="3" t="str">
        <f>""</f>
        <v/>
      </c>
      <c r="I118" s="3" t="str">
        <f>""</f>
        <v/>
      </c>
      <c r="J118" s="3" t="str">
        <f>""</f>
        <v/>
      </c>
      <c r="K118" s="3" t="str">
        <f>""</f>
        <v/>
      </c>
      <c r="L118" s="3" t="str">
        <f>""</f>
        <v/>
      </c>
      <c r="M118" s="3" t="str">
        <f>""</f>
        <v/>
      </c>
      <c r="N118" s="3" t="str">
        <f>""</f>
        <v/>
      </c>
      <c r="O118" s="3" t="str">
        <f>""</f>
        <v/>
      </c>
      <c r="P118" s="4" t="str">
        <f>""</f>
        <v/>
      </c>
    </row>
    <row r="119" spans="1:16" x14ac:dyDescent="0.3">
      <c r="A119" s="1">
        <v>154</v>
      </c>
      <c r="B119" s="2" t="str">
        <f>"10/30/60/90 DIAS"</f>
        <v>10/30/60/90 DIAS</v>
      </c>
      <c r="C119" s="2" t="s">
        <v>4</v>
      </c>
      <c r="D119" s="2" t="str">
        <f t="shared" si="6"/>
        <v>Dias da Data</v>
      </c>
      <c r="E119" s="3">
        <v>10</v>
      </c>
      <c r="F119" s="3">
        <v>30</v>
      </c>
      <c r="G119" s="3">
        <v>60</v>
      </c>
      <c r="H119" s="3">
        <v>90</v>
      </c>
      <c r="I119" s="3" t="str">
        <f>""</f>
        <v/>
      </c>
      <c r="J119" s="3" t="str">
        <f>""</f>
        <v/>
      </c>
      <c r="K119" s="3" t="str">
        <f>""</f>
        <v/>
      </c>
      <c r="L119" s="3" t="str">
        <f>""</f>
        <v/>
      </c>
      <c r="M119" s="3" t="str">
        <f>""</f>
        <v/>
      </c>
      <c r="N119" s="3" t="str">
        <f>""</f>
        <v/>
      </c>
      <c r="O119" s="3" t="str">
        <f>""</f>
        <v/>
      </c>
      <c r="P119" s="4" t="str">
        <f>""</f>
        <v/>
      </c>
    </row>
    <row r="120" spans="1:16" x14ac:dyDescent="0.3">
      <c r="A120" s="1">
        <v>155</v>
      </c>
      <c r="B120" s="2" t="str">
        <f>"40 DIAS"</f>
        <v>40 DIAS</v>
      </c>
      <c r="C120" s="2" t="s">
        <v>4</v>
      </c>
      <c r="D120" s="2" t="str">
        <f t="shared" si="6"/>
        <v>Dias da Data</v>
      </c>
      <c r="E120" s="3">
        <v>40</v>
      </c>
      <c r="F120" s="3" t="str">
        <f>""</f>
        <v/>
      </c>
      <c r="G120" s="3" t="str">
        <f>""</f>
        <v/>
      </c>
      <c r="H120" s="3" t="str">
        <f>""</f>
        <v/>
      </c>
      <c r="I120" s="3" t="str">
        <f>""</f>
        <v/>
      </c>
      <c r="J120" s="3" t="str">
        <f>""</f>
        <v/>
      </c>
      <c r="K120" s="3" t="str">
        <f>""</f>
        <v/>
      </c>
      <c r="L120" s="3" t="str">
        <f>""</f>
        <v/>
      </c>
      <c r="M120" s="3" t="str">
        <f>""</f>
        <v/>
      </c>
      <c r="N120" s="3" t="str">
        <f>""</f>
        <v/>
      </c>
      <c r="O120" s="3" t="str">
        <f>""</f>
        <v/>
      </c>
      <c r="P120" s="4" t="str">
        <f>""</f>
        <v/>
      </c>
    </row>
    <row r="121" spans="1:16" x14ac:dyDescent="0.3">
      <c r="A121" s="1">
        <v>156</v>
      </c>
      <c r="B121" s="2" t="str">
        <f>"28/35/45 DIAS"</f>
        <v>28/35/45 DIAS</v>
      </c>
      <c r="C121" s="2" t="s">
        <v>4</v>
      </c>
      <c r="D121" s="2" t="str">
        <f t="shared" si="6"/>
        <v>Dias da Data</v>
      </c>
      <c r="E121" s="3">
        <v>28</v>
      </c>
      <c r="F121" s="3">
        <v>35</v>
      </c>
      <c r="G121" s="3">
        <v>45</v>
      </c>
      <c r="H121" s="3" t="str">
        <f>""</f>
        <v/>
      </c>
      <c r="I121" s="3" t="str">
        <f>""</f>
        <v/>
      </c>
      <c r="J121" s="3" t="str">
        <f>""</f>
        <v/>
      </c>
      <c r="K121" s="3" t="str">
        <f>""</f>
        <v/>
      </c>
      <c r="L121" s="3" t="str">
        <f>""</f>
        <v/>
      </c>
      <c r="M121" s="3" t="str">
        <f>""</f>
        <v/>
      </c>
      <c r="N121" s="3" t="str">
        <f>""</f>
        <v/>
      </c>
      <c r="O121" s="3" t="str">
        <f>""</f>
        <v/>
      </c>
      <c r="P121" s="4" t="str">
        <f>""</f>
        <v/>
      </c>
    </row>
    <row r="122" spans="1:16" x14ac:dyDescent="0.3">
      <c r="A122" s="1">
        <v>157</v>
      </c>
      <c r="B122" s="2" t="str">
        <f>"65 dias"</f>
        <v>65 dias</v>
      </c>
      <c r="C122" s="2" t="s">
        <v>4</v>
      </c>
      <c r="D122" s="2" t="str">
        <f t="shared" si="6"/>
        <v>Dias da Data</v>
      </c>
      <c r="E122" s="3">
        <v>65</v>
      </c>
      <c r="F122" s="3" t="str">
        <f>""</f>
        <v/>
      </c>
      <c r="G122" s="3" t="str">
        <f>""</f>
        <v/>
      </c>
      <c r="H122" s="3" t="str">
        <f>""</f>
        <v/>
      </c>
      <c r="I122" s="3" t="str">
        <f>""</f>
        <v/>
      </c>
      <c r="J122" s="3" t="str">
        <f>""</f>
        <v/>
      </c>
      <c r="K122" s="3" t="str">
        <f>""</f>
        <v/>
      </c>
      <c r="L122" s="3" t="str">
        <f>""</f>
        <v/>
      </c>
      <c r="M122" s="3" t="str">
        <f>""</f>
        <v/>
      </c>
      <c r="N122" s="3" t="str">
        <f>""</f>
        <v/>
      </c>
      <c r="O122" s="3" t="str">
        <f>""</f>
        <v/>
      </c>
      <c r="P122" s="4" t="str">
        <f>""</f>
        <v/>
      </c>
    </row>
    <row r="123" spans="1:16" x14ac:dyDescent="0.3">
      <c r="A123" s="1">
        <v>158</v>
      </c>
      <c r="B123" s="2" t="str">
        <f>"Todo dia 04"</f>
        <v>Todo dia 04</v>
      </c>
      <c r="C123" s="2" t="s">
        <v>4</v>
      </c>
      <c r="D123" s="2" t="str">
        <f t="shared" si="6"/>
        <v>Dias da Data</v>
      </c>
      <c r="E123" s="3" t="str">
        <f>""</f>
        <v/>
      </c>
      <c r="F123" s="3" t="str">
        <f>""</f>
        <v/>
      </c>
      <c r="G123" s="3" t="str">
        <f>""</f>
        <v/>
      </c>
      <c r="H123" s="3" t="str">
        <f>""</f>
        <v/>
      </c>
      <c r="I123" s="3" t="str">
        <f>""</f>
        <v/>
      </c>
      <c r="J123" s="3" t="str">
        <f>""</f>
        <v/>
      </c>
      <c r="K123" s="3" t="str">
        <f>""</f>
        <v/>
      </c>
      <c r="L123" s="3" t="str">
        <f>""</f>
        <v/>
      </c>
      <c r="M123" s="3" t="str">
        <f>""</f>
        <v/>
      </c>
      <c r="N123" s="3" t="str">
        <f>""</f>
        <v/>
      </c>
      <c r="O123" s="3" t="str">
        <f>""</f>
        <v/>
      </c>
      <c r="P123" s="4" t="str">
        <f>""</f>
        <v/>
      </c>
    </row>
    <row r="124" spans="1:16" x14ac:dyDescent="0.3">
      <c r="A124" s="1">
        <v>159</v>
      </c>
      <c r="B124" s="2" t="str">
        <f>"Último dia prox quinzena"</f>
        <v>Último dia prox quinzena</v>
      </c>
      <c r="C124" s="2" t="s">
        <v>4</v>
      </c>
      <c r="D124" s="2" t="str">
        <f>"Fora Quinzena"</f>
        <v>Fora Quinzena</v>
      </c>
      <c r="E124" s="3">
        <v>14</v>
      </c>
      <c r="F124" s="3" t="str">
        <f>""</f>
        <v/>
      </c>
      <c r="G124" s="3" t="str">
        <f>""</f>
        <v/>
      </c>
      <c r="H124" s="3" t="str">
        <f>""</f>
        <v/>
      </c>
      <c r="I124" s="3" t="str">
        <f>""</f>
        <v/>
      </c>
      <c r="J124" s="3" t="str">
        <f>""</f>
        <v/>
      </c>
      <c r="K124" s="3" t="str">
        <f>""</f>
        <v/>
      </c>
      <c r="L124" s="3" t="str">
        <f>""</f>
        <v/>
      </c>
      <c r="M124" s="3" t="str">
        <f>""</f>
        <v/>
      </c>
      <c r="N124" s="3" t="str">
        <f>""</f>
        <v/>
      </c>
      <c r="O124" s="3" t="str">
        <f>""</f>
        <v/>
      </c>
      <c r="P124" s="4" t="str">
        <f>""</f>
        <v/>
      </c>
    </row>
    <row r="125" spans="1:16" x14ac:dyDescent="0.3">
      <c r="A125" s="1">
        <v>160</v>
      </c>
      <c r="B125" s="2" t="str">
        <f>"Fixo dia 10 de cada mês"</f>
        <v>Fixo dia 10 de cada mês</v>
      </c>
      <c r="C125" s="2" t="s">
        <v>4</v>
      </c>
      <c r="D125" s="2" t="str">
        <f>"A Vista"</f>
        <v>A Vista</v>
      </c>
      <c r="E125" s="3" t="str">
        <f>""</f>
        <v/>
      </c>
      <c r="F125" s="3" t="str">
        <f>""</f>
        <v/>
      </c>
      <c r="G125" s="3" t="str">
        <f>""</f>
        <v/>
      </c>
      <c r="H125" s="3" t="str">
        <f>""</f>
        <v/>
      </c>
      <c r="I125" s="3" t="str">
        <f>""</f>
        <v/>
      </c>
      <c r="J125" s="3" t="str">
        <f>""</f>
        <v/>
      </c>
      <c r="K125" s="3" t="str">
        <f>""</f>
        <v/>
      </c>
      <c r="L125" s="3" t="str">
        <f>""</f>
        <v/>
      </c>
      <c r="M125" s="3" t="str">
        <f>""</f>
        <v/>
      </c>
      <c r="N125" s="3" t="str">
        <f>""</f>
        <v/>
      </c>
      <c r="O125" s="3" t="str">
        <f>""</f>
        <v/>
      </c>
      <c r="P125" s="4" t="str">
        <f>""</f>
        <v/>
      </c>
    </row>
    <row r="126" spans="1:16" x14ac:dyDescent="0.3">
      <c r="A126" s="1">
        <v>161</v>
      </c>
      <c r="B126" s="2" t="str">
        <f>"Fixo dia 20 de cada mês"</f>
        <v>Fixo dia 20 de cada mês</v>
      </c>
      <c r="C126" s="2" t="s">
        <v>4</v>
      </c>
      <c r="D126" s="2" t="str">
        <f>"A Vista"</f>
        <v>A Vista</v>
      </c>
      <c r="E126" s="3" t="str">
        <f>""</f>
        <v/>
      </c>
      <c r="F126" s="3" t="str">
        <f>""</f>
        <v/>
      </c>
      <c r="G126" s="3" t="str">
        <f>""</f>
        <v/>
      </c>
      <c r="H126" s="3" t="str">
        <f>""</f>
        <v/>
      </c>
      <c r="I126" s="3" t="str">
        <f>""</f>
        <v/>
      </c>
      <c r="J126" s="3" t="str">
        <f>""</f>
        <v/>
      </c>
      <c r="K126" s="3" t="str">
        <f>""</f>
        <v/>
      </c>
      <c r="L126" s="3" t="str">
        <f>""</f>
        <v/>
      </c>
      <c r="M126" s="3" t="str">
        <f>""</f>
        <v/>
      </c>
      <c r="N126" s="3" t="str">
        <f>""</f>
        <v/>
      </c>
      <c r="O126" s="3" t="str">
        <f>""</f>
        <v/>
      </c>
      <c r="P126" s="4" t="str">
        <f>""</f>
        <v/>
      </c>
    </row>
    <row r="127" spans="1:16" x14ac:dyDescent="0.3">
      <c r="A127" s="1">
        <v>162</v>
      </c>
      <c r="B127" s="2" t="str">
        <f>"35/42/49/60 DIAS"</f>
        <v>35/42/49/60 DIAS</v>
      </c>
      <c r="C127" s="2" t="s">
        <v>4</v>
      </c>
      <c r="D127" s="2" t="str">
        <f>"Dias da Data"</f>
        <v>Dias da Data</v>
      </c>
      <c r="E127" s="3">
        <v>35</v>
      </c>
      <c r="F127" s="3">
        <v>42</v>
      </c>
      <c r="G127" s="3">
        <v>49</v>
      </c>
      <c r="H127" s="3">
        <v>60</v>
      </c>
      <c r="I127" s="3" t="str">
        <f>""</f>
        <v/>
      </c>
      <c r="J127" s="3" t="str">
        <f>""</f>
        <v/>
      </c>
      <c r="K127" s="3" t="str">
        <f>""</f>
        <v/>
      </c>
      <c r="L127" s="3" t="str">
        <f>""</f>
        <v/>
      </c>
      <c r="M127" s="3" t="str">
        <f>""</f>
        <v/>
      </c>
      <c r="N127" s="3" t="str">
        <f>""</f>
        <v/>
      </c>
      <c r="O127" s="3" t="str">
        <f>""</f>
        <v/>
      </c>
      <c r="P127" s="4" t="str">
        <f>""</f>
        <v/>
      </c>
    </row>
    <row r="128" spans="1:16" x14ac:dyDescent="0.3">
      <c r="A128" s="1">
        <v>163</v>
      </c>
      <c r="B128" s="2" t="str">
        <f>"Fixo dia 22 de cada mês"</f>
        <v>Fixo dia 22 de cada mês</v>
      </c>
      <c r="C128" s="2" t="s">
        <v>4</v>
      </c>
      <c r="D128" s="2" t="str">
        <f>"A Vista"</f>
        <v>A Vista</v>
      </c>
      <c r="E128" s="3" t="str">
        <f>""</f>
        <v/>
      </c>
      <c r="F128" s="3" t="str">
        <f>""</f>
        <v/>
      </c>
      <c r="G128" s="3" t="str">
        <f>""</f>
        <v/>
      </c>
      <c r="H128" s="3" t="str">
        <f>""</f>
        <v/>
      </c>
      <c r="I128" s="3" t="str">
        <f>""</f>
        <v/>
      </c>
      <c r="J128" s="3" t="str">
        <f>""</f>
        <v/>
      </c>
      <c r="K128" s="3" t="str">
        <f>""</f>
        <v/>
      </c>
      <c r="L128" s="3" t="str">
        <f>""</f>
        <v/>
      </c>
      <c r="M128" s="3" t="str">
        <f>""</f>
        <v/>
      </c>
      <c r="N128" s="3" t="str">
        <f>""</f>
        <v/>
      </c>
      <c r="O128" s="3" t="str">
        <f>""</f>
        <v/>
      </c>
      <c r="P128" s="4" t="str">
        <f>""</f>
        <v/>
      </c>
    </row>
    <row r="129" spans="1:16" x14ac:dyDescent="0.3">
      <c r="A129" s="1">
        <v>164</v>
      </c>
      <c r="B129" s="2" t="str">
        <f>"35/42/49 DIAS"</f>
        <v>35/42/49 DIAS</v>
      </c>
      <c r="C129" s="2" t="s">
        <v>4</v>
      </c>
      <c r="D129" s="2" t="str">
        <f>"Dias da Data"</f>
        <v>Dias da Data</v>
      </c>
      <c r="E129" s="3">
        <v>35</v>
      </c>
      <c r="F129" s="3">
        <v>42</v>
      </c>
      <c r="G129" s="3">
        <v>49</v>
      </c>
      <c r="H129" s="3" t="str">
        <f>""</f>
        <v/>
      </c>
      <c r="I129" s="3" t="str">
        <f>""</f>
        <v/>
      </c>
      <c r="J129" s="3" t="str">
        <f>""</f>
        <v/>
      </c>
      <c r="K129" s="3" t="str">
        <f>""</f>
        <v/>
      </c>
      <c r="L129" s="3" t="str">
        <f>""</f>
        <v/>
      </c>
      <c r="M129" s="3" t="str">
        <f>""</f>
        <v/>
      </c>
      <c r="N129" s="3" t="str">
        <f>""</f>
        <v/>
      </c>
      <c r="O129" s="3" t="str">
        <f>""</f>
        <v/>
      </c>
      <c r="P129" s="4" t="str">
        <f>""</f>
        <v/>
      </c>
    </row>
    <row r="130" spans="1:16" x14ac:dyDescent="0.3">
      <c r="A130" s="1">
        <v>165</v>
      </c>
      <c r="B130" s="2" t="str">
        <f>"Fixo dia 13 de cada mês"</f>
        <v>Fixo dia 13 de cada mês</v>
      </c>
      <c r="C130" s="2" t="s">
        <v>4</v>
      </c>
      <c r="D130" s="2" t="str">
        <f>"A Vista"</f>
        <v>A Vista</v>
      </c>
      <c r="E130" s="3" t="str">
        <f>""</f>
        <v/>
      </c>
      <c r="F130" s="3" t="str">
        <f>""</f>
        <v/>
      </c>
      <c r="G130" s="3" t="str">
        <f>""</f>
        <v/>
      </c>
      <c r="H130" s="3" t="str">
        <f>""</f>
        <v/>
      </c>
      <c r="I130" s="3" t="str">
        <f>""</f>
        <v/>
      </c>
      <c r="J130" s="3" t="str">
        <f>""</f>
        <v/>
      </c>
      <c r="K130" s="3" t="str">
        <f>""</f>
        <v/>
      </c>
      <c r="L130" s="3" t="str">
        <f>""</f>
        <v/>
      </c>
      <c r="M130" s="3" t="str">
        <f>""</f>
        <v/>
      </c>
      <c r="N130" s="3" t="str">
        <f>""</f>
        <v/>
      </c>
      <c r="O130" s="3" t="str">
        <f>""</f>
        <v/>
      </c>
      <c r="P130" s="4" t="str">
        <f>""</f>
        <v/>
      </c>
    </row>
    <row r="131" spans="1:16" x14ac:dyDescent="0.3">
      <c r="A131" s="1">
        <v>166</v>
      </c>
      <c r="B131" s="2" t="str">
        <f>"Fixo dia 12 de cada mês"</f>
        <v>Fixo dia 12 de cada mês</v>
      </c>
      <c r="C131" s="2" t="s">
        <v>4</v>
      </c>
      <c r="D131" s="2" t="str">
        <f>"A Vista"</f>
        <v>A Vista</v>
      </c>
      <c r="E131" s="3" t="str">
        <f>""</f>
        <v/>
      </c>
      <c r="F131" s="3" t="str">
        <f>""</f>
        <v/>
      </c>
      <c r="G131" s="3" t="str">
        <f>""</f>
        <v/>
      </c>
      <c r="H131" s="3" t="str">
        <f>""</f>
        <v/>
      </c>
      <c r="I131" s="3" t="str">
        <f>""</f>
        <v/>
      </c>
      <c r="J131" s="3" t="str">
        <f>""</f>
        <v/>
      </c>
      <c r="K131" s="3" t="str">
        <f>""</f>
        <v/>
      </c>
      <c r="L131" s="3" t="str">
        <f>""</f>
        <v/>
      </c>
      <c r="M131" s="3" t="str">
        <f>""</f>
        <v/>
      </c>
      <c r="N131" s="3" t="str">
        <f>""</f>
        <v/>
      </c>
      <c r="O131" s="3" t="str">
        <f>""</f>
        <v/>
      </c>
      <c r="P131" s="4" t="str">
        <f>""</f>
        <v/>
      </c>
    </row>
    <row r="132" spans="1:16" x14ac:dyDescent="0.3">
      <c r="A132" s="1">
        <v>167</v>
      </c>
      <c r="B132" s="2" t="str">
        <f>"Fixo dia 05 de cada mês"</f>
        <v>Fixo dia 05 de cada mês</v>
      </c>
      <c r="C132" s="2" t="s">
        <v>4</v>
      </c>
      <c r="D132" s="2" t="str">
        <f>"A Vista"</f>
        <v>A Vista</v>
      </c>
      <c r="E132" s="3" t="str">
        <f>""</f>
        <v/>
      </c>
      <c r="F132" s="3" t="str">
        <f>""</f>
        <v/>
      </c>
      <c r="G132" s="3" t="str">
        <f>""</f>
        <v/>
      </c>
      <c r="H132" s="3" t="str">
        <f>""</f>
        <v/>
      </c>
      <c r="I132" s="3" t="str">
        <f>""</f>
        <v/>
      </c>
      <c r="J132" s="3" t="str">
        <f>""</f>
        <v/>
      </c>
      <c r="K132" s="3" t="str">
        <f>""</f>
        <v/>
      </c>
      <c r="L132" s="3" t="str">
        <f>""</f>
        <v/>
      </c>
      <c r="M132" s="3" t="str">
        <f>""</f>
        <v/>
      </c>
      <c r="N132" s="3" t="str">
        <f>""</f>
        <v/>
      </c>
      <c r="O132" s="3" t="str">
        <f>""</f>
        <v/>
      </c>
      <c r="P132" s="4" t="str">
        <f>""</f>
        <v/>
      </c>
    </row>
    <row r="133" spans="1:16" x14ac:dyDescent="0.3">
      <c r="A133" s="1">
        <v>168</v>
      </c>
      <c r="B133" s="2" t="str">
        <f>"28/35/42/49 DIAS"</f>
        <v>28/35/42/49 DIAS</v>
      </c>
      <c r="C133" s="2" t="s">
        <v>4</v>
      </c>
      <c r="D133" s="2" t="str">
        <f>"Dias da Data"</f>
        <v>Dias da Data</v>
      </c>
      <c r="E133" s="3">
        <v>28</v>
      </c>
      <c r="F133" s="3">
        <v>35</v>
      </c>
      <c r="G133" s="3">
        <v>42</v>
      </c>
      <c r="H133" s="3">
        <v>49</v>
      </c>
      <c r="I133" s="3" t="str">
        <f>""</f>
        <v/>
      </c>
      <c r="J133" s="3" t="str">
        <f>""</f>
        <v/>
      </c>
      <c r="K133" s="3" t="str">
        <f>""</f>
        <v/>
      </c>
      <c r="L133" s="3" t="str">
        <f>""</f>
        <v/>
      </c>
      <c r="M133" s="3" t="str">
        <f>""</f>
        <v/>
      </c>
      <c r="N133" s="3" t="str">
        <f>""</f>
        <v/>
      </c>
      <c r="O133" s="3" t="str">
        <f>""</f>
        <v/>
      </c>
      <c r="P133" s="4" t="str">
        <f>""</f>
        <v/>
      </c>
    </row>
    <row r="134" spans="1:16" x14ac:dyDescent="0.3">
      <c r="A134" s="1">
        <v>169</v>
      </c>
      <c r="B134" s="2" t="str">
        <f>"21 / 28 / 35 DIAS"</f>
        <v>21 / 28 / 35 DIAS</v>
      </c>
      <c r="C134" s="2" t="s">
        <v>4</v>
      </c>
      <c r="D134" s="2" t="str">
        <f>"Dias da Data"</f>
        <v>Dias da Data</v>
      </c>
      <c r="E134" s="3">
        <v>21</v>
      </c>
      <c r="F134" s="3">
        <v>28</v>
      </c>
      <c r="G134" s="3">
        <v>35</v>
      </c>
      <c r="H134" s="3" t="str">
        <f>""</f>
        <v/>
      </c>
      <c r="I134" s="3" t="str">
        <f>""</f>
        <v/>
      </c>
      <c r="J134" s="3" t="str">
        <f>""</f>
        <v/>
      </c>
      <c r="K134" s="3" t="str">
        <f>""</f>
        <v/>
      </c>
      <c r="L134" s="3" t="str">
        <f>""</f>
        <v/>
      </c>
      <c r="M134" s="3" t="str">
        <f>""</f>
        <v/>
      </c>
      <c r="N134" s="3" t="str">
        <f>""</f>
        <v/>
      </c>
      <c r="O134" s="3" t="str">
        <f>""</f>
        <v/>
      </c>
      <c r="P134" s="4" t="str">
        <f>""</f>
        <v/>
      </c>
    </row>
    <row r="135" spans="1:16" x14ac:dyDescent="0.3">
      <c r="A135" s="1">
        <v>170</v>
      </c>
      <c r="B135" s="2" t="str">
        <f>"30/40/50 dias"</f>
        <v>30/40/50 dias</v>
      </c>
      <c r="C135" s="2" t="s">
        <v>4</v>
      </c>
      <c r="D135" s="2" t="str">
        <f>"Dias da Data"</f>
        <v>Dias da Data</v>
      </c>
      <c r="E135" s="3">
        <v>30</v>
      </c>
      <c r="F135" s="3">
        <v>40</v>
      </c>
      <c r="G135" s="3">
        <v>50</v>
      </c>
      <c r="H135" s="3" t="str">
        <f>""</f>
        <v/>
      </c>
      <c r="I135" s="3" t="str">
        <f>""</f>
        <v/>
      </c>
      <c r="J135" s="3" t="str">
        <f>""</f>
        <v/>
      </c>
      <c r="K135" s="3" t="str">
        <f>""</f>
        <v/>
      </c>
      <c r="L135" s="3" t="str">
        <f>""</f>
        <v/>
      </c>
      <c r="M135" s="3" t="str">
        <f>""</f>
        <v/>
      </c>
      <c r="N135" s="3" t="str">
        <f>""</f>
        <v/>
      </c>
      <c r="O135" s="3" t="str">
        <f>""</f>
        <v/>
      </c>
      <c r="P135" s="4" t="str">
        <f>""</f>
        <v/>
      </c>
    </row>
    <row r="136" spans="1:16" x14ac:dyDescent="0.3">
      <c r="A136" s="1">
        <v>171</v>
      </c>
      <c r="B136" s="2" t="str">
        <f>"21/35 dias"</f>
        <v>21/35 dias</v>
      </c>
      <c r="C136" s="2" t="s">
        <v>4</v>
      </c>
      <c r="D136" s="2" t="str">
        <f>"Dias da Data"</f>
        <v>Dias da Data</v>
      </c>
      <c r="E136" s="3">
        <v>21</v>
      </c>
      <c r="F136" s="3">
        <v>35</v>
      </c>
      <c r="G136" s="3" t="str">
        <f>""</f>
        <v/>
      </c>
      <c r="H136" s="3" t="str">
        <f>""</f>
        <v/>
      </c>
      <c r="I136" s="3" t="str">
        <f>""</f>
        <v/>
      </c>
      <c r="J136" s="3" t="str">
        <f>""</f>
        <v/>
      </c>
      <c r="K136" s="3" t="str">
        <f>""</f>
        <v/>
      </c>
      <c r="L136" s="3" t="str">
        <f>""</f>
        <v/>
      </c>
      <c r="M136" s="3" t="str">
        <f>""</f>
        <v/>
      </c>
      <c r="N136" s="3" t="str">
        <f>""</f>
        <v/>
      </c>
      <c r="O136" s="3" t="str">
        <f>""</f>
        <v/>
      </c>
      <c r="P136" s="4" t="str">
        <f>""</f>
        <v/>
      </c>
    </row>
    <row r="137" spans="1:16" x14ac:dyDescent="0.3">
      <c r="A137" s="1">
        <v>172</v>
      </c>
      <c r="B137" s="2" t="str">
        <f>"5º dia útil do mês seguinte"</f>
        <v>5º dia útil do mês seguinte</v>
      </c>
      <c r="C137" s="2" t="s">
        <v>4</v>
      </c>
      <c r="D137" s="2" t="str">
        <f>"Fora Mes"</f>
        <v>Fora Mes</v>
      </c>
      <c r="E137" s="3">
        <v>5</v>
      </c>
      <c r="F137" s="3" t="str">
        <f>""</f>
        <v/>
      </c>
      <c r="G137" s="3" t="str">
        <f>""</f>
        <v/>
      </c>
      <c r="H137" s="3" t="str">
        <f>""</f>
        <v/>
      </c>
      <c r="I137" s="3" t="str">
        <f>""</f>
        <v/>
      </c>
      <c r="J137" s="3" t="str">
        <f>""</f>
        <v/>
      </c>
      <c r="K137" s="3" t="str">
        <f>""</f>
        <v/>
      </c>
      <c r="L137" s="3" t="str">
        <f>""</f>
        <v/>
      </c>
      <c r="M137" s="3" t="str">
        <f>""</f>
        <v/>
      </c>
      <c r="N137" s="3" t="str">
        <f>""</f>
        <v/>
      </c>
      <c r="O137" s="3" t="str">
        <f>""</f>
        <v/>
      </c>
      <c r="P137" s="4" t="str">
        <f>""</f>
        <v/>
      </c>
    </row>
    <row r="138" spans="1:16" x14ac:dyDescent="0.3">
      <c r="A138" s="1">
        <v>173</v>
      </c>
      <c r="B138" s="2" t="str">
        <f>"40/45/50 Dias"</f>
        <v>40/45/50 Dias</v>
      </c>
      <c r="C138" s="2" t="s">
        <v>4</v>
      </c>
      <c r="D138" s="2" t="str">
        <f>"Dias da Data"</f>
        <v>Dias da Data</v>
      </c>
      <c r="E138" s="3">
        <v>40</v>
      </c>
      <c r="F138" s="3">
        <v>45</v>
      </c>
      <c r="G138" s="3">
        <v>50</v>
      </c>
      <c r="H138" s="3" t="str">
        <f>""</f>
        <v/>
      </c>
      <c r="I138" s="3" t="str">
        <f>""</f>
        <v/>
      </c>
      <c r="J138" s="3" t="str">
        <f>""</f>
        <v/>
      </c>
      <c r="K138" s="3" t="str">
        <f>""</f>
        <v/>
      </c>
      <c r="L138" s="3" t="str">
        <f>""</f>
        <v/>
      </c>
      <c r="M138" s="3" t="str">
        <f>""</f>
        <v/>
      </c>
      <c r="N138" s="3" t="str">
        <f>""</f>
        <v/>
      </c>
      <c r="O138" s="3" t="str">
        <f>""</f>
        <v/>
      </c>
      <c r="P138" s="4" t="str">
        <f>""</f>
        <v/>
      </c>
    </row>
    <row r="139" spans="1:16" x14ac:dyDescent="0.3">
      <c r="A139" s="1">
        <v>174</v>
      </c>
      <c r="B139" s="2" t="str">
        <f>"35 DIAS"</f>
        <v>35 DIAS</v>
      </c>
      <c r="C139" s="2" t="s">
        <v>4</v>
      </c>
      <c r="D139" s="2" t="str">
        <f>"Dias da Data"</f>
        <v>Dias da Data</v>
      </c>
      <c r="E139" s="3">
        <v>35</v>
      </c>
      <c r="F139" s="3" t="str">
        <f>""</f>
        <v/>
      </c>
      <c r="G139" s="3" t="str">
        <f>""</f>
        <v/>
      </c>
      <c r="H139" s="3" t="str">
        <f>""</f>
        <v/>
      </c>
      <c r="I139" s="3" t="str">
        <f>""</f>
        <v/>
      </c>
      <c r="J139" s="3" t="str">
        <f>""</f>
        <v/>
      </c>
      <c r="K139" s="3" t="str">
        <f>""</f>
        <v/>
      </c>
      <c r="L139" s="3" t="str">
        <f>""</f>
        <v/>
      </c>
      <c r="M139" s="3" t="str">
        <f>""</f>
        <v/>
      </c>
      <c r="N139" s="3" t="str">
        <f>""</f>
        <v/>
      </c>
      <c r="O139" s="3" t="str">
        <f>""</f>
        <v/>
      </c>
      <c r="P139" s="4" t="str">
        <f>""</f>
        <v/>
      </c>
    </row>
    <row r="140" spans="1:16" x14ac:dyDescent="0.3">
      <c r="A140" s="1">
        <v>175</v>
      </c>
      <c r="B140" s="2" t="str">
        <f>"Fixo dia 21 de cada mês"</f>
        <v>Fixo dia 21 de cada mês</v>
      </c>
      <c r="C140" s="2" t="s">
        <v>4</v>
      </c>
      <c r="D140" s="2" t="str">
        <f>"A Vista"</f>
        <v>A Vista</v>
      </c>
      <c r="E140" s="3" t="str">
        <f>""</f>
        <v/>
      </c>
      <c r="F140" s="3" t="str">
        <f>""</f>
        <v/>
      </c>
      <c r="G140" s="3" t="str">
        <f>""</f>
        <v/>
      </c>
      <c r="H140" s="3" t="str">
        <f>""</f>
        <v/>
      </c>
      <c r="I140" s="3" t="str">
        <f>""</f>
        <v/>
      </c>
      <c r="J140" s="3" t="str">
        <f>""</f>
        <v/>
      </c>
      <c r="K140" s="3" t="str">
        <f>""</f>
        <v/>
      </c>
      <c r="L140" s="3" t="str">
        <f>""</f>
        <v/>
      </c>
      <c r="M140" s="3" t="str">
        <f>""</f>
        <v/>
      </c>
      <c r="N140" s="3" t="str">
        <f>""</f>
        <v/>
      </c>
      <c r="O140" s="3" t="str">
        <f>""</f>
        <v/>
      </c>
      <c r="P140" s="4" t="str">
        <f>""</f>
        <v/>
      </c>
    </row>
    <row r="141" spans="1:16" x14ac:dyDescent="0.3">
      <c r="A141" s="1">
        <v>177</v>
      </c>
      <c r="B141" s="2" t="str">
        <f>"35/42/49/56 DIAS"</f>
        <v>35/42/49/56 DIAS</v>
      </c>
      <c r="C141" s="2" t="s">
        <v>4</v>
      </c>
      <c r="D141" s="2" t="str">
        <f t="shared" ref="D141:D155" si="7">"Dias da Data"</f>
        <v>Dias da Data</v>
      </c>
      <c r="E141" s="3">
        <v>35</v>
      </c>
      <c r="F141" s="3">
        <v>42</v>
      </c>
      <c r="G141" s="3">
        <v>49</v>
      </c>
      <c r="H141" s="3">
        <v>56</v>
      </c>
      <c r="I141" s="3" t="str">
        <f>""</f>
        <v/>
      </c>
      <c r="J141" s="3" t="str">
        <f>""</f>
        <v/>
      </c>
      <c r="K141" s="3" t="str">
        <f>""</f>
        <v/>
      </c>
      <c r="L141" s="3" t="str">
        <f>""</f>
        <v/>
      </c>
      <c r="M141" s="3" t="str">
        <f>""</f>
        <v/>
      </c>
      <c r="N141" s="3" t="str">
        <f>""</f>
        <v/>
      </c>
      <c r="O141" s="3" t="str">
        <f>""</f>
        <v/>
      </c>
      <c r="P141" s="4" t="str">
        <f>""</f>
        <v/>
      </c>
    </row>
    <row r="142" spans="1:16" x14ac:dyDescent="0.3">
      <c r="A142" s="1">
        <v>178</v>
      </c>
      <c r="B142" s="2" t="str">
        <f>"150 DIAS"</f>
        <v>150 DIAS</v>
      </c>
      <c r="C142" s="2" t="s">
        <v>4</v>
      </c>
      <c r="D142" s="2" t="str">
        <f t="shared" si="7"/>
        <v>Dias da Data</v>
      </c>
      <c r="E142" s="3">
        <v>150</v>
      </c>
      <c r="F142" s="3" t="str">
        <f>""</f>
        <v/>
      </c>
      <c r="G142" s="3" t="str">
        <f>""</f>
        <v/>
      </c>
      <c r="H142" s="3" t="str">
        <f>""</f>
        <v/>
      </c>
      <c r="I142" s="3" t="str">
        <f>""</f>
        <v/>
      </c>
      <c r="J142" s="3" t="str">
        <f>""</f>
        <v/>
      </c>
      <c r="K142" s="3" t="str">
        <f>""</f>
        <v/>
      </c>
      <c r="L142" s="3" t="str">
        <f>""</f>
        <v/>
      </c>
      <c r="M142" s="3" t="str">
        <f>""</f>
        <v/>
      </c>
      <c r="N142" s="3" t="str">
        <f>""</f>
        <v/>
      </c>
      <c r="O142" s="3" t="str">
        <f>""</f>
        <v/>
      </c>
      <c r="P142" s="4" t="str">
        <f>""</f>
        <v/>
      </c>
    </row>
    <row r="143" spans="1:16" x14ac:dyDescent="0.3">
      <c r="A143" s="1">
        <v>180</v>
      </c>
      <c r="B143" s="2" t="str">
        <f>"180 DIAS"</f>
        <v>180 DIAS</v>
      </c>
      <c r="C143" s="2" t="s">
        <v>4</v>
      </c>
      <c r="D143" s="2" t="str">
        <f t="shared" si="7"/>
        <v>Dias da Data</v>
      </c>
      <c r="E143" s="3">
        <v>180</v>
      </c>
      <c r="F143" s="3" t="str">
        <f>""</f>
        <v/>
      </c>
      <c r="G143" s="3" t="str">
        <f>""</f>
        <v/>
      </c>
      <c r="H143" s="3" t="str">
        <f>""</f>
        <v/>
      </c>
      <c r="I143" s="3" t="str">
        <f>""</f>
        <v/>
      </c>
      <c r="J143" s="3" t="str">
        <f>""</f>
        <v/>
      </c>
      <c r="K143" s="3" t="str">
        <f>""</f>
        <v/>
      </c>
      <c r="L143" s="3" t="str">
        <f>""</f>
        <v/>
      </c>
      <c r="M143" s="3" t="str">
        <f>""</f>
        <v/>
      </c>
      <c r="N143" s="3" t="str">
        <f>""</f>
        <v/>
      </c>
      <c r="O143" s="3" t="str">
        <f>""</f>
        <v/>
      </c>
      <c r="P143" s="4" t="str">
        <f>""</f>
        <v/>
      </c>
    </row>
    <row r="144" spans="1:16" x14ac:dyDescent="0.3">
      <c r="A144" s="1">
        <v>181</v>
      </c>
      <c r="B144" s="2" t="str">
        <f>"30 DIAS Duratex"</f>
        <v>30 DIAS Duratex</v>
      </c>
      <c r="C144" s="2" t="s">
        <v>4</v>
      </c>
      <c r="D144" s="2" t="str">
        <f t="shared" si="7"/>
        <v>Dias da Data</v>
      </c>
      <c r="E144" s="3">
        <v>30</v>
      </c>
      <c r="F144" s="3" t="str">
        <f>""</f>
        <v/>
      </c>
      <c r="G144" s="3" t="str">
        <f>""</f>
        <v/>
      </c>
      <c r="H144" s="3" t="str">
        <f>""</f>
        <v/>
      </c>
      <c r="I144" s="3" t="str">
        <f>""</f>
        <v/>
      </c>
      <c r="J144" s="3" t="str">
        <f>""</f>
        <v/>
      </c>
      <c r="K144" s="3" t="str">
        <f>""</f>
        <v/>
      </c>
      <c r="L144" s="3" t="str">
        <f>""</f>
        <v/>
      </c>
      <c r="M144" s="3" t="str">
        <f>""</f>
        <v/>
      </c>
      <c r="N144" s="3" t="str">
        <f>""</f>
        <v/>
      </c>
      <c r="O144" s="3" t="str">
        <f>""</f>
        <v/>
      </c>
      <c r="P144" s="4" t="str">
        <f>""</f>
        <v/>
      </c>
    </row>
    <row r="145" spans="1:16" x14ac:dyDescent="0.3">
      <c r="A145" s="1">
        <v>182</v>
      </c>
      <c r="B145" s="2" t="str">
        <f>"180 DIAS S/ ENCARGOS"</f>
        <v>180 DIAS S/ ENCARGOS</v>
      </c>
      <c r="C145" s="2" t="s">
        <v>4</v>
      </c>
      <c r="D145" s="2" t="str">
        <f t="shared" si="7"/>
        <v>Dias da Data</v>
      </c>
      <c r="E145" s="3">
        <v>180</v>
      </c>
      <c r="F145" s="3" t="str">
        <f>""</f>
        <v/>
      </c>
      <c r="G145" s="3" t="str">
        <f>""</f>
        <v/>
      </c>
      <c r="H145" s="3" t="str">
        <f>""</f>
        <v/>
      </c>
      <c r="I145" s="3" t="str">
        <f>""</f>
        <v/>
      </c>
      <c r="J145" s="3" t="str">
        <f>""</f>
        <v/>
      </c>
      <c r="K145" s="3" t="str">
        <f>""</f>
        <v/>
      </c>
      <c r="L145" s="3" t="str">
        <f>""</f>
        <v/>
      </c>
      <c r="M145" s="3" t="str">
        <f>""</f>
        <v/>
      </c>
      <c r="N145" s="3" t="str">
        <f>""</f>
        <v/>
      </c>
      <c r="O145" s="3" t="str">
        <f>""</f>
        <v/>
      </c>
      <c r="P145" s="4" t="str">
        <f>""</f>
        <v/>
      </c>
    </row>
    <row r="146" spans="1:16" x14ac:dyDescent="0.3">
      <c r="A146" s="1">
        <v>183</v>
      </c>
      <c r="B146" s="2" t="str">
        <f>"30 Dias SUDATI"</f>
        <v>30 Dias SUDATI</v>
      </c>
      <c r="C146" s="2" t="s">
        <v>4</v>
      </c>
      <c r="D146" s="2" t="str">
        <f t="shared" si="7"/>
        <v>Dias da Data</v>
      </c>
      <c r="E146" s="3">
        <v>30</v>
      </c>
      <c r="F146" s="3" t="str">
        <f>""</f>
        <v/>
      </c>
      <c r="G146" s="3" t="str">
        <f>""</f>
        <v/>
      </c>
      <c r="H146" s="3" t="str">
        <f>""</f>
        <v/>
      </c>
      <c r="I146" s="3" t="str">
        <f>""</f>
        <v/>
      </c>
      <c r="J146" s="3" t="str">
        <f>""</f>
        <v/>
      </c>
      <c r="K146" s="3" t="str">
        <f>""</f>
        <v/>
      </c>
      <c r="L146" s="3" t="str">
        <f>""</f>
        <v/>
      </c>
      <c r="M146" s="3" t="str">
        <f>""</f>
        <v/>
      </c>
      <c r="N146" s="3" t="str">
        <f>""</f>
        <v/>
      </c>
      <c r="O146" s="3" t="str">
        <f>""</f>
        <v/>
      </c>
      <c r="P146" s="4" t="str">
        <f>""</f>
        <v/>
      </c>
    </row>
    <row r="147" spans="1:16" x14ac:dyDescent="0.3">
      <c r="A147" s="1">
        <v>199</v>
      </c>
      <c r="B147" s="2" t="str">
        <f>"21/28 DIAS"</f>
        <v>21/28 DIAS</v>
      </c>
      <c r="C147" s="2" t="s">
        <v>4</v>
      </c>
      <c r="D147" s="2" t="str">
        <f t="shared" si="7"/>
        <v>Dias da Data</v>
      </c>
      <c r="E147" s="3">
        <v>21</v>
      </c>
      <c r="F147" s="3">
        <v>28</v>
      </c>
      <c r="G147" s="3" t="str">
        <f>""</f>
        <v/>
      </c>
      <c r="H147" s="3" t="str">
        <f>""</f>
        <v/>
      </c>
      <c r="I147" s="3" t="str">
        <f>""</f>
        <v/>
      </c>
      <c r="J147" s="3" t="str">
        <f>""</f>
        <v/>
      </c>
      <c r="K147" s="3" t="str">
        <f>""</f>
        <v/>
      </c>
      <c r="L147" s="3" t="str">
        <f>""</f>
        <v/>
      </c>
      <c r="M147" s="3" t="str">
        <f>""</f>
        <v/>
      </c>
      <c r="N147" s="3" t="str">
        <f>""</f>
        <v/>
      </c>
      <c r="O147" s="3" t="str">
        <f>""</f>
        <v/>
      </c>
      <c r="P147" s="4" t="str">
        <f>""</f>
        <v/>
      </c>
    </row>
    <row r="148" spans="1:16" x14ac:dyDescent="0.3">
      <c r="A148" s="1">
        <v>200</v>
      </c>
      <c r="B148" s="2" t="str">
        <f>"28/35/56"</f>
        <v>28/35/56</v>
      </c>
      <c r="C148" s="2" t="s">
        <v>4</v>
      </c>
      <c r="D148" s="2" t="str">
        <f t="shared" si="7"/>
        <v>Dias da Data</v>
      </c>
      <c r="E148" s="3">
        <v>28</v>
      </c>
      <c r="F148" s="3">
        <v>35</v>
      </c>
      <c r="G148" s="3">
        <v>56</v>
      </c>
      <c r="H148" s="3" t="str">
        <f>""</f>
        <v/>
      </c>
      <c r="I148" s="3" t="str">
        <f>""</f>
        <v/>
      </c>
      <c r="J148" s="3" t="str">
        <f>""</f>
        <v/>
      </c>
      <c r="K148" s="3" t="str">
        <f>""</f>
        <v/>
      </c>
      <c r="L148" s="3" t="str">
        <f>""</f>
        <v/>
      </c>
      <c r="M148" s="3" t="str">
        <f>""</f>
        <v/>
      </c>
      <c r="N148" s="3" t="str">
        <f>""</f>
        <v/>
      </c>
      <c r="O148" s="3" t="str">
        <f>""</f>
        <v/>
      </c>
      <c r="P148" s="4" t="str">
        <f>""</f>
        <v/>
      </c>
    </row>
    <row r="149" spans="1:16" x14ac:dyDescent="0.3">
      <c r="A149" s="1">
        <v>201</v>
      </c>
      <c r="B149" s="2" t="str">
        <f>"21/35/49"</f>
        <v>21/35/49</v>
      </c>
      <c r="C149" s="2" t="s">
        <v>4</v>
      </c>
      <c r="D149" s="2" t="str">
        <f t="shared" si="7"/>
        <v>Dias da Data</v>
      </c>
      <c r="E149" s="3">
        <v>21</v>
      </c>
      <c r="F149" s="3">
        <v>35</v>
      </c>
      <c r="G149" s="3">
        <v>49</v>
      </c>
      <c r="H149" s="3" t="str">
        <f>""</f>
        <v/>
      </c>
      <c r="I149" s="3" t="str">
        <f>""</f>
        <v/>
      </c>
      <c r="J149" s="3" t="str">
        <f>""</f>
        <v/>
      </c>
      <c r="K149" s="3" t="str">
        <f>""</f>
        <v/>
      </c>
      <c r="L149" s="3" t="str">
        <f>""</f>
        <v/>
      </c>
      <c r="M149" s="3" t="str">
        <f>""</f>
        <v/>
      </c>
      <c r="N149" s="3" t="str">
        <f>""</f>
        <v/>
      </c>
      <c r="O149" s="3" t="str">
        <f>""</f>
        <v/>
      </c>
      <c r="P149" s="4" t="str">
        <f>""</f>
        <v/>
      </c>
    </row>
    <row r="150" spans="1:16" x14ac:dyDescent="0.3">
      <c r="A150" s="1">
        <v>202</v>
      </c>
      <c r="B150" s="2" t="str">
        <f>"30/45/60/75/90 DDL"</f>
        <v>30/45/60/75/90 DDL</v>
      </c>
      <c r="C150" s="2" t="s">
        <v>4</v>
      </c>
      <c r="D150" s="2" t="str">
        <f t="shared" si="7"/>
        <v>Dias da Data</v>
      </c>
      <c r="E150" s="3">
        <v>30</v>
      </c>
      <c r="F150" s="3">
        <v>45</v>
      </c>
      <c r="G150" s="3">
        <v>60</v>
      </c>
      <c r="H150" s="3">
        <v>75</v>
      </c>
      <c r="I150" s="3">
        <v>90</v>
      </c>
      <c r="J150" s="3" t="str">
        <f>""</f>
        <v/>
      </c>
      <c r="K150" s="3" t="str">
        <f>""</f>
        <v/>
      </c>
      <c r="L150" s="3" t="str">
        <f>""</f>
        <v/>
      </c>
      <c r="M150" s="3" t="str">
        <f>""</f>
        <v/>
      </c>
      <c r="N150" s="3" t="str">
        <f>""</f>
        <v/>
      </c>
      <c r="O150" s="3" t="str">
        <f>""</f>
        <v/>
      </c>
      <c r="P150" s="4" t="str">
        <f>""</f>
        <v/>
      </c>
    </row>
    <row r="151" spans="1:16" x14ac:dyDescent="0.3">
      <c r="A151" s="1">
        <v>203</v>
      </c>
      <c r="B151" s="2" t="str">
        <f>"17/32/62"</f>
        <v>17/32/62</v>
      </c>
      <c r="C151" s="2" t="s">
        <v>4</v>
      </c>
      <c r="D151" s="2" t="str">
        <f t="shared" si="7"/>
        <v>Dias da Data</v>
      </c>
      <c r="E151" s="3">
        <v>17</v>
      </c>
      <c r="F151" s="3">
        <v>32</v>
      </c>
      <c r="G151" s="3">
        <v>62</v>
      </c>
      <c r="H151" s="3" t="str">
        <f>""</f>
        <v/>
      </c>
      <c r="I151" s="3" t="str">
        <f>""</f>
        <v/>
      </c>
      <c r="J151" s="3" t="str">
        <f>""</f>
        <v/>
      </c>
      <c r="K151" s="3" t="str">
        <f>""</f>
        <v/>
      </c>
      <c r="L151" s="3" t="str">
        <f>""</f>
        <v/>
      </c>
      <c r="M151" s="3" t="str">
        <f>""</f>
        <v/>
      </c>
      <c r="N151" s="3" t="str">
        <f>""</f>
        <v/>
      </c>
      <c r="O151" s="3" t="str">
        <f>""</f>
        <v/>
      </c>
      <c r="P151" s="4" t="str">
        <f>""</f>
        <v/>
      </c>
    </row>
    <row r="152" spans="1:16" x14ac:dyDescent="0.3">
      <c r="A152" s="1">
        <v>204</v>
      </c>
      <c r="B152" s="2" t="str">
        <f>"45 dias"</f>
        <v>45 dias</v>
      </c>
      <c r="C152" s="2" t="s">
        <v>4</v>
      </c>
      <c r="D152" s="2" t="str">
        <f t="shared" si="7"/>
        <v>Dias da Data</v>
      </c>
      <c r="E152" s="3">
        <v>45</v>
      </c>
      <c r="F152" s="3" t="str">
        <f>""</f>
        <v/>
      </c>
      <c r="G152" s="3" t="str">
        <f>""</f>
        <v/>
      </c>
      <c r="H152" s="3" t="str">
        <f>""</f>
        <v/>
      </c>
      <c r="I152" s="3" t="str">
        <f>""</f>
        <v/>
      </c>
      <c r="J152" s="3" t="str">
        <f>""</f>
        <v/>
      </c>
      <c r="K152" s="3" t="str">
        <f>""</f>
        <v/>
      </c>
      <c r="L152" s="3" t="str">
        <f>""</f>
        <v/>
      </c>
      <c r="M152" s="3" t="str">
        <f>""</f>
        <v/>
      </c>
      <c r="N152" s="3" t="str">
        <f>""</f>
        <v/>
      </c>
      <c r="O152" s="3" t="str">
        <f>""</f>
        <v/>
      </c>
      <c r="P152" s="4" t="str">
        <f>""</f>
        <v/>
      </c>
    </row>
    <row r="153" spans="1:16" x14ac:dyDescent="0.3">
      <c r="A153" s="1">
        <v>205</v>
      </c>
      <c r="B153" s="2" t="str">
        <f>"60 DIAS"</f>
        <v>60 DIAS</v>
      </c>
      <c r="C153" s="2" t="s">
        <v>4</v>
      </c>
      <c r="D153" s="2" t="str">
        <f t="shared" si="7"/>
        <v>Dias da Data</v>
      </c>
      <c r="E153" s="3">
        <v>60</v>
      </c>
      <c r="F153" s="3" t="str">
        <f>""</f>
        <v/>
      </c>
      <c r="G153" s="3" t="str">
        <f>""</f>
        <v/>
      </c>
      <c r="H153" s="3" t="str">
        <f>""</f>
        <v/>
      </c>
      <c r="I153" s="3" t="str">
        <f>""</f>
        <v/>
      </c>
      <c r="J153" s="3" t="str">
        <f>""</f>
        <v/>
      </c>
      <c r="K153" s="3" t="str">
        <f>""</f>
        <v/>
      </c>
      <c r="L153" s="3" t="str">
        <f>""</f>
        <v/>
      </c>
      <c r="M153" s="3" t="str">
        <f>""</f>
        <v/>
      </c>
      <c r="N153" s="3" t="str">
        <f>""</f>
        <v/>
      </c>
      <c r="O153" s="3" t="str">
        <f>""</f>
        <v/>
      </c>
      <c r="P153" s="4" t="str">
        <f>""</f>
        <v/>
      </c>
    </row>
    <row r="154" spans="1:16" x14ac:dyDescent="0.3">
      <c r="A154" s="1">
        <v>206</v>
      </c>
      <c r="B154" s="2" t="str">
        <f>"60 DIAS"</f>
        <v>60 DIAS</v>
      </c>
      <c r="C154" s="2" t="s">
        <v>4</v>
      </c>
      <c r="D154" s="2" t="str">
        <f t="shared" si="7"/>
        <v>Dias da Data</v>
      </c>
      <c r="E154" s="3">
        <v>60</v>
      </c>
      <c r="F154" s="3" t="str">
        <f>""</f>
        <v/>
      </c>
      <c r="G154" s="3" t="str">
        <f>""</f>
        <v/>
      </c>
      <c r="H154" s="3" t="str">
        <f>""</f>
        <v/>
      </c>
      <c r="I154" s="3" t="str">
        <f>""</f>
        <v/>
      </c>
      <c r="J154" s="3" t="str">
        <f>""</f>
        <v/>
      </c>
      <c r="K154" s="3" t="str">
        <f>""</f>
        <v/>
      </c>
      <c r="L154" s="3" t="str">
        <f>""</f>
        <v/>
      </c>
      <c r="M154" s="3" t="str">
        <f>""</f>
        <v/>
      </c>
      <c r="N154" s="3" t="str">
        <f>""</f>
        <v/>
      </c>
      <c r="O154" s="3" t="str">
        <f>""</f>
        <v/>
      </c>
      <c r="P154" s="4" t="str">
        <f>""</f>
        <v/>
      </c>
    </row>
    <row r="155" spans="1:16" x14ac:dyDescent="0.3">
      <c r="A155" s="1">
        <v>207</v>
      </c>
      <c r="B155" s="2" t="str">
        <f>"30/45/60"</f>
        <v>30/45/60</v>
      </c>
      <c r="C155" s="2" t="s">
        <v>4</v>
      </c>
      <c r="D155" s="2" t="str">
        <f t="shared" si="7"/>
        <v>Dias da Data</v>
      </c>
      <c r="E155" s="3">
        <v>30</v>
      </c>
      <c r="F155" s="3">
        <v>45</v>
      </c>
      <c r="G155" s="3">
        <v>60</v>
      </c>
      <c r="H155" s="3" t="str">
        <f>""</f>
        <v/>
      </c>
      <c r="I155" s="3" t="str">
        <f>""</f>
        <v/>
      </c>
      <c r="J155" s="3" t="str">
        <f>""</f>
        <v/>
      </c>
      <c r="K155" s="3" t="str">
        <f>""</f>
        <v/>
      </c>
      <c r="L155" s="3" t="str">
        <f>""</f>
        <v/>
      </c>
      <c r="M155" s="3" t="str">
        <f>""</f>
        <v/>
      </c>
      <c r="N155" s="3" t="str">
        <f>""</f>
        <v/>
      </c>
      <c r="O155" s="3" t="str">
        <f>""</f>
        <v/>
      </c>
      <c r="P155" s="4" t="str">
        <f>""</f>
        <v/>
      </c>
    </row>
    <row r="156" spans="1:16" x14ac:dyDescent="0.3">
      <c r="A156" s="1">
        <v>208</v>
      </c>
      <c r="B156" s="2" t="str">
        <f>"Dia 15 do mês subsequente"</f>
        <v>Dia 15 do mês subsequente</v>
      </c>
      <c r="C156" s="2" t="s">
        <v>4</v>
      </c>
      <c r="D156" s="2" t="str">
        <f>"Fora Mes"</f>
        <v>Fora Mes</v>
      </c>
      <c r="E156" s="3">
        <v>14</v>
      </c>
      <c r="F156" s="3" t="str">
        <f>""</f>
        <v/>
      </c>
      <c r="G156" s="3" t="str">
        <f>""</f>
        <v/>
      </c>
      <c r="H156" s="3" t="str">
        <f>""</f>
        <v/>
      </c>
      <c r="I156" s="3" t="str">
        <f>""</f>
        <v/>
      </c>
      <c r="J156" s="3" t="str">
        <f>""</f>
        <v/>
      </c>
      <c r="K156" s="3" t="str">
        <f>""</f>
        <v/>
      </c>
      <c r="L156" s="3" t="str">
        <f>""</f>
        <v/>
      </c>
      <c r="M156" s="3" t="str">
        <f>""</f>
        <v/>
      </c>
      <c r="N156" s="3" t="str">
        <f>""</f>
        <v/>
      </c>
      <c r="O156" s="3" t="str">
        <f>""</f>
        <v/>
      </c>
      <c r="P156" s="4" t="str">
        <f>""</f>
        <v/>
      </c>
    </row>
    <row r="157" spans="1:16" x14ac:dyDescent="0.3">
      <c r="A157" s="1">
        <v>209</v>
      </c>
      <c r="B157" s="2" t="str">
        <f>"Dia 11 do mês subsequente"</f>
        <v>Dia 11 do mês subsequente</v>
      </c>
      <c r="C157" s="2" t="s">
        <v>4</v>
      </c>
      <c r="D157" s="2" t="str">
        <f>"Fora Mes"</f>
        <v>Fora Mes</v>
      </c>
      <c r="E157" s="3">
        <v>11</v>
      </c>
      <c r="F157" s="3" t="str">
        <f>""</f>
        <v/>
      </c>
      <c r="G157" s="3" t="str">
        <f>""</f>
        <v/>
      </c>
      <c r="H157" s="3" t="str">
        <f>""</f>
        <v/>
      </c>
      <c r="I157" s="3" t="str">
        <f>""</f>
        <v/>
      </c>
      <c r="J157" s="3" t="str">
        <f>""</f>
        <v/>
      </c>
      <c r="K157" s="3" t="str">
        <f>""</f>
        <v/>
      </c>
      <c r="L157" s="3" t="str">
        <f>""</f>
        <v/>
      </c>
      <c r="M157" s="3" t="str">
        <f>""</f>
        <v/>
      </c>
      <c r="N157" s="3" t="str">
        <f>""</f>
        <v/>
      </c>
      <c r="O157" s="3" t="str">
        <f>""</f>
        <v/>
      </c>
      <c r="P157" s="4" t="str">
        <f>""</f>
        <v/>
      </c>
    </row>
    <row r="158" spans="1:16" x14ac:dyDescent="0.3">
      <c r="A158" s="1">
        <v>210</v>
      </c>
      <c r="B158" s="2" t="str">
        <f>"Fixo dia 14 de cada mês"</f>
        <v>Fixo dia 14 de cada mês</v>
      </c>
      <c r="C158" s="2" t="s">
        <v>4</v>
      </c>
      <c r="D158" s="2" t="str">
        <f>"A Vista"</f>
        <v>A Vista</v>
      </c>
      <c r="E158" s="3" t="str">
        <f>""</f>
        <v/>
      </c>
      <c r="F158" s="3" t="str">
        <f>""</f>
        <v/>
      </c>
      <c r="G158" s="3" t="str">
        <f>""</f>
        <v/>
      </c>
      <c r="H158" s="3" t="str">
        <f>""</f>
        <v/>
      </c>
      <c r="I158" s="3" t="str">
        <f>""</f>
        <v/>
      </c>
      <c r="J158" s="3" t="str">
        <f>""</f>
        <v/>
      </c>
      <c r="K158" s="3" t="str">
        <f>""</f>
        <v/>
      </c>
      <c r="L158" s="3" t="str">
        <f>""</f>
        <v/>
      </c>
      <c r="M158" s="3" t="str">
        <f>""</f>
        <v/>
      </c>
      <c r="N158" s="3" t="str">
        <f>""</f>
        <v/>
      </c>
      <c r="O158" s="3" t="str">
        <f>""</f>
        <v/>
      </c>
      <c r="P158" s="4" t="str">
        <f>""</f>
        <v/>
      </c>
    </row>
    <row r="159" spans="1:16" x14ac:dyDescent="0.3">
      <c r="A159" s="1">
        <v>211</v>
      </c>
      <c r="B159" s="2" t="str">
        <f>"60 dias"</f>
        <v>60 dias</v>
      </c>
      <c r="C159" s="2" t="s">
        <v>4</v>
      </c>
      <c r="D159" s="2" t="str">
        <f>"Dias da Data"</f>
        <v>Dias da Data</v>
      </c>
      <c r="E159" s="3">
        <v>60</v>
      </c>
      <c r="F159" s="3" t="str">
        <f>""</f>
        <v/>
      </c>
      <c r="G159" s="3" t="str">
        <f>""</f>
        <v/>
      </c>
      <c r="H159" s="3" t="str">
        <f>""</f>
        <v/>
      </c>
      <c r="I159" s="3" t="str">
        <f>""</f>
        <v/>
      </c>
      <c r="J159" s="3" t="str">
        <f>""</f>
        <v/>
      </c>
      <c r="K159" s="3" t="str">
        <f>""</f>
        <v/>
      </c>
      <c r="L159" s="3" t="str">
        <f>""</f>
        <v/>
      </c>
      <c r="M159" s="3" t="str">
        <f>""</f>
        <v/>
      </c>
      <c r="N159" s="3" t="str">
        <f>""</f>
        <v/>
      </c>
      <c r="O159" s="3" t="str">
        <f>""</f>
        <v/>
      </c>
      <c r="P159" s="4" t="str">
        <f>""</f>
        <v/>
      </c>
    </row>
    <row r="160" spans="1:16" x14ac:dyDescent="0.3">
      <c r="A160" s="1">
        <v>212</v>
      </c>
      <c r="B160" s="2" t="str">
        <f>"18/42/60 Dias"</f>
        <v>18/42/60 Dias</v>
      </c>
      <c r="C160" s="2" t="s">
        <v>4</v>
      </c>
      <c r="D160" s="2" t="str">
        <f>"Dias da Data"</f>
        <v>Dias da Data</v>
      </c>
      <c r="E160" s="3">
        <v>18</v>
      </c>
      <c r="F160" s="3">
        <v>42</v>
      </c>
      <c r="G160" s="3">
        <v>60</v>
      </c>
      <c r="H160" s="3" t="str">
        <f>""</f>
        <v/>
      </c>
      <c r="I160" s="3" t="str">
        <f>""</f>
        <v/>
      </c>
      <c r="J160" s="3" t="str">
        <f>""</f>
        <v/>
      </c>
      <c r="K160" s="3" t="str">
        <f>""</f>
        <v/>
      </c>
      <c r="L160" s="3" t="str">
        <f>""</f>
        <v/>
      </c>
      <c r="M160" s="3" t="str">
        <f>""</f>
        <v/>
      </c>
      <c r="N160" s="3" t="str">
        <f>""</f>
        <v/>
      </c>
      <c r="O160" s="3" t="str">
        <f>""</f>
        <v/>
      </c>
      <c r="P160" s="4" t="str">
        <f>""</f>
        <v/>
      </c>
    </row>
    <row r="161" spans="1:16" x14ac:dyDescent="0.3">
      <c r="A161" s="1">
        <v>213</v>
      </c>
      <c r="B161" s="2" t="str">
        <f>"60 dias ARAUCO"</f>
        <v>60 dias ARAUCO</v>
      </c>
      <c r="C161" s="2" t="s">
        <v>4</v>
      </c>
      <c r="D161" s="2" t="str">
        <f>"Dias da Data"</f>
        <v>Dias da Data</v>
      </c>
      <c r="E161" s="3">
        <v>60</v>
      </c>
      <c r="F161" s="3" t="str">
        <f>""</f>
        <v/>
      </c>
      <c r="G161" s="3" t="str">
        <f>""</f>
        <v/>
      </c>
      <c r="H161" s="3" t="str">
        <f>""</f>
        <v/>
      </c>
      <c r="I161" s="3" t="str">
        <f>""</f>
        <v/>
      </c>
      <c r="J161" s="3" t="str">
        <f>""</f>
        <v/>
      </c>
      <c r="K161" s="3" t="str">
        <f>""</f>
        <v/>
      </c>
      <c r="L161" s="3" t="str">
        <f>""</f>
        <v/>
      </c>
      <c r="M161" s="3" t="str">
        <f>""</f>
        <v/>
      </c>
      <c r="N161" s="3" t="str">
        <f>""</f>
        <v/>
      </c>
      <c r="O161" s="3" t="str">
        <f>""</f>
        <v/>
      </c>
      <c r="P161" s="4" t="str">
        <f>""</f>
        <v/>
      </c>
    </row>
    <row r="162" spans="1:16" x14ac:dyDescent="0.3">
      <c r="A162" s="1">
        <v>214</v>
      </c>
      <c r="B162" s="2" t="str">
        <f>"90 DIAS ARAUCO"</f>
        <v>90 DIAS ARAUCO</v>
      </c>
      <c r="C162" s="2" t="s">
        <v>4</v>
      </c>
      <c r="D162" s="2" t="str">
        <f>"Dias da Data"</f>
        <v>Dias da Data</v>
      </c>
      <c r="E162" s="3">
        <v>90</v>
      </c>
      <c r="F162" s="3" t="str">
        <f>""</f>
        <v/>
      </c>
      <c r="G162" s="3" t="str">
        <f>""</f>
        <v/>
      </c>
      <c r="H162" s="3" t="str">
        <f>""</f>
        <v/>
      </c>
      <c r="I162" s="3" t="str">
        <f>""</f>
        <v/>
      </c>
      <c r="J162" s="3" t="str">
        <f>""</f>
        <v/>
      </c>
      <c r="K162" s="3" t="str">
        <f>""</f>
        <v/>
      </c>
      <c r="L162" s="3" t="str">
        <f>""</f>
        <v/>
      </c>
      <c r="M162" s="3" t="str">
        <f>""</f>
        <v/>
      </c>
      <c r="N162" s="3" t="str">
        <f>""</f>
        <v/>
      </c>
      <c r="O162" s="3" t="str">
        <f>""</f>
        <v/>
      </c>
      <c r="P162" s="4" t="str">
        <f>""</f>
        <v/>
      </c>
    </row>
    <row r="163" spans="1:16" x14ac:dyDescent="0.3">
      <c r="A163" s="1">
        <v>215</v>
      </c>
      <c r="B163" s="2" t="str">
        <f>"20/40 DIAS"</f>
        <v>20/40 DIAS</v>
      </c>
      <c r="C163" s="2" t="s">
        <v>4</v>
      </c>
      <c r="D163" s="2" t="str">
        <f>"Dias da Data"</f>
        <v>Dias da Data</v>
      </c>
      <c r="E163" s="3">
        <v>20</v>
      </c>
      <c r="F163" s="3">
        <v>40</v>
      </c>
      <c r="G163" s="3" t="str">
        <f>""</f>
        <v/>
      </c>
      <c r="H163" s="3" t="str">
        <f>""</f>
        <v/>
      </c>
      <c r="I163" s="3" t="str">
        <f>""</f>
        <v/>
      </c>
      <c r="J163" s="3" t="str">
        <f>""</f>
        <v/>
      </c>
      <c r="K163" s="3" t="str">
        <f>""</f>
        <v/>
      </c>
      <c r="L163" s="3" t="str">
        <f>""</f>
        <v/>
      </c>
      <c r="M163" s="3" t="str">
        <f>""</f>
        <v/>
      </c>
      <c r="N163" s="3" t="str">
        <f>""</f>
        <v/>
      </c>
      <c r="O163" s="3" t="str">
        <f>""</f>
        <v/>
      </c>
      <c r="P163" s="4" t="str">
        <f>""</f>
        <v/>
      </c>
    </row>
    <row r="164" spans="1:16" x14ac:dyDescent="0.3">
      <c r="A164" s="1">
        <v>216</v>
      </c>
      <c r="B164" s="2" t="str">
        <f>"Dia 20 do mês subsequente"</f>
        <v>Dia 20 do mês subsequente</v>
      </c>
      <c r="C164" s="2" t="s">
        <v>4</v>
      </c>
      <c r="D164" s="2" t="str">
        <f>"Fora Mes"</f>
        <v>Fora Mes</v>
      </c>
      <c r="E164" s="3">
        <v>19</v>
      </c>
      <c r="F164" s="3" t="str">
        <f>""</f>
        <v/>
      </c>
      <c r="G164" s="3" t="str">
        <f>""</f>
        <v/>
      </c>
      <c r="H164" s="3" t="str">
        <f>""</f>
        <v/>
      </c>
      <c r="I164" s="3" t="str">
        <f>""</f>
        <v/>
      </c>
      <c r="J164" s="3" t="str">
        <f>""</f>
        <v/>
      </c>
      <c r="K164" s="3" t="str">
        <f>""</f>
        <v/>
      </c>
      <c r="L164" s="3" t="str">
        <f>""</f>
        <v/>
      </c>
      <c r="M164" s="3" t="str">
        <f>""</f>
        <v/>
      </c>
      <c r="N164" s="3" t="str">
        <f>""</f>
        <v/>
      </c>
      <c r="O164" s="3" t="str">
        <f>""</f>
        <v/>
      </c>
      <c r="P164" s="4" t="str">
        <f>""</f>
        <v/>
      </c>
    </row>
    <row r="165" spans="1:16" x14ac:dyDescent="0.3">
      <c r="A165" s="1">
        <v>217</v>
      </c>
      <c r="B165" s="2" t="str">
        <f>"Dia 05 do mês subsequente"</f>
        <v>Dia 05 do mês subsequente</v>
      </c>
      <c r="C165" s="2" t="s">
        <v>4</v>
      </c>
      <c r="D165" s="2" t="str">
        <f>"Dias da Data"</f>
        <v>Dias da Data</v>
      </c>
      <c r="E165" s="3">
        <v>5</v>
      </c>
      <c r="F165" s="3" t="str">
        <f>""</f>
        <v/>
      </c>
      <c r="G165" s="3" t="str">
        <f>""</f>
        <v/>
      </c>
      <c r="H165" s="3" t="str">
        <f>""</f>
        <v/>
      </c>
      <c r="I165" s="3" t="str">
        <f>""</f>
        <v/>
      </c>
      <c r="J165" s="3" t="str">
        <f>""</f>
        <v/>
      </c>
      <c r="K165" s="3" t="str">
        <f>""</f>
        <v/>
      </c>
      <c r="L165" s="3" t="str">
        <f>""</f>
        <v/>
      </c>
      <c r="M165" s="3" t="str">
        <f>""</f>
        <v/>
      </c>
      <c r="N165" s="3" t="str">
        <f>""</f>
        <v/>
      </c>
      <c r="O165" s="3" t="str">
        <f>""</f>
        <v/>
      </c>
      <c r="P165" s="4" t="str">
        <f>""</f>
        <v/>
      </c>
    </row>
    <row r="166" spans="1:16" x14ac:dyDescent="0.3">
      <c r="A166" s="1">
        <v>218</v>
      </c>
      <c r="B166" s="2" t="str">
        <f>"30 DIAS PLACAS DO BRASIL"</f>
        <v>30 DIAS PLACAS DO BRASIL</v>
      </c>
      <c r="C166" s="2" t="s">
        <v>4</v>
      </c>
      <c r="D166" s="2" t="str">
        <f>"Dias da Data"</f>
        <v>Dias da Data</v>
      </c>
      <c r="E166" s="3">
        <v>30</v>
      </c>
      <c r="F166" s="3" t="str">
        <f>""</f>
        <v/>
      </c>
      <c r="G166" s="3" t="str">
        <f>""</f>
        <v/>
      </c>
      <c r="H166" s="3" t="str">
        <f>""</f>
        <v/>
      </c>
      <c r="I166" s="3" t="str">
        <f>""</f>
        <v/>
      </c>
      <c r="J166" s="3" t="str">
        <f>""</f>
        <v/>
      </c>
      <c r="K166" s="3" t="str">
        <f>""</f>
        <v/>
      </c>
      <c r="L166" s="3" t="str">
        <f>""</f>
        <v/>
      </c>
      <c r="M166" s="3" t="str">
        <f>""</f>
        <v/>
      </c>
      <c r="N166" s="3" t="str">
        <f>""</f>
        <v/>
      </c>
      <c r="O166" s="3" t="str">
        <f>""</f>
        <v/>
      </c>
      <c r="P166" s="4" t="str">
        <f>""</f>
        <v/>
      </c>
    </row>
    <row r="167" spans="1:16" x14ac:dyDescent="0.3">
      <c r="A167" s="1">
        <v>219</v>
      </c>
      <c r="B167" s="2" t="str">
        <f>"50/60/90 DIAS"</f>
        <v>50/60/90 DIAS</v>
      </c>
      <c r="C167" s="2" t="s">
        <v>4</v>
      </c>
      <c r="D167" s="2" t="str">
        <f>"Dias da Data"</f>
        <v>Dias da Data</v>
      </c>
      <c r="E167" s="3">
        <v>50</v>
      </c>
      <c r="F167" s="3">
        <v>60</v>
      </c>
      <c r="G167" s="3">
        <v>90</v>
      </c>
      <c r="H167" s="3" t="str">
        <f>""</f>
        <v/>
      </c>
      <c r="I167" s="3" t="str">
        <f>""</f>
        <v/>
      </c>
      <c r="J167" s="3" t="str">
        <f>""</f>
        <v/>
      </c>
      <c r="K167" s="3" t="str">
        <f>""</f>
        <v/>
      </c>
      <c r="L167" s="3" t="str">
        <f>""</f>
        <v/>
      </c>
      <c r="M167" s="3" t="str">
        <f>""</f>
        <v/>
      </c>
      <c r="N167" s="3" t="str">
        <f>""</f>
        <v/>
      </c>
      <c r="O167" s="3" t="str">
        <f>""</f>
        <v/>
      </c>
      <c r="P167" s="4" t="str">
        <f>""</f>
        <v/>
      </c>
    </row>
    <row r="168" spans="1:16" x14ac:dyDescent="0.3">
      <c r="A168" s="1">
        <v>220</v>
      </c>
      <c r="B168" s="2" t="str">
        <f>"70/90 DIAS"</f>
        <v>70/90 DIAS</v>
      </c>
      <c r="C168" s="2" t="s">
        <v>4</v>
      </c>
      <c r="D168" s="2" t="str">
        <f>"Dias da Data"</f>
        <v>Dias da Data</v>
      </c>
      <c r="E168" s="3">
        <v>70</v>
      </c>
      <c r="F168" s="3">
        <v>90</v>
      </c>
      <c r="G168" s="3" t="str">
        <f>""</f>
        <v/>
      </c>
      <c r="H168" s="3" t="str">
        <f>""</f>
        <v/>
      </c>
      <c r="I168" s="3" t="str">
        <f>""</f>
        <v/>
      </c>
      <c r="J168" s="3" t="str">
        <f>""</f>
        <v/>
      </c>
      <c r="K168" s="3" t="str">
        <f>""</f>
        <v/>
      </c>
      <c r="L168" s="3" t="str">
        <f>""</f>
        <v/>
      </c>
      <c r="M168" s="3" t="str">
        <f>""</f>
        <v/>
      </c>
      <c r="N168" s="3" t="str">
        <f>""</f>
        <v/>
      </c>
      <c r="O168" s="3" t="str">
        <f>""</f>
        <v/>
      </c>
      <c r="P168" s="4" t="str">
        <f>""</f>
        <v/>
      </c>
    </row>
    <row r="169" spans="1:16" x14ac:dyDescent="0.3">
      <c r="A169" s="1">
        <v>221</v>
      </c>
      <c r="B169" s="2" t="str">
        <f>"Fixo dia 16 de cada mês"</f>
        <v>Fixo dia 16 de cada mês</v>
      </c>
      <c r="C169" s="2" t="s">
        <v>4</v>
      </c>
      <c r="D169" s="2" t="str">
        <f>"A Vista"</f>
        <v>A Vista</v>
      </c>
      <c r="E169" s="3" t="str">
        <f>""</f>
        <v/>
      </c>
      <c r="F169" s="3" t="str">
        <f>""</f>
        <v/>
      </c>
      <c r="G169" s="3" t="str">
        <f>""</f>
        <v/>
      </c>
      <c r="H169" s="3" t="str">
        <f>""</f>
        <v/>
      </c>
      <c r="I169" s="3" t="str">
        <f>""</f>
        <v/>
      </c>
      <c r="J169" s="3" t="str">
        <f>""</f>
        <v/>
      </c>
      <c r="K169" s="3" t="str">
        <f>""</f>
        <v/>
      </c>
      <c r="L169" s="3" t="str">
        <f>""</f>
        <v/>
      </c>
      <c r="M169" s="3" t="str">
        <f>""</f>
        <v/>
      </c>
      <c r="N169" s="3" t="str">
        <f>""</f>
        <v/>
      </c>
      <c r="O169" s="3" t="str">
        <f>""</f>
        <v/>
      </c>
      <c r="P169" s="4" t="str">
        <f>""</f>
        <v/>
      </c>
    </row>
    <row r="170" spans="1:16" x14ac:dyDescent="0.3">
      <c r="A170" s="1">
        <v>222</v>
      </c>
      <c r="B170" s="2" t="str">
        <f>"15DFB-15 fora bimestre"</f>
        <v>15DFB-15 fora bimestre</v>
      </c>
      <c r="C170" s="2" t="s">
        <v>4</v>
      </c>
      <c r="D170" s="2" t="str">
        <f>"Fora Mes"</f>
        <v>Fora Mes</v>
      </c>
      <c r="E170" s="3">
        <v>60</v>
      </c>
      <c r="F170" s="3" t="str">
        <f>""</f>
        <v/>
      </c>
      <c r="G170" s="3" t="str">
        <f>""</f>
        <v/>
      </c>
      <c r="H170" s="3" t="str">
        <f>""</f>
        <v/>
      </c>
      <c r="I170" s="3" t="str">
        <f>""</f>
        <v/>
      </c>
      <c r="J170" s="3" t="str">
        <f>""</f>
        <v/>
      </c>
      <c r="K170" s="3" t="str">
        <f>""</f>
        <v/>
      </c>
      <c r="L170" s="3" t="str">
        <f>""</f>
        <v/>
      </c>
      <c r="M170" s="3" t="str">
        <f>""</f>
        <v/>
      </c>
      <c r="N170" s="3" t="str">
        <f>""</f>
        <v/>
      </c>
      <c r="O170" s="3" t="str">
        <f>""</f>
        <v/>
      </c>
      <c r="P170" s="4" t="str">
        <f>""</f>
        <v/>
      </c>
    </row>
    <row r="171" spans="1:16" x14ac:dyDescent="0.3">
      <c r="A171" s="1">
        <v>223</v>
      </c>
      <c r="B171" s="2" t="str">
        <f>"15DFT-15 fora trimestre"</f>
        <v>15DFT-15 fora trimestre</v>
      </c>
      <c r="C171" s="2" t="s">
        <v>4</v>
      </c>
      <c r="D171" s="2" t="str">
        <f>"Fora Mes"</f>
        <v>Fora Mes</v>
      </c>
      <c r="E171" s="3">
        <v>90</v>
      </c>
      <c r="F171" s="3" t="str">
        <f>""</f>
        <v/>
      </c>
      <c r="G171" s="3" t="str">
        <f>""</f>
        <v/>
      </c>
      <c r="H171" s="3" t="str">
        <f>""</f>
        <v/>
      </c>
      <c r="I171" s="3" t="str">
        <f>""</f>
        <v/>
      </c>
      <c r="J171" s="3" t="str">
        <f>""</f>
        <v/>
      </c>
      <c r="K171" s="3" t="str">
        <f>""</f>
        <v/>
      </c>
      <c r="L171" s="3" t="str">
        <f>""</f>
        <v/>
      </c>
      <c r="M171" s="3" t="str">
        <f>""</f>
        <v/>
      </c>
      <c r="N171" s="3" t="str">
        <f>""</f>
        <v/>
      </c>
      <c r="O171" s="3" t="str">
        <f>""</f>
        <v/>
      </c>
      <c r="P171" s="4" t="str">
        <f>""</f>
        <v/>
      </c>
    </row>
    <row r="172" spans="1:16" x14ac:dyDescent="0.3">
      <c r="A172" s="1">
        <v>301</v>
      </c>
      <c r="B172" s="2" t="str">
        <f>"QUINZENAL VENC DIAS 25 E 10"</f>
        <v>QUINZENAL VENC DIAS 25 E 10</v>
      </c>
      <c r="C172" s="2" t="s">
        <v>4</v>
      </c>
      <c r="D172" s="2" t="str">
        <f>"Fora Quinzena"</f>
        <v>Fora Quinzena</v>
      </c>
      <c r="E172" s="3">
        <v>9</v>
      </c>
      <c r="F172" s="3" t="str">
        <f>""</f>
        <v/>
      </c>
      <c r="G172" s="3" t="str">
        <f>""</f>
        <v/>
      </c>
      <c r="H172" s="3" t="str">
        <f>""</f>
        <v/>
      </c>
      <c r="I172" s="3" t="str">
        <f>""</f>
        <v/>
      </c>
      <c r="J172" s="3" t="str">
        <f>""</f>
        <v/>
      </c>
      <c r="K172" s="3" t="str">
        <f>""</f>
        <v/>
      </c>
      <c r="L172" s="3" t="str">
        <f>""</f>
        <v/>
      </c>
      <c r="M172" s="3" t="str">
        <f>""</f>
        <v/>
      </c>
      <c r="N172" s="3" t="str">
        <f>""</f>
        <v/>
      </c>
      <c r="O172" s="3" t="str">
        <f>""</f>
        <v/>
      </c>
      <c r="P172" s="4" t="str">
        <f>""</f>
        <v/>
      </c>
    </row>
    <row r="173" spans="1:16" x14ac:dyDescent="0.3">
      <c r="A173" s="1">
        <v>998</v>
      </c>
      <c r="B173" s="2" t="str">
        <f>"Amostra gratis"</f>
        <v>Amostra gratis</v>
      </c>
      <c r="C173" s="2" t="s">
        <v>4</v>
      </c>
      <c r="D173" s="2" t="str">
        <f>"Dias da Data"</f>
        <v>Dias da Data</v>
      </c>
      <c r="E173" s="3" t="str">
        <f>""</f>
        <v/>
      </c>
      <c r="F173" s="3" t="str">
        <f>""</f>
        <v/>
      </c>
      <c r="G173" s="3" t="str">
        <f>""</f>
        <v/>
      </c>
      <c r="H173" s="3" t="str">
        <f>""</f>
        <v/>
      </c>
      <c r="I173" s="3" t="str">
        <f>""</f>
        <v/>
      </c>
      <c r="J173" s="3" t="str">
        <f>""</f>
        <v/>
      </c>
      <c r="K173" s="3" t="str">
        <f>""</f>
        <v/>
      </c>
      <c r="L173" s="3" t="str">
        <f>""</f>
        <v/>
      </c>
      <c r="M173" s="3" t="str">
        <f>""</f>
        <v/>
      </c>
      <c r="N173" s="3" t="str">
        <f>""</f>
        <v/>
      </c>
      <c r="O173" s="3" t="str">
        <f>""</f>
        <v/>
      </c>
      <c r="P173" s="4" t="str">
        <f>""</f>
        <v/>
      </c>
    </row>
    <row r="174" spans="1:16" ht="15" thickBot="1" x14ac:dyDescent="0.35">
      <c r="A174" s="5">
        <v>999</v>
      </c>
      <c r="B174" s="6" t="str">
        <f>"INTEGRAÇÃO"</f>
        <v>INTEGRAÇÃO</v>
      </c>
      <c r="C174" s="6" t="s">
        <v>4</v>
      </c>
      <c r="D174" s="6" t="str">
        <f>"Dias da Data"</f>
        <v>Dias da Data</v>
      </c>
      <c r="E174" s="7" t="str">
        <f>""</f>
        <v/>
      </c>
      <c r="F174" s="7" t="str">
        <f>""</f>
        <v/>
      </c>
      <c r="G174" s="7" t="str">
        <f>""</f>
        <v/>
      </c>
      <c r="H174" s="7" t="str">
        <f>""</f>
        <v/>
      </c>
      <c r="I174" s="7" t="str">
        <f>""</f>
        <v/>
      </c>
      <c r="J174" s="7" t="str">
        <f>""</f>
        <v/>
      </c>
      <c r="K174" s="7" t="str">
        <f>""</f>
        <v/>
      </c>
      <c r="L174" s="7" t="str">
        <f>""</f>
        <v/>
      </c>
      <c r="M174" s="7" t="str">
        <f>""</f>
        <v/>
      </c>
      <c r="N174" s="7" t="str">
        <f>""</f>
        <v/>
      </c>
      <c r="O174" s="7" t="str">
        <f>""</f>
        <v/>
      </c>
      <c r="P174" s="8" t="str">
        <f>""</f>
        <v/>
      </c>
    </row>
    <row r="175" spans="1:16" x14ac:dyDescent="0.3">
      <c r="A175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6FB61C-E648-4923-B160-68BCE7E61ED2}"/>
</file>

<file path=customXml/itemProps2.xml><?xml version="1.0" encoding="utf-8"?>
<ds:datastoreItem xmlns:ds="http://schemas.openxmlformats.org/officeDocument/2006/customXml" ds:itemID="{C5B02395-D508-4D4F-AF64-C8A12F54D2F6}"/>
</file>

<file path=customXml/itemProps3.xml><?xml version="1.0" encoding="utf-8"?>
<ds:datastoreItem xmlns:ds="http://schemas.openxmlformats.org/officeDocument/2006/customXml" ds:itemID="{8C4D5663-E3CA-4C26-A47B-0AAA7379A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2025-01-16T11:57:50Z</dcterms:created>
  <dcterms:modified xsi:type="dcterms:W3CDTF">2025-01-16T11:58:11Z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