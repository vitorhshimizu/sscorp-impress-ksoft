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13_ncr:1_{66845F93-F9C7-4C72-B63D-FA5EF84791AC}" xr6:coauthVersionLast="47" xr6:coauthVersionMax="47" xr10:uidLastSave="{00000000-0000-0000-0000-000000000000}"/>
  <bookViews>
    <workbookView xWindow="-108" yWindow="-108" windowWidth="23256" windowHeight="14016" xr2:uid="{9CDD659A-EC00-49A1-9054-70CD2F6F90DE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B3" i="1"/>
  <c r="C3" i="1"/>
  <c r="D3" i="1"/>
  <c r="E3" i="1"/>
  <c r="B4" i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B19" i="1"/>
  <c r="C19" i="1"/>
  <c r="D19" i="1"/>
  <c r="E19" i="1"/>
  <c r="B20" i="1"/>
  <c r="C20" i="1"/>
  <c r="D20" i="1"/>
  <c r="E20" i="1"/>
  <c r="B21" i="1"/>
  <c r="C21" i="1"/>
  <c r="D21" i="1"/>
  <c r="E21" i="1"/>
  <c r="B22" i="1"/>
  <c r="C22" i="1"/>
  <c r="D22" i="1"/>
  <c r="E22" i="1"/>
  <c r="B23" i="1"/>
  <c r="C23" i="1"/>
  <c r="D23" i="1"/>
  <c r="E23" i="1"/>
  <c r="B24" i="1"/>
  <c r="C24" i="1"/>
  <c r="D24" i="1"/>
  <c r="E24" i="1"/>
  <c r="B25" i="1"/>
  <c r="C25" i="1"/>
  <c r="D25" i="1"/>
  <c r="E25" i="1"/>
  <c r="B26" i="1"/>
  <c r="C26" i="1"/>
  <c r="D26" i="1"/>
  <c r="E26" i="1"/>
  <c r="B27" i="1"/>
  <c r="C27" i="1"/>
  <c r="D27" i="1"/>
  <c r="E27" i="1"/>
  <c r="B28" i="1"/>
  <c r="C28" i="1"/>
  <c r="D28" i="1"/>
  <c r="E28" i="1"/>
  <c r="B29" i="1"/>
  <c r="C29" i="1"/>
  <c r="D29" i="1"/>
  <c r="E29" i="1"/>
  <c r="B30" i="1"/>
  <c r="C30" i="1"/>
  <c r="D30" i="1"/>
  <c r="E30" i="1"/>
  <c r="B31" i="1"/>
  <c r="C31" i="1"/>
  <c r="D31" i="1"/>
  <c r="E31" i="1"/>
  <c r="B32" i="1"/>
  <c r="C32" i="1"/>
  <c r="D32" i="1"/>
  <c r="E32" i="1"/>
  <c r="B33" i="1"/>
  <c r="C33" i="1"/>
  <c r="D33" i="1"/>
  <c r="E33" i="1"/>
  <c r="B34" i="1"/>
  <c r="C34" i="1"/>
  <c r="D34" i="1"/>
  <c r="E34" i="1"/>
  <c r="B35" i="1"/>
  <c r="C35" i="1"/>
  <c r="D35" i="1"/>
  <c r="E35" i="1"/>
  <c r="B36" i="1"/>
  <c r="C36" i="1"/>
  <c r="D36" i="1"/>
  <c r="E36" i="1"/>
  <c r="B37" i="1"/>
  <c r="C37" i="1"/>
  <c r="D37" i="1"/>
  <c r="E37" i="1"/>
  <c r="B38" i="1"/>
  <c r="C38" i="1"/>
  <c r="D38" i="1"/>
  <c r="E38" i="1"/>
  <c r="B39" i="1"/>
  <c r="C39" i="1"/>
  <c r="D39" i="1"/>
  <c r="E39" i="1"/>
  <c r="B40" i="1"/>
  <c r="C40" i="1"/>
  <c r="D40" i="1"/>
  <c r="E40" i="1"/>
  <c r="B41" i="1"/>
  <c r="C41" i="1"/>
  <c r="D41" i="1"/>
  <c r="E41" i="1"/>
  <c r="B42" i="1"/>
  <c r="C42" i="1"/>
  <c r="D42" i="1"/>
  <c r="E42" i="1"/>
  <c r="B43" i="1"/>
  <c r="C43" i="1"/>
  <c r="D43" i="1"/>
  <c r="E43" i="1"/>
  <c r="B44" i="1"/>
  <c r="C44" i="1"/>
  <c r="D44" i="1"/>
  <c r="E44" i="1"/>
  <c r="B45" i="1"/>
  <c r="C45" i="1"/>
  <c r="D45" i="1"/>
  <c r="E45" i="1"/>
  <c r="B46" i="1"/>
  <c r="C46" i="1"/>
  <c r="D46" i="1"/>
  <c r="E46" i="1"/>
  <c r="B47" i="1"/>
  <c r="C47" i="1"/>
  <c r="D47" i="1"/>
  <c r="E47" i="1"/>
  <c r="B48" i="1"/>
  <c r="C48" i="1"/>
  <c r="D48" i="1"/>
  <c r="E48" i="1"/>
  <c r="B49" i="1"/>
  <c r="C49" i="1"/>
  <c r="D49" i="1"/>
  <c r="E49" i="1"/>
  <c r="B50" i="1"/>
  <c r="C50" i="1"/>
  <c r="D50" i="1"/>
  <c r="E50" i="1"/>
  <c r="B51" i="1"/>
  <c r="C51" i="1"/>
  <c r="D51" i="1"/>
  <c r="E51" i="1"/>
  <c r="B52" i="1"/>
  <c r="C52" i="1"/>
  <c r="D52" i="1"/>
  <c r="E52" i="1"/>
  <c r="B53" i="1"/>
  <c r="C53" i="1"/>
  <c r="D53" i="1"/>
  <c r="E53" i="1"/>
  <c r="B54" i="1"/>
  <c r="C54" i="1"/>
  <c r="D54" i="1"/>
  <c r="E54" i="1"/>
  <c r="B55" i="1"/>
  <c r="C55" i="1"/>
  <c r="D55" i="1"/>
  <c r="E55" i="1"/>
  <c r="B56" i="1"/>
  <c r="C56" i="1"/>
  <c r="D56" i="1"/>
  <c r="E56" i="1"/>
  <c r="B57" i="1"/>
  <c r="C57" i="1"/>
  <c r="D57" i="1"/>
  <c r="E57" i="1"/>
  <c r="B58" i="1"/>
  <c r="C58" i="1"/>
  <c r="D58" i="1"/>
  <c r="E58" i="1"/>
  <c r="B59" i="1"/>
  <c r="C59" i="1"/>
  <c r="D59" i="1"/>
  <c r="E59" i="1"/>
  <c r="B60" i="1"/>
  <c r="C60" i="1"/>
  <c r="D60" i="1"/>
  <c r="E60" i="1"/>
  <c r="B61" i="1"/>
  <c r="C61" i="1"/>
  <c r="D61" i="1"/>
  <c r="E61" i="1"/>
  <c r="B62" i="1"/>
  <c r="C62" i="1"/>
  <c r="D62" i="1"/>
  <c r="E62" i="1"/>
  <c r="B63" i="1"/>
  <c r="C63" i="1"/>
  <c r="D63" i="1"/>
  <c r="E63" i="1"/>
  <c r="B64" i="1"/>
  <c r="C64" i="1"/>
  <c r="D64" i="1"/>
  <c r="E64" i="1"/>
  <c r="B65" i="1"/>
  <c r="C65" i="1"/>
  <c r="D65" i="1"/>
  <c r="E65" i="1"/>
  <c r="B66" i="1"/>
  <c r="C66" i="1"/>
  <c r="D66" i="1"/>
  <c r="E66" i="1"/>
  <c r="B67" i="1"/>
  <c r="C67" i="1"/>
  <c r="D67" i="1"/>
  <c r="E67" i="1"/>
  <c r="B68" i="1"/>
  <c r="C68" i="1"/>
  <c r="D68" i="1"/>
  <c r="E68" i="1"/>
  <c r="B69" i="1"/>
  <c r="C69" i="1"/>
  <c r="D69" i="1"/>
  <c r="E69" i="1"/>
  <c r="B70" i="1"/>
  <c r="C70" i="1"/>
  <c r="D70" i="1"/>
  <c r="E70" i="1"/>
  <c r="B71" i="1"/>
  <c r="C71" i="1"/>
  <c r="D71" i="1"/>
  <c r="E71" i="1"/>
  <c r="B72" i="1"/>
  <c r="C72" i="1"/>
  <c r="D72" i="1"/>
  <c r="E72" i="1"/>
  <c r="B73" i="1"/>
  <c r="C73" i="1"/>
  <c r="D73" i="1"/>
  <c r="E73" i="1"/>
  <c r="B74" i="1"/>
  <c r="C74" i="1"/>
  <c r="D74" i="1"/>
  <c r="E74" i="1"/>
  <c r="B75" i="1"/>
  <c r="C75" i="1"/>
  <c r="D75" i="1"/>
  <c r="E75" i="1"/>
  <c r="B76" i="1"/>
  <c r="C76" i="1"/>
  <c r="D76" i="1"/>
  <c r="E76" i="1"/>
  <c r="B77" i="1"/>
  <c r="C77" i="1"/>
  <c r="D77" i="1"/>
  <c r="E77" i="1"/>
  <c r="B78" i="1"/>
  <c r="C78" i="1"/>
  <c r="D78" i="1"/>
  <c r="E78" i="1"/>
  <c r="B79" i="1"/>
  <c r="C79" i="1"/>
  <c r="D79" i="1"/>
  <c r="E79" i="1"/>
  <c r="B80" i="1"/>
  <c r="C80" i="1"/>
  <c r="D80" i="1"/>
  <c r="E80" i="1"/>
  <c r="B81" i="1"/>
  <c r="C81" i="1"/>
  <c r="D81" i="1"/>
  <c r="E81" i="1"/>
  <c r="B82" i="1"/>
  <c r="C82" i="1"/>
  <c r="D82" i="1"/>
  <c r="E82" i="1"/>
  <c r="B83" i="1"/>
  <c r="C83" i="1"/>
  <c r="D83" i="1"/>
  <c r="E83" i="1"/>
  <c r="B84" i="1"/>
  <c r="C84" i="1"/>
  <c r="D84" i="1"/>
  <c r="E84" i="1"/>
  <c r="B85" i="1"/>
  <c r="C85" i="1"/>
  <c r="D85" i="1"/>
  <c r="E85" i="1"/>
  <c r="B86" i="1"/>
  <c r="C86" i="1"/>
  <c r="D86" i="1"/>
  <c r="E86" i="1"/>
  <c r="B87" i="1"/>
  <c r="C87" i="1"/>
  <c r="D87" i="1"/>
  <c r="E87" i="1"/>
  <c r="B88" i="1"/>
  <c r="C88" i="1"/>
  <c r="D88" i="1"/>
  <c r="E88" i="1"/>
  <c r="B89" i="1"/>
  <c r="C89" i="1"/>
  <c r="D89" i="1"/>
  <c r="E89" i="1"/>
  <c r="B90" i="1"/>
  <c r="C90" i="1"/>
  <c r="D90" i="1"/>
  <c r="E90" i="1"/>
  <c r="B91" i="1"/>
  <c r="C91" i="1"/>
  <c r="D91" i="1"/>
  <c r="E91" i="1"/>
  <c r="B92" i="1"/>
  <c r="C92" i="1"/>
  <c r="D92" i="1"/>
  <c r="E92" i="1"/>
  <c r="B93" i="1"/>
  <c r="C93" i="1"/>
  <c r="D93" i="1"/>
  <c r="E93" i="1"/>
  <c r="B94" i="1"/>
  <c r="C94" i="1"/>
  <c r="D94" i="1"/>
  <c r="E94" i="1"/>
  <c r="B95" i="1"/>
  <c r="C95" i="1"/>
  <c r="D95" i="1"/>
  <c r="E95" i="1"/>
  <c r="B96" i="1"/>
  <c r="C96" i="1"/>
  <c r="D96" i="1"/>
  <c r="E96" i="1"/>
  <c r="B97" i="1"/>
  <c r="C97" i="1"/>
  <c r="D97" i="1"/>
  <c r="E97" i="1"/>
  <c r="B98" i="1"/>
  <c r="C98" i="1"/>
  <c r="D98" i="1"/>
  <c r="E98" i="1"/>
  <c r="B99" i="1"/>
  <c r="C99" i="1"/>
  <c r="D99" i="1"/>
  <c r="E99" i="1"/>
  <c r="B100" i="1"/>
  <c r="C100" i="1"/>
  <c r="D100" i="1"/>
  <c r="E100" i="1"/>
  <c r="B101" i="1"/>
  <c r="C101" i="1"/>
  <c r="D101" i="1"/>
  <c r="E101" i="1"/>
  <c r="B102" i="1"/>
  <c r="C102" i="1"/>
  <c r="D102" i="1"/>
  <c r="E102" i="1"/>
  <c r="B103" i="1"/>
  <c r="C103" i="1"/>
  <c r="D103" i="1"/>
  <c r="E103" i="1"/>
  <c r="B104" i="1"/>
  <c r="C104" i="1"/>
  <c r="D104" i="1"/>
  <c r="E104" i="1"/>
  <c r="B105" i="1"/>
  <c r="C105" i="1"/>
  <c r="D105" i="1"/>
  <c r="E105" i="1"/>
  <c r="B106" i="1"/>
  <c r="C106" i="1"/>
  <c r="D106" i="1"/>
  <c r="E106" i="1"/>
  <c r="B107" i="1"/>
  <c r="C107" i="1"/>
  <c r="D107" i="1"/>
  <c r="E107" i="1"/>
  <c r="B108" i="1"/>
  <c r="C108" i="1"/>
  <c r="D108" i="1"/>
  <c r="E108" i="1"/>
  <c r="B109" i="1"/>
  <c r="C109" i="1"/>
  <c r="D109" i="1"/>
  <c r="E109" i="1"/>
  <c r="B110" i="1"/>
  <c r="C110" i="1"/>
  <c r="D110" i="1"/>
  <c r="E110" i="1"/>
  <c r="B111" i="1"/>
  <c r="C111" i="1"/>
  <c r="D111" i="1"/>
  <c r="E111" i="1"/>
  <c r="B112" i="1"/>
  <c r="C112" i="1"/>
  <c r="D112" i="1"/>
  <c r="E112" i="1"/>
  <c r="B113" i="1"/>
  <c r="C113" i="1"/>
  <c r="D113" i="1"/>
  <c r="E113" i="1"/>
  <c r="B114" i="1"/>
  <c r="C114" i="1"/>
  <c r="D114" i="1"/>
  <c r="E114" i="1"/>
  <c r="B115" i="1"/>
  <c r="C115" i="1"/>
  <c r="D115" i="1"/>
  <c r="E115" i="1"/>
  <c r="B116" i="1"/>
  <c r="C116" i="1"/>
  <c r="D116" i="1"/>
  <c r="E116" i="1"/>
  <c r="B117" i="1"/>
  <c r="C117" i="1"/>
  <c r="D117" i="1"/>
  <c r="E117" i="1"/>
  <c r="B118" i="1"/>
  <c r="C118" i="1"/>
  <c r="D118" i="1"/>
  <c r="E118" i="1"/>
  <c r="B119" i="1"/>
  <c r="C119" i="1"/>
  <c r="D119" i="1"/>
  <c r="E119" i="1"/>
  <c r="B120" i="1"/>
  <c r="C120" i="1"/>
  <c r="D120" i="1"/>
  <c r="E120" i="1"/>
  <c r="B121" i="1"/>
  <c r="C121" i="1"/>
  <c r="D121" i="1"/>
  <c r="E121" i="1"/>
  <c r="B122" i="1"/>
  <c r="C122" i="1"/>
  <c r="D122" i="1"/>
  <c r="E122" i="1"/>
  <c r="B123" i="1"/>
  <c r="C123" i="1"/>
  <c r="D123" i="1"/>
  <c r="E123" i="1"/>
  <c r="B124" i="1"/>
  <c r="C124" i="1"/>
  <c r="D124" i="1"/>
  <c r="E124" i="1"/>
  <c r="B125" i="1"/>
  <c r="C125" i="1"/>
  <c r="D125" i="1"/>
  <c r="E125" i="1"/>
  <c r="B126" i="1"/>
  <c r="C126" i="1"/>
  <c r="D126" i="1"/>
  <c r="E126" i="1"/>
  <c r="B127" i="1"/>
  <c r="C127" i="1"/>
  <c r="D127" i="1"/>
  <c r="E127" i="1"/>
  <c r="B128" i="1"/>
  <c r="C128" i="1"/>
  <c r="D128" i="1"/>
  <c r="E128" i="1"/>
  <c r="B129" i="1"/>
  <c r="C129" i="1"/>
  <c r="D129" i="1"/>
  <c r="E129" i="1"/>
  <c r="B130" i="1"/>
  <c r="C130" i="1"/>
  <c r="D130" i="1"/>
  <c r="E130" i="1"/>
  <c r="B131" i="1"/>
  <c r="C131" i="1"/>
  <c r="D131" i="1"/>
  <c r="E131" i="1"/>
  <c r="B132" i="1"/>
  <c r="C132" i="1"/>
  <c r="D132" i="1"/>
  <c r="E132" i="1"/>
  <c r="B133" i="1"/>
  <c r="C133" i="1"/>
  <c r="D133" i="1"/>
  <c r="E133" i="1"/>
  <c r="B134" i="1"/>
  <c r="C134" i="1"/>
  <c r="D134" i="1"/>
  <c r="E134" i="1"/>
  <c r="B135" i="1"/>
  <c r="C135" i="1"/>
  <c r="D135" i="1"/>
  <c r="E135" i="1"/>
  <c r="B136" i="1"/>
  <c r="C136" i="1"/>
  <c r="D136" i="1"/>
  <c r="E136" i="1"/>
  <c r="B137" i="1"/>
  <c r="C137" i="1"/>
  <c r="D137" i="1"/>
  <c r="E137" i="1"/>
  <c r="B138" i="1"/>
  <c r="C138" i="1"/>
  <c r="D138" i="1"/>
  <c r="E138" i="1"/>
  <c r="B139" i="1"/>
  <c r="C139" i="1"/>
  <c r="D139" i="1"/>
  <c r="E139" i="1"/>
  <c r="B140" i="1"/>
  <c r="C140" i="1"/>
  <c r="D140" i="1"/>
  <c r="E140" i="1"/>
  <c r="B141" i="1"/>
  <c r="C141" i="1"/>
  <c r="D141" i="1"/>
  <c r="E141" i="1"/>
  <c r="B142" i="1"/>
  <c r="C142" i="1"/>
  <c r="D142" i="1"/>
  <c r="E142" i="1"/>
  <c r="B143" i="1"/>
  <c r="C143" i="1"/>
  <c r="D143" i="1"/>
  <c r="E143" i="1"/>
  <c r="B144" i="1"/>
  <c r="C144" i="1"/>
  <c r="D144" i="1"/>
  <c r="E144" i="1"/>
  <c r="B145" i="1"/>
  <c r="C145" i="1"/>
  <c r="D145" i="1"/>
  <c r="E145" i="1"/>
  <c r="B146" i="1"/>
  <c r="C146" i="1"/>
  <c r="D146" i="1"/>
  <c r="E146" i="1"/>
  <c r="B147" i="1"/>
  <c r="C147" i="1"/>
  <c r="D147" i="1"/>
  <c r="E147" i="1"/>
  <c r="B148" i="1"/>
  <c r="C148" i="1"/>
  <c r="D148" i="1"/>
  <c r="E148" i="1"/>
  <c r="B149" i="1"/>
  <c r="C149" i="1"/>
  <c r="D149" i="1"/>
  <c r="E149" i="1"/>
  <c r="B150" i="1"/>
  <c r="C150" i="1"/>
  <c r="D150" i="1"/>
  <c r="E150" i="1"/>
  <c r="B151" i="1"/>
  <c r="C151" i="1"/>
  <c r="D151" i="1"/>
  <c r="E151" i="1"/>
  <c r="B152" i="1"/>
  <c r="C152" i="1"/>
  <c r="D152" i="1"/>
  <c r="E152" i="1"/>
  <c r="B153" i="1"/>
  <c r="C153" i="1"/>
  <c r="D153" i="1"/>
  <c r="E153" i="1"/>
  <c r="B154" i="1"/>
  <c r="C154" i="1"/>
  <c r="D154" i="1"/>
  <c r="E154" i="1"/>
  <c r="B155" i="1"/>
  <c r="C155" i="1"/>
  <c r="D155" i="1"/>
  <c r="E155" i="1"/>
  <c r="B156" i="1"/>
  <c r="C156" i="1"/>
  <c r="D156" i="1"/>
  <c r="E156" i="1"/>
  <c r="B157" i="1"/>
  <c r="C157" i="1"/>
  <c r="D157" i="1"/>
  <c r="E157" i="1"/>
  <c r="B158" i="1"/>
  <c r="C158" i="1"/>
  <c r="D158" i="1"/>
  <c r="E158" i="1"/>
  <c r="B159" i="1"/>
  <c r="C159" i="1"/>
  <c r="D159" i="1"/>
  <c r="E159" i="1"/>
  <c r="B160" i="1"/>
  <c r="C160" i="1"/>
  <c r="D160" i="1"/>
  <c r="E160" i="1"/>
  <c r="B161" i="1"/>
  <c r="C161" i="1"/>
  <c r="D161" i="1"/>
  <c r="E161" i="1"/>
  <c r="B162" i="1"/>
  <c r="C162" i="1"/>
  <c r="D162" i="1"/>
  <c r="E162" i="1"/>
  <c r="B163" i="1"/>
  <c r="C163" i="1"/>
  <c r="D163" i="1"/>
  <c r="E163" i="1"/>
  <c r="B164" i="1"/>
  <c r="C164" i="1"/>
  <c r="D164" i="1"/>
  <c r="E164" i="1"/>
  <c r="B165" i="1"/>
  <c r="C165" i="1"/>
  <c r="D165" i="1"/>
  <c r="E165" i="1"/>
  <c r="B166" i="1"/>
  <c r="C166" i="1"/>
  <c r="D166" i="1"/>
  <c r="E166" i="1"/>
  <c r="B167" i="1"/>
  <c r="C167" i="1"/>
  <c r="D167" i="1"/>
  <c r="E167" i="1"/>
  <c r="B168" i="1"/>
  <c r="C168" i="1"/>
  <c r="D168" i="1"/>
  <c r="E168" i="1"/>
  <c r="B169" i="1"/>
  <c r="C169" i="1"/>
  <c r="D169" i="1"/>
  <c r="E169" i="1"/>
  <c r="B170" i="1"/>
  <c r="C170" i="1"/>
  <c r="D170" i="1"/>
  <c r="E170" i="1"/>
  <c r="B171" i="1"/>
  <c r="C171" i="1"/>
  <c r="D171" i="1"/>
  <c r="E171" i="1"/>
  <c r="B172" i="1"/>
  <c r="C172" i="1"/>
  <c r="D172" i="1"/>
  <c r="E172" i="1"/>
  <c r="B173" i="1"/>
  <c r="C173" i="1"/>
  <c r="D173" i="1"/>
  <c r="E173" i="1"/>
  <c r="B174" i="1"/>
  <c r="C174" i="1"/>
  <c r="D174" i="1"/>
  <c r="E174" i="1"/>
  <c r="B175" i="1"/>
  <c r="C175" i="1"/>
  <c r="D175" i="1"/>
  <c r="E175" i="1"/>
  <c r="B176" i="1"/>
  <c r="C176" i="1"/>
  <c r="D176" i="1"/>
  <c r="E176" i="1"/>
  <c r="B177" i="1"/>
  <c r="C177" i="1"/>
  <c r="D177" i="1"/>
  <c r="E177" i="1"/>
  <c r="B178" i="1"/>
  <c r="C178" i="1"/>
  <c r="D178" i="1"/>
  <c r="E178" i="1"/>
  <c r="B179" i="1"/>
  <c r="C179" i="1"/>
  <c r="D179" i="1"/>
  <c r="E179" i="1"/>
  <c r="B180" i="1"/>
  <c r="C180" i="1"/>
  <c r="D180" i="1"/>
  <c r="E180" i="1"/>
  <c r="B181" i="1"/>
  <c r="C181" i="1"/>
  <c r="D181" i="1"/>
  <c r="E181" i="1"/>
  <c r="B182" i="1"/>
  <c r="C182" i="1"/>
  <c r="D182" i="1"/>
  <c r="E182" i="1"/>
  <c r="B183" i="1"/>
  <c r="C183" i="1"/>
  <c r="D183" i="1"/>
  <c r="E183" i="1"/>
  <c r="B184" i="1"/>
  <c r="C184" i="1"/>
  <c r="D184" i="1"/>
  <c r="E184" i="1"/>
  <c r="B185" i="1"/>
  <c r="C185" i="1"/>
  <c r="D185" i="1"/>
  <c r="E185" i="1"/>
  <c r="B186" i="1"/>
  <c r="C186" i="1"/>
  <c r="D186" i="1"/>
  <c r="E186" i="1"/>
  <c r="B187" i="1"/>
  <c r="C187" i="1"/>
  <c r="D187" i="1"/>
  <c r="E187" i="1"/>
  <c r="B188" i="1"/>
  <c r="C188" i="1"/>
  <c r="D188" i="1"/>
  <c r="E188" i="1"/>
  <c r="B189" i="1"/>
  <c r="C189" i="1"/>
  <c r="D189" i="1"/>
  <c r="E189" i="1"/>
  <c r="B190" i="1"/>
  <c r="C190" i="1"/>
  <c r="D190" i="1"/>
  <c r="E190" i="1"/>
  <c r="B191" i="1"/>
  <c r="C191" i="1"/>
  <c r="D191" i="1"/>
  <c r="E191" i="1"/>
  <c r="B192" i="1"/>
  <c r="C192" i="1"/>
  <c r="D192" i="1"/>
  <c r="E192" i="1"/>
  <c r="B193" i="1"/>
  <c r="C193" i="1"/>
  <c r="D193" i="1"/>
  <c r="E193" i="1"/>
  <c r="B194" i="1"/>
  <c r="C194" i="1"/>
  <c r="D194" i="1"/>
  <c r="E194" i="1"/>
  <c r="B195" i="1"/>
  <c r="C195" i="1"/>
  <c r="D195" i="1"/>
  <c r="E195" i="1"/>
  <c r="B196" i="1"/>
  <c r="C196" i="1"/>
  <c r="D196" i="1"/>
  <c r="E196" i="1"/>
  <c r="B197" i="1"/>
  <c r="C197" i="1"/>
  <c r="D197" i="1"/>
  <c r="E197" i="1"/>
  <c r="B198" i="1"/>
  <c r="C198" i="1"/>
  <c r="D198" i="1"/>
  <c r="E198" i="1"/>
  <c r="B199" i="1"/>
  <c r="C199" i="1"/>
  <c r="D199" i="1"/>
  <c r="E199" i="1"/>
  <c r="B200" i="1"/>
  <c r="C200" i="1"/>
  <c r="D200" i="1"/>
  <c r="E200" i="1"/>
  <c r="B201" i="1"/>
  <c r="C201" i="1"/>
  <c r="D201" i="1"/>
  <c r="E201" i="1"/>
  <c r="B202" i="1"/>
  <c r="C202" i="1"/>
  <c r="D202" i="1"/>
  <c r="E202" i="1"/>
  <c r="B203" i="1"/>
  <c r="C203" i="1"/>
  <c r="D203" i="1"/>
  <c r="E203" i="1"/>
  <c r="B204" i="1"/>
  <c r="C204" i="1"/>
  <c r="D204" i="1"/>
  <c r="E204" i="1"/>
  <c r="B205" i="1"/>
  <c r="C205" i="1"/>
  <c r="D205" i="1"/>
  <c r="E205" i="1"/>
  <c r="B206" i="1"/>
  <c r="C206" i="1"/>
  <c r="D206" i="1"/>
  <c r="E206" i="1"/>
  <c r="B207" i="1"/>
  <c r="C207" i="1"/>
  <c r="D207" i="1"/>
  <c r="E207" i="1"/>
  <c r="B208" i="1"/>
  <c r="C208" i="1"/>
  <c r="D208" i="1"/>
  <c r="E208" i="1"/>
  <c r="B209" i="1"/>
  <c r="C209" i="1"/>
  <c r="D209" i="1"/>
  <c r="E209" i="1"/>
  <c r="B210" i="1"/>
  <c r="C210" i="1"/>
  <c r="D210" i="1"/>
  <c r="E210" i="1"/>
  <c r="B211" i="1"/>
  <c r="C211" i="1"/>
  <c r="D211" i="1"/>
  <c r="E211" i="1"/>
  <c r="B212" i="1"/>
  <c r="C212" i="1"/>
  <c r="D212" i="1"/>
  <c r="E212" i="1"/>
  <c r="B213" i="1"/>
  <c r="C213" i="1"/>
  <c r="D213" i="1"/>
  <c r="E213" i="1"/>
  <c r="B214" i="1"/>
  <c r="C214" i="1"/>
  <c r="D214" i="1"/>
  <c r="E214" i="1"/>
  <c r="B215" i="1"/>
  <c r="C215" i="1"/>
  <c r="D215" i="1"/>
  <c r="E215" i="1"/>
  <c r="B216" i="1"/>
  <c r="C216" i="1"/>
  <c r="D216" i="1"/>
  <c r="E216" i="1"/>
  <c r="B217" i="1"/>
  <c r="C217" i="1"/>
  <c r="D217" i="1"/>
  <c r="E217" i="1"/>
  <c r="B218" i="1"/>
  <c r="C218" i="1"/>
  <c r="D218" i="1"/>
  <c r="E218" i="1"/>
  <c r="B219" i="1"/>
  <c r="C219" i="1"/>
  <c r="D219" i="1"/>
  <c r="E219" i="1"/>
  <c r="B220" i="1"/>
  <c r="C220" i="1"/>
  <c r="D220" i="1"/>
  <c r="E220" i="1"/>
  <c r="B221" i="1"/>
  <c r="C221" i="1"/>
  <c r="D221" i="1"/>
  <c r="E221" i="1"/>
  <c r="B222" i="1"/>
  <c r="C222" i="1"/>
  <c r="D222" i="1"/>
  <c r="E222" i="1"/>
  <c r="B223" i="1"/>
  <c r="C223" i="1"/>
  <c r="D223" i="1"/>
  <c r="E223" i="1"/>
  <c r="B224" i="1"/>
  <c r="C224" i="1"/>
  <c r="D224" i="1"/>
  <c r="E224" i="1"/>
  <c r="B225" i="1"/>
  <c r="C225" i="1"/>
  <c r="D225" i="1"/>
  <c r="E225" i="1"/>
  <c r="B226" i="1"/>
  <c r="C226" i="1"/>
  <c r="D226" i="1"/>
  <c r="E226" i="1"/>
  <c r="B227" i="1"/>
  <c r="C227" i="1"/>
  <c r="D227" i="1"/>
  <c r="E227" i="1"/>
  <c r="B228" i="1"/>
  <c r="C228" i="1"/>
  <c r="D228" i="1"/>
  <c r="E228" i="1"/>
  <c r="B229" i="1"/>
  <c r="C229" i="1"/>
  <c r="D229" i="1"/>
  <c r="E229" i="1"/>
  <c r="B230" i="1"/>
  <c r="C230" i="1"/>
  <c r="D230" i="1"/>
  <c r="E230" i="1"/>
  <c r="B231" i="1"/>
  <c r="C231" i="1"/>
  <c r="D231" i="1"/>
  <c r="E231" i="1"/>
  <c r="B232" i="1"/>
  <c r="C232" i="1"/>
  <c r="D232" i="1"/>
  <c r="E232" i="1"/>
  <c r="B233" i="1"/>
  <c r="C233" i="1"/>
  <c r="D233" i="1"/>
  <c r="E233" i="1"/>
  <c r="B234" i="1"/>
  <c r="C234" i="1"/>
  <c r="D234" i="1"/>
  <c r="E234" i="1"/>
  <c r="B235" i="1"/>
  <c r="C235" i="1"/>
  <c r="D235" i="1"/>
  <c r="E235" i="1"/>
  <c r="B236" i="1"/>
  <c r="C236" i="1"/>
  <c r="D236" i="1"/>
  <c r="E236" i="1"/>
  <c r="B237" i="1"/>
  <c r="C237" i="1"/>
  <c r="D237" i="1"/>
  <c r="E237" i="1"/>
  <c r="B238" i="1"/>
  <c r="C238" i="1"/>
  <c r="D238" i="1"/>
  <c r="E238" i="1"/>
  <c r="B239" i="1"/>
  <c r="C239" i="1"/>
  <c r="D239" i="1"/>
  <c r="E239" i="1"/>
  <c r="B240" i="1"/>
  <c r="C240" i="1"/>
  <c r="D240" i="1"/>
  <c r="E240" i="1"/>
  <c r="B241" i="1"/>
  <c r="C241" i="1"/>
  <c r="D241" i="1"/>
  <c r="E241" i="1"/>
  <c r="B242" i="1"/>
  <c r="C242" i="1"/>
  <c r="D242" i="1"/>
  <c r="E242" i="1"/>
  <c r="B243" i="1"/>
  <c r="C243" i="1"/>
  <c r="D243" i="1"/>
  <c r="E243" i="1"/>
  <c r="B244" i="1"/>
  <c r="C244" i="1"/>
  <c r="D244" i="1"/>
  <c r="E244" i="1"/>
  <c r="B245" i="1"/>
  <c r="C245" i="1"/>
  <c r="D245" i="1"/>
  <c r="E245" i="1"/>
  <c r="B246" i="1"/>
  <c r="C246" i="1"/>
  <c r="D246" i="1"/>
  <c r="E246" i="1"/>
  <c r="B247" i="1"/>
  <c r="C247" i="1"/>
  <c r="D247" i="1"/>
  <c r="E247" i="1"/>
  <c r="B248" i="1"/>
  <c r="C248" i="1"/>
  <c r="D248" i="1"/>
  <c r="E248" i="1"/>
  <c r="B249" i="1"/>
  <c r="C249" i="1"/>
  <c r="D249" i="1"/>
  <c r="E249" i="1"/>
  <c r="B250" i="1"/>
  <c r="C250" i="1"/>
  <c r="D250" i="1"/>
  <c r="E250" i="1"/>
  <c r="B251" i="1"/>
  <c r="C251" i="1"/>
  <c r="D251" i="1"/>
  <c r="E251" i="1"/>
  <c r="B252" i="1"/>
  <c r="C252" i="1"/>
  <c r="D252" i="1"/>
  <c r="E252" i="1"/>
  <c r="B253" i="1"/>
  <c r="C253" i="1"/>
  <c r="D253" i="1"/>
  <c r="E253" i="1"/>
  <c r="B254" i="1"/>
  <c r="C254" i="1"/>
  <c r="D254" i="1"/>
  <c r="E254" i="1"/>
  <c r="B255" i="1"/>
  <c r="C255" i="1"/>
  <c r="D255" i="1"/>
  <c r="E255" i="1"/>
  <c r="B256" i="1"/>
  <c r="C256" i="1"/>
  <c r="D256" i="1"/>
  <c r="E256" i="1"/>
  <c r="B257" i="1"/>
  <c r="C257" i="1"/>
  <c r="D257" i="1"/>
  <c r="E257" i="1"/>
  <c r="B258" i="1"/>
  <c r="C258" i="1"/>
  <c r="D258" i="1"/>
  <c r="E258" i="1"/>
  <c r="B259" i="1"/>
  <c r="C259" i="1"/>
  <c r="D259" i="1"/>
  <c r="E259" i="1"/>
  <c r="B260" i="1"/>
  <c r="C260" i="1"/>
  <c r="D260" i="1"/>
  <c r="E260" i="1"/>
  <c r="B261" i="1"/>
  <c r="C261" i="1"/>
  <c r="D261" i="1"/>
  <c r="E261" i="1"/>
  <c r="B262" i="1"/>
  <c r="C262" i="1"/>
  <c r="D262" i="1"/>
  <c r="E262" i="1"/>
  <c r="B263" i="1"/>
  <c r="C263" i="1"/>
  <c r="D263" i="1"/>
  <c r="E263" i="1"/>
  <c r="B264" i="1"/>
  <c r="C264" i="1"/>
  <c r="D264" i="1"/>
  <c r="E264" i="1"/>
  <c r="B265" i="1"/>
  <c r="C265" i="1"/>
  <c r="D265" i="1"/>
  <c r="E265" i="1"/>
  <c r="B266" i="1"/>
  <c r="C266" i="1"/>
  <c r="D266" i="1"/>
  <c r="E266" i="1"/>
  <c r="B267" i="1"/>
  <c r="C267" i="1"/>
  <c r="D267" i="1"/>
  <c r="E267" i="1"/>
  <c r="B268" i="1"/>
  <c r="C268" i="1"/>
  <c r="D268" i="1"/>
  <c r="E268" i="1"/>
  <c r="B269" i="1"/>
  <c r="C269" i="1"/>
  <c r="D269" i="1"/>
  <c r="E269" i="1"/>
  <c r="B270" i="1"/>
  <c r="C270" i="1"/>
  <c r="D270" i="1"/>
  <c r="E270" i="1"/>
  <c r="B271" i="1"/>
  <c r="C271" i="1"/>
  <c r="D271" i="1"/>
  <c r="E271" i="1"/>
  <c r="B272" i="1"/>
  <c r="C272" i="1"/>
  <c r="D272" i="1"/>
  <c r="E272" i="1"/>
  <c r="B273" i="1"/>
  <c r="C273" i="1"/>
  <c r="D273" i="1"/>
  <c r="E273" i="1"/>
  <c r="B274" i="1"/>
  <c r="C274" i="1"/>
  <c r="D274" i="1"/>
  <c r="E274" i="1"/>
  <c r="B275" i="1"/>
  <c r="C275" i="1"/>
  <c r="D275" i="1"/>
  <c r="E275" i="1"/>
  <c r="B276" i="1"/>
  <c r="C276" i="1"/>
  <c r="D276" i="1"/>
  <c r="E276" i="1"/>
  <c r="B277" i="1"/>
  <c r="C277" i="1"/>
  <c r="D277" i="1"/>
  <c r="E277" i="1"/>
  <c r="B278" i="1"/>
  <c r="C278" i="1"/>
  <c r="D278" i="1"/>
  <c r="E278" i="1"/>
  <c r="B279" i="1"/>
  <c r="C279" i="1"/>
  <c r="D279" i="1"/>
  <c r="E279" i="1"/>
  <c r="B280" i="1"/>
  <c r="C280" i="1"/>
  <c r="D280" i="1"/>
  <c r="E280" i="1"/>
  <c r="B281" i="1"/>
  <c r="C281" i="1"/>
  <c r="D281" i="1"/>
  <c r="E281" i="1"/>
  <c r="B282" i="1"/>
  <c r="C282" i="1"/>
  <c r="D282" i="1"/>
  <c r="E282" i="1"/>
  <c r="B283" i="1"/>
  <c r="C283" i="1"/>
  <c r="D283" i="1"/>
  <c r="E283" i="1"/>
  <c r="B284" i="1"/>
  <c r="C284" i="1"/>
  <c r="D284" i="1"/>
  <c r="E284" i="1"/>
  <c r="B285" i="1"/>
  <c r="C285" i="1"/>
  <c r="D285" i="1"/>
  <c r="E285" i="1"/>
  <c r="B286" i="1"/>
  <c r="C286" i="1"/>
  <c r="D286" i="1"/>
  <c r="E286" i="1"/>
  <c r="B287" i="1"/>
  <c r="C287" i="1"/>
  <c r="D287" i="1"/>
  <c r="E287" i="1"/>
  <c r="B288" i="1"/>
  <c r="C288" i="1"/>
  <c r="D288" i="1"/>
  <c r="E288" i="1"/>
  <c r="B289" i="1"/>
  <c r="C289" i="1"/>
  <c r="D289" i="1"/>
  <c r="E289" i="1"/>
  <c r="B290" i="1"/>
  <c r="C290" i="1"/>
  <c r="D290" i="1"/>
  <c r="E290" i="1"/>
  <c r="B291" i="1"/>
  <c r="C291" i="1"/>
  <c r="D291" i="1"/>
  <c r="E291" i="1"/>
  <c r="B292" i="1"/>
  <c r="C292" i="1"/>
  <c r="D292" i="1"/>
  <c r="E292" i="1"/>
  <c r="B293" i="1"/>
  <c r="C293" i="1"/>
  <c r="D293" i="1"/>
  <c r="E293" i="1"/>
  <c r="B294" i="1"/>
  <c r="C294" i="1"/>
  <c r="D294" i="1"/>
  <c r="E294" i="1"/>
  <c r="B295" i="1"/>
  <c r="C295" i="1"/>
  <c r="D295" i="1"/>
  <c r="E295" i="1"/>
  <c r="B296" i="1"/>
  <c r="C296" i="1"/>
  <c r="D296" i="1"/>
  <c r="E296" i="1"/>
  <c r="B297" i="1"/>
  <c r="C297" i="1"/>
  <c r="D297" i="1"/>
  <c r="E297" i="1"/>
  <c r="B298" i="1"/>
  <c r="C298" i="1"/>
  <c r="D298" i="1"/>
  <c r="E298" i="1"/>
  <c r="B299" i="1"/>
  <c r="C299" i="1"/>
  <c r="D299" i="1"/>
  <c r="E299" i="1"/>
  <c r="B300" i="1"/>
  <c r="C300" i="1"/>
  <c r="D300" i="1"/>
  <c r="E300" i="1"/>
  <c r="B301" i="1"/>
  <c r="C301" i="1"/>
  <c r="D301" i="1"/>
  <c r="E301" i="1"/>
  <c r="B302" i="1"/>
  <c r="C302" i="1"/>
  <c r="D302" i="1"/>
  <c r="E302" i="1"/>
  <c r="B303" i="1"/>
  <c r="C303" i="1"/>
  <c r="D303" i="1"/>
  <c r="E303" i="1"/>
  <c r="B304" i="1"/>
  <c r="C304" i="1"/>
  <c r="D304" i="1"/>
  <c r="E304" i="1"/>
  <c r="B305" i="1"/>
  <c r="C305" i="1"/>
  <c r="D305" i="1"/>
  <c r="E305" i="1"/>
  <c r="B306" i="1"/>
  <c r="C306" i="1"/>
  <c r="D306" i="1"/>
  <c r="E306" i="1"/>
  <c r="B307" i="1"/>
  <c r="C307" i="1"/>
  <c r="D307" i="1"/>
  <c r="E307" i="1"/>
  <c r="B308" i="1"/>
  <c r="C308" i="1"/>
  <c r="D308" i="1"/>
  <c r="E308" i="1"/>
  <c r="B309" i="1"/>
  <c r="C309" i="1"/>
  <c r="D309" i="1"/>
  <c r="E309" i="1"/>
  <c r="B310" i="1"/>
  <c r="C310" i="1"/>
  <c r="D310" i="1"/>
  <c r="E310" i="1"/>
  <c r="B311" i="1"/>
  <c r="C311" i="1"/>
  <c r="D311" i="1"/>
  <c r="E311" i="1"/>
  <c r="B312" i="1"/>
  <c r="C312" i="1"/>
  <c r="D312" i="1"/>
  <c r="E312" i="1"/>
  <c r="B313" i="1"/>
  <c r="C313" i="1"/>
  <c r="D313" i="1"/>
  <c r="E313" i="1"/>
  <c r="B314" i="1"/>
  <c r="C314" i="1"/>
  <c r="D314" i="1"/>
  <c r="E314" i="1"/>
  <c r="B315" i="1"/>
  <c r="C315" i="1"/>
  <c r="D315" i="1"/>
  <c r="E315" i="1"/>
  <c r="B316" i="1"/>
  <c r="C316" i="1"/>
  <c r="D316" i="1"/>
  <c r="E316" i="1"/>
  <c r="B317" i="1"/>
  <c r="C317" i="1"/>
  <c r="D317" i="1"/>
  <c r="E317" i="1"/>
  <c r="B318" i="1"/>
  <c r="C318" i="1"/>
  <c r="D318" i="1"/>
  <c r="E318" i="1"/>
  <c r="B319" i="1"/>
  <c r="C319" i="1"/>
  <c r="D319" i="1"/>
  <c r="E319" i="1"/>
  <c r="B320" i="1"/>
  <c r="C320" i="1"/>
  <c r="D320" i="1"/>
  <c r="E320" i="1"/>
  <c r="B321" i="1"/>
  <c r="C321" i="1"/>
  <c r="D321" i="1"/>
  <c r="E321" i="1"/>
  <c r="B322" i="1"/>
  <c r="C322" i="1"/>
  <c r="D322" i="1"/>
  <c r="E322" i="1"/>
  <c r="B323" i="1"/>
  <c r="C323" i="1"/>
  <c r="D323" i="1"/>
  <c r="E323" i="1"/>
  <c r="B324" i="1"/>
  <c r="C324" i="1"/>
  <c r="D324" i="1"/>
  <c r="E324" i="1"/>
  <c r="B325" i="1"/>
  <c r="C325" i="1"/>
  <c r="D325" i="1"/>
  <c r="E325" i="1"/>
  <c r="B326" i="1"/>
  <c r="C326" i="1"/>
  <c r="D326" i="1"/>
  <c r="E326" i="1"/>
  <c r="B327" i="1"/>
  <c r="C327" i="1"/>
  <c r="D327" i="1"/>
  <c r="E327" i="1"/>
  <c r="B328" i="1"/>
  <c r="C328" i="1"/>
  <c r="D328" i="1"/>
  <c r="E328" i="1"/>
  <c r="B329" i="1"/>
  <c r="C329" i="1"/>
  <c r="D329" i="1"/>
  <c r="E329" i="1"/>
  <c r="B330" i="1"/>
  <c r="C330" i="1"/>
  <c r="D330" i="1"/>
  <c r="E330" i="1"/>
  <c r="B331" i="1"/>
  <c r="C331" i="1"/>
  <c r="D331" i="1"/>
  <c r="E331" i="1"/>
  <c r="B332" i="1"/>
  <c r="C332" i="1"/>
  <c r="D332" i="1"/>
  <c r="E332" i="1"/>
  <c r="B333" i="1"/>
  <c r="C333" i="1"/>
  <c r="D333" i="1"/>
  <c r="E333" i="1"/>
  <c r="B334" i="1"/>
  <c r="C334" i="1"/>
  <c r="D334" i="1"/>
  <c r="E334" i="1"/>
  <c r="B335" i="1"/>
  <c r="C335" i="1"/>
  <c r="D335" i="1"/>
  <c r="E335" i="1"/>
  <c r="B336" i="1"/>
  <c r="C336" i="1"/>
  <c r="D336" i="1"/>
  <c r="E336" i="1"/>
  <c r="B337" i="1"/>
  <c r="C337" i="1"/>
  <c r="D337" i="1"/>
  <c r="E337" i="1"/>
  <c r="B338" i="1"/>
  <c r="C338" i="1"/>
  <c r="D338" i="1"/>
  <c r="E338" i="1"/>
  <c r="B339" i="1"/>
  <c r="C339" i="1"/>
  <c r="D339" i="1"/>
  <c r="E339" i="1"/>
  <c r="B340" i="1"/>
  <c r="C340" i="1"/>
  <c r="D340" i="1"/>
  <c r="E340" i="1"/>
  <c r="B341" i="1"/>
  <c r="C341" i="1"/>
  <c r="D341" i="1"/>
  <c r="E341" i="1"/>
  <c r="B342" i="1"/>
  <c r="C342" i="1"/>
  <c r="D342" i="1"/>
  <c r="E342" i="1"/>
  <c r="B343" i="1"/>
  <c r="C343" i="1"/>
  <c r="D343" i="1"/>
  <c r="E343" i="1"/>
  <c r="B344" i="1"/>
  <c r="C344" i="1"/>
  <c r="D344" i="1"/>
  <c r="E344" i="1"/>
  <c r="B345" i="1"/>
  <c r="C345" i="1"/>
  <c r="D345" i="1"/>
  <c r="E345" i="1"/>
  <c r="B346" i="1"/>
  <c r="C346" i="1"/>
  <c r="D346" i="1"/>
  <c r="E346" i="1"/>
  <c r="B347" i="1"/>
  <c r="C347" i="1"/>
  <c r="D347" i="1"/>
  <c r="E347" i="1"/>
  <c r="B348" i="1"/>
  <c r="C348" i="1"/>
  <c r="D348" i="1"/>
  <c r="E348" i="1"/>
  <c r="B349" i="1"/>
  <c r="C349" i="1"/>
  <c r="D349" i="1"/>
  <c r="E349" i="1"/>
  <c r="B350" i="1"/>
  <c r="C350" i="1"/>
  <c r="D350" i="1"/>
  <c r="E350" i="1"/>
  <c r="B351" i="1"/>
  <c r="C351" i="1"/>
  <c r="D351" i="1"/>
  <c r="E351" i="1"/>
  <c r="B352" i="1"/>
  <c r="C352" i="1"/>
  <c r="D352" i="1"/>
  <c r="E352" i="1"/>
  <c r="B353" i="1"/>
  <c r="C353" i="1"/>
  <c r="D353" i="1"/>
  <c r="E353" i="1"/>
  <c r="B354" i="1"/>
  <c r="C354" i="1"/>
  <c r="D354" i="1"/>
  <c r="E354" i="1"/>
  <c r="B355" i="1"/>
  <c r="C355" i="1"/>
  <c r="D355" i="1"/>
  <c r="E355" i="1"/>
  <c r="B356" i="1"/>
  <c r="C356" i="1"/>
  <c r="D356" i="1"/>
  <c r="E356" i="1"/>
  <c r="B357" i="1"/>
  <c r="C357" i="1"/>
  <c r="D357" i="1"/>
  <c r="E357" i="1"/>
  <c r="B358" i="1"/>
  <c r="C358" i="1"/>
  <c r="D358" i="1"/>
  <c r="E358" i="1"/>
  <c r="B359" i="1"/>
  <c r="C359" i="1"/>
  <c r="D359" i="1"/>
  <c r="E359" i="1"/>
  <c r="B360" i="1"/>
  <c r="C360" i="1"/>
  <c r="D360" i="1"/>
  <c r="E360" i="1"/>
  <c r="B361" i="1"/>
  <c r="C361" i="1"/>
  <c r="D361" i="1"/>
  <c r="E361" i="1"/>
  <c r="B362" i="1"/>
  <c r="C362" i="1"/>
  <c r="D362" i="1"/>
  <c r="E362" i="1"/>
  <c r="B363" i="1"/>
  <c r="C363" i="1"/>
  <c r="D363" i="1"/>
  <c r="E363" i="1"/>
  <c r="B364" i="1"/>
  <c r="C364" i="1"/>
  <c r="D364" i="1"/>
  <c r="E364" i="1"/>
  <c r="B365" i="1"/>
  <c r="C365" i="1"/>
  <c r="D365" i="1"/>
  <c r="E365" i="1"/>
  <c r="B366" i="1"/>
  <c r="C366" i="1"/>
  <c r="D366" i="1"/>
  <c r="E366" i="1"/>
  <c r="B367" i="1"/>
  <c r="C367" i="1"/>
  <c r="D367" i="1"/>
  <c r="E367" i="1"/>
  <c r="B368" i="1"/>
  <c r="C368" i="1"/>
  <c r="D368" i="1"/>
  <c r="E368" i="1"/>
  <c r="B369" i="1"/>
  <c r="C369" i="1"/>
  <c r="D369" i="1"/>
  <c r="E369" i="1"/>
  <c r="B370" i="1"/>
  <c r="C370" i="1"/>
  <c r="D370" i="1"/>
  <c r="E370" i="1"/>
  <c r="B371" i="1"/>
  <c r="C371" i="1"/>
  <c r="D371" i="1"/>
  <c r="E371" i="1"/>
  <c r="B372" i="1"/>
  <c r="C372" i="1"/>
  <c r="D372" i="1"/>
  <c r="E372" i="1"/>
  <c r="B373" i="1"/>
  <c r="C373" i="1"/>
  <c r="D373" i="1"/>
  <c r="E373" i="1"/>
  <c r="B374" i="1"/>
  <c r="C374" i="1"/>
  <c r="D374" i="1"/>
  <c r="E374" i="1"/>
  <c r="B375" i="1"/>
  <c r="C375" i="1"/>
  <c r="D375" i="1"/>
  <c r="E375" i="1"/>
  <c r="B376" i="1"/>
  <c r="C376" i="1"/>
  <c r="D376" i="1"/>
  <c r="E376" i="1"/>
  <c r="B377" i="1"/>
  <c r="C377" i="1"/>
  <c r="D377" i="1"/>
  <c r="E377" i="1"/>
  <c r="B378" i="1"/>
  <c r="C378" i="1"/>
  <c r="D378" i="1"/>
  <c r="E378" i="1"/>
  <c r="B379" i="1"/>
  <c r="C379" i="1"/>
  <c r="D379" i="1"/>
  <c r="E379" i="1"/>
  <c r="B380" i="1"/>
  <c r="C380" i="1"/>
  <c r="D380" i="1"/>
  <c r="E380" i="1"/>
  <c r="B381" i="1"/>
  <c r="C381" i="1"/>
  <c r="D381" i="1"/>
  <c r="E381" i="1"/>
  <c r="B382" i="1"/>
  <c r="C382" i="1"/>
  <c r="D382" i="1"/>
  <c r="E382" i="1"/>
  <c r="B383" i="1"/>
  <c r="C383" i="1"/>
  <c r="D383" i="1"/>
  <c r="E383" i="1"/>
  <c r="B384" i="1"/>
  <c r="C384" i="1"/>
  <c r="D384" i="1"/>
  <c r="E384" i="1"/>
  <c r="B385" i="1"/>
  <c r="C385" i="1"/>
  <c r="D385" i="1"/>
  <c r="E385" i="1"/>
  <c r="B386" i="1"/>
  <c r="C386" i="1"/>
  <c r="D386" i="1"/>
  <c r="E386" i="1"/>
  <c r="B387" i="1"/>
  <c r="C387" i="1"/>
  <c r="D387" i="1"/>
  <c r="E387" i="1"/>
  <c r="B388" i="1"/>
  <c r="C388" i="1"/>
  <c r="D388" i="1"/>
  <c r="E388" i="1"/>
  <c r="B389" i="1"/>
  <c r="C389" i="1"/>
  <c r="D389" i="1"/>
  <c r="E389" i="1"/>
  <c r="B390" i="1"/>
  <c r="C390" i="1"/>
  <c r="D390" i="1"/>
  <c r="E390" i="1"/>
  <c r="B391" i="1"/>
  <c r="C391" i="1"/>
  <c r="D391" i="1"/>
  <c r="E391" i="1"/>
  <c r="B392" i="1"/>
  <c r="C392" i="1"/>
  <c r="D392" i="1"/>
  <c r="E392" i="1"/>
  <c r="B393" i="1"/>
  <c r="C393" i="1"/>
  <c r="D393" i="1"/>
  <c r="E393" i="1"/>
  <c r="B394" i="1"/>
  <c r="C394" i="1"/>
  <c r="D394" i="1"/>
  <c r="E394" i="1"/>
  <c r="B395" i="1"/>
  <c r="C395" i="1"/>
  <c r="D395" i="1"/>
  <c r="E395" i="1"/>
  <c r="B396" i="1"/>
  <c r="C396" i="1"/>
  <c r="D396" i="1"/>
  <c r="E396" i="1"/>
  <c r="B397" i="1"/>
  <c r="C397" i="1"/>
  <c r="D397" i="1"/>
  <c r="E397" i="1"/>
  <c r="B398" i="1"/>
  <c r="C398" i="1"/>
  <c r="D398" i="1"/>
  <c r="E398" i="1"/>
  <c r="B399" i="1"/>
  <c r="C399" i="1"/>
  <c r="D399" i="1"/>
  <c r="E399" i="1"/>
  <c r="B400" i="1"/>
  <c r="C400" i="1"/>
  <c r="D400" i="1"/>
  <c r="E400" i="1"/>
  <c r="B401" i="1"/>
  <c r="C401" i="1"/>
  <c r="D401" i="1"/>
  <c r="E401" i="1"/>
  <c r="B402" i="1"/>
  <c r="C402" i="1"/>
  <c r="D402" i="1"/>
  <c r="E402" i="1"/>
  <c r="B403" i="1"/>
  <c r="C403" i="1"/>
  <c r="D403" i="1"/>
  <c r="E403" i="1"/>
  <c r="B404" i="1"/>
  <c r="C404" i="1"/>
  <c r="D404" i="1"/>
  <c r="E404" i="1"/>
  <c r="B405" i="1"/>
  <c r="C405" i="1"/>
  <c r="D405" i="1"/>
  <c r="E405" i="1"/>
  <c r="B406" i="1"/>
  <c r="C406" i="1"/>
  <c r="D406" i="1"/>
  <c r="E406" i="1"/>
  <c r="B407" i="1"/>
  <c r="C407" i="1"/>
  <c r="D407" i="1"/>
  <c r="E407" i="1"/>
  <c r="B408" i="1"/>
  <c r="C408" i="1"/>
  <c r="D408" i="1"/>
  <c r="E408" i="1"/>
  <c r="B409" i="1"/>
  <c r="C409" i="1"/>
  <c r="D409" i="1"/>
  <c r="E409" i="1"/>
  <c r="B410" i="1"/>
  <c r="C410" i="1"/>
  <c r="D410" i="1"/>
  <c r="E410" i="1"/>
  <c r="B411" i="1"/>
  <c r="C411" i="1"/>
  <c r="D411" i="1"/>
  <c r="E411" i="1"/>
  <c r="B412" i="1"/>
  <c r="C412" i="1"/>
  <c r="D412" i="1"/>
  <c r="E412" i="1"/>
  <c r="B413" i="1"/>
  <c r="C413" i="1"/>
  <c r="D413" i="1"/>
  <c r="E413" i="1"/>
  <c r="B414" i="1"/>
  <c r="C414" i="1"/>
  <c r="D414" i="1"/>
  <c r="E414" i="1"/>
  <c r="B415" i="1"/>
  <c r="C415" i="1"/>
  <c r="D415" i="1"/>
  <c r="E415" i="1"/>
  <c r="B416" i="1"/>
  <c r="C416" i="1"/>
  <c r="D416" i="1"/>
  <c r="E416" i="1"/>
  <c r="B417" i="1"/>
  <c r="C417" i="1"/>
  <c r="D417" i="1"/>
  <c r="E417" i="1"/>
  <c r="B418" i="1"/>
  <c r="C418" i="1"/>
  <c r="D418" i="1"/>
  <c r="E418" i="1"/>
  <c r="B419" i="1"/>
  <c r="C419" i="1"/>
  <c r="D419" i="1"/>
  <c r="E419" i="1"/>
  <c r="B420" i="1"/>
  <c r="C420" i="1"/>
  <c r="D420" i="1"/>
  <c r="E420" i="1"/>
  <c r="B421" i="1"/>
  <c r="C421" i="1"/>
  <c r="D421" i="1"/>
  <c r="E421" i="1"/>
  <c r="B422" i="1"/>
  <c r="C422" i="1"/>
  <c r="D422" i="1"/>
  <c r="E422" i="1"/>
  <c r="B423" i="1"/>
  <c r="C423" i="1"/>
  <c r="D423" i="1"/>
  <c r="E423" i="1"/>
  <c r="B424" i="1"/>
  <c r="C424" i="1"/>
  <c r="D424" i="1"/>
  <c r="E424" i="1"/>
  <c r="B425" i="1"/>
  <c r="C425" i="1"/>
  <c r="D425" i="1"/>
  <c r="E425" i="1"/>
  <c r="B426" i="1"/>
  <c r="C426" i="1"/>
  <c r="D426" i="1"/>
  <c r="E426" i="1"/>
  <c r="B427" i="1"/>
  <c r="C427" i="1"/>
  <c r="D427" i="1"/>
  <c r="E427" i="1"/>
  <c r="B428" i="1"/>
  <c r="C428" i="1"/>
  <c r="D428" i="1"/>
  <c r="E428" i="1"/>
  <c r="B429" i="1"/>
  <c r="C429" i="1"/>
  <c r="D429" i="1"/>
  <c r="E429" i="1"/>
  <c r="B430" i="1"/>
  <c r="C430" i="1"/>
  <c r="D430" i="1"/>
  <c r="E430" i="1"/>
  <c r="B431" i="1"/>
  <c r="C431" i="1"/>
  <c r="D431" i="1"/>
  <c r="E431" i="1"/>
  <c r="B432" i="1"/>
  <c r="C432" i="1"/>
  <c r="D432" i="1"/>
  <c r="E432" i="1"/>
  <c r="B433" i="1"/>
  <c r="C433" i="1"/>
  <c r="D433" i="1"/>
  <c r="E433" i="1"/>
  <c r="B434" i="1"/>
  <c r="C434" i="1"/>
  <c r="D434" i="1"/>
  <c r="E434" i="1"/>
  <c r="B435" i="1"/>
  <c r="C435" i="1"/>
  <c r="D435" i="1"/>
  <c r="E435" i="1"/>
  <c r="B436" i="1"/>
  <c r="C436" i="1"/>
  <c r="D436" i="1"/>
  <c r="E436" i="1"/>
  <c r="B437" i="1"/>
  <c r="C437" i="1"/>
  <c r="D437" i="1"/>
  <c r="E437" i="1"/>
  <c r="B438" i="1"/>
  <c r="C438" i="1"/>
  <c r="D438" i="1"/>
  <c r="E438" i="1"/>
  <c r="B439" i="1"/>
  <c r="C439" i="1"/>
  <c r="D439" i="1"/>
  <c r="E439" i="1"/>
  <c r="B440" i="1"/>
  <c r="C440" i="1"/>
  <c r="D440" i="1"/>
  <c r="E440" i="1"/>
  <c r="B441" i="1"/>
  <c r="C441" i="1"/>
  <c r="D441" i="1"/>
  <c r="E441" i="1"/>
  <c r="B442" i="1"/>
  <c r="C442" i="1"/>
  <c r="D442" i="1"/>
  <c r="E442" i="1"/>
  <c r="B443" i="1"/>
  <c r="C443" i="1"/>
  <c r="D443" i="1"/>
  <c r="E443" i="1"/>
  <c r="B444" i="1"/>
  <c r="C444" i="1"/>
  <c r="D444" i="1"/>
  <c r="E444" i="1"/>
  <c r="B445" i="1"/>
  <c r="C445" i="1"/>
  <c r="D445" i="1"/>
  <c r="E445" i="1"/>
  <c r="B446" i="1"/>
  <c r="C446" i="1"/>
  <c r="D446" i="1"/>
  <c r="E446" i="1"/>
  <c r="B447" i="1"/>
  <c r="C447" i="1"/>
  <c r="D447" i="1"/>
  <c r="E447" i="1"/>
  <c r="B448" i="1"/>
  <c r="C448" i="1"/>
  <c r="D448" i="1"/>
  <c r="E448" i="1"/>
  <c r="B449" i="1"/>
  <c r="C449" i="1"/>
  <c r="D449" i="1"/>
  <c r="E449" i="1"/>
  <c r="B450" i="1"/>
  <c r="C450" i="1"/>
  <c r="D450" i="1"/>
  <c r="E450" i="1"/>
  <c r="B451" i="1"/>
  <c r="C451" i="1"/>
  <c r="D451" i="1"/>
  <c r="E451" i="1"/>
  <c r="B452" i="1"/>
  <c r="C452" i="1"/>
  <c r="D452" i="1"/>
  <c r="E452" i="1"/>
  <c r="B453" i="1"/>
  <c r="C453" i="1"/>
  <c r="D453" i="1"/>
  <c r="E453" i="1"/>
  <c r="B454" i="1"/>
  <c r="C454" i="1"/>
  <c r="D454" i="1"/>
  <c r="E454" i="1"/>
  <c r="B455" i="1"/>
  <c r="C455" i="1"/>
  <c r="D455" i="1"/>
  <c r="E455" i="1"/>
  <c r="B456" i="1"/>
  <c r="C456" i="1"/>
  <c r="D456" i="1"/>
  <c r="E456" i="1"/>
  <c r="B457" i="1"/>
  <c r="C457" i="1"/>
  <c r="D457" i="1"/>
  <c r="E457" i="1"/>
  <c r="B458" i="1"/>
  <c r="C458" i="1"/>
  <c r="D458" i="1"/>
  <c r="E458" i="1"/>
  <c r="B459" i="1"/>
  <c r="C459" i="1"/>
  <c r="D459" i="1"/>
  <c r="E459" i="1"/>
  <c r="B460" i="1"/>
  <c r="C460" i="1"/>
  <c r="D460" i="1"/>
  <c r="E460" i="1"/>
  <c r="B461" i="1"/>
  <c r="C461" i="1"/>
  <c r="D461" i="1"/>
  <c r="E461" i="1"/>
  <c r="B462" i="1"/>
  <c r="C462" i="1"/>
  <c r="D462" i="1"/>
  <c r="E462" i="1"/>
  <c r="B463" i="1"/>
  <c r="C463" i="1"/>
  <c r="D463" i="1"/>
  <c r="E463" i="1"/>
  <c r="B464" i="1"/>
  <c r="C464" i="1"/>
  <c r="D464" i="1"/>
  <c r="E464" i="1"/>
  <c r="B465" i="1"/>
  <c r="C465" i="1"/>
  <c r="D465" i="1"/>
  <c r="E465" i="1"/>
  <c r="B466" i="1"/>
  <c r="C466" i="1"/>
  <c r="D466" i="1"/>
  <c r="E466" i="1"/>
  <c r="B467" i="1"/>
  <c r="C467" i="1"/>
  <c r="D467" i="1"/>
  <c r="E467" i="1"/>
  <c r="B468" i="1"/>
  <c r="C468" i="1"/>
  <c r="D468" i="1"/>
  <c r="E468" i="1"/>
  <c r="B469" i="1"/>
  <c r="C469" i="1"/>
  <c r="D469" i="1"/>
  <c r="E469" i="1"/>
  <c r="B470" i="1"/>
  <c r="C470" i="1"/>
  <c r="D470" i="1"/>
  <c r="E470" i="1"/>
  <c r="B471" i="1"/>
  <c r="C471" i="1"/>
  <c r="D471" i="1"/>
  <c r="E471" i="1"/>
  <c r="B472" i="1"/>
  <c r="C472" i="1"/>
  <c r="D472" i="1"/>
  <c r="E472" i="1"/>
  <c r="B473" i="1"/>
  <c r="C473" i="1"/>
  <c r="D473" i="1"/>
  <c r="E473" i="1"/>
  <c r="B474" i="1"/>
  <c r="C474" i="1"/>
  <c r="D474" i="1"/>
  <c r="E474" i="1"/>
  <c r="B475" i="1"/>
  <c r="C475" i="1"/>
  <c r="D475" i="1"/>
  <c r="E475" i="1"/>
  <c r="B476" i="1"/>
  <c r="C476" i="1"/>
  <c r="D476" i="1"/>
  <c r="E476" i="1"/>
  <c r="B477" i="1"/>
  <c r="C477" i="1"/>
  <c r="D477" i="1"/>
  <c r="E477" i="1"/>
  <c r="B478" i="1"/>
  <c r="C478" i="1"/>
  <c r="D478" i="1"/>
  <c r="E478" i="1"/>
  <c r="B479" i="1"/>
  <c r="C479" i="1"/>
  <c r="D479" i="1"/>
  <c r="E479" i="1"/>
  <c r="B480" i="1"/>
  <c r="C480" i="1"/>
  <c r="D480" i="1"/>
  <c r="E480" i="1"/>
  <c r="B481" i="1"/>
  <c r="C481" i="1"/>
  <c r="D481" i="1"/>
  <c r="E481" i="1"/>
  <c r="B482" i="1"/>
  <c r="C482" i="1"/>
  <c r="D482" i="1"/>
  <c r="E482" i="1"/>
  <c r="B483" i="1"/>
  <c r="C483" i="1"/>
  <c r="D483" i="1"/>
  <c r="E483" i="1"/>
  <c r="B484" i="1"/>
  <c r="C484" i="1"/>
  <c r="D484" i="1"/>
  <c r="E484" i="1"/>
  <c r="B485" i="1"/>
  <c r="C485" i="1"/>
  <c r="D485" i="1"/>
  <c r="E485" i="1"/>
  <c r="B486" i="1"/>
  <c r="C486" i="1"/>
  <c r="D486" i="1"/>
  <c r="E486" i="1"/>
  <c r="B487" i="1"/>
  <c r="C487" i="1"/>
  <c r="D487" i="1"/>
  <c r="E487" i="1"/>
  <c r="B488" i="1"/>
  <c r="C488" i="1"/>
  <c r="D488" i="1"/>
  <c r="E488" i="1"/>
  <c r="B489" i="1"/>
  <c r="C489" i="1"/>
  <c r="D489" i="1"/>
  <c r="E489" i="1"/>
  <c r="B490" i="1"/>
  <c r="C490" i="1"/>
  <c r="D490" i="1"/>
  <c r="E490" i="1"/>
</calcChain>
</file>

<file path=xl/sharedStrings.xml><?xml version="1.0" encoding="utf-8"?>
<sst xmlns="http://schemas.openxmlformats.org/spreadsheetml/2006/main" count="6" uniqueCount="6">
  <si>
    <t>Nat Oper</t>
  </si>
  <si>
    <t>Denominação</t>
  </si>
  <si>
    <t>Tipo</t>
  </si>
  <si>
    <t>Situação</t>
  </si>
  <si>
    <t>Narrativa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</si>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</sst>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####00000"/>
    <numFmt numFmtId="166" formatCode="####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16" fillId="33" borderId="10" xfId="0" applyFont="1" applyFill="1" applyBorder="1"/>
    <xf numFmtId="0" fontId="16" fillId="33" borderId="20" xfId="0" applyFont="1" applyFill="1" applyBorder="1"/>
    <xf numFmtId="0" fontId="16" fillId="33" borderId="21" xfId="0" applyFont="1" applyFill="1" applyBorder="1"/>
    <xf numFmtId="165" fontId="0" fillId="0" borderId="11" xfId="0" applyNumberFormat="1" applyBorder="1"/>
    <xf numFmtId="166" fontId="0" fillId="0" borderId="17" xfId="0" applyNumberFormat="1" applyBorder="1"/>
    <xf numFmtId="166" fontId="0" fillId="0" borderId="11" xfId="0" applyNumberFormat="1" applyBorder="1"/>
    <xf numFmtId="166" fontId="0" fillId="0" borderId="14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F065-61DF-47DC-9890-798A2726215B}">
  <dimension ref="A1:E491"/>
  <sheetViews>
    <sheetView tabSelected="1" workbookViewId="0">
      <selection activeCell="B4" sqref="B4"/>
    </sheetView>
  </sheetViews>
  <sheetFormatPr defaultRowHeight="14.4" x14ac:dyDescent="0.3"/>
  <cols>
    <col min="1" max="1" width="8.5546875" bestFit="1" customWidth="1"/>
    <col min="2" max="2" width="40.109375" bestFit="1" customWidth="1"/>
    <col min="3" max="3" width="7.33203125" bestFit="1" customWidth="1"/>
    <col min="4" max="4" width="8" bestFit="1" customWidth="1"/>
    <col min="5" max="5" width="43.77734375" bestFit="1" customWidth="1"/>
  </cols>
  <sheetData>
    <row r="1" spans="1:5" ht="15" thickBot="1" x14ac:dyDescent="0.35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 x14ac:dyDescent="0.3">
      <c r="A2" s="11">
        <v>110101</v>
      </c>
      <c r="B2" s="5" t="str">
        <f>"COMPRAS P/INDUSTRIALIZAÇÃO"</f>
        <v>COMPRAS P/INDUSTRIALIZAÇÃO</v>
      </c>
      <c r="C2" s="5" t="str">
        <f t="shared" ref="C2:C33" si="0">"Entrada"</f>
        <v>Entrada</v>
      </c>
      <c r="D2" s="5" t="str">
        <f t="shared" ref="D2:D65" si="1">"Ativa"</f>
        <v>Ativa</v>
      </c>
      <c r="E2" s="6" t="str">
        <f>"GERA AP, GERA OF"</f>
        <v>GERA AP, GERA OF</v>
      </c>
    </row>
    <row r="3" spans="1:5" x14ac:dyDescent="0.3">
      <c r="A3" s="12">
        <v>110102</v>
      </c>
      <c r="B3" s="1" t="str">
        <f>"COMPRAS P/IND CHAPAS PROB QUALIDADE"</f>
        <v>COMPRAS P/IND CHAPAS PROB QUALIDADE</v>
      </c>
      <c r="C3" s="1" t="str">
        <f t="shared" si="0"/>
        <v>Entrada</v>
      </c>
      <c r="D3" s="1" t="str">
        <f t="shared" si="1"/>
        <v>Ativa</v>
      </c>
      <c r="E3" s="2" t="str">
        <f>"GERA AP, GERA OF  Alterado em 01.07.2020"</f>
        <v>GERA AP, GERA OF  Alterado em 01.07.2020</v>
      </c>
    </row>
    <row r="4" spans="1:5" x14ac:dyDescent="0.3">
      <c r="A4" s="12">
        <v>110104</v>
      </c>
      <c r="B4" s="1" t="str">
        <f>"COMPRAS P/INDUSTRIALIZAÇÃO_RATEIO"</f>
        <v>COMPRAS P/INDUSTRIALIZAÇÃO_RATEIO</v>
      </c>
      <c r="C4" s="1" t="str">
        <f t="shared" si="0"/>
        <v>Entrada</v>
      </c>
      <c r="D4" s="1" t="str">
        <f t="shared" si="1"/>
        <v>Ativa</v>
      </c>
      <c r="E4" s="2" t="str">
        <f>"GERA AP, GERA OF"</f>
        <v>GERA AP, GERA OF</v>
      </c>
    </row>
    <row r="5" spans="1:5" x14ac:dyDescent="0.3">
      <c r="A5" s="12">
        <v>111601</v>
      </c>
      <c r="B5" s="1" t="str">
        <f>"COMPRA FATURAMENTO ANTEC - ENTREGA"</f>
        <v>COMPRA FATURAMENTO ANTEC - ENTREGA</v>
      </c>
      <c r="C5" s="1" t="str">
        <f t="shared" si="0"/>
        <v>Entrada</v>
      </c>
      <c r="D5" s="1" t="str">
        <f t="shared" si="1"/>
        <v>Ativa</v>
      </c>
      <c r="E5" s="2" t="str">
        <f>"GERA OF,  COMPRAS DESTINADAS A INDUSTRIA"</f>
        <v>GERA OF,  COMPRAS DESTINADAS A INDUSTRIA</v>
      </c>
    </row>
    <row r="6" spans="1:5" x14ac:dyDescent="0.3">
      <c r="A6" s="12">
        <v>112201</v>
      </c>
      <c r="B6" s="1" t="str">
        <f>"COMPRAS P/INDUSTR. -OP TRIANGULAR"</f>
        <v>COMPRAS P/INDUSTR. -OP TRIANGULAR</v>
      </c>
      <c r="C6" s="1" t="str">
        <f t="shared" si="0"/>
        <v>Entrada</v>
      </c>
      <c r="D6" s="1" t="str">
        <f t="shared" si="1"/>
        <v>Ativa</v>
      </c>
      <c r="E6" s="2" t="str">
        <f>"GERA AP, GERA OF"</f>
        <v>GERA AP, GERA OF</v>
      </c>
    </row>
    <row r="7" spans="1:5" x14ac:dyDescent="0.3">
      <c r="A7" s="12">
        <v>112401</v>
      </c>
      <c r="B7" s="1" t="str">
        <f>"INDUSTRIALIZACAO POR ENCOMENDA"</f>
        <v>INDUSTRIALIZACAO POR ENCOMENDA</v>
      </c>
      <c r="C7" s="1" t="str">
        <f t="shared" si="0"/>
        <v>Entrada</v>
      </c>
      <c r="D7" s="1" t="str">
        <f t="shared" si="1"/>
        <v>Ativa</v>
      </c>
      <c r="E7" s="2" t="str">
        <f>"GERA AP, GERA OF"</f>
        <v>GERA AP, GERA OF</v>
      </c>
    </row>
    <row r="8" spans="1:5" x14ac:dyDescent="0.3">
      <c r="A8" s="12">
        <v>112402</v>
      </c>
      <c r="B8" s="1" t="str">
        <f>"INDUSTRIALIZACAO POR ENCOMENDA"</f>
        <v>INDUSTRIALIZACAO POR ENCOMENDA</v>
      </c>
      <c r="C8" s="1" t="str">
        <f t="shared" si="0"/>
        <v>Entrada</v>
      </c>
      <c r="D8" s="1" t="str">
        <f t="shared" si="1"/>
        <v>Ativa</v>
      </c>
      <c r="E8" s="2" t="str">
        <f>"GERA AP, GERA OF, SEM CRÉDITOS DE IMPOST"</f>
        <v>GERA AP, GERA OF, SEM CRÉDITOS DE IMPOST</v>
      </c>
    </row>
    <row r="9" spans="1:5" x14ac:dyDescent="0.3">
      <c r="A9" s="12">
        <v>112501</v>
      </c>
      <c r="B9" s="1" t="str">
        <f>"INDUSTRIALIZACAO POR ENCOMENDA"</f>
        <v>INDUSTRIALIZACAO POR ENCOMENDA</v>
      </c>
      <c r="C9" s="1" t="str">
        <f t="shared" si="0"/>
        <v>Entrada</v>
      </c>
      <c r="D9" s="1" t="str">
        <f t="shared" si="1"/>
        <v>Ativa</v>
      </c>
      <c r="E9" s="2" t="str">
        <f>"GERA AP, GERA OF"</f>
        <v>GERA AP, GERA OF</v>
      </c>
    </row>
    <row r="10" spans="1:5" x14ac:dyDescent="0.3">
      <c r="A10" s="12">
        <v>115101</v>
      </c>
      <c r="B10" s="1" t="str">
        <f>"TRANSFERENCIAS P/ INDUSTRIALIZAÇÃO"</f>
        <v>TRANSFERENCIAS P/ INDUSTRIALIZAÇÃO</v>
      </c>
      <c r="C10" s="1" t="str">
        <f t="shared" si="0"/>
        <v>Entrada</v>
      </c>
      <c r="D10" s="1" t="str">
        <f t="shared" si="1"/>
        <v>Ativa</v>
      </c>
      <c r="E10" s="2" t="str">
        <f>"GERA OF TRANSFENCIAS ENTRE ESTABELECIMEN"</f>
        <v>GERA OF TRANSFENCIAS ENTRE ESTABELECIMEN</v>
      </c>
    </row>
    <row r="11" spans="1:5" x14ac:dyDescent="0.3">
      <c r="A11" s="12">
        <v>120101</v>
      </c>
      <c r="B11" s="1" t="str">
        <f>"DEVOLUÇÃO VENDA DE PRODUÇÃO"</f>
        <v>DEVOLUÇÃO VENDA DE PRODUÇÃO</v>
      </c>
      <c r="C11" s="1" t="str">
        <f t="shared" si="0"/>
        <v>Entrada</v>
      </c>
      <c r="D11" s="1" t="str">
        <f t="shared" si="1"/>
        <v>Ativa</v>
      </c>
      <c r="E11" s="2" t="str">
        <f>""</f>
        <v/>
      </c>
    </row>
    <row r="12" spans="1:5" x14ac:dyDescent="0.3">
      <c r="A12" s="12">
        <v>120103</v>
      </c>
      <c r="B12" s="1" t="str">
        <f>"DEVOLUCAO VENDA DE PRODUCAO RECUSAS"</f>
        <v>DEVOLUCAO VENDA DE PRODUCAO RECUSAS</v>
      </c>
      <c r="C12" s="1" t="str">
        <f t="shared" si="0"/>
        <v>Entrada</v>
      </c>
      <c r="D12" s="1" t="str">
        <f t="shared" si="1"/>
        <v>Ativa</v>
      </c>
      <c r="E12" s="2" t="str">
        <f>"Natureza para as Recusas de Notas Fiscai"</f>
        <v>Natureza para as Recusas de Notas Fiscai</v>
      </c>
    </row>
    <row r="13" spans="1:5" x14ac:dyDescent="0.3">
      <c r="A13" s="12">
        <v>125201</v>
      </c>
      <c r="B13" s="1" t="str">
        <f>"COMPRA ENERGIA ELETRICA"</f>
        <v>COMPRA ENERGIA ELETRICA</v>
      </c>
      <c r="C13" s="1" t="str">
        <f t="shared" si="0"/>
        <v>Entrada</v>
      </c>
      <c r="D13" s="1" t="str">
        <f t="shared" si="1"/>
        <v>Ativa</v>
      </c>
      <c r="E13" s="2" t="str">
        <f>"GERA AP, GERA OF"</f>
        <v>GERA AP, GERA OF</v>
      </c>
    </row>
    <row r="14" spans="1:5" x14ac:dyDescent="0.3">
      <c r="A14" s="12">
        <v>125202</v>
      </c>
      <c r="B14" s="1" t="str">
        <f>"COMPRA ENERGIA ELETRICA SEM IMPOSTO"</f>
        <v>COMPRA ENERGIA ELETRICA SEM IMPOSTO</v>
      </c>
      <c r="C14" s="1" t="str">
        <f t="shared" si="0"/>
        <v>Entrada</v>
      </c>
      <c r="D14" s="1" t="str">
        <f t="shared" si="1"/>
        <v>Ativa</v>
      </c>
      <c r="E14" s="2" t="str">
        <f>"GERA AP, GERA OF - CRÉDITO SOMENTE DE PI"</f>
        <v>GERA AP, GERA OF - CRÉDITO SOMENTE DE PI</v>
      </c>
    </row>
    <row r="15" spans="1:5" x14ac:dyDescent="0.3">
      <c r="A15" s="12">
        <v>125203</v>
      </c>
      <c r="B15" s="1" t="str">
        <f>"COMPRA ENERGIA ELETRICA - COMPLEM."</f>
        <v>COMPRA ENERGIA ELETRICA - COMPLEM.</v>
      </c>
      <c r="C15" s="1" t="str">
        <f t="shared" si="0"/>
        <v>Entrada</v>
      </c>
      <c r="D15" s="1" t="str">
        <f t="shared" si="1"/>
        <v>Ativa</v>
      </c>
      <c r="E15" s="2" t="str">
        <f>"GERA AP, GERA OF - FATURA COMPLEMENTAR C"</f>
        <v>GERA AP, GERA OF - FATURA COMPLEMENTAR C</v>
      </c>
    </row>
    <row r="16" spans="1:5" x14ac:dyDescent="0.3">
      <c r="A16" s="12">
        <v>130201</v>
      </c>
      <c r="B16" s="1" t="str">
        <f>"AQUISICAO SERV COMUNICACAO"</f>
        <v>AQUISICAO SERV COMUNICACAO</v>
      </c>
      <c r="C16" s="1" t="str">
        <f t="shared" si="0"/>
        <v>Entrada</v>
      </c>
      <c r="D16" s="1" t="str">
        <f t="shared" si="1"/>
        <v>Ativa</v>
      </c>
      <c r="E16" s="2" t="str">
        <f>"GERA AP, GERA OF"</f>
        <v>GERA AP, GERA OF</v>
      </c>
    </row>
    <row r="17" spans="1:5" x14ac:dyDescent="0.3">
      <c r="A17" s="12">
        <v>130202</v>
      </c>
      <c r="B17" s="1" t="str">
        <f>"AQUISICAO SERV COMUNICACAO"</f>
        <v>AQUISICAO SERV COMUNICACAO</v>
      </c>
      <c r="C17" s="1" t="str">
        <f t="shared" si="0"/>
        <v>Entrada</v>
      </c>
      <c r="D17" s="1" t="str">
        <f t="shared" si="1"/>
        <v>Ativa</v>
      </c>
      <c r="E17" s="2" t="str">
        <f>"NAO GERA AP, GERA OF"</f>
        <v>NAO GERA AP, GERA OF</v>
      </c>
    </row>
    <row r="18" spans="1:5" x14ac:dyDescent="0.3">
      <c r="A18" s="12">
        <v>135201</v>
      </c>
      <c r="B18" s="1" t="str">
        <f>"AQUISICAO SERV TRANSP INDUSTRIAL"</f>
        <v>AQUISICAO SERV TRANSP INDUSTRIAL</v>
      </c>
      <c r="C18" s="1" t="str">
        <f t="shared" si="0"/>
        <v>Entrada</v>
      </c>
      <c r="D18" s="1" t="str">
        <f t="shared" si="1"/>
        <v>Ativa</v>
      </c>
      <c r="E18" s="2" t="str">
        <f>"CREDITO PIS/COFINS - FRETES TRANSAÇÕES D"</f>
        <v>CREDITO PIS/COFINS - FRETES TRANSAÇÕES D</v>
      </c>
    </row>
    <row r="19" spans="1:5" x14ac:dyDescent="0.3">
      <c r="A19" s="12">
        <v>135202</v>
      </c>
      <c r="B19" s="1" t="str">
        <f>"AQUISICAO SERV TRANSPORTES"</f>
        <v>AQUISICAO SERV TRANSPORTES</v>
      </c>
      <c r="C19" s="1" t="str">
        <f t="shared" si="0"/>
        <v>Entrada</v>
      </c>
      <c r="D19" s="1" t="str">
        <f t="shared" si="1"/>
        <v>Ativa</v>
      </c>
      <c r="E19" s="2" t="str">
        <f>"SEM CRÉDITOS IMPOSTOS - FRETES TRANSAÇÕE"</f>
        <v>SEM CRÉDITOS IMPOSTOS - FRETES TRANSAÇÕE</v>
      </c>
    </row>
    <row r="20" spans="1:5" x14ac:dyDescent="0.3">
      <c r="A20" s="12">
        <v>135203</v>
      </c>
      <c r="B20" s="1" t="str">
        <f>"AQUISICAO SERV TRANSP - RATEIO ICMS"</f>
        <v>AQUISICAO SERV TRANSP - RATEIO ICMS</v>
      </c>
      <c r="C20" s="1" t="str">
        <f t="shared" si="0"/>
        <v>Entrada</v>
      </c>
      <c r="D20" s="1" t="str">
        <f t="shared" si="1"/>
        <v>Ativa</v>
      </c>
      <c r="E20" s="2" t="str">
        <f>"CREDITO ICMS/PIS/COFINS - FRETES COMPRAS"</f>
        <v>CREDITO ICMS/PIS/COFINS - FRETES COMPRAS</v>
      </c>
    </row>
    <row r="21" spans="1:5" x14ac:dyDescent="0.3">
      <c r="A21" s="12">
        <v>135204</v>
      </c>
      <c r="B21" s="1" t="str">
        <f>"AQUISICAO SERV TRANSP RATEIO S/PIS"</f>
        <v>AQUISICAO SERV TRANSP RATEIO S/PIS</v>
      </c>
      <c r="C21" s="1" t="str">
        <f t="shared" si="0"/>
        <v>Entrada</v>
      </c>
      <c r="D21" s="1" t="str">
        <f t="shared" si="1"/>
        <v>Ativa</v>
      </c>
      <c r="E21" s="2" t="str">
        <f>"SEM CRÉDITOS - FRETES COMPRAS MATERIAIS"</f>
        <v>SEM CRÉDITOS - FRETES COMPRAS MATERIAIS</v>
      </c>
    </row>
    <row r="22" spans="1:5" x14ac:dyDescent="0.3">
      <c r="A22" s="12">
        <v>135205</v>
      </c>
      <c r="B22" s="1" t="str">
        <f>"AQUISIÇAO SERV TRANSP - RATEIO CRED"</f>
        <v>AQUISIÇAO SERV TRANSP - RATEIO CRED</v>
      </c>
      <c r="C22" s="1" t="str">
        <f t="shared" si="0"/>
        <v>Entrada</v>
      </c>
      <c r="D22" s="1" t="str">
        <f t="shared" si="1"/>
        <v>Ativa</v>
      </c>
      <c r="E22" s="2" t="str">
        <f>"GERA AP, GERA OF. CREDITO PIS/COFINS - F"</f>
        <v>GERA AP, GERA OF. CREDITO PIS/COFINS - F</v>
      </c>
    </row>
    <row r="23" spans="1:5" x14ac:dyDescent="0.3">
      <c r="A23" s="12">
        <v>135206</v>
      </c>
      <c r="B23" s="1" t="str">
        <f>"AQUISICAO SERV TRANSPORTES"</f>
        <v>AQUISICAO SERV TRANSPORTES</v>
      </c>
      <c r="C23" s="1" t="str">
        <f t="shared" si="0"/>
        <v>Entrada</v>
      </c>
      <c r="D23" s="1" t="str">
        <f t="shared" si="1"/>
        <v>Ativa</v>
      </c>
      <c r="E23" s="2" t="str">
        <f>"GERA SOMENTE OF SEM CREDITO PIS/COFINS -"</f>
        <v>GERA SOMENTE OF SEM CREDITO PIS/COFINS -</v>
      </c>
    </row>
    <row r="24" spans="1:5" x14ac:dyDescent="0.3">
      <c r="A24" s="12">
        <v>135207</v>
      </c>
      <c r="B24" s="1" t="str">
        <f>"AQUISICAO SERV TRANSP INDUSTRIAL"</f>
        <v>AQUISICAO SERV TRANSP INDUSTRIAL</v>
      </c>
      <c r="C24" s="1" t="str">
        <f t="shared" si="0"/>
        <v>Entrada</v>
      </c>
      <c r="D24" s="1" t="str">
        <f t="shared" si="1"/>
        <v>Ativa</v>
      </c>
      <c r="E24" s="2" t="str">
        <f>"CREDITO PIS/COFINS - FRETES TRANSAÇÕES D"</f>
        <v>CREDITO PIS/COFINS - FRETES TRANSAÇÕES D</v>
      </c>
    </row>
    <row r="25" spans="1:5" x14ac:dyDescent="0.3">
      <c r="A25" s="12">
        <v>135208</v>
      </c>
      <c r="B25" s="1" t="str">
        <f>"AQUISICAO SERV TRANSP INDUSTRIAL"</f>
        <v>AQUISICAO SERV TRANSP INDUSTRIAL</v>
      </c>
      <c r="C25" s="1" t="str">
        <f t="shared" si="0"/>
        <v>Entrada</v>
      </c>
      <c r="D25" s="1" t="str">
        <f t="shared" si="1"/>
        <v>Ativa</v>
      </c>
      <c r="E25" s="2" t="str">
        <f>"Natureza criada para lançar os fretes do"</f>
        <v>Natureza criada para lançar os fretes do</v>
      </c>
    </row>
    <row r="26" spans="1:5" x14ac:dyDescent="0.3">
      <c r="A26" s="12">
        <v>140601</v>
      </c>
      <c r="B26" s="1" t="str">
        <f>"COMPRA P/ IMOBILIZADO C/PIS COFINS"</f>
        <v>COMPRA P/ IMOBILIZADO C/PIS COFINS</v>
      </c>
      <c r="C26" s="1" t="str">
        <f t="shared" si="0"/>
        <v>Entrada</v>
      </c>
      <c r="D26" s="1" t="str">
        <f t="shared" si="1"/>
        <v>Ativa</v>
      </c>
      <c r="E26" s="2" t="str">
        <f>"COMPRA DE BENS IMOBILIZADOS ATRAVÉS DO C"</f>
        <v>COMPRA DE BENS IMOBILIZADOS ATRAVÉS DO C</v>
      </c>
    </row>
    <row r="27" spans="1:5" x14ac:dyDescent="0.3">
      <c r="A27" s="12">
        <v>140602</v>
      </c>
      <c r="B27" s="1" t="str">
        <f>"COMPRA P/ IMOBILIZADO S/PIS COFINS"</f>
        <v>COMPRA P/ IMOBILIZADO S/PIS COFINS</v>
      </c>
      <c r="C27" s="1" t="str">
        <f t="shared" si="0"/>
        <v>Entrada</v>
      </c>
      <c r="D27" s="1" t="str">
        <f t="shared" si="1"/>
        <v>Ativa</v>
      </c>
      <c r="E27" s="2" t="str">
        <f>"COMPRA DE BENS IMOBILIZADOS ATRAVÉS DO C"</f>
        <v>COMPRA DE BENS IMOBILIZADOS ATRAVÉS DO C</v>
      </c>
    </row>
    <row r="28" spans="1:5" x14ac:dyDescent="0.3">
      <c r="A28" s="12">
        <v>140603</v>
      </c>
      <c r="B28" s="1" t="str">
        <f>"COMPRA P/ IMOBILIZADO C/PIS COFINS"</f>
        <v>COMPRA P/ IMOBILIZADO C/PIS COFINS</v>
      </c>
      <c r="C28" s="1" t="str">
        <f t="shared" si="0"/>
        <v>Entrada</v>
      </c>
      <c r="D28" s="1" t="str">
        <f t="shared" si="1"/>
        <v>Ativa</v>
      </c>
      <c r="E28" s="2" t="str">
        <f>"COMPRA DE BENS IMOBILIZADOS ATRAVÉS DO C"</f>
        <v>COMPRA DE BENS IMOBILIZADOS ATRAVÉS DO C</v>
      </c>
    </row>
    <row r="29" spans="1:5" x14ac:dyDescent="0.3">
      <c r="A29" s="12">
        <v>140701</v>
      </c>
      <c r="B29" s="1" t="str">
        <f>"COMPRA P/ USO CONSUMO C/PIS COFINS"</f>
        <v>COMPRA P/ USO CONSUMO C/PIS COFINS</v>
      </c>
      <c r="C29" s="1" t="str">
        <f t="shared" si="0"/>
        <v>Entrada</v>
      </c>
      <c r="D29" s="1" t="str">
        <f t="shared" si="1"/>
        <v>Ativa</v>
      </c>
      <c r="E29" s="2" t="str">
        <f>"GERA AP, GERA OF, IPI NAO INCLUSO NA BAS"</f>
        <v>GERA AP, GERA OF, IPI NAO INCLUSO NA BAS</v>
      </c>
    </row>
    <row r="30" spans="1:5" x14ac:dyDescent="0.3">
      <c r="A30" s="12">
        <v>140702</v>
      </c>
      <c r="B30" s="1" t="str">
        <f>"COMPRA P/ USO CONSUMO S/PIS COFINS"</f>
        <v>COMPRA P/ USO CONSUMO S/PIS COFINS</v>
      </c>
      <c r="C30" s="1" t="str">
        <f t="shared" si="0"/>
        <v>Entrada</v>
      </c>
      <c r="D30" s="1" t="str">
        <f t="shared" si="1"/>
        <v>Ativa</v>
      </c>
      <c r="E30" s="2" t="str">
        <f>"GERA AP, GERA OF, IPI NA BASE DO ICMS"</f>
        <v>GERA AP, GERA OF, IPI NA BASE DO ICMS</v>
      </c>
    </row>
    <row r="31" spans="1:5" x14ac:dyDescent="0.3">
      <c r="A31" s="12">
        <v>150101</v>
      </c>
      <c r="B31" s="1" t="str">
        <f>"COMPRA MERC RECEB FIM ESPEC EXPORTA"</f>
        <v>COMPRA MERC RECEB FIM ESPEC EXPORTA</v>
      </c>
      <c r="C31" s="1" t="str">
        <f t="shared" si="0"/>
        <v>Entrada</v>
      </c>
      <c r="D31" s="1" t="str">
        <f t="shared" si="1"/>
        <v>Ativa</v>
      </c>
      <c r="E31" s="2" t="str">
        <f>"GERA AP, GERA OF   CFOP PARA OPERAÇÕES -"</f>
        <v>GERA AP, GERA OF   CFOP PARA OPERAÇÕES -</v>
      </c>
    </row>
    <row r="32" spans="1:5" x14ac:dyDescent="0.3">
      <c r="A32" s="12">
        <v>150601</v>
      </c>
      <c r="B32" s="1" t="str">
        <f>"DEV SIMB MERC FORMAÇÃO LOTE EXPORTA"</f>
        <v>DEV SIMB MERC FORMAÇÃO LOTE EXPORTA</v>
      </c>
      <c r="C32" s="1" t="str">
        <f t="shared" si="0"/>
        <v>Entrada</v>
      </c>
      <c r="D32" s="1" t="str">
        <f t="shared" si="1"/>
        <v>Ativa</v>
      </c>
      <c r="E32" s="2" t="str">
        <f>"GERA AP, GERA OF   CFOP PARA OPERAÇÕES -"</f>
        <v>GERA AP, GERA OF   CFOP PARA OPERAÇÕES -</v>
      </c>
    </row>
    <row r="33" spans="1:5" x14ac:dyDescent="0.3">
      <c r="A33" s="12">
        <v>155101</v>
      </c>
      <c r="B33" s="1" t="str">
        <f>"COMPRA P/ ATIVO IMOBILIZADO - CIAP-"</f>
        <v>COMPRA P/ ATIVO IMOBILIZADO - CIAP-</v>
      </c>
      <c r="C33" s="1" t="str">
        <f t="shared" si="0"/>
        <v>Entrada</v>
      </c>
      <c r="D33" s="1" t="str">
        <f t="shared" si="1"/>
        <v>Ativa</v>
      </c>
      <c r="E33" s="2" t="str">
        <f>"GERA AP, GERA OF,  COM CRÉDITO DE PIS CO"</f>
        <v>GERA AP, GERA OF,  COM CRÉDITO DE PIS CO</v>
      </c>
    </row>
    <row r="34" spans="1:5" x14ac:dyDescent="0.3">
      <c r="A34" s="12">
        <v>155102</v>
      </c>
      <c r="B34" s="1" t="str">
        <f>"COMPRA P/ ATIVO IMOBILIZADO- Ñ CIAP"</f>
        <v>COMPRA P/ ATIVO IMOBILIZADO- Ñ CIAP</v>
      </c>
      <c r="C34" s="1" t="str">
        <f t="shared" ref="C34:C70" si="2">"Entrada"</f>
        <v>Entrada</v>
      </c>
      <c r="D34" s="1" t="str">
        <f t="shared" si="1"/>
        <v>Ativa</v>
      </c>
      <c r="E34" s="2" t="str">
        <f>"GERA AP, GERA OF,  SEM CRÉDITO DE PIS CO"</f>
        <v>GERA AP, GERA OF,  SEM CRÉDITO DE PIS CO</v>
      </c>
    </row>
    <row r="35" spans="1:5" x14ac:dyDescent="0.3">
      <c r="A35" s="12">
        <v>155103</v>
      </c>
      <c r="B35" s="1" t="str">
        <f>"COMPRA ATIVO IMOB - CRED PISCOFINS"</f>
        <v>COMPRA ATIVO IMOB - CRED PISCOFINS</v>
      </c>
      <c r="C35" s="1" t="str">
        <f t="shared" si="2"/>
        <v>Entrada</v>
      </c>
      <c r="D35" s="1" t="str">
        <f t="shared" si="1"/>
        <v>Ativa</v>
      </c>
      <c r="E35" s="2" t="str">
        <f>"COMPRA DE ATIVO COM CRÉDITO DE PIS COFIN"</f>
        <v>COMPRA DE ATIVO COM CRÉDITO DE PIS COFIN</v>
      </c>
    </row>
    <row r="36" spans="1:5" x14ac:dyDescent="0.3">
      <c r="A36" s="12">
        <v>155201</v>
      </c>
      <c r="B36" s="1" t="str">
        <f>"TRANSFERENCIA ATIVO IMOBILIZADO"</f>
        <v>TRANSFERENCIA ATIVO IMOBILIZADO</v>
      </c>
      <c r="C36" s="1" t="str">
        <f t="shared" si="2"/>
        <v>Entrada</v>
      </c>
      <c r="D36" s="1" t="str">
        <f t="shared" si="1"/>
        <v>Ativa</v>
      </c>
      <c r="E36" s="2" t="str">
        <f>"GERA OF, GERA FAT.  CFOP PARA TRANSFEREN"</f>
        <v>GERA OF, GERA FAT.  CFOP PARA TRANSFEREN</v>
      </c>
    </row>
    <row r="37" spans="1:5" x14ac:dyDescent="0.3">
      <c r="A37" s="12">
        <v>155301</v>
      </c>
      <c r="B37" s="1" t="str">
        <f>"DEVOLUÇÃO VDA ATIVO IMOBILIZ Ñ CIAP"</f>
        <v>DEVOLUÇÃO VDA ATIVO IMOBILIZ Ñ CIAP</v>
      </c>
      <c r="C37" s="1" t="str">
        <f t="shared" si="2"/>
        <v>Entrada</v>
      </c>
      <c r="D37" s="1" t="str">
        <f t="shared" si="1"/>
        <v>Ativa</v>
      </c>
      <c r="E37" s="2" t="str">
        <f>"DEVOLUÇÕES DE VENDAS DE IMOBILIZADOS REA"</f>
        <v>DEVOLUÇÕES DE VENDAS DE IMOBILIZADOS REA</v>
      </c>
    </row>
    <row r="38" spans="1:5" x14ac:dyDescent="0.3">
      <c r="A38" s="12">
        <v>155401</v>
      </c>
      <c r="B38" s="1" t="str">
        <f>"RETORNO DE BEM REMETIDO P USO EXTER"</f>
        <v>RETORNO DE BEM REMETIDO P USO EXTER</v>
      </c>
      <c r="C38" s="1" t="str">
        <f t="shared" si="2"/>
        <v>Entrada</v>
      </c>
      <c r="D38" s="1" t="str">
        <f t="shared" si="1"/>
        <v>Ativa</v>
      </c>
      <c r="E38" s="2" t="str">
        <f>""</f>
        <v/>
      </c>
    </row>
    <row r="39" spans="1:5" x14ac:dyDescent="0.3">
      <c r="A39" s="12">
        <v>155501</v>
      </c>
      <c r="B39" s="1" t="str">
        <f>"REMESSA DE BEM ATIVO IMOBILIZ.TERC"</f>
        <v>REMESSA DE BEM ATIVO IMOBILIZ.TERC</v>
      </c>
      <c r="C39" s="1" t="str">
        <f t="shared" si="2"/>
        <v>Entrada</v>
      </c>
      <c r="D39" s="1" t="str">
        <f t="shared" si="1"/>
        <v>Ativa</v>
      </c>
      <c r="E39" s="2" t="str">
        <f>"GERA OF, GERA MOV. TERC."</f>
        <v>GERA OF, GERA MOV. TERC.</v>
      </c>
    </row>
    <row r="40" spans="1:5" x14ac:dyDescent="0.3">
      <c r="A40" s="12">
        <v>155601</v>
      </c>
      <c r="B40" s="1" t="str">
        <f>"COMPRA P/ USO CONSUMO C/PIS COFINS"</f>
        <v>COMPRA P/ USO CONSUMO C/PIS COFINS</v>
      </c>
      <c r="C40" s="1" t="str">
        <f t="shared" si="2"/>
        <v>Entrada</v>
      </c>
      <c r="D40" s="1" t="str">
        <f t="shared" si="1"/>
        <v>Ativa</v>
      </c>
      <c r="E40" s="2" t="str">
        <f>"GERA AP, GERA OF, IPI NA BASE DO ICMS, G"</f>
        <v>GERA AP, GERA OF, IPI NA BASE DO ICMS, G</v>
      </c>
    </row>
    <row r="41" spans="1:5" x14ac:dyDescent="0.3">
      <c r="A41" s="12">
        <v>155602</v>
      </c>
      <c r="B41" s="1" t="str">
        <f>"COMPRA USO CONSUMO -SEM PIS COFINS"</f>
        <v>COMPRA USO CONSUMO -SEM PIS COFINS</v>
      </c>
      <c r="C41" s="1" t="str">
        <f t="shared" si="2"/>
        <v>Entrada</v>
      </c>
      <c r="D41" s="1" t="str">
        <f t="shared" si="1"/>
        <v>Ativa</v>
      </c>
      <c r="E41" s="2" t="str">
        <f>"GERA AP, GERA OF, NÃO GERA CREDITO PIS C"</f>
        <v>GERA AP, GERA OF, NÃO GERA CREDITO PIS C</v>
      </c>
    </row>
    <row r="42" spans="1:5" x14ac:dyDescent="0.3">
      <c r="A42" s="12">
        <v>155605</v>
      </c>
      <c r="B42" s="1" t="str">
        <f>"COMPRA USO CONSUMO -SEM PIS COFINS"</f>
        <v>COMPRA USO CONSUMO -SEM PIS COFINS</v>
      </c>
      <c r="C42" s="1" t="str">
        <f t="shared" si="2"/>
        <v>Entrada</v>
      </c>
      <c r="D42" s="1" t="str">
        <f t="shared" si="1"/>
        <v>Ativa</v>
      </c>
      <c r="E42" s="2" t="str">
        <f>"NOTA FISCAL AVULSA"</f>
        <v>NOTA FISCAL AVULSA</v>
      </c>
    </row>
    <row r="43" spans="1:5" x14ac:dyDescent="0.3">
      <c r="A43" s="12">
        <v>155701</v>
      </c>
      <c r="B43" s="1" t="str">
        <f>"TRANSFERENCIA MAT USO CONSUMO"</f>
        <v>TRANSFERENCIA MAT USO CONSUMO</v>
      </c>
      <c r="C43" s="1" t="str">
        <f t="shared" si="2"/>
        <v>Entrada</v>
      </c>
      <c r="D43" s="1" t="str">
        <f t="shared" si="1"/>
        <v>Ativa</v>
      </c>
      <c r="E43" s="2" t="str">
        <f>"GERA OF, GERA FAT.  CFOP PARA TRANSFEREN"</f>
        <v>GERA OF, GERA FAT.  CFOP PARA TRANSFEREN</v>
      </c>
    </row>
    <row r="44" spans="1:5" x14ac:dyDescent="0.3">
      <c r="A44" s="12">
        <v>165301</v>
      </c>
      <c r="B44" s="1" t="str">
        <f>"COMPRA DE COMBUSTIVEL-PRODUÇÃO"</f>
        <v>COMPRA DE COMBUSTIVEL-PRODUÇÃO</v>
      </c>
      <c r="C44" s="1" t="str">
        <f t="shared" si="2"/>
        <v>Entrada</v>
      </c>
      <c r="D44" s="1" t="str">
        <f t="shared" si="1"/>
        <v>Ativa</v>
      </c>
      <c r="E44" s="2" t="str">
        <f>"GERA APB, GERA OF, TRIBUTA ICMS REDUÇÃO,"</f>
        <v>GERA APB, GERA OF, TRIBUTA ICMS REDUÇÃO,</v>
      </c>
    </row>
    <row r="45" spans="1:5" x14ac:dyDescent="0.3">
      <c r="A45" s="12">
        <v>165302</v>
      </c>
      <c r="B45" s="1" t="str">
        <f>"COMPRA DE COMBUSTIVEL-EMPILHADEIRA"</f>
        <v>COMPRA DE COMBUSTIVEL-EMPILHADEIRA</v>
      </c>
      <c r="C45" s="1" t="str">
        <f t="shared" si="2"/>
        <v>Entrada</v>
      </c>
      <c r="D45" s="1" t="str">
        <f t="shared" si="1"/>
        <v>Ativa</v>
      </c>
      <c r="E45" s="2" t="str">
        <f>"GERA APB, GERA OF, NÃO TEM CREDITO DE IC"</f>
        <v>GERA APB, GERA OF, NÃO TEM CREDITO DE IC</v>
      </c>
    </row>
    <row r="46" spans="1:5" x14ac:dyDescent="0.3">
      <c r="A46" s="12">
        <v>190101</v>
      </c>
      <c r="B46" s="1" t="str">
        <f>"REMESSA(ENTRADA) P/INDUSTRIALIZACAO"</f>
        <v>REMESSA(ENTRADA) P/INDUSTRIALIZACAO</v>
      </c>
      <c r="C46" s="1" t="str">
        <f t="shared" si="2"/>
        <v>Entrada</v>
      </c>
      <c r="D46" s="1" t="str">
        <f t="shared" si="1"/>
        <v>Ativa</v>
      </c>
      <c r="E46" s="2" t="str">
        <f>"GERA OF, MOVTO TERCEIROS"</f>
        <v>GERA OF, MOVTO TERCEIROS</v>
      </c>
    </row>
    <row r="47" spans="1:5" x14ac:dyDescent="0.3">
      <c r="A47" s="12">
        <v>190201</v>
      </c>
      <c r="B47" s="1" t="str">
        <f>"RETORNO INDUSTRIALIZACAO"</f>
        <v>RETORNO INDUSTRIALIZACAO</v>
      </c>
      <c r="C47" s="1" t="str">
        <f t="shared" si="2"/>
        <v>Entrada</v>
      </c>
      <c r="D47" s="1" t="str">
        <f t="shared" si="1"/>
        <v>Ativa</v>
      </c>
      <c r="E47" s="2" t="str">
        <f>"GERA OF, MOVTO TERCEIROS"</f>
        <v>GERA OF, MOVTO TERCEIROS</v>
      </c>
    </row>
    <row r="48" spans="1:5" x14ac:dyDescent="0.3">
      <c r="A48" s="12">
        <v>190301</v>
      </c>
      <c r="B48" s="1" t="str">
        <f>"ENTRADA MERC REMET INDUSTRIALIZACA"</f>
        <v>ENTRADA MERC REMET INDUSTRIALIZACA</v>
      </c>
      <c r="C48" s="1" t="str">
        <f t="shared" si="2"/>
        <v>Entrada</v>
      </c>
      <c r="D48" s="1" t="str">
        <f t="shared" si="1"/>
        <v>Ativa</v>
      </c>
      <c r="E48" s="2" t="str">
        <f>"GERA OF, MOVTO TERCEIROS  1.903 - Entrad"</f>
        <v>GERA OF, MOVTO TERCEIROS  1.903 - Entrad</v>
      </c>
    </row>
    <row r="49" spans="1:5" x14ac:dyDescent="0.3">
      <c r="A49" s="12">
        <v>190601</v>
      </c>
      <c r="B49" s="1" t="str">
        <f>"RETORNO MERCAD REMET PARA ARMAZEM G"</f>
        <v>RETORNO MERCAD REMET PARA ARMAZEM G</v>
      </c>
      <c r="C49" s="1" t="str">
        <f t="shared" si="2"/>
        <v>Entrada</v>
      </c>
      <c r="D49" s="1" t="str">
        <f t="shared" si="1"/>
        <v>Ativa</v>
      </c>
      <c r="E49" s="2" t="str">
        <f>"GERA OF, MOVTO TERC.. Maxton / AUG"</f>
        <v>GERA OF, MOVTO TERC.. Maxton / AUG</v>
      </c>
    </row>
    <row r="50" spans="1:5" x14ac:dyDescent="0.3">
      <c r="A50" s="12">
        <v>190801</v>
      </c>
      <c r="B50" s="1" t="str">
        <f>"ENTRADA DE BEM EM COMODATO"</f>
        <v>ENTRADA DE BEM EM COMODATO</v>
      </c>
      <c r="C50" s="1" t="str">
        <f t="shared" si="2"/>
        <v>Entrada</v>
      </c>
      <c r="D50" s="1" t="str">
        <f t="shared" si="1"/>
        <v>Ativa</v>
      </c>
      <c r="E50" s="2" t="str">
        <f>"GERA OF, MOVTO TERCEIROS"</f>
        <v>GERA OF, MOVTO TERCEIROS</v>
      </c>
    </row>
    <row r="51" spans="1:5" x14ac:dyDescent="0.3">
      <c r="A51" s="12">
        <v>190901</v>
      </c>
      <c r="B51" s="1" t="str">
        <f>"RETORNO BEM REMETIDO P/ COMODATO"</f>
        <v>RETORNO BEM REMETIDO P/ COMODATO</v>
      </c>
      <c r="C51" s="1" t="str">
        <f t="shared" si="2"/>
        <v>Entrada</v>
      </c>
      <c r="D51" s="1" t="str">
        <f t="shared" si="1"/>
        <v>Ativa</v>
      </c>
      <c r="E51" s="2" t="str">
        <f>"GERA OF, MOVTO TERCEIROS"</f>
        <v>GERA OF, MOVTO TERCEIROS</v>
      </c>
    </row>
    <row r="52" spans="1:5" x14ac:dyDescent="0.3">
      <c r="A52" s="12">
        <v>191001</v>
      </c>
      <c r="B52" s="1" t="str">
        <f>"ENTRADA BONIFICAÇÃO/BRINDE/DOAÇÃO"</f>
        <v>ENTRADA BONIFICAÇÃO/BRINDE/DOAÇÃO</v>
      </c>
      <c r="C52" s="1" t="str">
        <f t="shared" si="2"/>
        <v>Entrada</v>
      </c>
      <c r="D52" s="1" t="str">
        <f t="shared" si="1"/>
        <v>Ativa</v>
      </c>
      <c r="E52" s="2" t="str">
        <f>"GERA OF."</f>
        <v>GERA OF.</v>
      </c>
    </row>
    <row r="53" spans="1:5" x14ac:dyDescent="0.3">
      <c r="A53" s="12">
        <v>191101</v>
      </c>
      <c r="B53" s="1" t="str">
        <f>"AMOSTRA GRÁTIS"</f>
        <v>AMOSTRA GRÁTIS</v>
      </c>
      <c r="C53" s="1" t="str">
        <f t="shared" si="2"/>
        <v>Entrada</v>
      </c>
      <c r="D53" s="1" t="str">
        <f t="shared" si="1"/>
        <v>Ativa</v>
      </c>
      <c r="E53" s="2" t="str">
        <f>"GERA OF"</f>
        <v>GERA OF</v>
      </c>
    </row>
    <row r="54" spans="1:5" x14ac:dyDescent="0.3">
      <c r="A54" s="12">
        <v>191201</v>
      </c>
      <c r="B54" s="1" t="str">
        <f>"ENTRADA P/DEMONSTRAÇÃO C/ ESTOQUE"</f>
        <v>ENTRADA P/DEMONSTRAÇÃO C/ ESTOQUE</v>
      </c>
      <c r="C54" s="1" t="str">
        <f t="shared" si="2"/>
        <v>Entrada</v>
      </c>
      <c r="D54" s="1" t="str">
        <f t="shared" si="1"/>
        <v>Ativa</v>
      </c>
      <c r="E54" s="2" t="str">
        <f>"GERA OF, MOVTO TERC."</f>
        <v>GERA OF, MOVTO TERC.</v>
      </c>
    </row>
    <row r="55" spans="1:5" x14ac:dyDescent="0.3">
      <c r="A55" s="12">
        <v>191202</v>
      </c>
      <c r="B55" s="1" t="str">
        <f>"ENTRADA P/DEMONSTRAÇÃO S/ ESTOQUE"</f>
        <v>ENTRADA P/DEMONSTRAÇÃO S/ ESTOQUE</v>
      </c>
      <c r="C55" s="1" t="str">
        <f t="shared" si="2"/>
        <v>Entrada</v>
      </c>
      <c r="D55" s="1" t="str">
        <f t="shared" si="1"/>
        <v>Ativa</v>
      </c>
      <c r="E55" s="2" t="str">
        <f>"GERA OF, MOVTO TERC."</f>
        <v>GERA OF, MOVTO TERC.</v>
      </c>
    </row>
    <row r="56" spans="1:5" x14ac:dyDescent="0.3">
      <c r="A56" s="12">
        <v>191301</v>
      </c>
      <c r="B56" s="1" t="str">
        <f>"RETORNO DE DEMONSTRAÇÃO C/ ESTOQUE"</f>
        <v>RETORNO DE DEMONSTRAÇÃO C/ ESTOQUE</v>
      </c>
      <c r="C56" s="1" t="str">
        <f t="shared" si="2"/>
        <v>Entrada</v>
      </c>
      <c r="D56" s="1" t="str">
        <f t="shared" si="1"/>
        <v>Ativa</v>
      </c>
      <c r="E56" s="2" t="str">
        <f>"GERA OF, MOVTO TERC."</f>
        <v>GERA OF, MOVTO TERC.</v>
      </c>
    </row>
    <row r="57" spans="1:5" x14ac:dyDescent="0.3">
      <c r="A57" s="12">
        <v>191302</v>
      </c>
      <c r="B57" s="1" t="str">
        <f>"RETORNO DE DEMONSTRAÇÃO S/ ESTOQUE"</f>
        <v>RETORNO DE DEMONSTRAÇÃO S/ ESTOQUE</v>
      </c>
      <c r="C57" s="1" t="str">
        <f t="shared" si="2"/>
        <v>Entrada</v>
      </c>
      <c r="D57" s="1" t="str">
        <f t="shared" si="1"/>
        <v>Ativa</v>
      </c>
      <c r="E57" s="2" t="str">
        <f>"GERA OF, MOVTO TERC. GERA FATURAMENTO"</f>
        <v>GERA OF, MOVTO TERC. GERA FATURAMENTO</v>
      </c>
    </row>
    <row r="58" spans="1:5" x14ac:dyDescent="0.3">
      <c r="A58" s="12">
        <v>191303</v>
      </c>
      <c r="B58" s="1" t="str">
        <f>"RETORNO DE DEMONSTRAÇÃO S/ TERCEIRO"</f>
        <v>RETORNO DE DEMONSTRAÇÃO S/ TERCEIRO</v>
      </c>
      <c r="C58" s="1" t="str">
        <f t="shared" si="2"/>
        <v>Entrada</v>
      </c>
      <c r="D58" s="1" t="str">
        <f t="shared" si="1"/>
        <v>Ativa</v>
      </c>
      <c r="E58" s="2" t="str">
        <f>"GERA OF, Ñ MOVTO TERC."</f>
        <v>GERA OF, Ñ MOVTO TERC.</v>
      </c>
    </row>
    <row r="59" spans="1:5" x14ac:dyDescent="0.3">
      <c r="A59" s="12">
        <v>191401</v>
      </c>
      <c r="B59" s="1" t="str">
        <f>"RETORNO DE EXPOSIÇÃO/FEIRA"</f>
        <v>RETORNO DE EXPOSIÇÃO/FEIRA</v>
      </c>
      <c r="C59" s="1" t="str">
        <f t="shared" si="2"/>
        <v>Entrada</v>
      </c>
      <c r="D59" s="1" t="str">
        <f t="shared" si="1"/>
        <v>Ativa</v>
      </c>
      <c r="E59" s="2" t="str">
        <f>"Na pasta ""Adicionais"", botão ""Tipo de Co"</f>
        <v>Na pasta "Adicionais", botão "Tipo de Co</v>
      </c>
    </row>
    <row r="60" spans="1:5" x14ac:dyDescent="0.3">
      <c r="A60" s="12">
        <v>191501</v>
      </c>
      <c r="B60" s="1" t="str">
        <f>"REMESSA PARA CONSERTO/REPARO ENT"</f>
        <v>REMESSA PARA CONSERTO/REPARO ENT</v>
      </c>
      <c r="C60" s="1" t="str">
        <f t="shared" si="2"/>
        <v>Entrada</v>
      </c>
      <c r="D60" s="1" t="str">
        <f t="shared" si="1"/>
        <v>Ativa</v>
      </c>
      <c r="E60" s="2" t="str">
        <f>"GERA OF, MOVTO TERC."</f>
        <v>GERA OF, MOVTO TERC.</v>
      </c>
    </row>
    <row r="61" spans="1:5" x14ac:dyDescent="0.3">
      <c r="A61" s="12">
        <v>191601</v>
      </c>
      <c r="B61" s="1" t="str">
        <f>"RETORNO DE CONSERTO/REPARO"</f>
        <v>RETORNO DE CONSERTO/REPARO</v>
      </c>
      <c r="C61" s="1" t="str">
        <f t="shared" si="2"/>
        <v>Entrada</v>
      </c>
      <c r="D61" s="1" t="str">
        <f t="shared" si="1"/>
        <v>Ativa</v>
      </c>
      <c r="E61" s="2" t="str">
        <f>"GERA OF, MOVTO TERC."</f>
        <v>GERA OF, MOVTO TERC.</v>
      </c>
    </row>
    <row r="62" spans="1:5" x14ac:dyDescent="0.3">
      <c r="A62" s="12">
        <v>191602</v>
      </c>
      <c r="B62" s="1" t="str">
        <f>"RETORNO DE CONSERTO/REPARO RECUSA"</f>
        <v>RETORNO DE CONSERTO/REPARO RECUSA</v>
      </c>
      <c r="C62" s="1" t="str">
        <f t="shared" si="2"/>
        <v>Entrada</v>
      </c>
      <c r="D62" s="1" t="str">
        <f t="shared" si="1"/>
        <v>Ativa</v>
      </c>
      <c r="E62" s="2" t="str">
        <f>"GERA OF, MOVTO TERC. GERA FATURAMENTO."</f>
        <v>GERA OF, MOVTO TERC. GERA FATURAMENTO.</v>
      </c>
    </row>
    <row r="63" spans="1:5" x14ac:dyDescent="0.3">
      <c r="A63" s="12">
        <v>192001</v>
      </c>
      <c r="B63" s="1" t="str">
        <f>"REMESSA DE EMBALAGEM (entrada)"</f>
        <v>REMESSA DE EMBALAGEM (entrada)</v>
      </c>
      <c r="C63" s="1" t="str">
        <f t="shared" si="2"/>
        <v>Entrada</v>
      </c>
      <c r="D63" s="1" t="str">
        <f t="shared" si="1"/>
        <v>Ativa</v>
      </c>
      <c r="E63" s="2" t="str">
        <f>"GERA OF."</f>
        <v>GERA OF.</v>
      </c>
    </row>
    <row r="64" spans="1:5" x14ac:dyDescent="0.3">
      <c r="A64" s="12">
        <v>192101</v>
      </c>
      <c r="B64" s="1" t="str">
        <f>"RETORNO DE EMBALAGEM"</f>
        <v>RETORNO DE EMBALAGEM</v>
      </c>
      <c r="C64" s="1" t="str">
        <f t="shared" si="2"/>
        <v>Entrada</v>
      </c>
      <c r="D64" s="1" t="str">
        <f t="shared" si="1"/>
        <v>Ativa</v>
      </c>
      <c r="E64" s="2" t="str">
        <f>"GERA OF, GERA OP. TERC."</f>
        <v>GERA OF, GERA OP. TERC.</v>
      </c>
    </row>
    <row r="65" spans="1:5" x14ac:dyDescent="0.3">
      <c r="A65" s="12">
        <v>192110</v>
      </c>
      <c r="B65" s="1" t="str">
        <f>"RETORNO DE EMBALAGEM-ANULACAO SAIDA"</f>
        <v>RETORNO DE EMBALAGEM-ANULACAO SAIDA</v>
      </c>
      <c r="C65" s="1" t="str">
        <f t="shared" si="2"/>
        <v>Entrada</v>
      </c>
      <c r="D65" s="1" t="str">
        <f t="shared" si="1"/>
        <v>Ativa</v>
      </c>
      <c r="E65" s="2" t="str">
        <f>"UTILIZAR PARA ANULAR REMESSA DE PALLETS"</f>
        <v>UTILIZAR PARA ANULAR REMESSA DE PALLETS</v>
      </c>
    </row>
    <row r="66" spans="1:5" x14ac:dyDescent="0.3">
      <c r="A66" s="12">
        <v>192203</v>
      </c>
      <c r="B66" s="1" t="str">
        <f>"ENTRADA SIMPLES FATURAMENTO"</f>
        <v>ENTRADA SIMPLES FATURAMENTO</v>
      </c>
      <c r="C66" s="1" t="str">
        <f t="shared" si="2"/>
        <v>Entrada</v>
      </c>
      <c r="D66" s="1" t="str">
        <f t="shared" ref="D66:D129" si="3">"Ativa"</f>
        <v>Ativa</v>
      </c>
      <c r="E66" s="2" t="str">
        <f>"GERA OF, GERA MOV TERC"</f>
        <v>GERA OF, GERA MOV TERC</v>
      </c>
    </row>
    <row r="67" spans="1:5" x14ac:dyDescent="0.3">
      <c r="A67" s="12">
        <v>192204</v>
      </c>
      <c r="B67" s="1" t="str">
        <f>"ENTRADA SIMPLES FATURAMENTO"</f>
        <v>ENTRADA SIMPLES FATURAMENTO</v>
      </c>
      <c r="C67" s="1" t="str">
        <f t="shared" si="2"/>
        <v>Entrada</v>
      </c>
      <c r="D67" s="1" t="str">
        <f t="shared" si="3"/>
        <v>Ativa</v>
      </c>
      <c r="E67" s="2" t="str">
        <f>"GERA OF, GERA MOV TERC"</f>
        <v>GERA OF, GERA MOV TERC</v>
      </c>
    </row>
    <row r="68" spans="1:5" x14ac:dyDescent="0.3">
      <c r="A68" s="12">
        <v>192301</v>
      </c>
      <c r="B68" s="1" t="str">
        <f>"REMESSA ORDEM"</f>
        <v>REMESSA ORDEM</v>
      </c>
      <c r="C68" s="1" t="str">
        <f t="shared" si="2"/>
        <v>Entrada</v>
      </c>
      <c r="D68" s="1" t="str">
        <f t="shared" si="3"/>
        <v>Ativa</v>
      </c>
      <c r="E68" s="2" t="str">
        <f>"GERA OF, GERA OP. TERC."</f>
        <v>GERA OF, GERA OP. TERC.</v>
      </c>
    </row>
    <row r="69" spans="1:5" x14ac:dyDescent="0.3">
      <c r="A69" s="12">
        <v>192401</v>
      </c>
      <c r="B69" s="1" t="str">
        <f>"ENTRADA INDUSTRIALIZACAO S/TRANSIT"</f>
        <v>ENTRADA INDUSTRIALIZACAO S/TRANSIT</v>
      </c>
      <c r="C69" s="1" t="str">
        <f t="shared" si="2"/>
        <v>Entrada</v>
      </c>
      <c r="D69" s="1" t="str">
        <f t="shared" si="3"/>
        <v>Ativa</v>
      </c>
      <c r="E69" s="2" t="str">
        <f>"GERA OF, MOVTO TERC."</f>
        <v>GERA OF, MOVTO TERC.</v>
      </c>
    </row>
    <row r="70" spans="1:5" x14ac:dyDescent="0.3">
      <c r="A70" s="12">
        <v>192501</v>
      </c>
      <c r="B70" s="1" t="str">
        <f>"RETORNO INDUSTRIALIZACAO S/TRANSIT"</f>
        <v>RETORNO INDUSTRIALIZACAO S/TRANSIT</v>
      </c>
      <c r="C70" s="1" t="str">
        <f t="shared" si="2"/>
        <v>Entrada</v>
      </c>
      <c r="D70" s="1" t="str">
        <f t="shared" si="3"/>
        <v>Ativa</v>
      </c>
      <c r="E70" s="2" t="str">
        <f>"GERA OF, MOVTO TERC."</f>
        <v>GERA OF, MOVTO TERC.</v>
      </c>
    </row>
    <row r="71" spans="1:5" x14ac:dyDescent="0.3">
      <c r="A71" s="12">
        <v>193301</v>
      </c>
      <c r="B71" s="1" t="str">
        <f>"SERVICOS TRIBUTADOS C/ PIS E COFINS"</f>
        <v>SERVICOS TRIBUTADOS C/ PIS E COFINS</v>
      </c>
      <c r="C71" s="1" t="str">
        <f>"Serviço"</f>
        <v>Serviço</v>
      </c>
      <c r="D71" s="1" t="str">
        <f t="shared" si="3"/>
        <v>Ativa</v>
      </c>
      <c r="E71" s="2" t="str">
        <f>"GERA CONTAS A PAGAR, OF, GERA PIS E COFI"</f>
        <v>GERA CONTAS A PAGAR, OF, GERA PIS E COFI</v>
      </c>
    </row>
    <row r="72" spans="1:5" x14ac:dyDescent="0.3">
      <c r="A72" s="12">
        <v>193302</v>
      </c>
      <c r="B72" s="1" t="str">
        <f>"SERVICOS GERA OF SEM PIS COFINS"</f>
        <v>SERVICOS GERA OF SEM PIS COFINS</v>
      </c>
      <c r="C72" s="1" t="str">
        <f t="shared" ref="C72:C103" si="4">"Entrada"</f>
        <v>Entrada</v>
      </c>
      <c r="D72" s="1" t="str">
        <f t="shared" si="3"/>
        <v>Ativa</v>
      </c>
      <c r="E72" s="2" t="str">
        <f>"GERA CONTAS A PAGAR, OF"</f>
        <v>GERA CONTAS A PAGAR, OF</v>
      </c>
    </row>
    <row r="73" spans="1:5" x14ac:dyDescent="0.3">
      <c r="A73" s="12">
        <v>193391</v>
      </c>
      <c r="B73" s="1" t="str">
        <f>"SERVICOS -GERA PIS COFINS"</f>
        <v>SERVICOS -GERA PIS COFINS</v>
      </c>
      <c r="C73" s="1" t="str">
        <f t="shared" si="4"/>
        <v>Entrada</v>
      </c>
      <c r="D73" s="1" t="str">
        <f t="shared" si="3"/>
        <v>Ativa</v>
      </c>
      <c r="E73" s="2" t="str">
        <f>"GERA CONTAS A PAGAR, GERA PIS COFINS."</f>
        <v>GERA CONTAS A PAGAR, GERA PIS COFINS.</v>
      </c>
    </row>
    <row r="74" spans="1:5" x14ac:dyDescent="0.3">
      <c r="A74" s="12">
        <v>193392</v>
      </c>
      <c r="B74" s="1" t="str">
        <f>"SERVICOS - SEM PIS COFINS"</f>
        <v>SERVICOS - SEM PIS COFINS</v>
      </c>
      <c r="C74" s="1" t="str">
        <f t="shared" si="4"/>
        <v>Entrada</v>
      </c>
      <c r="D74" s="1" t="str">
        <f t="shared" si="3"/>
        <v>Ativa</v>
      </c>
      <c r="E74" s="2" t="str">
        <f>"GERA CONTAS A PAGAR, NAO CREDITA PIS COF"</f>
        <v>GERA CONTAS A PAGAR, NAO CREDITA PIS COF</v>
      </c>
    </row>
    <row r="75" spans="1:5" x14ac:dyDescent="0.3">
      <c r="A75" s="12">
        <v>193393</v>
      </c>
      <c r="B75" s="1" t="str">
        <f>"SERVICO - C/PIS COFINS - RATEIO TCP"</f>
        <v>SERVICO - C/PIS COFINS - RATEIO TCP</v>
      </c>
      <c r="C75" s="1" t="str">
        <f t="shared" si="4"/>
        <v>Entrada</v>
      </c>
      <c r="D75" s="1" t="str">
        <f t="shared" si="3"/>
        <v>Ativa</v>
      </c>
      <c r="E75" s="2" t="str">
        <f>"GERA CONTAS A PAGAR, NFS TCP, AGILITY"</f>
        <v>GERA CONTAS A PAGAR, NFS TCP, AGILITY</v>
      </c>
    </row>
    <row r="76" spans="1:5" x14ac:dyDescent="0.3">
      <c r="A76" s="12">
        <v>193394</v>
      </c>
      <c r="B76" s="1" t="str">
        <f>"SERVICO - SEM PIS COFINS - RAT"</f>
        <v>SERVICO - SEM PIS COFINS - RAT</v>
      </c>
      <c r="C76" s="1" t="str">
        <f t="shared" si="4"/>
        <v>Entrada</v>
      </c>
      <c r="D76" s="1" t="str">
        <f t="shared" si="3"/>
        <v>Ativa</v>
      </c>
      <c r="E76" s="2" t="str">
        <f>"GERA CONTAS A PAGAR, NAO CREDITA PIS COF"</f>
        <v>GERA CONTAS A PAGAR, NAO CREDITA PIS COF</v>
      </c>
    </row>
    <row r="77" spans="1:5" x14ac:dyDescent="0.3">
      <c r="A77" s="12">
        <v>193395</v>
      </c>
      <c r="B77" s="1" t="str">
        <f>"SERVICOS -GERA PIS COFINS INVESTIM."</f>
        <v>SERVICOS -GERA PIS COFINS INVESTIM.</v>
      </c>
      <c r="C77" s="1" t="str">
        <f t="shared" si="4"/>
        <v>Entrada</v>
      </c>
      <c r="D77" s="1" t="str">
        <f t="shared" si="3"/>
        <v>Ativa</v>
      </c>
      <c r="E77" s="2" t="str">
        <f>"GERA CONTAS A PAGAR, GERA PIS COFINS."</f>
        <v>GERA CONTAS A PAGAR, GERA PIS COFINS.</v>
      </c>
    </row>
    <row r="78" spans="1:5" x14ac:dyDescent="0.3">
      <c r="A78" s="12">
        <v>194901</v>
      </c>
      <c r="B78" s="1" t="str">
        <f>"OUTRAS ENTRADAS DE NFE"</f>
        <v>OUTRAS ENTRADAS DE NFE</v>
      </c>
      <c r="C78" s="1" t="str">
        <f t="shared" si="4"/>
        <v>Entrada</v>
      </c>
      <c r="D78" s="1" t="str">
        <f t="shared" si="3"/>
        <v>Ativa</v>
      </c>
      <c r="E78" s="2" t="str">
        <f>"GERA CONTAS A PAGAR - CFOP PARA OUTRAS E"</f>
        <v>GERA CONTAS A PAGAR - CFOP PARA OUTRAS E</v>
      </c>
    </row>
    <row r="79" spans="1:5" x14ac:dyDescent="0.3">
      <c r="A79" s="12">
        <v>194902</v>
      </c>
      <c r="B79" s="1" t="str">
        <f>"REMESSA PARA LOCAÇÃO (entrada)"</f>
        <v>REMESSA PARA LOCAÇÃO (entrada)</v>
      </c>
      <c r="C79" s="1" t="str">
        <f t="shared" si="4"/>
        <v>Entrada</v>
      </c>
      <c r="D79" s="1" t="str">
        <f t="shared" si="3"/>
        <v>Ativa</v>
      </c>
      <c r="E79" s="2" t="str">
        <f>"GERA OF, GERA MOV. TERC."</f>
        <v>GERA OF, GERA MOV. TERC.</v>
      </c>
    </row>
    <row r="80" spans="1:5" x14ac:dyDescent="0.3">
      <c r="A80" s="12">
        <v>194903</v>
      </c>
      <c r="B80" s="1" t="str">
        <f>"RETORNO EMPRESTIMO"</f>
        <v>RETORNO EMPRESTIMO</v>
      </c>
      <c r="C80" s="1" t="str">
        <f t="shared" si="4"/>
        <v>Entrada</v>
      </c>
      <c r="D80" s="1" t="str">
        <f t="shared" si="3"/>
        <v>Ativa</v>
      </c>
      <c r="E80" s="2" t="str">
        <f>"GERA OF, MOVTO TERCEIROS"</f>
        <v>GERA OF, MOVTO TERCEIROS</v>
      </c>
    </row>
    <row r="81" spans="1:5" x14ac:dyDescent="0.3">
      <c r="A81" s="12">
        <v>194905</v>
      </c>
      <c r="B81" s="1" t="str">
        <f>"OUTRAS ENTRADAS - RECUSAS NF ACR"</f>
        <v>OUTRAS ENTRADAS - RECUSAS NF ACR</v>
      </c>
      <c r="C81" s="1" t="str">
        <f t="shared" si="4"/>
        <v>Entrada</v>
      </c>
      <c r="D81" s="1" t="str">
        <f t="shared" si="3"/>
        <v>Ativa</v>
      </c>
      <c r="E81" s="2" t="str">
        <f>"GERA OF, MOVTO TERCEIROS  CFOP PARA RECU"</f>
        <v>GERA OF, MOVTO TERCEIROS  CFOP PARA RECU</v>
      </c>
    </row>
    <row r="82" spans="1:5" x14ac:dyDescent="0.3">
      <c r="A82" s="12">
        <v>194906</v>
      </c>
      <c r="B82" s="1" t="str">
        <f>"DEV VEND COM FIM ESPEC DE EXP"</f>
        <v>DEV VEND COM FIM ESPEC DE EXP</v>
      </c>
      <c r="C82" s="1" t="str">
        <f t="shared" si="4"/>
        <v>Entrada</v>
      </c>
      <c r="D82" s="1" t="str">
        <f t="shared" si="3"/>
        <v>Ativa</v>
      </c>
      <c r="E82" s="2" t="str">
        <f>""</f>
        <v/>
      </c>
    </row>
    <row r="83" spans="1:5" x14ac:dyDescent="0.3">
      <c r="A83" s="12">
        <v>194908</v>
      </c>
      <c r="B83" s="1" t="str">
        <f>"ENTRADA DE MATERIAL PARA TESTE"</f>
        <v>ENTRADA DE MATERIAL PARA TESTE</v>
      </c>
      <c r="C83" s="1" t="str">
        <f t="shared" si="4"/>
        <v>Entrada</v>
      </c>
      <c r="D83" s="1" t="str">
        <f t="shared" si="3"/>
        <v>Ativa</v>
      </c>
      <c r="E83" s="2" t="str">
        <f>"GERA OF, MOVTO TERCEIROS"</f>
        <v>GERA OF, MOVTO TERCEIROS</v>
      </c>
    </row>
    <row r="84" spans="1:5" x14ac:dyDescent="0.3">
      <c r="A84" s="12">
        <v>194911</v>
      </c>
      <c r="B84" s="1" t="str">
        <f>"RETORNO MERCADORIA ENVIADA TESTE"</f>
        <v>RETORNO MERCADORIA ENVIADA TESTE</v>
      </c>
      <c r="C84" s="1" t="str">
        <f t="shared" si="4"/>
        <v>Entrada</v>
      </c>
      <c r="D84" s="1" t="str">
        <f t="shared" si="3"/>
        <v>Ativa</v>
      </c>
      <c r="E84" s="2" t="str">
        <f>"GERA OF, MOVTO TERCEIROS"</f>
        <v>GERA OF, MOVTO TERCEIROS</v>
      </c>
    </row>
    <row r="85" spans="1:5" x14ac:dyDescent="0.3">
      <c r="A85" s="12">
        <v>194917</v>
      </c>
      <c r="B85" s="1" t="str">
        <f>"OUTRAS ENTRADAS - EMPRESTIMOS"</f>
        <v>OUTRAS ENTRADAS - EMPRESTIMOS</v>
      </c>
      <c r="C85" s="1" t="str">
        <f t="shared" si="4"/>
        <v>Entrada</v>
      </c>
      <c r="D85" s="1" t="str">
        <f t="shared" si="3"/>
        <v>Ativa</v>
      </c>
      <c r="E85" s="2" t="str">
        <f>"GERA OF, GERA MOV. TERC. - UTILIZADO PAR"</f>
        <v>GERA OF, GERA MOV. TERC. - UTILIZADO PAR</v>
      </c>
    </row>
    <row r="86" spans="1:5" x14ac:dyDescent="0.3">
      <c r="A86" s="12">
        <v>194918</v>
      </c>
      <c r="B86" s="1" t="str">
        <f>"OUTRAS ENTRADAS COMPL ICMS OP TRIAN"</f>
        <v>OUTRAS ENTRADAS COMPL ICMS OP TRIAN</v>
      </c>
      <c r="C86" s="1" t="str">
        <f t="shared" si="4"/>
        <v>Entrada</v>
      </c>
      <c r="D86" s="1" t="str">
        <f t="shared" si="3"/>
        <v>Ativa</v>
      </c>
      <c r="E86" s="2" t="str">
        <f>"GERA OF  CFOP PARA NFS DE COMPLEMENTO IC"</f>
        <v>GERA OF  CFOP PARA NFS DE COMPLEMENTO IC</v>
      </c>
    </row>
    <row r="87" spans="1:5" x14ac:dyDescent="0.3">
      <c r="A87" s="12">
        <v>194919</v>
      </c>
      <c r="B87" s="1" t="str">
        <f>"OUTRAS ENTRADAS - RECUSA IND"</f>
        <v>OUTRAS ENTRADAS - RECUSA IND</v>
      </c>
      <c r="C87" s="1" t="str">
        <f t="shared" si="4"/>
        <v>Entrada</v>
      </c>
      <c r="D87" s="1" t="str">
        <f t="shared" si="3"/>
        <v>Ativa</v>
      </c>
      <c r="E87" s="2" t="str">
        <f>"GERA OF,  GERA DUPLICATA.  CFOP PARA REC"</f>
        <v>GERA OF,  GERA DUPLICATA.  CFOP PARA REC</v>
      </c>
    </row>
    <row r="88" spans="1:5" x14ac:dyDescent="0.3">
      <c r="A88" s="12">
        <v>194920</v>
      </c>
      <c r="B88" s="1" t="str">
        <f>"OUTRAS ENTRADAS - RECUSA RET IND"</f>
        <v>OUTRAS ENTRADAS - RECUSA RET IND</v>
      </c>
      <c r="C88" s="1" t="str">
        <f t="shared" si="4"/>
        <v>Entrada</v>
      </c>
      <c r="D88" s="1" t="str">
        <f t="shared" si="3"/>
        <v>Ativa</v>
      </c>
      <c r="E88" s="2" t="str">
        <f>"GERA OF, GERA MOV. TERC.  CFOP PARA RECU"</f>
        <v>GERA OF, GERA MOV. TERC.  CFOP PARA RECU</v>
      </c>
    </row>
    <row r="89" spans="1:5" x14ac:dyDescent="0.3">
      <c r="A89" s="12">
        <v>194921</v>
      </c>
      <c r="B89" s="1" t="str">
        <f>"OUTRAS ENTRADAS - RECUSA NF REMESSA"</f>
        <v>OUTRAS ENTRADAS - RECUSA NF REMESSA</v>
      </c>
      <c r="C89" s="1" t="str">
        <f t="shared" si="4"/>
        <v>Entrada</v>
      </c>
      <c r="D89" s="1" t="str">
        <f t="shared" si="3"/>
        <v>Ativa</v>
      </c>
      <c r="E89" s="2" t="str">
        <f>"GERA OF, GERA MOV. TERC., GERA MOVTO EST"</f>
        <v>GERA OF, GERA MOV. TERC., GERA MOVTO EST</v>
      </c>
    </row>
    <row r="90" spans="1:5" x14ac:dyDescent="0.3">
      <c r="A90" s="12">
        <v>194922</v>
      </c>
      <c r="B90" s="1" t="str">
        <f>"OUTRAS ENTRADAS - SOMENTE OF"</f>
        <v>OUTRAS ENTRADAS - SOMENTE OF</v>
      </c>
      <c r="C90" s="1" t="str">
        <f t="shared" si="4"/>
        <v>Entrada</v>
      </c>
      <c r="D90" s="1" t="str">
        <f t="shared" si="3"/>
        <v>Ativa</v>
      </c>
      <c r="E90" s="2" t="str">
        <f>"GERA OF, CFOP PARA REGULARIZAÇÃO DAS NOT"</f>
        <v>GERA OF, CFOP PARA REGULARIZAÇÃO DAS NOT</v>
      </c>
    </row>
    <row r="91" spans="1:5" x14ac:dyDescent="0.3">
      <c r="A91" s="12">
        <v>194923</v>
      </c>
      <c r="B91" s="1" t="str">
        <f>"OUTRAS ENTRADAS - RECUSA REM IND"</f>
        <v>OUTRAS ENTRADAS - RECUSA REM IND</v>
      </c>
      <c r="C91" s="1" t="str">
        <f t="shared" si="4"/>
        <v>Entrada</v>
      </c>
      <c r="D91" s="1" t="str">
        <f t="shared" si="3"/>
        <v>Ativa</v>
      </c>
      <c r="E91" s="2" t="str">
        <f>"GERA OF, GERA MOV. TERC.  ACERTO REFEREN"</f>
        <v>GERA OF, GERA MOV. TERC.  ACERTO REFEREN</v>
      </c>
    </row>
    <row r="92" spans="1:5" x14ac:dyDescent="0.3">
      <c r="A92" s="12">
        <v>194924</v>
      </c>
      <c r="B92" s="1" t="str">
        <f>"OUTRAS ENTRADAS DE NFE"</f>
        <v>OUTRAS ENTRADAS DE NFE</v>
      </c>
      <c r="C92" s="1" t="str">
        <f t="shared" si="4"/>
        <v>Entrada</v>
      </c>
      <c r="D92" s="1" t="str">
        <f t="shared" si="3"/>
        <v>Ativa</v>
      </c>
      <c r="E92" s="2" t="str">
        <f>"CFOP PARA OUTRAS ENTRADAS DE NFE NÃO ESP"</f>
        <v>CFOP PARA OUTRAS ENTRADAS DE NFE NÃO ESP</v>
      </c>
    </row>
    <row r="93" spans="1:5" x14ac:dyDescent="0.3">
      <c r="A93" s="12">
        <v>199901</v>
      </c>
      <c r="B93" s="1" t="str">
        <f>"SERVIÇOS- FATURAS"</f>
        <v>SERVIÇOS- FATURAS</v>
      </c>
      <c r="C93" s="1" t="str">
        <f t="shared" si="4"/>
        <v>Entrada</v>
      </c>
      <c r="D93" s="1" t="str">
        <f t="shared" si="3"/>
        <v>Ativa</v>
      </c>
      <c r="E93" s="2" t="str">
        <f>"GERA CONTAS A PAGAR, NAO GERA OF, NAO CR"</f>
        <v>GERA CONTAS A PAGAR, NAO GERA OF, NAO CR</v>
      </c>
    </row>
    <row r="94" spans="1:5" x14ac:dyDescent="0.3">
      <c r="A94" s="12">
        <v>199902</v>
      </c>
      <c r="B94" s="1" t="str">
        <f>"SERVIÇOS- FATURAS ATUALIZA OF"</f>
        <v>SERVIÇOS- FATURAS ATUALIZA OF</v>
      </c>
      <c r="C94" s="1" t="str">
        <f t="shared" si="4"/>
        <v>Entrada</v>
      </c>
      <c r="D94" s="1" t="str">
        <f t="shared" si="3"/>
        <v>Ativa</v>
      </c>
      <c r="E94" s="2" t="str">
        <f>"GERA CONTAS A PAGAR, GERA OF, CREDITA PI"</f>
        <v>GERA CONTAS A PAGAR, GERA OF, CREDITA PI</v>
      </c>
    </row>
    <row r="95" spans="1:5" x14ac:dyDescent="0.3">
      <c r="A95" s="12">
        <v>199903</v>
      </c>
      <c r="B95" s="1" t="str">
        <f>"SERVIÇOS- FATURAS C/ RATEIO E CRED"</f>
        <v>SERVIÇOS- FATURAS C/ RATEIO E CRED</v>
      </c>
      <c r="C95" s="1" t="str">
        <f t="shared" si="4"/>
        <v>Entrada</v>
      </c>
      <c r="D95" s="1" t="str">
        <f t="shared" si="3"/>
        <v>Ativa</v>
      </c>
      <c r="E95" s="2" t="str">
        <f>"GERA CONTAS A PAGAR, NAO GERA OF, CREDIT"</f>
        <v>GERA CONTAS A PAGAR, NAO GERA OF, CREDIT</v>
      </c>
    </row>
    <row r="96" spans="1:5" x14ac:dyDescent="0.3">
      <c r="A96" s="12">
        <v>199904</v>
      </c>
      <c r="B96" s="1" t="str">
        <f>"SERVIÇOS- FATURAS ATIVO FIXO"</f>
        <v>SERVIÇOS- FATURAS ATIVO FIXO</v>
      </c>
      <c r="C96" s="1" t="str">
        <f t="shared" si="4"/>
        <v>Entrada</v>
      </c>
      <c r="D96" s="1" t="str">
        <f t="shared" si="3"/>
        <v>Ativa</v>
      </c>
      <c r="E96" s="2" t="str">
        <f>"NATUREZA CRIADA EM 19/04/2021 PARA LANÇA"</f>
        <v>NATUREZA CRIADA EM 19/04/2021 PARA LANÇA</v>
      </c>
    </row>
    <row r="97" spans="1:5" x14ac:dyDescent="0.3">
      <c r="A97" s="12">
        <v>199905</v>
      </c>
      <c r="B97" s="1" t="str">
        <f>"SERVIÇOS- FATURAS SANEPAR"</f>
        <v>SERVIÇOS- FATURAS SANEPAR</v>
      </c>
      <c r="C97" s="1" t="str">
        <f t="shared" si="4"/>
        <v>Entrada</v>
      </c>
      <c r="D97" s="1" t="str">
        <f t="shared" si="3"/>
        <v>Ativa</v>
      </c>
      <c r="E97" s="2" t="str">
        <f>"GERA CONTAS A PAGAR, GERA OF,  NÃO CREDI"</f>
        <v>GERA CONTAS A PAGAR, GERA OF,  NÃO CREDI</v>
      </c>
    </row>
    <row r="98" spans="1:5" x14ac:dyDescent="0.3">
      <c r="A98" s="12">
        <v>210101</v>
      </c>
      <c r="B98" s="1" t="str">
        <f>"COMPRAS P/INDUSTRIALIZAÇÃO"</f>
        <v>COMPRAS P/INDUSTRIALIZAÇÃO</v>
      </c>
      <c r="C98" s="1" t="str">
        <f t="shared" si="4"/>
        <v>Entrada</v>
      </c>
      <c r="D98" s="1" t="str">
        <f t="shared" si="3"/>
        <v>Ativa</v>
      </c>
      <c r="E98" s="2" t="str">
        <f>"GERA AP, GERA OF Para Compras com ICMS d"</f>
        <v>GERA AP, GERA OF Para Compras com ICMS d</v>
      </c>
    </row>
    <row r="99" spans="1:5" x14ac:dyDescent="0.3">
      <c r="A99" s="12">
        <v>210102</v>
      </c>
      <c r="B99" s="1" t="str">
        <f>"COMPRAS P/IND CHAPAS PROB QUALIDADE"</f>
        <v>COMPRAS P/IND CHAPAS PROB QUALIDADE</v>
      </c>
      <c r="C99" s="1" t="str">
        <f t="shared" si="4"/>
        <v>Entrada</v>
      </c>
      <c r="D99" s="1" t="str">
        <f t="shared" si="3"/>
        <v>Ativa</v>
      </c>
      <c r="E99" s="2" t="str">
        <f>"GERA AP, GERA OF Para Compras com ICMS d"</f>
        <v>GERA AP, GERA OF Para Compras com ICMS d</v>
      </c>
    </row>
    <row r="100" spans="1:5" x14ac:dyDescent="0.3">
      <c r="A100" s="12">
        <v>210103</v>
      </c>
      <c r="B100" s="1" t="str">
        <f>"COMPRAS P/INDUSTRIALIZAÇÃO-Rateio"</f>
        <v>COMPRAS P/INDUSTRIALIZAÇÃO-Rateio</v>
      </c>
      <c r="C100" s="1" t="str">
        <f t="shared" si="4"/>
        <v>Entrada</v>
      </c>
      <c r="D100" s="1" t="str">
        <f t="shared" si="3"/>
        <v>Ativa</v>
      </c>
      <c r="E100" s="2" t="str">
        <f>"GERA AP, GERA OF"</f>
        <v>GERA AP, GERA OF</v>
      </c>
    </row>
    <row r="101" spans="1:5" x14ac:dyDescent="0.3">
      <c r="A101" s="12">
        <v>210104</v>
      </c>
      <c r="B101" s="1" t="str">
        <f>"COMPRAS P/INDUSTRIAL.- PAPEL ACERTO"</f>
        <v>COMPRAS P/INDUSTRIAL.- PAPEL ACERTO</v>
      </c>
      <c r="C101" s="1" t="str">
        <f t="shared" si="4"/>
        <v>Entrada</v>
      </c>
      <c r="D101" s="1" t="str">
        <f t="shared" si="3"/>
        <v>Ativa</v>
      </c>
      <c r="E101" s="2" t="str">
        <f>"GERA AP, GERA OF"</f>
        <v>GERA AP, GERA OF</v>
      </c>
    </row>
    <row r="102" spans="1:5" x14ac:dyDescent="0.3">
      <c r="A102" s="12">
        <v>210105</v>
      </c>
      <c r="B102" s="1" t="str">
        <f>"COMPRAS P/INDUSTRIALIZAÇÃO-EMBALAGE"</f>
        <v>COMPRAS P/INDUSTRIALIZAÇÃO-EMBALAGE</v>
      </c>
      <c r="C102" s="1" t="str">
        <f t="shared" si="4"/>
        <v>Entrada</v>
      </c>
      <c r="D102" s="1" t="str">
        <f t="shared" si="3"/>
        <v>Ativa</v>
      </c>
      <c r="E102" s="2" t="str">
        <f>"GERA AP, GERA OF"</f>
        <v>GERA AP, GERA OF</v>
      </c>
    </row>
    <row r="103" spans="1:5" x14ac:dyDescent="0.3">
      <c r="A103" s="12">
        <v>210601</v>
      </c>
      <c r="B103" s="1" t="str">
        <f>"REAJUSTE DE PRECO(CONSIG.MERCANTIL)"</f>
        <v>REAJUSTE DE PRECO(CONSIG.MERCANTIL)</v>
      </c>
      <c r="C103" s="1" t="str">
        <f t="shared" si="4"/>
        <v>Entrada</v>
      </c>
      <c r="D103" s="1" t="str">
        <f t="shared" si="3"/>
        <v>Ativa</v>
      </c>
      <c r="E103" s="2" t="str">
        <f>""</f>
        <v/>
      </c>
    </row>
    <row r="104" spans="1:5" x14ac:dyDescent="0.3">
      <c r="A104" s="12">
        <v>211101</v>
      </c>
      <c r="B104" s="1" t="str">
        <f>"FATURAMENTO CONSIG.MERCANTIL"</f>
        <v>FATURAMENTO CONSIG.MERCANTIL</v>
      </c>
      <c r="C104" s="1" t="str">
        <f t="shared" ref="C104:C135" si="5">"Entrada"</f>
        <v>Entrada</v>
      </c>
      <c r="D104" s="1" t="str">
        <f t="shared" si="3"/>
        <v>Ativa</v>
      </c>
      <c r="E104" s="2" t="str">
        <f>""</f>
        <v/>
      </c>
    </row>
    <row r="105" spans="1:5" x14ac:dyDescent="0.3">
      <c r="A105" s="12">
        <v>211601</v>
      </c>
      <c r="B105" s="1" t="str">
        <f>"ENTRADA - REMESSA FATUR.ANTECIPADO"</f>
        <v>ENTRADA - REMESSA FATUR.ANTECIPADO</v>
      </c>
      <c r="C105" s="1" t="str">
        <f t="shared" si="5"/>
        <v>Entrada</v>
      </c>
      <c r="D105" s="1" t="str">
        <f t="shared" si="3"/>
        <v>Ativa</v>
      </c>
      <c r="E105" s="2" t="str">
        <f>"GERA OF, MOVTO TERCEIROS"</f>
        <v>GERA OF, MOVTO TERCEIROS</v>
      </c>
    </row>
    <row r="106" spans="1:5" x14ac:dyDescent="0.3">
      <c r="A106" s="12">
        <v>212201</v>
      </c>
      <c r="B106" s="1" t="str">
        <f>"COMPRAS P/INDUSTR. -OP TRIANGULAR"</f>
        <v>COMPRAS P/INDUSTR. -OP TRIANGULAR</v>
      </c>
      <c r="C106" s="1" t="str">
        <f t="shared" si="5"/>
        <v>Entrada</v>
      </c>
      <c r="D106" s="1" t="str">
        <f t="shared" si="3"/>
        <v>Ativa</v>
      </c>
      <c r="E106" s="2" t="str">
        <f>"COMPRA DE PAINEL PARA FABRICAÇÃO DE EMBA"</f>
        <v>COMPRA DE PAINEL PARA FABRICAÇÃO DE EMBA</v>
      </c>
    </row>
    <row r="107" spans="1:5" x14ac:dyDescent="0.3">
      <c r="A107" s="12">
        <v>212401</v>
      </c>
      <c r="B107" s="1" t="str">
        <f>"INDUSTRIALIZACAO POR ENCOMENDA"</f>
        <v>INDUSTRIALIZACAO POR ENCOMENDA</v>
      </c>
      <c r="C107" s="1" t="str">
        <f t="shared" si="5"/>
        <v>Entrada</v>
      </c>
      <c r="D107" s="1" t="str">
        <f t="shared" si="3"/>
        <v>Ativa</v>
      </c>
      <c r="E107" s="2" t="str">
        <f>"GERA AP, GERA OF"</f>
        <v>GERA AP, GERA OF</v>
      </c>
    </row>
    <row r="108" spans="1:5" x14ac:dyDescent="0.3">
      <c r="A108" s="12">
        <v>220101</v>
      </c>
      <c r="B108" s="1" t="str">
        <f>"DEVOLUÇÃO VENDA DE PRODUÇÃO"</f>
        <v>DEVOLUÇÃO VENDA DE PRODUÇÃO</v>
      </c>
      <c r="C108" s="1" t="str">
        <f t="shared" si="5"/>
        <v>Entrada</v>
      </c>
      <c r="D108" s="1" t="str">
        <f t="shared" si="3"/>
        <v>Ativa</v>
      </c>
      <c r="E108" s="2" t="str">
        <f>"GERA OF."</f>
        <v>GERA OF.</v>
      </c>
    </row>
    <row r="109" spans="1:5" x14ac:dyDescent="0.3">
      <c r="A109" s="12">
        <v>220102</v>
      </c>
      <c r="B109" s="1" t="str">
        <f>"DEVOLUCAO VENDA DE PRODUCAO Recusas"</f>
        <v>DEVOLUCAO VENDA DE PRODUCAO Recusas</v>
      </c>
      <c r="C109" s="1" t="str">
        <f t="shared" si="5"/>
        <v>Entrada</v>
      </c>
      <c r="D109" s="1" t="str">
        <f t="shared" si="3"/>
        <v>Ativa</v>
      </c>
      <c r="E109" s="2" t="str">
        <f>"GERA OF. - Natureza para as Recusas de N"</f>
        <v>GERA OF. - Natureza para as Recusas de N</v>
      </c>
    </row>
    <row r="110" spans="1:5" x14ac:dyDescent="0.3">
      <c r="A110" s="12">
        <v>220103</v>
      </c>
      <c r="B110" s="1" t="str">
        <f>"DEVOLUCAO VENDA DE PRODUCAO"</f>
        <v>DEVOLUCAO VENDA DE PRODUCAO</v>
      </c>
      <c r="C110" s="1" t="str">
        <f t="shared" si="5"/>
        <v>Entrada</v>
      </c>
      <c r="D110" s="1" t="str">
        <f t="shared" si="3"/>
        <v>Ativa</v>
      </c>
      <c r="E110" s="2" t="str">
        <f>"GERA OF."</f>
        <v>GERA OF.</v>
      </c>
    </row>
    <row r="111" spans="1:5" x14ac:dyDescent="0.3">
      <c r="A111" s="12">
        <v>220104</v>
      </c>
      <c r="B111" s="1" t="str">
        <f>"DEVOLUCAO VENDA DE PRODUCAO"</f>
        <v>DEVOLUCAO VENDA DE PRODUCAO</v>
      </c>
      <c r="C111" s="1" t="str">
        <f t="shared" si="5"/>
        <v>Entrada</v>
      </c>
      <c r="D111" s="1" t="str">
        <f t="shared" si="3"/>
        <v>Ativa</v>
      </c>
      <c r="E111" s="2" t="str">
        <f>"GERA OF."</f>
        <v>GERA OF.</v>
      </c>
    </row>
    <row r="112" spans="1:5" x14ac:dyDescent="0.3">
      <c r="A112" s="12">
        <v>220105</v>
      </c>
      <c r="B112" s="1" t="str">
        <f>"DEVOLUÇÃO VENDA DE PRODUÇÃO"</f>
        <v>DEVOLUÇÃO VENDA DE PRODUÇÃO</v>
      </c>
      <c r="C112" s="1" t="str">
        <f t="shared" si="5"/>
        <v>Entrada</v>
      </c>
      <c r="D112" s="1" t="str">
        <f t="shared" si="3"/>
        <v>Ativa</v>
      </c>
      <c r="E112" s="2" t="str">
        <f>"GERA OF."</f>
        <v>GERA OF.</v>
      </c>
    </row>
    <row r="113" spans="1:5" x14ac:dyDescent="0.3">
      <c r="A113" s="12">
        <v>220106</v>
      </c>
      <c r="B113" s="1" t="str">
        <f>"DEVOLUÇÃO VENDA DE PRODUÇÃO PREP EX"</f>
        <v>DEVOLUÇÃO VENDA DE PRODUÇÃO PREP EX</v>
      </c>
      <c r="C113" s="1" t="str">
        <f t="shared" si="5"/>
        <v>Entrada</v>
      </c>
      <c r="D113" s="1" t="str">
        <f t="shared" si="3"/>
        <v>Ativa</v>
      </c>
      <c r="E113" s="2" t="str">
        <f>"GERA OF."</f>
        <v>GERA OF.</v>
      </c>
    </row>
    <row r="114" spans="1:5" x14ac:dyDescent="0.3">
      <c r="A114" s="12">
        <v>220201</v>
      </c>
      <c r="B114" s="1" t="str">
        <f>"DEVOLUCAO VENDA DE PRODUCAO Recusas"</f>
        <v>DEVOLUCAO VENDA DE PRODUCAO Recusas</v>
      </c>
      <c r="C114" s="1" t="str">
        <f t="shared" si="5"/>
        <v>Entrada</v>
      </c>
      <c r="D114" s="1" t="str">
        <f t="shared" si="3"/>
        <v>Ativa</v>
      </c>
      <c r="E114" s="2" t="str">
        <f>"GERA OF. - Natureza para as Recusas de N"</f>
        <v>GERA OF. - Natureza para as Recusas de N</v>
      </c>
    </row>
    <row r="115" spans="1:5" x14ac:dyDescent="0.3">
      <c r="A115" s="12">
        <v>225201</v>
      </c>
      <c r="B115" s="1" t="str">
        <f>"COMPRA ENERGIA ELETRICA C/PISCOFINS"</f>
        <v>COMPRA ENERGIA ELETRICA C/PISCOFINS</v>
      </c>
      <c r="C115" s="1" t="str">
        <f t="shared" si="5"/>
        <v>Entrada</v>
      </c>
      <c r="D115" s="1" t="str">
        <f t="shared" si="3"/>
        <v>Ativa</v>
      </c>
      <c r="E115" s="2" t="str">
        <f>"GERA DP, GERA OF, SEM CREDITO DE ICMS ,"</f>
        <v>GERA DP, GERA OF, SEM CREDITO DE ICMS ,</v>
      </c>
    </row>
    <row r="116" spans="1:5" x14ac:dyDescent="0.3">
      <c r="A116" s="12">
        <v>230201</v>
      </c>
      <c r="B116" s="1" t="str">
        <f>"AQUISICAO SERV COMUNICACAO"</f>
        <v>AQUISICAO SERV COMUNICACAO</v>
      </c>
      <c r="C116" s="1" t="str">
        <f t="shared" si="5"/>
        <v>Entrada</v>
      </c>
      <c r="D116" s="1" t="str">
        <f t="shared" si="3"/>
        <v>Ativa</v>
      </c>
      <c r="E116" s="2" t="str">
        <f>"GERA AP, GERA OF"</f>
        <v>GERA AP, GERA OF</v>
      </c>
    </row>
    <row r="117" spans="1:5" x14ac:dyDescent="0.3">
      <c r="A117" s="12">
        <v>235201</v>
      </c>
      <c r="B117" s="1" t="str">
        <f>"AQUISICAO SERV TRANSP INDUSTRIAL"</f>
        <v>AQUISICAO SERV TRANSP INDUSTRIAL</v>
      </c>
      <c r="C117" s="1" t="str">
        <f t="shared" si="5"/>
        <v>Entrada</v>
      </c>
      <c r="D117" s="1" t="str">
        <f t="shared" si="3"/>
        <v>Ativa</v>
      </c>
      <c r="E117" s="2" t="str">
        <f>"CREDITO PIS/COFINS - TRANSAÇÕES DIVERSAS"</f>
        <v>CREDITO PIS/COFINS - TRANSAÇÕES DIVERSAS</v>
      </c>
    </row>
    <row r="118" spans="1:5" x14ac:dyDescent="0.3">
      <c r="A118" s="12">
        <v>235202</v>
      </c>
      <c r="B118" s="1" t="str">
        <f>"AQUISICAO SERV TRANSPORTES"</f>
        <v>AQUISICAO SERV TRANSPORTES</v>
      </c>
      <c r="C118" s="1" t="str">
        <f t="shared" si="5"/>
        <v>Entrada</v>
      </c>
      <c r="D118" s="1" t="str">
        <f t="shared" si="3"/>
        <v>Ativa</v>
      </c>
      <c r="E118" s="2" t="str">
        <f>"SEM CRÉDITOS IMPOSTOS - TRANSAÇÕES DIVER"</f>
        <v>SEM CRÉDITOS IMPOSTOS - TRANSAÇÕES DIVER</v>
      </c>
    </row>
    <row r="119" spans="1:5" x14ac:dyDescent="0.3">
      <c r="A119" s="12">
        <v>235203</v>
      </c>
      <c r="B119" s="1" t="str">
        <f>"AQUISICAO SERV TRANSP - RATEIO ICMS"</f>
        <v>AQUISICAO SERV TRANSP - RATEIO ICMS</v>
      </c>
      <c r="C119" s="1" t="str">
        <f t="shared" si="5"/>
        <v>Entrada</v>
      </c>
      <c r="D119" s="1" t="str">
        <f t="shared" si="3"/>
        <v>Ativa</v>
      </c>
      <c r="E119" s="2" t="str">
        <f>"CREDITO ICMS/PIS/COFINS - COMPRAS DE MAT"</f>
        <v>CREDITO ICMS/PIS/COFINS - COMPRAS DE MAT</v>
      </c>
    </row>
    <row r="120" spans="1:5" x14ac:dyDescent="0.3">
      <c r="A120" s="12">
        <v>235204</v>
      </c>
      <c r="B120" s="1" t="str">
        <f>"AQUISICAO SERV TRANSP IND - ATIVO"</f>
        <v>AQUISICAO SERV TRANSP IND - ATIVO</v>
      </c>
      <c r="C120" s="1" t="str">
        <f t="shared" si="5"/>
        <v>Entrada</v>
      </c>
      <c r="D120" s="1" t="str">
        <f t="shared" si="3"/>
        <v>Ativa</v>
      </c>
      <c r="E120" s="2" t="str">
        <f>"SEM CRÉDITOS - COMPRAS MATERIAIS USO E C"</f>
        <v>SEM CRÉDITOS - COMPRAS MATERIAIS USO E C</v>
      </c>
    </row>
    <row r="121" spans="1:5" x14ac:dyDescent="0.3">
      <c r="A121" s="12">
        <v>235205</v>
      </c>
      <c r="B121" s="1" t="str">
        <f>"AQUISICAO SERV TRANSP - RATEIO"</f>
        <v>AQUISICAO SERV TRANSP - RATEIO</v>
      </c>
      <c r="C121" s="1" t="str">
        <f t="shared" si="5"/>
        <v>Entrada</v>
      </c>
      <c r="D121" s="1" t="str">
        <f t="shared" si="3"/>
        <v>Ativa</v>
      </c>
      <c r="E121" s="2" t="str">
        <f>"CREDITO PIS/COFINS - COMPRAS MATERIAIS U"</f>
        <v>CREDITO PIS/COFINS - COMPRAS MATERIAIS U</v>
      </c>
    </row>
    <row r="122" spans="1:5" x14ac:dyDescent="0.3">
      <c r="A122" s="12">
        <v>235206</v>
      </c>
      <c r="B122" s="1" t="str">
        <f>"AQUISICAO SERV TRANSP INDUSTRIAL"</f>
        <v>AQUISICAO SERV TRANSP INDUSTRIAL</v>
      </c>
      <c r="C122" s="1" t="str">
        <f t="shared" si="5"/>
        <v>Entrada</v>
      </c>
      <c r="D122" s="1" t="str">
        <f t="shared" si="3"/>
        <v>Ativa</v>
      </c>
      <c r="E122" s="2" t="str">
        <f>"CREDITO PIS/COFINS - TRANSAÇÕES DIVERSAS"</f>
        <v>CREDITO PIS/COFINS - TRANSAÇÕES DIVERSAS</v>
      </c>
    </row>
    <row r="123" spans="1:5" x14ac:dyDescent="0.3">
      <c r="A123" s="12">
        <v>235207</v>
      </c>
      <c r="B123" s="1" t="str">
        <f>"AQUISICAO SERV TRANSP INDUSTRIAL"</f>
        <v>AQUISICAO SERV TRANSP INDUSTRIAL</v>
      </c>
      <c r="C123" s="1" t="str">
        <f t="shared" si="5"/>
        <v>Entrada</v>
      </c>
      <c r="D123" s="1" t="str">
        <f t="shared" si="3"/>
        <v>Ativa</v>
      </c>
      <c r="E123" s="2" t="str">
        <f>"Natureza criada para lançar os fretes do"</f>
        <v>Natureza criada para lançar os fretes do</v>
      </c>
    </row>
    <row r="124" spans="1:5" x14ac:dyDescent="0.3">
      <c r="A124" s="12">
        <v>240601</v>
      </c>
      <c r="B124" s="1" t="str">
        <f>"COMPRA P/ IMOBILIZADO CIAP E C/PISC"</f>
        <v>COMPRA P/ IMOBILIZADO CIAP E C/PISC</v>
      </c>
      <c r="C124" s="1" t="str">
        <f t="shared" si="5"/>
        <v>Entrada</v>
      </c>
      <c r="D124" s="1" t="str">
        <f t="shared" si="3"/>
        <v>Ativa</v>
      </c>
      <c r="E124" s="2" t="str">
        <f>"COMPRA DE BENS IMOBILIZADOS ATRAVÉS DO C"</f>
        <v>COMPRA DE BENS IMOBILIZADOS ATRAVÉS DO C</v>
      </c>
    </row>
    <row r="125" spans="1:5" x14ac:dyDescent="0.3">
      <c r="A125" s="12">
        <v>240602</v>
      </c>
      <c r="B125" s="1" t="str">
        <f>"COMPRA P/ IMOBILIZADO S/PIS COFINS"</f>
        <v>COMPRA P/ IMOBILIZADO S/PIS COFINS</v>
      </c>
      <c r="C125" s="1" t="str">
        <f t="shared" si="5"/>
        <v>Entrada</v>
      </c>
      <c r="D125" s="1" t="str">
        <f t="shared" si="3"/>
        <v>Ativa</v>
      </c>
      <c r="E125" s="2" t="str">
        <f>"COMPRA DE BENS IMOBILIZADOS ATRAVÉS DO C"</f>
        <v>COMPRA DE BENS IMOBILIZADOS ATRAVÉS DO C</v>
      </c>
    </row>
    <row r="126" spans="1:5" x14ac:dyDescent="0.3">
      <c r="A126" s="12">
        <v>240603</v>
      </c>
      <c r="B126" s="1" t="str">
        <f>"COMPRA P/ IMOBILIZADO C/PIS COFINS"</f>
        <v>COMPRA P/ IMOBILIZADO C/PIS COFINS</v>
      </c>
      <c r="C126" s="1" t="str">
        <f t="shared" si="5"/>
        <v>Entrada</v>
      </c>
      <c r="D126" s="1" t="str">
        <f t="shared" si="3"/>
        <v>Ativa</v>
      </c>
      <c r="E126" s="2" t="str">
        <f>"COMPRA DE BENS IMOBILIZADOS ATRAVÉS DO C"</f>
        <v>COMPRA DE BENS IMOBILIZADOS ATRAVÉS DO C</v>
      </c>
    </row>
    <row r="127" spans="1:5" x14ac:dyDescent="0.3">
      <c r="A127" s="12">
        <v>240604</v>
      </c>
      <c r="B127" s="1" t="str">
        <f>"COMPRA P/ IMOBILIZADO S/PIS COFINS"</f>
        <v>COMPRA P/ IMOBILIZADO S/PIS COFINS</v>
      </c>
      <c r="C127" s="1" t="str">
        <f t="shared" si="5"/>
        <v>Entrada</v>
      </c>
      <c r="D127" s="1" t="str">
        <f t="shared" si="3"/>
        <v>Ativa</v>
      </c>
      <c r="E127" s="2" t="str">
        <f>"COMPRA DE BENS IMOBILIZADOS ATRAVÉS DO C"</f>
        <v>COMPRA DE BENS IMOBILIZADOS ATRAVÉS DO C</v>
      </c>
    </row>
    <row r="128" spans="1:5" x14ac:dyDescent="0.3">
      <c r="A128" s="12">
        <v>240605</v>
      </c>
      <c r="B128" s="1" t="str">
        <f>"COMPRA P/ IMOBILIZADO C/PIS COFINS"</f>
        <v>COMPRA P/ IMOBILIZADO C/PIS COFINS</v>
      </c>
      <c r="C128" s="1" t="str">
        <f t="shared" si="5"/>
        <v>Entrada</v>
      </c>
      <c r="D128" s="1" t="str">
        <f t="shared" si="3"/>
        <v>Ativa</v>
      </c>
      <c r="E128" s="2" t="str">
        <f>"COMPRA DE BENS IMOBILIZADOS ATRAVÉS DO C"</f>
        <v>COMPRA DE BENS IMOBILIZADOS ATRAVÉS DO C</v>
      </c>
    </row>
    <row r="129" spans="1:5" x14ac:dyDescent="0.3">
      <c r="A129" s="12">
        <v>240701</v>
      </c>
      <c r="B129" s="1" t="str">
        <f>"COMPRA P/ USO E CONSUMO SUBST.TRIB."</f>
        <v>COMPRA P/ USO E CONSUMO SUBST.TRIB.</v>
      </c>
      <c r="C129" s="1" t="str">
        <f t="shared" si="5"/>
        <v>Entrada</v>
      </c>
      <c r="D129" s="1" t="str">
        <f t="shared" si="3"/>
        <v>Ativa</v>
      </c>
      <c r="E129" s="2" t="str">
        <f>"GERA AP, GERA OF, IPI  INCLUSO NA BASE D"</f>
        <v>GERA AP, GERA OF, IPI  INCLUSO NA BASE D</v>
      </c>
    </row>
    <row r="130" spans="1:5" x14ac:dyDescent="0.3">
      <c r="A130" s="12">
        <v>240702</v>
      </c>
      <c r="B130" s="1" t="str">
        <f>"COMPRA USO/CONSUMO SUBS TRIB S/PIS"</f>
        <v>COMPRA USO/CONSUMO SUBS TRIB S/PIS</v>
      </c>
      <c r="C130" s="1" t="str">
        <f t="shared" si="5"/>
        <v>Entrada</v>
      </c>
      <c r="D130" s="1" t="str">
        <f t="shared" ref="D130:D193" si="6">"Ativa"</f>
        <v>Ativa</v>
      </c>
      <c r="E130" s="2" t="str">
        <f>"GERA AP, GERA OF, IPI INCLUSO NA BASE DO"</f>
        <v>GERA AP, GERA OF, IPI INCLUSO NA BASE DO</v>
      </c>
    </row>
    <row r="131" spans="1:5" x14ac:dyDescent="0.3">
      <c r="A131" s="12">
        <v>240703</v>
      </c>
      <c r="B131" s="1" t="str">
        <f>"COMPRA P/ USO E CONSUMO SUBST.TRIB."</f>
        <v>COMPRA P/ USO E CONSUMO SUBST.TRIB.</v>
      </c>
      <c r="C131" s="1" t="str">
        <f t="shared" si="5"/>
        <v>Entrada</v>
      </c>
      <c r="D131" s="1" t="str">
        <f t="shared" si="6"/>
        <v>Ativa</v>
      </c>
      <c r="E131" s="2" t="str">
        <f>"GERA AP, GERA OF, IPI INCLUSO NA BASE DO"</f>
        <v>GERA AP, GERA OF, IPI INCLUSO NA BASE DO</v>
      </c>
    </row>
    <row r="132" spans="1:5" x14ac:dyDescent="0.3">
      <c r="A132" s="12">
        <v>240704</v>
      </c>
      <c r="B132" s="1" t="str">
        <f>"COMPRA USO/CONSUMO SUBS TRIB S/PIS"</f>
        <v>COMPRA USO/CONSUMO SUBS TRIB S/PIS</v>
      </c>
      <c r="C132" s="1" t="str">
        <f t="shared" si="5"/>
        <v>Entrada</v>
      </c>
      <c r="D132" s="1" t="str">
        <f t="shared" si="6"/>
        <v>Ativa</v>
      </c>
      <c r="E132" s="2" t="str">
        <f>"GERA AP, GERA OF, IPI INCLUSO NA BASE DO"</f>
        <v>GERA AP, GERA OF, IPI INCLUSO NA BASE DO</v>
      </c>
    </row>
    <row r="133" spans="1:5" x14ac:dyDescent="0.3">
      <c r="A133" s="12">
        <v>250101</v>
      </c>
      <c r="B133" s="1" t="str">
        <f>"COMPRA MERC RECEB FIM ESPEC EXPORTA"</f>
        <v>COMPRA MERC RECEB FIM ESPEC EXPORTA</v>
      </c>
      <c r="C133" s="1" t="str">
        <f t="shared" si="5"/>
        <v>Entrada</v>
      </c>
      <c r="D133" s="1" t="str">
        <f t="shared" si="6"/>
        <v>Ativa</v>
      </c>
      <c r="E133" s="2" t="str">
        <f>"GERA AP, GERA OF   CFOP PARA OPERAÇÕES -"</f>
        <v>GERA AP, GERA OF   CFOP PARA OPERAÇÕES -</v>
      </c>
    </row>
    <row r="134" spans="1:5" x14ac:dyDescent="0.3">
      <c r="A134" s="12">
        <v>255101</v>
      </c>
      <c r="B134" s="1" t="str">
        <f>"COMPRA P/ ATIVO IMOBILIZADO - CIAP"</f>
        <v>COMPRA P/ ATIVO IMOBILIZADO - CIAP</v>
      </c>
      <c r="C134" s="1" t="str">
        <f t="shared" si="5"/>
        <v>Entrada</v>
      </c>
      <c r="D134" s="1" t="str">
        <f t="shared" si="6"/>
        <v>Ativa</v>
      </c>
      <c r="E134" s="2" t="str">
        <f>"GERA AP, GERA OF, GERA CIAP , GERA CRÉDI"</f>
        <v>GERA AP, GERA OF, GERA CIAP , GERA CRÉDI</v>
      </c>
    </row>
    <row r="135" spans="1:5" x14ac:dyDescent="0.3">
      <c r="A135" s="12">
        <v>255102</v>
      </c>
      <c r="B135" s="1" t="str">
        <f>"COMPRA P/ ATIVO IMOBILIZADO- N CIAP"</f>
        <v>COMPRA P/ ATIVO IMOBILIZADO- N CIAP</v>
      </c>
      <c r="C135" s="1" t="str">
        <f t="shared" si="5"/>
        <v>Entrada</v>
      </c>
      <c r="D135" s="1" t="str">
        <f t="shared" si="6"/>
        <v>Ativa</v>
      </c>
      <c r="E135" s="2" t="str">
        <f>"GERA AP, GERA OF, NÃO GERA CIAP , SEM CR"</f>
        <v>GERA AP, GERA OF, NÃO GERA CIAP , SEM CR</v>
      </c>
    </row>
    <row r="136" spans="1:5" x14ac:dyDescent="0.3">
      <c r="A136" s="12">
        <v>255103</v>
      </c>
      <c r="B136" s="1" t="str">
        <f>"COMPRA P/ ATIVO IMOBILIZADO - CIAP"</f>
        <v>COMPRA P/ ATIVO IMOBILIZADO - CIAP</v>
      </c>
      <c r="C136" s="1" t="str">
        <f t="shared" ref="C136:C167" si="7">"Entrada"</f>
        <v>Entrada</v>
      </c>
      <c r="D136" s="1" t="str">
        <f t="shared" si="6"/>
        <v>Ativa</v>
      </c>
      <c r="E136" s="2" t="str">
        <f>"GERA AP, GERA OF, GERA CRÉDITOS DE PIS/C"</f>
        <v>GERA AP, GERA OF, GERA CRÉDITOS DE PIS/C</v>
      </c>
    </row>
    <row r="137" spans="1:5" x14ac:dyDescent="0.3">
      <c r="A137" s="12">
        <v>255104</v>
      </c>
      <c r="B137" s="1" t="str">
        <f>"COMPRA P/ATIVO IMOBILIZADO- N CIAP"</f>
        <v>COMPRA P/ATIVO IMOBILIZADO- N CIAP</v>
      </c>
      <c r="C137" s="1" t="str">
        <f t="shared" si="7"/>
        <v>Entrada</v>
      </c>
      <c r="D137" s="1" t="str">
        <f t="shared" si="6"/>
        <v>Ativa</v>
      </c>
      <c r="E137" s="2" t="str">
        <f>"GERA AP, GERA OF, NÃO GERA CIAP , SEM CR"</f>
        <v>GERA AP, GERA OF, NÃO GERA CIAP , SEM CR</v>
      </c>
    </row>
    <row r="138" spans="1:5" x14ac:dyDescent="0.3">
      <c r="A138" s="12">
        <v>255105</v>
      </c>
      <c r="B138" s="1" t="str">
        <f>"COMPRA ATIVO IMOBILIZADO (SOFTWARE)"</f>
        <v>COMPRA ATIVO IMOBILIZADO (SOFTWARE)</v>
      </c>
      <c r="C138" s="1" t="str">
        <f t="shared" si="7"/>
        <v>Entrada</v>
      </c>
      <c r="D138" s="1" t="str">
        <f t="shared" si="6"/>
        <v>Ativa</v>
      </c>
      <c r="E138" s="2" t="str">
        <f>"GERA AP, GERA OF, NÃO GERA CIAP , SEM CR"</f>
        <v>GERA AP, GERA OF, NÃO GERA CIAP , SEM CR</v>
      </c>
    </row>
    <row r="139" spans="1:5" x14ac:dyDescent="0.3">
      <c r="A139" s="12">
        <v>255106</v>
      </c>
      <c r="B139" s="1" t="str">
        <f>"COMPRA P/ ATIVO IMOBILIZADO"</f>
        <v>COMPRA P/ ATIVO IMOBILIZADO</v>
      </c>
      <c r="C139" s="1" t="str">
        <f t="shared" si="7"/>
        <v>Entrada</v>
      </c>
      <c r="D139" s="1" t="str">
        <f t="shared" si="6"/>
        <v>Ativa</v>
      </c>
      <c r="E139" s="2" t="str">
        <f>""</f>
        <v/>
      </c>
    </row>
    <row r="140" spans="1:5" x14ac:dyDescent="0.3">
      <c r="A140" s="12">
        <v>255107</v>
      </c>
      <c r="B140" s="1" t="str">
        <f>"COMPRA ATIVO IMOB ALIQ DIF C/CRED"</f>
        <v>COMPRA ATIVO IMOB ALIQ DIF C/CRED</v>
      </c>
      <c r="C140" s="1" t="str">
        <f t="shared" si="7"/>
        <v>Entrada</v>
      </c>
      <c r="D140" s="1" t="str">
        <f t="shared" si="6"/>
        <v>Ativa</v>
      </c>
      <c r="E140" s="2" t="str">
        <f>"GERA AP, GERA OF, GERA CIAP , GERA CRÉDI"</f>
        <v>GERA AP, GERA OF, GERA CIAP , GERA CRÉDI</v>
      </c>
    </row>
    <row r="141" spans="1:5" x14ac:dyDescent="0.3">
      <c r="A141" s="12">
        <v>255108</v>
      </c>
      <c r="B141" s="1" t="str">
        <f>"COMPRA ATIVO IMOB ALIQ DIF S/CRED"</f>
        <v>COMPRA ATIVO IMOB ALIQ DIF S/CRED</v>
      </c>
      <c r="C141" s="1" t="str">
        <f t="shared" si="7"/>
        <v>Entrada</v>
      </c>
      <c r="D141" s="1" t="str">
        <f t="shared" si="6"/>
        <v>Ativa</v>
      </c>
      <c r="E141" s="2" t="str">
        <f>"GERA AP, GERA OF, GERA CIAP SOMENTE DO D"</f>
        <v>GERA AP, GERA OF, GERA CIAP SOMENTE DO D</v>
      </c>
    </row>
    <row r="142" spans="1:5" x14ac:dyDescent="0.3">
      <c r="A142" s="12">
        <v>255301</v>
      </c>
      <c r="B142" s="1" t="str">
        <f>"DEVOLUÇÃO VENDA DE BEM DO ATIVO IMO"</f>
        <v>DEVOLUÇÃO VENDA DE BEM DO ATIVO IMO</v>
      </c>
      <c r="C142" s="1" t="str">
        <f t="shared" si="7"/>
        <v>Entrada</v>
      </c>
      <c r="D142" s="1" t="str">
        <f t="shared" si="6"/>
        <v>Ativa</v>
      </c>
      <c r="E142" s="2" t="str">
        <f>"GERA OF."</f>
        <v>GERA OF.</v>
      </c>
    </row>
    <row r="143" spans="1:5" x14ac:dyDescent="0.3">
      <c r="A143" s="12">
        <v>255302</v>
      </c>
      <c r="B143" s="1" t="str">
        <f>"DEV.v ENDA DE BEM DO IMOB GERA NF"</f>
        <v>DEV.v ENDA DE BEM DO IMOB GERA NF</v>
      </c>
      <c r="C143" s="1" t="str">
        <f t="shared" si="7"/>
        <v>Entrada</v>
      </c>
      <c r="D143" s="1" t="str">
        <f t="shared" si="6"/>
        <v>Ativa</v>
      </c>
      <c r="E143" s="2" t="str">
        <f>"GERA OF."</f>
        <v>GERA OF.</v>
      </c>
    </row>
    <row r="144" spans="1:5" x14ac:dyDescent="0.3">
      <c r="A144" s="12">
        <v>255401</v>
      </c>
      <c r="B144" s="1" t="str">
        <f>"RETORNO DE BEM PARA USO EXTERNO"</f>
        <v>RETORNO DE BEM PARA USO EXTERNO</v>
      </c>
      <c r="C144" s="1" t="str">
        <f t="shared" si="7"/>
        <v>Entrada</v>
      </c>
      <c r="D144" s="1" t="str">
        <f t="shared" si="6"/>
        <v>Ativa</v>
      </c>
      <c r="E144" s="2" t="str">
        <f>""</f>
        <v/>
      </c>
    </row>
    <row r="145" spans="1:5" x14ac:dyDescent="0.3">
      <c r="A145" s="12">
        <v>255601</v>
      </c>
      <c r="B145" s="1" t="str">
        <f>"COMPRA P/ USO CONSUMO C/PIS COFINS"</f>
        <v>COMPRA P/ USO CONSUMO C/PIS COFINS</v>
      </c>
      <c r="C145" s="1" t="str">
        <f t="shared" si="7"/>
        <v>Entrada</v>
      </c>
      <c r="D145" s="1" t="str">
        <f t="shared" si="6"/>
        <v>Ativa</v>
      </c>
      <c r="E145" s="2" t="str">
        <f>"GERA AP, GERA OF, IPI NA BASE DO ICMS, G"</f>
        <v>GERA AP, GERA OF, IPI NA BASE DO ICMS, G</v>
      </c>
    </row>
    <row r="146" spans="1:5" x14ac:dyDescent="0.3">
      <c r="A146" s="12">
        <v>255602</v>
      </c>
      <c r="B146" s="1" t="str">
        <f>"COMPRA P/ USO CONSUMO SEM PIS COFIN"</f>
        <v>COMPRA P/ USO CONSUMO SEM PIS COFIN</v>
      </c>
      <c r="C146" s="1" t="str">
        <f t="shared" si="7"/>
        <v>Entrada</v>
      </c>
      <c r="D146" s="1" t="str">
        <f t="shared" si="6"/>
        <v>Ativa</v>
      </c>
      <c r="E146" s="2" t="str">
        <f>"GERA AP, GERA OF, IPI INCLUSO NA BASE DO"</f>
        <v>GERA AP, GERA OF, IPI INCLUSO NA BASE DO</v>
      </c>
    </row>
    <row r="147" spans="1:5" x14ac:dyDescent="0.3">
      <c r="A147" s="12">
        <v>255603</v>
      </c>
      <c r="B147" s="1" t="str">
        <f>"COMPRA P/ USO E CONSUMO C/PIS E COF"</f>
        <v>COMPRA P/ USO E CONSUMO C/PIS E COF</v>
      </c>
      <c r="C147" s="1" t="str">
        <f t="shared" si="7"/>
        <v>Entrada</v>
      </c>
      <c r="D147" s="1" t="str">
        <f t="shared" si="6"/>
        <v>Ativa</v>
      </c>
      <c r="E147" s="2" t="str">
        <f>"GERA AP, GERA OF, IPI INCLUSO NA BASE DO"</f>
        <v>GERA AP, GERA OF, IPI INCLUSO NA BASE DO</v>
      </c>
    </row>
    <row r="148" spans="1:5" x14ac:dyDescent="0.3">
      <c r="A148" s="12">
        <v>255604</v>
      </c>
      <c r="B148" s="1" t="str">
        <f>"COMPRA P/ USO E CONSUMO S/PIS E COF"</f>
        <v>COMPRA P/ USO E CONSUMO S/PIS E COF</v>
      </c>
      <c r="C148" s="1" t="str">
        <f t="shared" si="7"/>
        <v>Entrada</v>
      </c>
      <c r="D148" s="1" t="str">
        <f t="shared" si="6"/>
        <v>Ativa</v>
      </c>
      <c r="E148" s="2" t="str">
        <f>"GERA AP, GERA OF, IPI INCLUSO NA BASE DO"</f>
        <v>GERA AP, GERA OF, IPI INCLUSO NA BASE DO</v>
      </c>
    </row>
    <row r="149" spans="1:5" x14ac:dyDescent="0.3">
      <c r="A149" s="12">
        <v>255605</v>
      </c>
      <c r="B149" s="1" t="str">
        <f>"COMPRA P/ USO CONSUMO SEM PIS COFIN"</f>
        <v>COMPRA P/ USO CONSUMO SEM PIS COFIN</v>
      </c>
      <c r="C149" s="1" t="str">
        <f t="shared" si="7"/>
        <v>Entrada</v>
      </c>
      <c r="D149" s="1" t="str">
        <f t="shared" si="6"/>
        <v>Ativa</v>
      </c>
      <c r="E149" s="2" t="str">
        <f>"GERA AP, GERA OF, IPI INCLUSO NA BASE DO"</f>
        <v>GERA AP, GERA OF, IPI INCLUSO NA BASE DO</v>
      </c>
    </row>
    <row r="150" spans="1:5" x14ac:dyDescent="0.3">
      <c r="A150" s="12">
        <v>255606</v>
      </c>
      <c r="B150" s="1" t="str">
        <f>"COMPRA P/ USO CONSUMO S/PIS COFINS"</f>
        <v>COMPRA P/ USO CONSUMO S/PIS COFINS</v>
      </c>
      <c r="C150" s="1" t="str">
        <f t="shared" si="7"/>
        <v>Entrada</v>
      </c>
      <c r="D150" s="1" t="str">
        <f t="shared" si="6"/>
        <v>Ativa</v>
      </c>
      <c r="E150" s="2" t="str">
        <f>"GERA AP, GERA OF, IPI NA BASE DO ICMS, G"</f>
        <v>GERA AP, GERA OF, IPI NA BASE DO ICMS, G</v>
      </c>
    </row>
    <row r="151" spans="1:5" x14ac:dyDescent="0.3">
      <c r="A151" s="12">
        <v>255607</v>
      </c>
      <c r="B151" s="1" t="str">
        <f>"COMPRA P/ USO E CONS ALÍQU. DIFEREN"</f>
        <v>COMPRA P/ USO E CONS ALÍQU. DIFEREN</v>
      </c>
      <c r="C151" s="1" t="str">
        <f t="shared" si="7"/>
        <v>Entrada</v>
      </c>
      <c r="D151" s="1" t="str">
        <f t="shared" si="6"/>
        <v>Ativa</v>
      </c>
      <c r="E151" s="2" t="str">
        <f>"GERA AP, GERA OF, IPI NA BASE DO ICMS, G"</f>
        <v>GERA AP, GERA OF, IPI NA BASE DO ICMS, G</v>
      </c>
    </row>
    <row r="152" spans="1:5" x14ac:dyDescent="0.3">
      <c r="A152" s="12">
        <v>255608</v>
      </c>
      <c r="B152" s="1" t="str">
        <f>"COMPRA P/ USO E CONS ALÍQU. DIFEREN"</f>
        <v>COMPRA P/ USO E CONS ALÍQU. DIFEREN</v>
      </c>
      <c r="C152" s="1" t="str">
        <f t="shared" si="7"/>
        <v>Entrada</v>
      </c>
      <c r="D152" s="1" t="str">
        <f t="shared" si="6"/>
        <v>Ativa</v>
      </c>
      <c r="E152" s="2" t="str">
        <f>"GERA AP, GERA OF, IPI INCLUSO NA BASE DO"</f>
        <v>GERA AP, GERA OF, IPI INCLUSO NA BASE DO</v>
      </c>
    </row>
    <row r="153" spans="1:5" x14ac:dyDescent="0.3">
      <c r="A153" s="12">
        <v>265301</v>
      </c>
      <c r="B153" s="1" t="str">
        <f>"COMPRA DE COMBUSTIVEL-PRODUÇÃO"</f>
        <v>COMPRA DE COMBUSTIVEL-PRODUÇÃO</v>
      </c>
      <c r="C153" s="1" t="str">
        <f t="shared" si="7"/>
        <v>Entrada</v>
      </c>
      <c r="D153" s="1" t="str">
        <f t="shared" si="6"/>
        <v>Ativa</v>
      </c>
      <c r="E153" s="2" t="str">
        <f>"GERA AP, GERA OF"</f>
        <v>GERA AP, GERA OF</v>
      </c>
    </row>
    <row r="154" spans="1:5" x14ac:dyDescent="0.3">
      <c r="A154" s="12">
        <v>265302</v>
      </c>
      <c r="B154" s="1" t="str">
        <f>"COMPRA DE COMBUSTIVEL-PRODUÇÃO"</f>
        <v>COMPRA DE COMBUSTIVEL-PRODUÇÃO</v>
      </c>
      <c r="C154" s="1" t="str">
        <f t="shared" si="7"/>
        <v>Entrada</v>
      </c>
      <c r="D154" s="1" t="str">
        <f t="shared" si="6"/>
        <v>Ativa</v>
      </c>
      <c r="E154" s="2" t="str">
        <f>"GERA AP, GERA OF"</f>
        <v>GERA AP, GERA OF</v>
      </c>
    </row>
    <row r="155" spans="1:5" x14ac:dyDescent="0.3">
      <c r="A155" s="12">
        <v>290101</v>
      </c>
      <c r="B155" s="1" t="str">
        <f>"REMESSA(ENTRADA) P/INDUSTRIALIZACAO"</f>
        <v>REMESSA(ENTRADA) P/INDUSTRIALIZACAO</v>
      </c>
      <c r="C155" s="1" t="str">
        <f t="shared" si="7"/>
        <v>Entrada</v>
      </c>
      <c r="D155" s="1" t="str">
        <f t="shared" si="6"/>
        <v>Ativa</v>
      </c>
      <c r="E155" s="2" t="str">
        <f>"GERA OF, MOVTO TERCEIROS"</f>
        <v>GERA OF, MOVTO TERCEIROS</v>
      </c>
    </row>
    <row r="156" spans="1:5" x14ac:dyDescent="0.3">
      <c r="A156" s="12">
        <v>290201</v>
      </c>
      <c r="B156" s="1" t="str">
        <f>"RETORNO INDUSTRIALIZACAO"</f>
        <v>RETORNO INDUSTRIALIZACAO</v>
      </c>
      <c r="C156" s="1" t="str">
        <f t="shared" si="7"/>
        <v>Entrada</v>
      </c>
      <c r="D156" s="1" t="str">
        <f t="shared" si="6"/>
        <v>Ativa</v>
      </c>
      <c r="E156" s="2" t="str">
        <f>"GERA OF, MOVTO TERCEIROS"</f>
        <v>GERA OF, MOVTO TERCEIROS</v>
      </c>
    </row>
    <row r="157" spans="1:5" x14ac:dyDescent="0.3">
      <c r="A157" s="12">
        <v>290202</v>
      </c>
      <c r="B157" s="1" t="str">
        <f>"RETORNO INDUSTRIALIZACAO"</f>
        <v>RETORNO INDUSTRIALIZACAO</v>
      </c>
      <c r="C157" s="1" t="str">
        <f t="shared" si="7"/>
        <v>Entrada</v>
      </c>
      <c r="D157" s="1" t="str">
        <f t="shared" si="6"/>
        <v>Ativa</v>
      </c>
      <c r="E157" s="2" t="str">
        <f>"GERA OF, MOVTO TERCEIROS"</f>
        <v>GERA OF, MOVTO TERCEIROS</v>
      </c>
    </row>
    <row r="158" spans="1:5" x14ac:dyDescent="0.3">
      <c r="A158" s="12">
        <v>290301</v>
      </c>
      <c r="B158" s="1" t="str">
        <f>"RETORNO INDUSTRIALIZACAO"</f>
        <v>RETORNO INDUSTRIALIZACAO</v>
      </c>
      <c r="C158" s="1" t="str">
        <f t="shared" si="7"/>
        <v>Entrada</v>
      </c>
      <c r="D158" s="1" t="str">
        <f t="shared" si="6"/>
        <v>Ativa</v>
      </c>
      <c r="E158" s="2" t="str">
        <f>"GERA OF, MOVTO TERCEIROS"</f>
        <v>GERA OF, MOVTO TERCEIROS</v>
      </c>
    </row>
    <row r="159" spans="1:5" x14ac:dyDescent="0.3">
      <c r="A159" s="12">
        <v>290801</v>
      </c>
      <c r="B159" s="1" t="str">
        <f>"REMESSA PARA COMODATO"</f>
        <v>REMESSA PARA COMODATO</v>
      </c>
      <c r="C159" s="1" t="str">
        <f t="shared" si="7"/>
        <v>Entrada</v>
      </c>
      <c r="D159" s="1" t="str">
        <f t="shared" si="6"/>
        <v>Ativa</v>
      </c>
      <c r="E159" s="2" t="str">
        <f>"GERA OF, MOVTO TERC."</f>
        <v>GERA OF, MOVTO TERC.</v>
      </c>
    </row>
    <row r="160" spans="1:5" x14ac:dyDescent="0.3">
      <c r="A160" s="12">
        <v>291001</v>
      </c>
      <c r="B160" s="1" t="str">
        <f>"ENTRADA BONIFICAÇÃO/BRINDE/DOAÇÃO"</f>
        <v>ENTRADA BONIFICAÇÃO/BRINDE/DOAÇÃO</v>
      </c>
      <c r="C160" s="1" t="str">
        <f t="shared" si="7"/>
        <v>Entrada</v>
      </c>
      <c r="D160" s="1" t="str">
        <f t="shared" si="6"/>
        <v>Ativa</v>
      </c>
      <c r="E160" s="2" t="str">
        <f>"GERA OF."</f>
        <v>GERA OF.</v>
      </c>
    </row>
    <row r="161" spans="1:5" x14ac:dyDescent="0.3">
      <c r="A161" s="12">
        <v>291002</v>
      </c>
      <c r="B161" s="1" t="str">
        <f>"ENTRADA BONIFIC/BRINDE/DOAÇÃO C/ ST"</f>
        <v>ENTRADA BONIFIC/BRINDE/DOAÇÃO C/ ST</v>
      </c>
      <c r="C161" s="1" t="str">
        <f t="shared" si="7"/>
        <v>Entrada</v>
      </c>
      <c r="D161" s="1" t="str">
        <f t="shared" si="6"/>
        <v>Ativa</v>
      </c>
      <c r="E161" s="2" t="str">
        <f>"ENTRADA DE ITENS RECEBIDOS COMO AMOSTRA,"</f>
        <v>ENTRADA DE ITENS RECEBIDOS COMO AMOSTRA,</v>
      </c>
    </row>
    <row r="162" spans="1:5" x14ac:dyDescent="0.3">
      <c r="A162" s="10">
        <v>29101</v>
      </c>
      <c r="B162" s="1" t="str">
        <f>"COMPRA P/ ATIVO IMOBILIZADO - CIAP"</f>
        <v>COMPRA P/ ATIVO IMOBILIZADO - CIAP</v>
      </c>
      <c r="C162" s="1" t="str">
        <f t="shared" si="7"/>
        <v>Entrada</v>
      </c>
      <c r="D162" s="1" t="str">
        <f t="shared" si="6"/>
        <v>Ativa</v>
      </c>
      <c r="E162" s="2" t="str">
        <f>"GERA AP, GERA OF, GERA CIAP"</f>
        <v>GERA AP, GERA OF, GERA CIAP</v>
      </c>
    </row>
    <row r="163" spans="1:5" x14ac:dyDescent="0.3">
      <c r="A163" s="12">
        <v>291101</v>
      </c>
      <c r="B163" s="1" t="str">
        <f>"AMOSTRA GRÁTIS"</f>
        <v>AMOSTRA GRÁTIS</v>
      </c>
      <c r="C163" s="1" t="str">
        <f t="shared" si="7"/>
        <v>Entrada</v>
      </c>
      <c r="D163" s="1" t="str">
        <f t="shared" si="6"/>
        <v>Ativa</v>
      </c>
      <c r="E163" s="2" t="str">
        <f>"GERA OF."</f>
        <v>GERA OF.</v>
      </c>
    </row>
    <row r="164" spans="1:5" x14ac:dyDescent="0.3">
      <c r="A164" s="12">
        <v>291201</v>
      </c>
      <c r="B164" s="1" t="str">
        <f>"REMESSA(ENTRADA) P/DEMONSTRAÇÃO"</f>
        <v>REMESSA(ENTRADA) P/DEMONSTRAÇÃO</v>
      </c>
      <c r="C164" s="1" t="str">
        <f t="shared" si="7"/>
        <v>Entrada</v>
      </c>
      <c r="D164" s="1" t="str">
        <f t="shared" si="6"/>
        <v>Ativa</v>
      </c>
      <c r="E164" s="2" t="str">
        <f>"GERA OF, MOVTO TERC."</f>
        <v>GERA OF, MOVTO TERC.</v>
      </c>
    </row>
    <row r="165" spans="1:5" x14ac:dyDescent="0.3">
      <c r="A165" s="12">
        <v>291301</v>
      </c>
      <c r="B165" s="1" t="str">
        <f>"RETORNO DE DEMONSTRAÇÃO"</f>
        <v>RETORNO DE DEMONSTRAÇÃO</v>
      </c>
      <c r="C165" s="1" t="str">
        <f t="shared" si="7"/>
        <v>Entrada</v>
      </c>
      <c r="D165" s="1" t="str">
        <f t="shared" si="6"/>
        <v>Ativa</v>
      </c>
      <c r="E165" s="2" t="str">
        <f>"GERA OF, MOVTO TERC."</f>
        <v>GERA OF, MOVTO TERC.</v>
      </c>
    </row>
    <row r="166" spans="1:5" x14ac:dyDescent="0.3">
      <c r="A166" s="12">
        <v>291401</v>
      </c>
      <c r="B166" s="1" t="str">
        <f>"RETORNO DE EXPOSIÇÃO/FEIRA"</f>
        <v>RETORNO DE EXPOSIÇÃO/FEIRA</v>
      </c>
      <c r="C166" s="1" t="str">
        <f t="shared" si="7"/>
        <v>Entrada</v>
      </c>
      <c r="D166" s="1" t="str">
        <f t="shared" si="6"/>
        <v>Ativa</v>
      </c>
      <c r="E166" s="2" t="str">
        <f>""</f>
        <v/>
      </c>
    </row>
    <row r="167" spans="1:5" x14ac:dyDescent="0.3">
      <c r="A167" s="12">
        <v>291501</v>
      </c>
      <c r="B167" s="1" t="str">
        <f>"REMESSA PARA CONSERTO/REPARO"</f>
        <v>REMESSA PARA CONSERTO/REPARO</v>
      </c>
      <c r="C167" s="1" t="str">
        <f t="shared" si="7"/>
        <v>Entrada</v>
      </c>
      <c r="D167" s="1" t="str">
        <f t="shared" si="6"/>
        <v>Ativa</v>
      </c>
      <c r="E167" s="2" t="str">
        <f>"GERA OF, MOVTO TERC."</f>
        <v>GERA OF, MOVTO TERC.</v>
      </c>
    </row>
    <row r="168" spans="1:5" x14ac:dyDescent="0.3">
      <c r="A168" s="12">
        <v>291599</v>
      </c>
      <c r="B168" s="1" t="str">
        <f>"REMESSA PARA CONSERTO/REPARO"</f>
        <v>REMESSA PARA CONSERTO/REPARO</v>
      </c>
      <c r="C168" s="1" t="str">
        <f t="shared" ref="C168:C199" si="8">"Entrada"</f>
        <v>Entrada</v>
      </c>
      <c r="D168" s="1" t="str">
        <f t="shared" si="6"/>
        <v>Ativa</v>
      </c>
      <c r="E168" s="2" t="str">
        <f>"GERA OF, MOVTO TERC."</f>
        <v>GERA OF, MOVTO TERC.</v>
      </c>
    </row>
    <row r="169" spans="1:5" x14ac:dyDescent="0.3">
      <c r="A169" s="12">
        <v>291601</v>
      </c>
      <c r="B169" s="1" t="str">
        <f>"DEVOLUÇÃO DE CONSERTO/REPARO"</f>
        <v>DEVOLUÇÃO DE CONSERTO/REPARO</v>
      </c>
      <c r="C169" s="1" t="str">
        <f t="shared" si="8"/>
        <v>Entrada</v>
      </c>
      <c r="D169" s="1" t="str">
        <f t="shared" si="6"/>
        <v>Ativa</v>
      </c>
      <c r="E169" s="2" t="str">
        <f>"GERA OF, MOVTO TERC."</f>
        <v>GERA OF, MOVTO TERC.</v>
      </c>
    </row>
    <row r="170" spans="1:5" x14ac:dyDescent="0.3">
      <c r="A170" s="12">
        <v>291602</v>
      </c>
      <c r="B170" s="1" t="str">
        <f>"DEVOLUÇÃO DE CONSERTO/REPARO"</f>
        <v>DEVOLUÇÃO DE CONSERTO/REPARO</v>
      </c>
      <c r="C170" s="1" t="str">
        <f t="shared" si="8"/>
        <v>Entrada</v>
      </c>
      <c r="D170" s="1" t="str">
        <f t="shared" si="6"/>
        <v>Ativa</v>
      </c>
      <c r="E170" s="2" t="str">
        <f>"GERA OF, MOVTON NATUREZA PARA GERAR NOTA"</f>
        <v>GERA OF, MOVTON NATUREZA PARA GERAR NOTA</v>
      </c>
    </row>
    <row r="171" spans="1:5" x14ac:dyDescent="0.3">
      <c r="A171" s="12">
        <v>291701</v>
      </c>
      <c r="B171" s="1" t="str">
        <f>"ENTRADA EM CONSIGNACAO"</f>
        <v>ENTRADA EM CONSIGNACAO</v>
      </c>
      <c r="C171" s="1" t="str">
        <f t="shared" si="8"/>
        <v>Entrada</v>
      </c>
      <c r="D171" s="1" t="str">
        <f t="shared" si="6"/>
        <v>Ativa</v>
      </c>
      <c r="E171" s="2" t="str">
        <f>"GERA OF, GERA MOV TERC"</f>
        <v>GERA OF, GERA MOV TERC</v>
      </c>
    </row>
    <row r="172" spans="1:5" x14ac:dyDescent="0.3">
      <c r="A172" s="12">
        <v>291702</v>
      </c>
      <c r="B172" s="1" t="str">
        <f>"ENTRADA EM CONSIGNACAO"</f>
        <v>ENTRADA EM CONSIGNACAO</v>
      </c>
      <c r="C172" s="1" t="str">
        <f t="shared" si="8"/>
        <v>Entrada</v>
      </c>
      <c r="D172" s="1" t="str">
        <f t="shared" si="6"/>
        <v>Ativa</v>
      </c>
      <c r="E172" s="2" t="str">
        <f>"GERA OF, GERA MOV TERC"</f>
        <v>GERA OF, GERA MOV TERC</v>
      </c>
    </row>
    <row r="173" spans="1:5" x14ac:dyDescent="0.3">
      <c r="A173" s="12">
        <v>291801</v>
      </c>
      <c r="B173" s="1" t="str">
        <f>"RETORNO MERC REM CONSIGNACAO IND"</f>
        <v>RETORNO MERC REM CONSIGNACAO IND</v>
      </c>
      <c r="C173" s="1" t="str">
        <f t="shared" si="8"/>
        <v>Entrada</v>
      </c>
      <c r="D173" s="1" t="str">
        <f t="shared" si="6"/>
        <v>Ativa</v>
      </c>
      <c r="E173" s="2" t="str">
        <f>"GERA OF, MOVTO TERCEIROS"</f>
        <v>GERA OF, MOVTO TERCEIROS</v>
      </c>
    </row>
    <row r="174" spans="1:5" x14ac:dyDescent="0.3">
      <c r="A174" s="12">
        <v>292001</v>
      </c>
      <c r="B174" s="1" t="str">
        <f>"REMESSA DE EMBALAGEM"</f>
        <v>REMESSA DE EMBALAGEM</v>
      </c>
      <c r="C174" s="1" t="str">
        <f t="shared" si="8"/>
        <v>Entrada</v>
      </c>
      <c r="D174" s="1" t="str">
        <f t="shared" si="6"/>
        <v>Ativa</v>
      </c>
      <c r="E174" s="2" t="str">
        <f>"GERA OF."</f>
        <v>GERA OF.</v>
      </c>
    </row>
    <row r="175" spans="1:5" x14ac:dyDescent="0.3">
      <c r="A175" s="12">
        <v>292101</v>
      </c>
      <c r="B175" s="1" t="str">
        <f>"RETORNO DE EMBALAGEM"</f>
        <v>RETORNO DE EMBALAGEM</v>
      </c>
      <c r="C175" s="1" t="str">
        <f t="shared" si="8"/>
        <v>Entrada</v>
      </c>
      <c r="D175" s="1" t="str">
        <f t="shared" si="6"/>
        <v>Ativa</v>
      </c>
      <c r="E175" s="2" t="str">
        <f>"GERA OF"</f>
        <v>GERA OF</v>
      </c>
    </row>
    <row r="176" spans="1:5" x14ac:dyDescent="0.3">
      <c r="A176" s="12">
        <v>292102</v>
      </c>
      <c r="B176" s="1" t="str">
        <f>"RETORNO DE EMBALAGEM"</f>
        <v>RETORNO DE EMBALAGEM</v>
      </c>
      <c r="C176" s="1" t="str">
        <f t="shared" si="8"/>
        <v>Entrada</v>
      </c>
      <c r="D176" s="1" t="str">
        <f t="shared" si="6"/>
        <v>Ativa</v>
      </c>
      <c r="E176" s="2" t="str">
        <f>"GERA OF"</f>
        <v>GERA OF</v>
      </c>
    </row>
    <row r="177" spans="1:5" x14ac:dyDescent="0.3">
      <c r="A177" s="12">
        <v>292110</v>
      </c>
      <c r="B177" s="1" t="str">
        <f>"RETORNO DE EMBALAGEM-ANULACAO SAIDA"</f>
        <v>RETORNO DE EMBALAGEM-ANULACAO SAIDA</v>
      </c>
      <c r="C177" s="1" t="str">
        <f t="shared" si="8"/>
        <v>Entrada</v>
      </c>
      <c r="D177" s="1" t="str">
        <f t="shared" si="6"/>
        <v>Ativa</v>
      </c>
      <c r="E177" s="2" t="str">
        <f>"UTILIZAR PARA ANULAR REMESSA DE PALLETS"</f>
        <v>UTILIZAR PARA ANULAR REMESSA DE PALLETS</v>
      </c>
    </row>
    <row r="178" spans="1:5" x14ac:dyDescent="0.3">
      <c r="A178" s="12">
        <v>292201</v>
      </c>
      <c r="B178" s="1" t="str">
        <f>"ENTRADA SIMPLES FATURAMENTO"</f>
        <v>ENTRADA SIMPLES FATURAMENTO</v>
      </c>
      <c r="C178" s="1" t="str">
        <f t="shared" si="8"/>
        <v>Entrada</v>
      </c>
      <c r="D178" s="1" t="str">
        <f t="shared" si="6"/>
        <v>Ativa</v>
      </c>
      <c r="E178" s="2" t="str">
        <f>"NOTA REF FATURAENTO COM ENTREGA FUTURA 6"</f>
        <v>NOTA REF FATURAENTO COM ENTREGA FUTURA 6</v>
      </c>
    </row>
    <row r="179" spans="1:5" x14ac:dyDescent="0.3">
      <c r="A179" s="12">
        <v>292202</v>
      </c>
      <c r="B179" s="1" t="str">
        <f>"ENTRADA SIMPLES FATURAMENTO"</f>
        <v>ENTRADA SIMPLES FATURAMENTO</v>
      </c>
      <c r="C179" s="1" t="str">
        <f t="shared" si="8"/>
        <v>Entrada</v>
      </c>
      <c r="D179" s="1" t="str">
        <f t="shared" si="6"/>
        <v>Ativa</v>
      </c>
      <c r="E179" s="2" t="str">
        <f>"GERA AP, GERA OF"</f>
        <v>GERA AP, GERA OF</v>
      </c>
    </row>
    <row r="180" spans="1:5" x14ac:dyDescent="0.3">
      <c r="A180" s="12">
        <v>292301</v>
      </c>
      <c r="B180" s="1" t="str">
        <f>"REMESSA ORDEM"</f>
        <v>REMESSA ORDEM</v>
      </c>
      <c r="C180" s="1" t="str">
        <f t="shared" si="8"/>
        <v>Entrada</v>
      </c>
      <c r="D180" s="1" t="str">
        <f t="shared" si="6"/>
        <v>Ativa</v>
      </c>
      <c r="E180" s="2" t="str">
        <f>"GERA OF, GERA OP. TERC."</f>
        <v>GERA OF, GERA OP. TERC.</v>
      </c>
    </row>
    <row r="181" spans="1:5" x14ac:dyDescent="0.3">
      <c r="A181" s="12">
        <v>292302</v>
      </c>
      <c r="B181" s="1" t="str">
        <f>"REMESSA ORDEM"</f>
        <v>REMESSA ORDEM</v>
      </c>
      <c r="C181" s="1" t="str">
        <f t="shared" si="8"/>
        <v>Entrada</v>
      </c>
      <c r="D181" s="1" t="str">
        <f t="shared" si="6"/>
        <v>Ativa</v>
      </c>
      <c r="E181" s="2" t="str">
        <f>"GERA OF, GERA OP. TERC.  ENTRADA NF ALLN"</f>
        <v>GERA OF, GERA OP. TERC.  ENTRADA NF ALLN</v>
      </c>
    </row>
    <row r="182" spans="1:5" x14ac:dyDescent="0.3">
      <c r="A182" s="12">
        <v>292401</v>
      </c>
      <c r="B182" s="1" t="str">
        <f>"ENTRADA INDUSTRIALIZACAO S/TRANSIT"</f>
        <v>ENTRADA INDUSTRIALIZACAO S/TRANSIT</v>
      </c>
      <c r="C182" s="1" t="str">
        <f t="shared" si="8"/>
        <v>Entrada</v>
      </c>
      <c r="D182" s="1" t="str">
        <f t="shared" si="6"/>
        <v>Ativa</v>
      </c>
      <c r="E182" s="2" t="str">
        <f>"GERA OF, MOVTO TERC."</f>
        <v>GERA OF, MOVTO TERC.</v>
      </c>
    </row>
    <row r="183" spans="1:5" x14ac:dyDescent="0.3">
      <c r="A183" s="12">
        <v>293301</v>
      </c>
      <c r="B183" s="1" t="str">
        <f>"SERVICOS TRIB ISS C/CREDITO PIS/COF"</f>
        <v>SERVICOS TRIB ISS C/CREDITO PIS/COF</v>
      </c>
      <c r="C183" s="1" t="str">
        <f t="shared" si="8"/>
        <v>Entrada</v>
      </c>
      <c r="D183" s="1" t="str">
        <f t="shared" si="6"/>
        <v>Ativa</v>
      </c>
      <c r="E183" s="2" t="str">
        <f>"GERA CONTAS A PAGAR, OF - GERA PIS E COF"</f>
        <v>GERA CONTAS A PAGAR, OF - GERA PIS E COF</v>
      </c>
    </row>
    <row r="184" spans="1:5" x14ac:dyDescent="0.3">
      <c r="A184" s="12">
        <v>293302</v>
      </c>
      <c r="B184" s="1" t="str">
        <f>"PRESTAÇÃO DE SERVICOS"</f>
        <v>PRESTAÇÃO DE SERVICOS</v>
      </c>
      <c r="C184" s="1" t="str">
        <f t="shared" si="8"/>
        <v>Entrada</v>
      </c>
      <c r="D184" s="1" t="str">
        <f t="shared" si="6"/>
        <v>Ativa</v>
      </c>
      <c r="E184" s="2" t="str">
        <f>"GERA CONTAS A PAGAR, OF"</f>
        <v>GERA CONTAS A PAGAR, OF</v>
      </c>
    </row>
    <row r="185" spans="1:5" x14ac:dyDescent="0.3">
      <c r="A185" s="12">
        <v>293391</v>
      </c>
      <c r="B185" s="1" t="str">
        <f>"SERVICOS -GERA PIS COFINS"</f>
        <v>SERVICOS -GERA PIS COFINS</v>
      </c>
      <c r="C185" s="1" t="str">
        <f t="shared" si="8"/>
        <v>Entrada</v>
      </c>
      <c r="D185" s="1" t="str">
        <f t="shared" si="6"/>
        <v>Ativa</v>
      </c>
      <c r="E185" s="2" t="str">
        <f>"GERA CONTAS A PAGAR, GERA PIS COFINS."</f>
        <v>GERA CONTAS A PAGAR, GERA PIS COFINS.</v>
      </c>
    </row>
    <row r="186" spans="1:5" x14ac:dyDescent="0.3">
      <c r="A186" s="12">
        <v>293392</v>
      </c>
      <c r="B186" s="1" t="str">
        <f>"SERVICOS -SEM PIS COFINS"</f>
        <v>SERVICOS -SEM PIS COFINS</v>
      </c>
      <c r="C186" s="1" t="str">
        <f t="shared" si="8"/>
        <v>Entrada</v>
      </c>
      <c r="D186" s="1" t="str">
        <f t="shared" si="6"/>
        <v>Ativa</v>
      </c>
      <c r="E186" s="2" t="str">
        <f>"GERA CONTAS A PAGAR."</f>
        <v>GERA CONTAS A PAGAR.</v>
      </c>
    </row>
    <row r="187" spans="1:5" x14ac:dyDescent="0.3">
      <c r="A187" s="12">
        <v>293393</v>
      </c>
      <c r="B187" s="1" t="str">
        <f>"SERVICOS-C/PIS COFINS OF- RATEIO"</f>
        <v>SERVICOS-C/PIS COFINS OF- RATEIO</v>
      </c>
      <c r="C187" s="1" t="str">
        <f t="shared" si="8"/>
        <v>Entrada</v>
      </c>
      <c r="D187" s="1" t="str">
        <f t="shared" si="6"/>
        <v>Ativa</v>
      </c>
      <c r="E187" s="2" t="str">
        <f>"GERA CONTAS A PAGAR, GERA PIS COFINS."</f>
        <v>GERA CONTAS A PAGAR, GERA PIS COFINS.</v>
      </c>
    </row>
    <row r="188" spans="1:5" x14ac:dyDescent="0.3">
      <c r="A188" s="12">
        <v>293394</v>
      </c>
      <c r="B188" s="1" t="str">
        <f>"SERVICO- SEM PIS COFINS - RATEI"</f>
        <v>SERVICO- SEM PIS COFINS - RATEI</v>
      </c>
      <c r="C188" s="1" t="str">
        <f t="shared" si="8"/>
        <v>Entrada</v>
      </c>
      <c r="D188" s="1" t="str">
        <f t="shared" si="6"/>
        <v>Ativa</v>
      </c>
      <c r="E188" s="2" t="str">
        <f>"GERA CONTAS A PAGAR, NAO CREDITA PIS COF"</f>
        <v>GERA CONTAS A PAGAR, NAO CREDITA PIS COF</v>
      </c>
    </row>
    <row r="189" spans="1:5" x14ac:dyDescent="0.3">
      <c r="A189" s="12">
        <v>293395</v>
      </c>
      <c r="B189" s="1" t="str">
        <f>"SERVICOS - GERA PIS COFINS INVESTIM"</f>
        <v>SERVICOS - GERA PIS COFINS INVESTIM</v>
      </c>
      <c r="C189" s="1" t="str">
        <f t="shared" si="8"/>
        <v>Entrada</v>
      </c>
      <c r="D189" s="1" t="str">
        <f t="shared" si="6"/>
        <v>Ativa</v>
      </c>
      <c r="E189" s="2" t="str">
        <f>"GERA CONTAS A PAGAR, GERA PIS COFINS."</f>
        <v>GERA CONTAS A PAGAR, GERA PIS COFINS.</v>
      </c>
    </row>
    <row r="190" spans="1:5" x14ac:dyDescent="0.3">
      <c r="A190" s="12">
        <v>293396</v>
      </c>
      <c r="B190" s="1" t="str">
        <f>"SERVICOS -SEM PIS COFINS"</f>
        <v>SERVICOS -SEM PIS COFINS</v>
      </c>
      <c r="C190" s="1" t="str">
        <f t="shared" si="8"/>
        <v>Entrada</v>
      </c>
      <c r="D190" s="1" t="str">
        <f t="shared" si="6"/>
        <v>Ativa</v>
      </c>
      <c r="E190" s="2" t="str">
        <f>"GERA CONTAS A PAGAR."</f>
        <v>GERA CONTAS A PAGAR.</v>
      </c>
    </row>
    <row r="191" spans="1:5" x14ac:dyDescent="0.3">
      <c r="A191" s="12">
        <v>294901</v>
      </c>
      <c r="B191" s="1" t="str">
        <f>"OUTRAS ENTRADAS"</f>
        <v>OUTRAS ENTRADAS</v>
      </c>
      <c r="C191" s="1" t="str">
        <f t="shared" si="8"/>
        <v>Entrada</v>
      </c>
      <c r="D191" s="1" t="str">
        <f t="shared" si="6"/>
        <v>Ativa</v>
      </c>
      <c r="E191" s="2" t="str">
        <f>"GERA OF - CFOP PARA LANÇAMENTO DAS NOTAS"</f>
        <v>GERA OF - CFOP PARA LANÇAMENTO DAS NOTAS</v>
      </c>
    </row>
    <row r="192" spans="1:5" x14ac:dyDescent="0.3">
      <c r="A192" s="12">
        <v>294902</v>
      </c>
      <c r="B192" s="1" t="str">
        <f>"PRESTACAO DE SERVICO"</f>
        <v>PRESTACAO DE SERVICO</v>
      </c>
      <c r="C192" s="1" t="str">
        <f t="shared" si="8"/>
        <v>Entrada</v>
      </c>
      <c r="D192" s="1" t="str">
        <f t="shared" si="6"/>
        <v>Ativa</v>
      </c>
      <c r="E192" s="2" t="str">
        <f>"GERA OF."</f>
        <v>GERA OF.</v>
      </c>
    </row>
    <row r="193" spans="1:5" x14ac:dyDescent="0.3">
      <c r="A193" s="12">
        <v>294903</v>
      </c>
      <c r="B193" s="1" t="str">
        <f>"RETORNO EMPRESTIMO"</f>
        <v>RETORNO EMPRESTIMO</v>
      </c>
      <c r="C193" s="1" t="str">
        <f t="shared" si="8"/>
        <v>Entrada</v>
      </c>
      <c r="D193" s="1" t="str">
        <f t="shared" si="6"/>
        <v>Ativa</v>
      </c>
      <c r="E193" s="2" t="str">
        <f>"GERA OF. MOVTO TERCEIROS"</f>
        <v>GERA OF. MOVTO TERCEIROS</v>
      </c>
    </row>
    <row r="194" spans="1:5" x14ac:dyDescent="0.3">
      <c r="A194" s="12">
        <v>294904</v>
      </c>
      <c r="B194" s="1" t="str">
        <f>"REMESSA DE EMPRESTIMO"</f>
        <v>REMESSA DE EMPRESTIMO</v>
      </c>
      <c r="C194" s="1" t="str">
        <f t="shared" si="8"/>
        <v>Entrada</v>
      </c>
      <c r="D194" s="1" t="str">
        <f t="shared" ref="D194:D257" si="9">"Ativa"</f>
        <v>Ativa</v>
      </c>
      <c r="E194" s="2" t="str">
        <f>"GERA OF. MOVTO TERCEIROS"</f>
        <v>GERA OF. MOVTO TERCEIROS</v>
      </c>
    </row>
    <row r="195" spans="1:5" x14ac:dyDescent="0.3">
      <c r="A195" s="12">
        <v>294905</v>
      </c>
      <c r="B195" s="1" t="str">
        <f>"SERVICOS PRESTADOS"</f>
        <v>SERVICOS PRESTADOS</v>
      </c>
      <c r="C195" s="1" t="str">
        <f t="shared" si="8"/>
        <v>Entrada</v>
      </c>
      <c r="D195" s="1" t="str">
        <f t="shared" si="9"/>
        <v>Ativa</v>
      </c>
      <c r="E195" s="2" t="str">
        <f>"GERA CONTAS A PAGAR"</f>
        <v>GERA CONTAS A PAGAR</v>
      </c>
    </row>
    <row r="196" spans="1:5" x14ac:dyDescent="0.3">
      <c r="A196" s="12">
        <v>294906</v>
      </c>
      <c r="B196" s="1" t="str">
        <f>"RETORNO DE TESTE"</f>
        <v>RETORNO DE TESTE</v>
      </c>
      <c r="C196" s="1" t="str">
        <f t="shared" si="8"/>
        <v>Entrada</v>
      </c>
      <c r="D196" s="1" t="str">
        <f t="shared" si="9"/>
        <v>Ativa</v>
      </c>
      <c r="E196" s="2" t="str">
        <f>"GERA OF. MOVTO TERCEIROS"</f>
        <v>GERA OF. MOVTO TERCEIROS</v>
      </c>
    </row>
    <row r="197" spans="1:5" x14ac:dyDescent="0.3">
      <c r="A197" s="12">
        <v>294908</v>
      </c>
      <c r="B197" s="1" t="str">
        <f>"RETORNO DE MATERIAL MOSTRUARIO"</f>
        <v>RETORNO DE MATERIAL MOSTRUARIO</v>
      </c>
      <c r="C197" s="1" t="str">
        <f t="shared" si="8"/>
        <v>Entrada</v>
      </c>
      <c r="D197" s="1" t="str">
        <f t="shared" si="9"/>
        <v>Ativa</v>
      </c>
      <c r="E197" s="2" t="str">
        <f>"GERA OF. MOVTO TERCEIROS"</f>
        <v>GERA OF. MOVTO TERCEIROS</v>
      </c>
    </row>
    <row r="198" spans="1:5" x14ac:dyDescent="0.3">
      <c r="A198" s="12">
        <v>294909</v>
      </c>
      <c r="B198" s="1" t="str">
        <f>"REMESSA PARA TROCA DE MERCADORIA"</f>
        <v>REMESSA PARA TROCA DE MERCADORIA</v>
      </c>
      <c r="C198" s="1" t="str">
        <f t="shared" si="8"/>
        <v>Entrada</v>
      </c>
      <c r="D198" s="1" t="str">
        <f t="shared" si="9"/>
        <v>Ativa</v>
      </c>
      <c r="E198" s="2" t="str">
        <f>"GERA OF. MOVTO TERCEIROS"</f>
        <v>GERA OF. MOVTO TERCEIROS</v>
      </c>
    </row>
    <row r="199" spans="1:5" x14ac:dyDescent="0.3">
      <c r="A199" s="12">
        <v>294910</v>
      </c>
      <c r="B199" s="1" t="str">
        <f>"OUTRAS ENTRADAS"</f>
        <v>OUTRAS ENTRADAS</v>
      </c>
      <c r="C199" s="1" t="str">
        <f t="shared" si="8"/>
        <v>Entrada</v>
      </c>
      <c r="D199" s="1" t="str">
        <f t="shared" si="9"/>
        <v>Ativa</v>
      </c>
      <c r="E199" s="2" t="str">
        <f>"GERA OF. GERA MOVTO ESTOQUE. CFOP PARA R"</f>
        <v>GERA OF. GERA MOVTO ESTOQUE. CFOP PARA R</v>
      </c>
    </row>
    <row r="200" spans="1:5" x14ac:dyDescent="0.3">
      <c r="A200" s="12">
        <v>294911</v>
      </c>
      <c r="B200" s="1" t="str">
        <f>"RETORNO MERCADORIA NAO ENTREGUE"</f>
        <v>RETORNO MERCADORIA NAO ENTREGUE</v>
      </c>
      <c r="C200" s="1" t="str">
        <f t="shared" ref="C200:C231" si="10">"Entrada"</f>
        <v>Entrada</v>
      </c>
      <c r="D200" s="1" t="str">
        <f t="shared" si="9"/>
        <v>Ativa</v>
      </c>
      <c r="E200" s="2" t="str">
        <f>"GERA OF, MOVTO TERCEIROS"</f>
        <v>GERA OF, MOVTO TERCEIROS</v>
      </c>
    </row>
    <row r="201" spans="1:5" x14ac:dyDescent="0.3">
      <c r="A201" s="12">
        <v>294912</v>
      </c>
      <c r="B201" s="1" t="str">
        <f>"REMESSA PARA TESTE SEM RETORNO"</f>
        <v>REMESSA PARA TESTE SEM RETORNO</v>
      </c>
      <c r="C201" s="1" t="str">
        <f t="shared" si="10"/>
        <v>Entrada</v>
      </c>
      <c r="D201" s="1" t="str">
        <f t="shared" si="9"/>
        <v>Ativa</v>
      </c>
      <c r="E201" s="2" t="str">
        <f>"GERA OF. MOVTO TERCEIROS"</f>
        <v>GERA OF. MOVTO TERCEIROS</v>
      </c>
    </row>
    <row r="202" spans="1:5" x14ac:dyDescent="0.3">
      <c r="A202" s="12">
        <v>294913</v>
      </c>
      <c r="B202" s="1" t="str">
        <f>"ENTRADA PARA TESTE COM RETORNO"</f>
        <v>ENTRADA PARA TESTE COM RETORNO</v>
      </c>
      <c r="C202" s="1" t="str">
        <f t="shared" si="10"/>
        <v>Entrada</v>
      </c>
      <c r="D202" s="1" t="str">
        <f t="shared" si="9"/>
        <v>Ativa</v>
      </c>
      <c r="E202" s="2" t="str">
        <f>"GERA OF. MOVTO TERCEIROS"</f>
        <v>GERA OF. MOVTO TERCEIROS</v>
      </c>
    </row>
    <row r="203" spans="1:5" x14ac:dyDescent="0.3">
      <c r="A203" s="12">
        <v>294914</v>
      </c>
      <c r="B203" s="1" t="str">
        <f>"RETORNO DE MATERIAL GARANTIA"</f>
        <v>RETORNO DE MATERIAL GARANTIA</v>
      </c>
      <c r="C203" s="1" t="str">
        <f t="shared" si="10"/>
        <v>Entrada</v>
      </c>
      <c r="D203" s="1" t="str">
        <f t="shared" si="9"/>
        <v>Ativa</v>
      </c>
      <c r="E203" s="2" t="str">
        <f>"GERA OF. MOVTO TERCEIROS"</f>
        <v>GERA OF. MOVTO TERCEIROS</v>
      </c>
    </row>
    <row r="204" spans="1:5" x14ac:dyDescent="0.3">
      <c r="A204" s="12">
        <v>294915</v>
      </c>
      <c r="B204" s="1" t="str">
        <f>"RETORNO DE MATERIAL ENVIADO P/ GRAV"</f>
        <v>RETORNO DE MATERIAL ENVIADO P/ GRAV</v>
      </c>
      <c r="C204" s="1" t="str">
        <f t="shared" si="10"/>
        <v>Entrada</v>
      </c>
      <c r="D204" s="1" t="str">
        <f t="shared" si="9"/>
        <v>Ativa</v>
      </c>
      <c r="E204" s="2" t="str">
        <f>"GERA OF. MOVTO TERCEIROS"</f>
        <v>GERA OF. MOVTO TERCEIROS</v>
      </c>
    </row>
    <row r="205" spans="1:5" x14ac:dyDescent="0.3">
      <c r="A205" s="12">
        <v>294916</v>
      </c>
      <c r="B205" s="1" t="str">
        <f>"RETORNO MATERIAL ENVIADO TROCA"</f>
        <v>RETORNO MATERIAL ENVIADO TROCA</v>
      </c>
      <c r="C205" s="1" t="str">
        <f t="shared" si="10"/>
        <v>Entrada</v>
      </c>
      <c r="D205" s="1" t="str">
        <f t="shared" si="9"/>
        <v>Ativa</v>
      </c>
      <c r="E205" s="2" t="str">
        <f>"GERA OF. MOVTO TERCEIROS"</f>
        <v>GERA OF. MOVTO TERCEIROS</v>
      </c>
    </row>
    <row r="206" spans="1:5" x14ac:dyDescent="0.3">
      <c r="A206" s="12">
        <v>294917</v>
      </c>
      <c r="B206" s="1" t="str">
        <f>"REMESSA PARA LOCAÇÃO"</f>
        <v>REMESSA PARA LOCAÇÃO</v>
      </c>
      <c r="C206" s="1" t="str">
        <f t="shared" si="10"/>
        <v>Entrada</v>
      </c>
      <c r="D206" s="1" t="str">
        <f t="shared" si="9"/>
        <v>Ativa</v>
      </c>
      <c r="E206" s="2" t="str">
        <f>"GERA OF, GERA MOV. TERC."</f>
        <v>GERA OF, GERA MOV. TERC.</v>
      </c>
    </row>
    <row r="207" spans="1:5" x14ac:dyDescent="0.3">
      <c r="A207" s="12">
        <v>294918</v>
      </c>
      <c r="B207" s="1" t="str">
        <f>"OUTRAS ENTRADAS - RECUSA IND"</f>
        <v>OUTRAS ENTRADAS - RECUSA IND</v>
      </c>
      <c r="C207" s="1" t="str">
        <f t="shared" si="10"/>
        <v>Entrada</v>
      </c>
      <c r="D207" s="1" t="str">
        <f t="shared" si="9"/>
        <v>Ativa</v>
      </c>
      <c r="E207" s="2" t="str">
        <f>"GERA OF, GERA DUPLICATA.  CFOP PARA RECU"</f>
        <v>GERA OF, GERA DUPLICATA.  CFOP PARA RECU</v>
      </c>
    </row>
    <row r="208" spans="1:5" x14ac:dyDescent="0.3">
      <c r="A208" s="12">
        <v>294919</v>
      </c>
      <c r="B208" s="1" t="str">
        <f>"OUTRAS ENTRADAS COMPL ICMS OP TRIAN"</f>
        <v>OUTRAS ENTRADAS COMPL ICMS OP TRIAN</v>
      </c>
      <c r="C208" s="1" t="str">
        <f t="shared" si="10"/>
        <v>Entrada</v>
      </c>
      <c r="D208" s="1" t="str">
        <f t="shared" si="9"/>
        <v>Ativa</v>
      </c>
      <c r="E208" s="2" t="str">
        <f>"GERA OF.  CFOP PARA NFS DE COMPLEMENTO I"</f>
        <v>GERA OF.  CFOP PARA NFS DE COMPLEMENTO I</v>
      </c>
    </row>
    <row r="209" spans="1:5" x14ac:dyDescent="0.3">
      <c r="A209" s="12">
        <v>294920</v>
      </c>
      <c r="B209" s="1" t="str">
        <f>"OUTRAS ENTRADAS - RECUSA RET IND"</f>
        <v>OUTRAS ENTRADAS - RECUSA RET IND</v>
      </c>
      <c r="C209" s="1" t="str">
        <f t="shared" si="10"/>
        <v>Entrada</v>
      </c>
      <c r="D209" s="1" t="str">
        <f t="shared" si="9"/>
        <v>Ativa</v>
      </c>
      <c r="E209" s="2" t="str">
        <f>"GERA OF, GERA MOV TERC.  CFOP PARA RECUS"</f>
        <v>GERA OF, GERA MOV TERC.  CFOP PARA RECUS</v>
      </c>
    </row>
    <row r="210" spans="1:5" x14ac:dyDescent="0.3">
      <c r="A210" s="12">
        <v>294921</v>
      </c>
      <c r="B210" s="1" t="str">
        <f>"OUTRAS ENTRADAS - RECUSA REM IND"</f>
        <v>OUTRAS ENTRADAS - RECUSA REM IND</v>
      </c>
      <c r="C210" s="1" t="str">
        <f t="shared" si="10"/>
        <v>Entrada</v>
      </c>
      <c r="D210" s="1" t="str">
        <f t="shared" si="9"/>
        <v>Ativa</v>
      </c>
      <c r="E210" s="2" t="str">
        <f>"GERA OF, GERA MOV TERC.  ACERTO REFERENT"</f>
        <v>GERA OF, GERA MOV TERC.  ACERTO REFERENT</v>
      </c>
    </row>
    <row r="211" spans="1:5" x14ac:dyDescent="0.3">
      <c r="A211" s="12">
        <v>294922</v>
      </c>
      <c r="B211" s="1" t="str">
        <f>"ENTRADA VASILHAME COM RETORNO"</f>
        <v>ENTRADA VASILHAME COM RETORNO</v>
      </c>
      <c r="C211" s="1" t="str">
        <f t="shared" si="10"/>
        <v>Entrada</v>
      </c>
      <c r="D211" s="1" t="str">
        <f t="shared" si="9"/>
        <v>Ativa</v>
      </c>
      <c r="E211" s="2" t="str">
        <f>"GERA OF. MOVTO TERCEIROS"</f>
        <v>GERA OF. MOVTO TERCEIROS</v>
      </c>
    </row>
    <row r="212" spans="1:5" x14ac:dyDescent="0.3">
      <c r="A212" s="12">
        <v>294923</v>
      </c>
      <c r="B212" s="1" t="str">
        <f>"OUTRAS ENTRADAS - RECUSA RET IND"</f>
        <v>OUTRAS ENTRADAS - RECUSA RET IND</v>
      </c>
      <c r="C212" s="1" t="str">
        <f t="shared" si="10"/>
        <v>Entrada</v>
      </c>
      <c r="D212" s="1" t="str">
        <f t="shared" si="9"/>
        <v>Ativa</v>
      </c>
      <c r="E212" s="2" t="str">
        <f>"GERA OF, GERA MOV TERC.  CFOP PARA RECUS"</f>
        <v>GERA OF, GERA MOV TERC.  CFOP PARA RECUS</v>
      </c>
    </row>
    <row r="213" spans="1:5" x14ac:dyDescent="0.3">
      <c r="A213" s="12">
        <v>294924</v>
      </c>
      <c r="B213" s="1" t="str">
        <f>"OUTRAS ENTRADAS"</f>
        <v>OUTRAS ENTRADAS</v>
      </c>
      <c r="C213" s="1" t="str">
        <f t="shared" si="10"/>
        <v>Entrada</v>
      </c>
      <c r="D213" s="1" t="str">
        <f t="shared" si="9"/>
        <v>Ativa</v>
      </c>
      <c r="E213" s="2" t="str">
        <f>"GERA OF - CFOP PARA LANÇAMENTO DAS NOTAS"</f>
        <v>GERA OF - CFOP PARA LANÇAMENTO DAS NOTAS</v>
      </c>
    </row>
    <row r="214" spans="1:5" x14ac:dyDescent="0.3">
      <c r="A214" s="12">
        <v>294925</v>
      </c>
      <c r="B214" s="1" t="str">
        <f>"OUTRAS ENTRADAS"</f>
        <v>OUTRAS ENTRADAS</v>
      </c>
      <c r="C214" s="1" t="str">
        <f t="shared" si="10"/>
        <v>Entrada</v>
      </c>
      <c r="D214" s="1" t="str">
        <f t="shared" si="9"/>
        <v>Ativa</v>
      </c>
      <c r="E214" s="2" t="str">
        <f>"GERA OF - LANÇAMENTOS ICMS 12% DEVIDO CÁ"</f>
        <v>GERA OF - LANÇAMENTOS ICMS 12% DEVIDO CÁ</v>
      </c>
    </row>
    <row r="215" spans="1:5" x14ac:dyDescent="0.3">
      <c r="A215" s="12">
        <v>294994</v>
      </c>
      <c r="B215" s="1" t="str">
        <f>"SERVICOS - SEM OF- SEM PIS COFINS"</f>
        <v>SERVICOS - SEM OF- SEM PIS COFINS</v>
      </c>
      <c r="C215" s="1" t="str">
        <f t="shared" si="10"/>
        <v>Entrada</v>
      </c>
      <c r="D215" s="1" t="str">
        <f t="shared" si="9"/>
        <v>Ativa</v>
      </c>
      <c r="E215" s="2" t="str">
        <f>"GERA CONTAS A PAGAR - NÃO GERA OF - NÃO"</f>
        <v>GERA CONTAS A PAGAR - NÃO GERA OF - NÃO</v>
      </c>
    </row>
    <row r="216" spans="1:5" x14ac:dyDescent="0.3">
      <c r="A216" s="12">
        <v>294999</v>
      </c>
      <c r="B216" s="1" t="str">
        <f>"RETORNO DE MATERIAL"</f>
        <v>RETORNO DE MATERIAL</v>
      </c>
      <c r="C216" s="1" t="str">
        <f t="shared" si="10"/>
        <v>Entrada</v>
      </c>
      <c r="D216" s="1" t="str">
        <f t="shared" si="9"/>
        <v>Ativa</v>
      </c>
      <c r="E216" s="2" t="str">
        <f>"GERA OF. MOVTO TERCEIROS"</f>
        <v>GERA OF. MOVTO TERCEIROS</v>
      </c>
    </row>
    <row r="217" spans="1:5" x14ac:dyDescent="0.3">
      <c r="A217" s="12">
        <v>299901</v>
      </c>
      <c r="B217" s="1" t="str">
        <f>"SERVIÇOS- FATURAS"</f>
        <v>SERVIÇOS- FATURAS</v>
      </c>
      <c r="C217" s="1" t="str">
        <f t="shared" si="10"/>
        <v>Entrada</v>
      </c>
      <c r="D217" s="1" t="str">
        <f t="shared" si="9"/>
        <v>Ativa</v>
      </c>
      <c r="E217" s="2" t="str">
        <f>"GERA CONTAS A PAGAR, NÃO GERA PIS E COFI"</f>
        <v>GERA CONTAS A PAGAR, NÃO GERA PIS E COFI</v>
      </c>
    </row>
    <row r="218" spans="1:5" x14ac:dyDescent="0.3">
      <c r="A218" s="12">
        <v>299902</v>
      </c>
      <c r="B218" s="1" t="str">
        <f>"SERVIÇOS- FATURAS ATUALIZA OF"</f>
        <v>SERVIÇOS- FATURAS ATUALIZA OF</v>
      </c>
      <c r="C218" s="1" t="str">
        <f t="shared" si="10"/>
        <v>Entrada</v>
      </c>
      <c r="D218" s="1" t="str">
        <f t="shared" si="9"/>
        <v>Ativa</v>
      </c>
      <c r="E218" s="2" t="str">
        <f>"CONTAS A PAGAR,  GERA PIS E COFINS,  GER"</f>
        <v>CONTAS A PAGAR,  GERA PIS E COFINS,  GER</v>
      </c>
    </row>
    <row r="219" spans="1:5" x14ac:dyDescent="0.3">
      <c r="A219" s="12">
        <v>299903</v>
      </c>
      <c r="B219" s="1" t="str">
        <f>"SERVIÇOS- FATURAS RATEIO"</f>
        <v>SERVIÇOS- FATURAS RATEIO</v>
      </c>
      <c r="C219" s="1" t="str">
        <f t="shared" si="10"/>
        <v>Entrada</v>
      </c>
      <c r="D219" s="1" t="str">
        <f t="shared" si="9"/>
        <v>Ativa</v>
      </c>
      <c r="E219" s="2" t="str">
        <f>"GERA CONTAS A PAGAR, NÃO GERA PIS E COFI"</f>
        <v>GERA CONTAS A PAGAR, NÃO GERA PIS E COFI</v>
      </c>
    </row>
    <row r="220" spans="1:5" x14ac:dyDescent="0.3">
      <c r="A220" s="12">
        <v>299904</v>
      </c>
      <c r="B220" s="1" t="str">
        <f>"SERVIÇOS- FATURAS ATIVO FIXO"</f>
        <v>SERVIÇOS- FATURAS ATIVO FIXO</v>
      </c>
      <c r="C220" s="1" t="str">
        <f t="shared" si="10"/>
        <v>Entrada</v>
      </c>
      <c r="D220" s="1" t="str">
        <f t="shared" si="9"/>
        <v>Ativa</v>
      </c>
      <c r="E220" s="2" t="str">
        <f>"NATUREZA CRIADA EM 19/04/2021 PARA LANÇA"</f>
        <v>NATUREZA CRIADA EM 19/04/2021 PARA LANÇA</v>
      </c>
    </row>
    <row r="221" spans="1:5" x14ac:dyDescent="0.3">
      <c r="A221" s="12">
        <v>310101</v>
      </c>
      <c r="B221" s="1" t="str">
        <f>"COMPRAS P/INDUSTRIALIZAÇÃO"</f>
        <v>COMPRAS P/INDUSTRIALIZAÇÃO</v>
      </c>
      <c r="C221" s="1" t="str">
        <f t="shared" si="10"/>
        <v>Entrada</v>
      </c>
      <c r="D221" s="1" t="str">
        <f t="shared" si="9"/>
        <v>Ativa</v>
      </c>
      <c r="E221" s="2" t="str">
        <f>"GERA AP, GERA OF, GERA FAT"</f>
        <v>GERA AP, GERA OF, GERA FAT</v>
      </c>
    </row>
    <row r="222" spans="1:5" x14ac:dyDescent="0.3">
      <c r="A222" s="12">
        <v>310102</v>
      </c>
      <c r="B222" s="1" t="str">
        <f>"COMPRA P/INDUSTR. SEM PIS/COFINS"</f>
        <v>COMPRA P/INDUSTR. SEM PIS/COFINS</v>
      </c>
      <c r="C222" s="1" t="str">
        <f t="shared" si="10"/>
        <v>Entrada</v>
      </c>
      <c r="D222" s="1" t="str">
        <f t="shared" si="9"/>
        <v>Ativa</v>
      </c>
      <c r="E222" s="2" t="str">
        <f>"GERA AP, GERA OF, GERA FAT"</f>
        <v>GERA AP, GERA OF, GERA FAT</v>
      </c>
    </row>
    <row r="223" spans="1:5" x14ac:dyDescent="0.3">
      <c r="A223" s="12">
        <v>310103</v>
      </c>
      <c r="B223" s="1" t="str">
        <f>"COMPRAS P/INDUSTRIALIZAÇÃO GERA FT"</f>
        <v>COMPRAS P/INDUSTRIALIZAÇÃO GERA FT</v>
      </c>
      <c r="C223" s="1" t="str">
        <f t="shared" si="10"/>
        <v>Entrada</v>
      </c>
      <c r="D223" s="1" t="str">
        <f t="shared" si="9"/>
        <v>Ativa</v>
      </c>
      <c r="E223" s="2" t="str">
        <f>"GERA AP, GERA OF, GERA FAT - NOTA FISCAL"</f>
        <v>GERA AP, GERA OF, GERA FAT - NOTA FISCAL</v>
      </c>
    </row>
    <row r="224" spans="1:5" x14ac:dyDescent="0.3">
      <c r="A224" s="12">
        <v>310104</v>
      </c>
      <c r="B224" s="1" t="str">
        <f>"COMPRAS P/IND. DW ISENÇÃO"</f>
        <v>COMPRAS P/IND. DW ISENÇÃO</v>
      </c>
      <c r="C224" s="1" t="str">
        <f t="shared" si="10"/>
        <v>Entrada</v>
      </c>
      <c r="D224" s="1" t="str">
        <f t="shared" si="9"/>
        <v>Ativa</v>
      </c>
      <c r="E224" s="2" t="str">
        <f>"GERA AP, GERA OF, MOD DRAWBACK, GERA FAT"</f>
        <v>GERA AP, GERA OF, MOD DRAWBACK, GERA FAT</v>
      </c>
    </row>
    <row r="225" spans="1:5" x14ac:dyDescent="0.3">
      <c r="A225" s="12">
        <v>310105</v>
      </c>
      <c r="B225" s="1" t="str">
        <f>"COMPRAS P/INDUSTRIALIZAÇÃO"</f>
        <v>COMPRAS P/INDUSTRIALIZAÇÃO</v>
      </c>
      <c r="C225" s="1" t="str">
        <f t="shared" si="10"/>
        <v>Entrada</v>
      </c>
      <c r="D225" s="1" t="str">
        <f t="shared" si="9"/>
        <v>Ativa</v>
      </c>
      <c r="E225" s="2" t="str">
        <f>"IMPORTAÇAO POR OUTRO ESTADO"</f>
        <v>IMPORTAÇAO POR OUTRO ESTADO</v>
      </c>
    </row>
    <row r="226" spans="1:5" x14ac:dyDescent="0.3">
      <c r="A226" s="12">
        <v>310106</v>
      </c>
      <c r="B226" s="1" t="str">
        <f>"COMPRAS P/INDUSTRIALIZAÇÃO GERA FT"</f>
        <v>COMPRAS P/INDUSTRIALIZAÇÃO GERA FT</v>
      </c>
      <c r="C226" s="1" t="str">
        <f t="shared" si="10"/>
        <v>Entrada</v>
      </c>
      <c r="D226" s="1" t="str">
        <f t="shared" si="9"/>
        <v>Ativa</v>
      </c>
      <c r="E226" s="2" t="str">
        <f>"GERA AP, GERA OF, GERA FAT - NOTA FISCAL"</f>
        <v>GERA AP, GERA OF, GERA FAT - NOTA FISCAL</v>
      </c>
    </row>
    <row r="227" spans="1:5" x14ac:dyDescent="0.3">
      <c r="A227" s="12">
        <v>310107</v>
      </c>
      <c r="B227" s="1" t="str">
        <f>"COMPRAS P/INDUSTRIALIZAÇÃO GERA FT"</f>
        <v>COMPRAS P/INDUSTRIALIZAÇÃO GERA FT</v>
      </c>
      <c r="C227" s="1" t="str">
        <f t="shared" si="10"/>
        <v>Entrada</v>
      </c>
      <c r="D227" s="1" t="str">
        <f t="shared" si="9"/>
        <v>Ativa</v>
      </c>
      <c r="E227" s="2" t="str">
        <f>"GERA AP, GERA OF, GERA FAT - NOTA FISCAL"</f>
        <v>GERA AP, GERA OF, GERA FAT - NOTA FISCAL</v>
      </c>
    </row>
    <row r="228" spans="1:5" x14ac:dyDescent="0.3">
      <c r="A228" s="12">
        <v>310201</v>
      </c>
      <c r="B228" s="1" t="str">
        <f>"COMPRAS P/COMERCIALIZAÇÃO"</f>
        <v>COMPRAS P/COMERCIALIZAÇÃO</v>
      </c>
      <c r="C228" s="1" t="str">
        <f t="shared" si="10"/>
        <v>Entrada</v>
      </c>
      <c r="D228" s="1" t="str">
        <f t="shared" si="9"/>
        <v>Ativa</v>
      </c>
      <c r="E228" s="2" t="str">
        <f>"GERA AP, GERA OF, GERA FAT"</f>
        <v>GERA AP, GERA OF, GERA FAT</v>
      </c>
    </row>
    <row r="229" spans="1:5" x14ac:dyDescent="0.3">
      <c r="A229" s="12">
        <v>310202</v>
      </c>
      <c r="B229" s="1" t="str">
        <f>"COMPRAS P/INDUSTRIALIZAÇÃO GERA FT"</f>
        <v>COMPRAS P/INDUSTRIALIZAÇÃO GERA FT</v>
      </c>
      <c r="C229" s="1" t="str">
        <f t="shared" si="10"/>
        <v>Entrada</v>
      </c>
      <c r="D229" s="1" t="str">
        <f t="shared" si="9"/>
        <v>Ativa</v>
      </c>
      <c r="E229" s="2" t="str">
        <f>"GERA AP, GERA OF, GERA FAT - NOTA FISCAL"</f>
        <v>GERA AP, GERA OF, GERA FAT - NOTA FISCAL</v>
      </c>
    </row>
    <row r="230" spans="1:5" x14ac:dyDescent="0.3">
      <c r="A230" s="12">
        <v>312701</v>
      </c>
      <c r="B230" s="1" t="str">
        <f>"COMPRAS P/INDUSTRIALIZAÇÃO GERA FT"</f>
        <v>COMPRAS P/INDUSTRIALIZAÇÃO GERA FT</v>
      </c>
      <c r="C230" s="1" t="str">
        <f t="shared" si="10"/>
        <v>Entrada</v>
      </c>
      <c r="D230" s="1" t="str">
        <f t="shared" si="9"/>
        <v>Ativa</v>
      </c>
      <c r="E230" s="2" t="str">
        <f>"GERA AP, GERA OF, MOD DRAWBACK, GERA FAT"</f>
        <v>GERA AP, GERA OF, MOD DRAWBACK, GERA FAT</v>
      </c>
    </row>
    <row r="231" spans="1:5" x14ac:dyDescent="0.3">
      <c r="A231" s="12">
        <v>312702</v>
      </c>
      <c r="B231" s="1" t="str">
        <f>"COMPRAS P/INDUSTRIALIZAÇÃO GERA FT"</f>
        <v>COMPRAS P/INDUSTRIALIZAÇÃO GERA FT</v>
      </c>
      <c r="C231" s="1" t="str">
        <f t="shared" si="10"/>
        <v>Entrada</v>
      </c>
      <c r="D231" s="1" t="str">
        <f t="shared" si="9"/>
        <v>Ativa</v>
      </c>
      <c r="E231" s="2" t="str">
        <f>"GERA AP, GERA OF, MOD DRAWBACK, GERA FAT"</f>
        <v>GERA AP, GERA OF, MOD DRAWBACK, GERA FAT</v>
      </c>
    </row>
    <row r="232" spans="1:5" x14ac:dyDescent="0.3">
      <c r="A232" s="12">
        <v>312703</v>
      </c>
      <c r="B232" s="1" t="str">
        <f>"COMPRAS P/INDUSTRIALIZAÇÃO GERA FT"</f>
        <v>COMPRAS P/INDUSTRIALIZAÇÃO GERA FT</v>
      </c>
      <c r="C232" s="1" t="str">
        <f t="shared" ref="C232:C257" si="11">"Entrada"</f>
        <v>Entrada</v>
      </c>
      <c r="D232" s="1" t="str">
        <f t="shared" si="9"/>
        <v>Ativa</v>
      </c>
      <c r="E232" s="2" t="str">
        <f>"GERA AP, GERA OF, MOD DRAWBACK, GERA FAT"</f>
        <v>GERA AP, GERA OF, MOD DRAWBACK, GERA FAT</v>
      </c>
    </row>
    <row r="233" spans="1:5" x14ac:dyDescent="0.3">
      <c r="A233" s="12">
        <v>320101</v>
      </c>
      <c r="B233" s="1" t="str">
        <f>"DEVOLUÇÃO VENDA DE PRODUÇÃO"</f>
        <v>DEVOLUÇÃO VENDA DE PRODUÇÃO</v>
      </c>
      <c r="C233" s="1" t="str">
        <f t="shared" si="11"/>
        <v>Entrada</v>
      </c>
      <c r="D233" s="1" t="str">
        <f t="shared" si="9"/>
        <v>Ativa</v>
      </c>
      <c r="E233" s="2" t="str">
        <f>"GERA OF."</f>
        <v>GERA OF.</v>
      </c>
    </row>
    <row r="234" spans="1:5" x14ac:dyDescent="0.3">
      <c r="A234" s="12">
        <v>320102</v>
      </c>
      <c r="B234" s="1" t="str">
        <f>"DEVOLUÇÃO VENDA DE PRODUÇÃO"</f>
        <v>DEVOLUÇÃO VENDA DE PRODUÇÃO</v>
      </c>
      <c r="C234" s="1" t="str">
        <f t="shared" si="11"/>
        <v>Entrada</v>
      </c>
      <c r="D234" s="1" t="str">
        <f t="shared" si="9"/>
        <v>Ativa</v>
      </c>
      <c r="E234" s="2" t="str">
        <f>"GERA OF."</f>
        <v>GERA OF.</v>
      </c>
    </row>
    <row r="235" spans="1:5" x14ac:dyDescent="0.3">
      <c r="A235" s="12">
        <v>321101</v>
      </c>
      <c r="B235" s="1" t="str">
        <f>"DEVOLUÇÃO VENDA DE PRODUÇÃO DRAWBAC"</f>
        <v>DEVOLUÇÃO VENDA DE PRODUÇÃO DRAWBAC</v>
      </c>
      <c r="C235" s="1" t="str">
        <f t="shared" si="11"/>
        <v>Entrada</v>
      </c>
      <c r="D235" s="1" t="str">
        <f t="shared" si="9"/>
        <v>Ativa</v>
      </c>
      <c r="E235" s="2" t="str">
        <f>"GERA OF."</f>
        <v>GERA OF.</v>
      </c>
    </row>
    <row r="236" spans="1:5" x14ac:dyDescent="0.3">
      <c r="A236" s="12">
        <v>355101</v>
      </c>
      <c r="B236" s="1" t="str">
        <f>"COMPRA P/ ATIVO IMOBILIZADO - CIAP"</f>
        <v>COMPRA P/ ATIVO IMOBILIZADO - CIAP</v>
      </c>
      <c r="C236" s="1" t="str">
        <f t="shared" si="11"/>
        <v>Entrada</v>
      </c>
      <c r="D236" s="1" t="str">
        <f t="shared" si="9"/>
        <v>Ativa</v>
      </c>
      <c r="E236" s="2" t="str">
        <f>"GERA AP, GERA OF, GERA CIAP - PARA COMPR"</f>
        <v>GERA AP, GERA OF, GERA CIAP - PARA COMPR</v>
      </c>
    </row>
    <row r="237" spans="1:5" x14ac:dyDescent="0.3">
      <c r="A237" s="12">
        <v>355102</v>
      </c>
      <c r="B237" s="1" t="str">
        <f>"COMPRA ATIVO IMOBILIZ - N CIAP COMP"</f>
        <v>COMPRA ATIVO IMOBILIZ - N CIAP COMP</v>
      </c>
      <c r="C237" s="1" t="str">
        <f t="shared" si="11"/>
        <v>Entrada</v>
      </c>
      <c r="D237" s="1" t="str">
        <f t="shared" si="9"/>
        <v>Ativa</v>
      </c>
      <c r="E237" s="2" t="str">
        <f>"GERA AP, GERA OF, GERA CIAP - NF COMPLEM"</f>
        <v>GERA AP, GERA OF, GERA CIAP - NF COMPLEM</v>
      </c>
    </row>
    <row r="238" spans="1:5" x14ac:dyDescent="0.3">
      <c r="A238" s="12">
        <v>355103</v>
      </c>
      <c r="B238" s="1" t="str">
        <f>"COMPRA P/ ATIVO IMOBILIZADO N CIAP"</f>
        <v>COMPRA P/ ATIVO IMOBILIZADO N CIAP</v>
      </c>
      <c r="C238" s="1" t="str">
        <f t="shared" si="11"/>
        <v>Entrada</v>
      </c>
      <c r="D238" s="1" t="str">
        <f t="shared" si="9"/>
        <v>Ativa</v>
      </c>
      <c r="E238" s="2" t="str">
        <f>"COMPRA DE IMOBILIZADO SEM CREDITO DE IMP"</f>
        <v>COMPRA DE IMOBILIZADO SEM CREDITO DE IMP</v>
      </c>
    </row>
    <row r="239" spans="1:5" x14ac:dyDescent="0.3">
      <c r="A239" s="12">
        <v>355104</v>
      </c>
      <c r="B239" s="1" t="str">
        <f>"COMPRA P/ATIVO IMOBIL-CIAP-GERA FAT"</f>
        <v>COMPRA P/ATIVO IMOBIL-CIAP-GERA FAT</v>
      </c>
      <c r="C239" s="1" t="str">
        <f t="shared" si="11"/>
        <v>Entrada</v>
      </c>
      <c r="D239" s="1" t="str">
        <f t="shared" si="9"/>
        <v>Ativa</v>
      </c>
      <c r="E239" s="2" t="str">
        <f>"GERA AP, GERA OF, GERA CIAP"</f>
        <v>GERA AP, GERA OF, GERA CIAP</v>
      </c>
    </row>
    <row r="240" spans="1:5" x14ac:dyDescent="0.3">
      <c r="A240" s="12">
        <v>355105</v>
      </c>
      <c r="B240" s="1" t="str">
        <f>"COMPRA P/ ATIVO IMOBILIZADO - CIAP"</f>
        <v>COMPRA P/ ATIVO IMOBILIZADO - CIAP</v>
      </c>
      <c r="C240" s="1" t="str">
        <f t="shared" si="11"/>
        <v>Entrada</v>
      </c>
      <c r="D240" s="1" t="str">
        <f t="shared" si="9"/>
        <v>Ativa</v>
      </c>
      <c r="E240" s="2" t="str">
        <f>"CRIADO EM 20/07/2021 POR DANIEL GERA AP,"</f>
        <v>CRIADO EM 20/07/2021 POR DANIEL GERA AP,</v>
      </c>
    </row>
    <row r="241" spans="1:5" x14ac:dyDescent="0.3">
      <c r="A241" s="12">
        <v>355106</v>
      </c>
      <c r="B241" s="1" t="str">
        <f>"COMPRA P/ATIVO IMOBILIZADO - CIAP"</f>
        <v>COMPRA P/ATIVO IMOBILIZADO - CIAP</v>
      </c>
      <c r="C241" s="1" t="str">
        <f t="shared" si="11"/>
        <v>Entrada</v>
      </c>
      <c r="D241" s="1" t="str">
        <f t="shared" si="9"/>
        <v>Ativa</v>
      </c>
      <c r="E241" s="2" t="str">
        <f>"GERA AP, GERA OF, IPI NA BASE DO ICMS  U"</f>
        <v>GERA AP, GERA OF, IPI NA BASE DO ICMS  U</v>
      </c>
    </row>
    <row r="242" spans="1:5" x14ac:dyDescent="0.3">
      <c r="A242" s="12">
        <v>355601</v>
      </c>
      <c r="B242" s="1" t="str">
        <f>"COMPRA P/ USO E CONSUMO"</f>
        <v>COMPRA P/ USO E CONSUMO</v>
      </c>
      <c r="C242" s="1" t="str">
        <f t="shared" si="11"/>
        <v>Entrada</v>
      </c>
      <c r="D242" s="1" t="str">
        <f t="shared" si="9"/>
        <v>Ativa</v>
      </c>
      <c r="E242" s="2" t="str">
        <f>"GERA AP, GERA OF, IPI NA BASE DO ICMS"</f>
        <v>GERA AP, GERA OF, IPI NA BASE DO ICMS</v>
      </c>
    </row>
    <row r="243" spans="1:5" x14ac:dyDescent="0.3">
      <c r="A243" s="12">
        <v>355602</v>
      </c>
      <c r="B243" s="1" t="str">
        <f>"COMPRA P/ USO E CONSUMO - COMPLEM."</f>
        <v>COMPRA P/ USO E CONSUMO - COMPLEM.</v>
      </c>
      <c r="C243" s="1" t="str">
        <f t="shared" si="11"/>
        <v>Entrada</v>
      </c>
      <c r="D243" s="1" t="str">
        <f t="shared" si="9"/>
        <v>Ativa</v>
      </c>
      <c r="E243" s="2" t="str">
        <f>"GERA AP, GERA OF, IPI NA BASE DO ICMS, G"</f>
        <v>GERA AP, GERA OF, IPI NA BASE DO ICMS, G</v>
      </c>
    </row>
    <row r="244" spans="1:5" x14ac:dyDescent="0.3">
      <c r="A244" s="10">
        <v>39101</v>
      </c>
      <c r="B244" s="1" t="str">
        <f>"COMPRA P/ ATIVO IMOBILIZADO - CIAP"</f>
        <v>COMPRA P/ ATIVO IMOBILIZADO - CIAP</v>
      </c>
      <c r="C244" s="1" t="str">
        <f t="shared" si="11"/>
        <v>Entrada</v>
      </c>
      <c r="D244" s="1" t="str">
        <f t="shared" si="9"/>
        <v>Ativa</v>
      </c>
      <c r="E244" s="2" t="str">
        <f>"GERA AP, GERA OF, GERA CIAP"</f>
        <v>GERA AP, GERA OF, GERA CIAP</v>
      </c>
    </row>
    <row r="245" spans="1:5" x14ac:dyDescent="0.3">
      <c r="A245" s="12">
        <v>393001</v>
      </c>
      <c r="B245" s="1" t="str">
        <f>"ENTRADA DE BENS ADMISSAO TEMPORIA"</f>
        <v>ENTRADA DE BENS ADMISSAO TEMPORIA</v>
      </c>
      <c r="C245" s="1" t="str">
        <f t="shared" si="11"/>
        <v>Entrada</v>
      </c>
      <c r="D245" s="1" t="str">
        <f t="shared" si="9"/>
        <v>Ativa</v>
      </c>
      <c r="E245" s="2" t="str">
        <f>""</f>
        <v/>
      </c>
    </row>
    <row r="246" spans="1:5" x14ac:dyDescent="0.3">
      <c r="A246" s="12">
        <v>394901</v>
      </c>
      <c r="B246" s="1" t="str">
        <f>"OUTRAS ENTRADAS - TESTES PRODUÇÃO"</f>
        <v>OUTRAS ENTRADAS - TESTES PRODUÇÃO</v>
      </c>
      <c r="C246" s="1" t="str">
        <f t="shared" si="11"/>
        <v>Entrada</v>
      </c>
      <c r="D246" s="1" t="str">
        <f t="shared" si="9"/>
        <v>Ativa</v>
      </c>
      <c r="E246" s="2" t="str">
        <f>"PARA ENTRADA DE NOTAS DE IMPORTAÇÃO, ENV"</f>
        <v>PARA ENTRADA DE NOTAS DE IMPORTAÇÃO, ENV</v>
      </c>
    </row>
    <row r="247" spans="1:5" x14ac:dyDescent="0.3">
      <c r="A247" s="12">
        <v>394902</v>
      </c>
      <c r="B247" s="1" t="str">
        <f>"OUTRAS ENTRADAS GERA FAT."</f>
        <v>OUTRAS ENTRADAS GERA FAT.</v>
      </c>
      <c r="C247" s="1" t="str">
        <f t="shared" si="11"/>
        <v>Entrada</v>
      </c>
      <c r="D247" s="1" t="str">
        <f t="shared" si="9"/>
        <v>Ativa</v>
      </c>
      <c r="E247" s="2" t="str">
        <f>"GERA OF. GERA FATURAMENTO"</f>
        <v>GERA OF. GERA FATURAMENTO</v>
      </c>
    </row>
    <row r="248" spans="1:5" x14ac:dyDescent="0.3">
      <c r="A248" s="12">
        <v>394903</v>
      </c>
      <c r="B248" s="1" t="str">
        <f>"OUTRAS ENTRADAS GERA FAT."</f>
        <v>OUTRAS ENTRADAS GERA FAT.</v>
      </c>
      <c r="C248" s="1" t="str">
        <f t="shared" si="11"/>
        <v>Entrada</v>
      </c>
      <c r="D248" s="1" t="str">
        <f t="shared" si="9"/>
        <v>Ativa</v>
      </c>
      <c r="E248" s="2" t="str">
        <f>"GERA OF. GERA FATURAMENTO"</f>
        <v>GERA OF. GERA FATURAMENTO</v>
      </c>
    </row>
    <row r="249" spans="1:5" x14ac:dyDescent="0.3">
      <c r="A249" s="12">
        <v>394904</v>
      </c>
      <c r="B249" s="1" t="str">
        <f>"OUTRAS ENTRADAS GERA FAT."</f>
        <v>OUTRAS ENTRADAS GERA FAT.</v>
      </c>
      <c r="C249" s="1" t="str">
        <f t="shared" si="11"/>
        <v>Entrada</v>
      </c>
      <c r="D249" s="1" t="str">
        <f t="shared" si="9"/>
        <v>Ativa</v>
      </c>
      <c r="E249" s="2" t="str">
        <f>"NAO GERA OF. NAO GERA FATURAMENTO"</f>
        <v>NAO GERA OF. NAO GERA FATURAMENTO</v>
      </c>
    </row>
    <row r="250" spans="1:5" x14ac:dyDescent="0.3">
      <c r="A250" s="12">
        <v>394905</v>
      </c>
      <c r="B250" s="1" t="str">
        <f>"OUTRAS ENTRADAS - ENCOMENDA EXPRESS"</f>
        <v>OUTRAS ENTRADAS - ENCOMENDA EXPRESS</v>
      </c>
      <c r="C250" s="1" t="str">
        <f t="shared" si="11"/>
        <v>Entrada</v>
      </c>
      <c r="D250" s="1" t="str">
        <f t="shared" si="9"/>
        <v>Ativa</v>
      </c>
      <c r="E250" s="2" t="str">
        <f>"OF, SEM APB"</f>
        <v>OF, SEM APB</v>
      </c>
    </row>
    <row r="251" spans="1:5" x14ac:dyDescent="0.3">
      <c r="A251" s="12">
        <v>394906</v>
      </c>
      <c r="B251" s="1" t="str">
        <f>"OUTRAS ENTRADAS - ENCOMENDA EXPRESS"</f>
        <v>OUTRAS ENTRADAS - ENCOMENDA EXPRESS</v>
      </c>
      <c r="C251" s="1" t="str">
        <f t="shared" si="11"/>
        <v>Entrada</v>
      </c>
      <c r="D251" s="1" t="str">
        <f t="shared" si="9"/>
        <v>Ativa</v>
      </c>
      <c r="E251" s="2" t="str">
        <f>"OF, SEM APB, SEM ESTOQUE"</f>
        <v>OF, SEM APB, SEM ESTOQUE</v>
      </c>
    </row>
    <row r="252" spans="1:5" x14ac:dyDescent="0.3">
      <c r="A252" s="12">
        <v>394907</v>
      </c>
      <c r="B252" s="1" t="str">
        <f>"OUTRAS ENTRADAS - SERVIÇOS"</f>
        <v>OUTRAS ENTRADAS - SERVIÇOS</v>
      </c>
      <c r="C252" s="1" t="str">
        <f t="shared" si="11"/>
        <v>Entrada</v>
      </c>
      <c r="D252" s="1" t="str">
        <f t="shared" si="9"/>
        <v>Ativa</v>
      </c>
      <c r="E252" s="2" t="str">
        <f>"AQUISIÇÃO SERVIÇOS EXTERIOR"</f>
        <v>AQUISIÇÃO SERVIÇOS EXTERIOR</v>
      </c>
    </row>
    <row r="253" spans="1:5" x14ac:dyDescent="0.3">
      <c r="A253" s="12">
        <v>394908</v>
      </c>
      <c r="B253" s="1" t="str">
        <f>"OUTRAS ENTRADAS - RETORNO DE CONSER"</f>
        <v>OUTRAS ENTRADAS - RETORNO DE CONSER</v>
      </c>
      <c r="C253" s="1" t="str">
        <f t="shared" si="11"/>
        <v>Entrada</v>
      </c>
      <c r="D253" s="1" t="str">
        <f t="shared" si="9"/>
        <v>Ativa</v>
      </c>
      <c r="E253" s="2" t="str">
        <f>"GERA OF. RETORNO REF A CFOP 794902"</f>
        <v>GERA OF. RETORNO REF A CFOP 794902</v>
      </c>
    </row>
    <row r="254" spans="1:5" x14ac:dyDescent="0.3">
      <c r="A254" s="12">
        <v>394909</v>
      </c>
      <c r="B254" s="1" t="str">
        <f>"OUTRAS ENTRADAS - REMESSAS EM PARTE"</f>
        <v>OUTRAS ENTRADAS - REMESSAS EM PARTE</v>
      </c>
      <c r="C254" s="1" t="str">
        <f t="shared" si="11"/>
        <v>Entrada</v>
      </c>
      <c r="D254" s="1" t="str">
        <f t="shared" si="9"/>
        <v>Ativa</v>
      </c>
      <c r="E254" s="2" t="str">
        <f>""</f>
        <v/>
      </c>
    </row>
    <row r="255" spans="1:5" x14ac:dyDescent="0.3">
      <c r="A255" s="12">
        <v>394910</v>
      </c>
      <c r="B255" s="1" t="str">
        <f>"OUTRAS ENTR. - REM EM PART DW"</f>
        <v>OUTRAS ENTR. - REM EM PART DW</v>
      </c>
      <c r="C255" s="1" t="str">
        <f t="shared" si="11"/>
        <v>Entrada</v>
      </c>
      <c r="D255" s="1" t="str">
        <f t="shared" si="9"/>
        <v>Ativa</v>
      </c>
      <c r="E255" s="2" t="str">
        <f>"remesssa em partes 312701 e 310104"</f>
        <v>remesssa em partes 312701 e 310104</v>
      </c>
    </row>
    <row r="256" spans="1:5" x14ac:dyDescent="0.3">
      <c r="A256" s="12">
        <v>394911</v>
      </c>
      <c r="B256" s="1" t="str">
        <f>"OUTRAS ENTRADAS - REMESSAS EM PARTE"</f>
        <v>OUTRAS ENTRADAS - REMESSAS EM PARTE</v>
      </c>
      <c r="C256" s="1" t="str">
        <f t="shared" si="11"/>
        <v>Entrada</v>
      </c>
      <c r="D256" s="1" t="str">
        <f t="shared" si="9"/>
        <v>Ativa</v>
      </c>
      <c r="E256" s="2" t="str">
        <f>"sem Imposto de importação"</f>
        <v>sem Imposto de importação</v>
      </c>
    </row>
    <row r="257" spans="1:5" x14ac:dyDescent="0.3">
      <c r="A257" s="12">
        <v>399901</v>
      </c>
      <c r="B257" s="1" t="str">
        <f>"FATURA SERVIÇOS INTERNACIONAIS"</f>
        <v>FATURA SERVIÇOS INTERNACIONAIS</v>
      </c>
      <c r="C257" s="1" t="str">
        <f t="shared" si="11"/>
        <v>Entrada</v>
      </c>
      <c r="D257" s="1" t="str">
        <f t="shared" si="9"/>
        <v>Ativa</v>
      </c>
      <c r="E257" s="2" t="str">
        <f>"UTILIZAR PARA FATURAS INTERNACIONAIS QUA"</f>
        <v>UTILIZAR PARA FATURAS INTERNACIONAIS QUA</v>
      </c>
    </row>
    <row r="258" spans="1:5" x14ac:dyDescent="0.3">
      <c r="A258" s="12">
        <v>510101</v>
      </c>
      <c r="B258" s="1" t="str">
        <f>"VENDA PRODUÇÃO"</f>
        <v>VENDA PRODUÇÃO</v>
      </c>
      <c r="C258" s="1" t="str">
        <f t="shared" ref="C258:C321" si="12">"Saída"</f>
        <v>Saída</v>
      </c>
      <c r="D258" s="1" t="str">
        <f t="shared" ref="D258:D321" si="13">"Ativa"</f>
        <v>Ativa</v>
      </c>
      <c r="E258" s="2" t="str">
        <f>"GERA CE,CR,OF,CT,ESTATISTICA - ICMS COM"</f>
        <v>GERA CE,CR,OF,CT,ESTATISTICA - ICMS COM</v>
      </c>
    </row>
    <row r="259" spans="1:5" x14ac:dyDescent="0.3">
      <c r="A259" s="12">
        <v>510107</v>
      </c>
      <c r="B259" s="1" t="str">
        <f>"VENDA PRODUÇÃO - REG.ESP.MASISA"</f>
        <v>VENDA PRODUÇÃO - REG.ESP.MASISA</v>
      </c>
      <c r="C259" s="1" t="str">
        <f t="shared" si="12"/>
        <v>Saída</v>
      </c>
      <c r="D259" s="1" t="str">
        <f t="shared" si="13"/>
        <v>Ativa</v>
      </c>
      <c r="E259" s="2" t="str">
        <f>"REGIME ESPECIAL MASISA  - GERA CE,CR,OF,"</f>
        <v>REGIME ESPECIAL MASISA  - GERA CE,CR,OF,</v>
      </c>
    </row>
    <row r="260" spans="1:5" x14ac:dyDescent="0.3">
      <c r="A260" s="12">
        <v>510108</v>
      </c>
      <c r="B260" s="1" t="str">
        <f>"VENDA PRODUÇÃO - PREP EXPORTADOR"</f>
        <v>VENDA PRODUÇÃO - PREP EXPORTADOR</v>
      </c>
      <c r="C260" s="1" t="str">
        <f t="shared" si="12"/>
        <v>Saída</v>
      </c>
      <c r="D260" s="1" t="str">
        <f t="shared" si="13"/>
        <v>Ativa</v>
      </c>
      <c r="E260" s="2" t="str">
        <f>"TERMO ACORDO TAFISA - GERA CE,CR,OF,CT,E"</f>
        <v>TERMO ACORDO TAFISA - GERA CE,CR,OF,CT,E</v>
      </c>
    </row>
    <row r="261" spans="1:5" x14ac:dyDescent="0.3">
      <c r="A261" s="12">
        <v>510109</v>
      </c>
      <c r="B261" s="1" t="str">
        <f>"VENDA PRODUÇÃO - REG.ESP.ARAUCO JAG"</f>
        <v>VENDA PRODUÇÃO - REG.ESP.ARAUCO JAG</v>
      </c>
      <c r="C261" s="1" t="str">
        <f t="shared" si="12"/>
        <v>Saída</v>
      </c>
      <c r="D261" s="1" t="str">
        <f t="shared" si="13"/>
        <v>Ativa</v>
      </c>
      <c r="E261" s="2" t="str">
        <f>"REGIME ESPECIAL MASISA  - GERA CE,CR,OF,"</f>
        <v>REGIME ESPECIAL MASISA  - GERA CE,CR,OF,</v>
      </c>
    </row>
    <row r="262" spans="1:5" x14ac:dyDescent="0.3">
      <c r="A262" s="12">
        <v>510110</v>
      </c>
      <c r="B262" s="1" t="str">
        <f>"VENDA DE SUCATAS - BOBINAS"</f>
        <v>VENDA DE SUCATAS - BOBINAS</v>
      </c>
      <c r="C262" s="1" t="str">
        <f t="shared" si="12"/>
        <v>Saída</v>
      </c>
      <c r="D262" s="1" t="str">
        <f t="shared" si="13"/>
        <v>Ativa</v>
      </c>
      <c r="E262" s="2" t="str">
        <f>"GERA CE,CR,OF,CT,ESTATISTICA - ICMS COM"</f>
        <v>GERA CE,CR,OF,CT,ESTATISTICA - ICMS COM</v>
      </c>
    </row>
    <row r="263" spans="1:5" x14ac:dyDescent="0.3">
      <c r="A263" s="12">
        <v>510160</v>
      </c>
      <c r="B263" s="1" t="str">
        <f>"VENDA PRODUÇÃO"</f>
        <v>VENDA PRODUÇÃO</v>
      </c>
      <c r="C263" s="1" t="str">
        <f t="shared" si="12"/>
        <v>Saída</v>
      </c>
      <c r="D263" s="1" t="str">
        <f t="shared" si="13"/>
        <v>Ativa</v>
      </c>
      <c r="E263" s="2" t="str">
        <f>"GERA CE,CR,OF,CT,ESTATISTICA - ICMS COM"</f>
        <v>GERA CE,CR,OF,CT,ESTATISTICA - ICMS COM</v>
      </c>
    </row>
    <row r="264" spans="1:5" x14ac:dyDescent="0.3">
      <c r="A264" s="12">
        <v>510161</v>
      </c>
      <c r="B264" s="1" t="str">
        <f>"VENDA PRODUÇÃO-REG.ESP.MASISA"</f>
        <v>VENDA PRODUÇÃO-REG.ESP.MASISA</v>
      </c>
      <c r="C264" s="1" t="str">
        <f t="shared" si="12"/>
        <v>Saída</v>
      </c>
      <c r="D264" s="1" t="str">
        <f t="shared" si="13"/>
        <v>Ativa</v>
      </c>
      <c r="E264" s="2" t="str">
        <f>"REGIME ESPECIAL MASISA  - GERA CE,CR,OF,"</f>
        <v>REGIME ESPECIAL MASISA  - GERA CE,CR,OF,</v>
      </c>
    </row>
    <row r="265" spans="1:5" x14ac:dyDescent="0.3">
      <c r="A265" s="12">
        <v>510162</v>
      </c>
      <c r="B265" s="1" t="str">
        <f>"VENDA PRODUÇÃO-REG.ESP.ARAUCO JAG"</f>
        <v>VENDA PRODUÇÃO-REG.ESP.ARAUCO JAG</v>
      </c>
      <c r="C265" s="1" t="str">
        <f t="shared" si="12"/>
        <v>Saída</v>
      </c>
      <c r="D265" s="1" t="str">
        <f t="shared" si="13"/>
        <v>Ativa</v>
      </c>
      <c r="E265" s="2" t="str">
        <f>"REGIME ESPECIAL ARAUCO  - GERA CE,CR,OF,"</f>
        <v>REGIME ESPECIAL ARAUCO  - GERA CE,CR,OF,</v>
      </c>
    </row>
    <row r="266" spans="1:5" x14ac:dyDescent="0.3">
      <c r="A266" s="12">
        <v>510165</v>
      </c>
      <c r="B266" s="1" t="str">
        <f>"VENDA PRODUÇÃO"</f>
        <v>VENDA PRODUÇÃO</v>
      </c>
      <c r="C266" s="1" t="str">
        <f t="shared" si="12"/>
        <v>Saída</v>
      </c>
      <c r="D266" s="1" t="str">
        <f t="shared" si="13"/>
        <v>Ativa</v>
      </c>
      <c r="E266" s="2" t="str">
        <f>"GERA CE,CR,OF,CT,ESTATISTICA - ICMS COM"</f>
        <v>GERA CE,CR,OF,CT,ESTATISTICA - ICMS COM</v>
      </c>
    </row>
    <row r="267" spans="1:5" x14ac:dyDescent="0.3">
      <c r="A267" s="12">
        <v>510166</v>
      </c>
      <c r="B267" s="1" t="str">
        <f>"VENDA PRODUÇÃO-REG.ESP.MASISA"</f>
        <v>VENDA PRODUÇÃO-REG.ESP.MASISA</v>
      </c>
      <c r="C267" s="1" t="str">
        <f t="shared" si="12"/>
        <v>Saída</v>
      </c>
      <c r="D267" s="1" t="str">
        <f t="shared" si="13"/>
        <v>Ativa</v>
      </c>
      <c r="E267" s="2" t="str">
        <f>"REGIME ESPECIAL MASISA  - GERA CE,CR,OF,"</f>
        <v>REGIME ESPECIAL MASISA  - GERA CE,CR,OF,</v>
      </c>
    </row>
    <row r="268" spans="1:5" x14ac:dyDescent="0.3">
      <c r="A268" s="12">
        <v>510167</v>
      </c>
      <c r="B268" s="1" t="str">
        <f>"VENDA PRODUÇÃO-REG.ESP.ARAUCO"</f>
        <v>VENDA PRODUÇÃO-REG.ESP.ARAUCO</v>
      </c>
      <c r="C268" s="1" t="str">
        <f t="shared" si="12"/>
        <v>Saída</v>
      </c>
      <c r="D268" s="1" t="str">
        <f t="shared" si="13"/>
        <v>Ativa</v>
      </c>
      <c r="E268" s="2" t="str">
        <f>"REGIME ESPECIAL ARAUCO  - GERA CE,CR,OF,"</f>
        <v>REGIME ESPECIAL ARAUCO  - GERA CE,CR,OF,</v>
      </c>
    </row>
    <row r="269" spans="1:5" x14ac:dyDescent="0.3">
      <c r="A269" s="12">
        <v>510198</v>
      </c>
      <c r="B269" s="1" t="str">
        <f>"VENDA PRODUÇÃO - s/ baixa estoque"</f>
        <v>VENDA PRODUÇÃO - s/ baixa estoque</v>
      </c>
      <c r="C269" s="1" t="str">
        <f t="shared" si="12"/>
        <v>Saída</v>
      </c>
      <c r="D269" s="1" t="str">
        <f t="shared" si="13"/>
        <v>Ativa</v>
      </c>
      <c r="E269" s="2" t="str">
        <f>"GERA CE,CR,OF,CT,ESTATISTICA - ICMS COM"</f>
        <v>GERA CE,CR,OF,CT,ESTATISTICA - ICMS COM</v>
      </c>
    </row>
    <row r="270" spans="1:5" x14ac:dyDescent="0.3">
      <c r="A270" s="12">
        <v>510199</v>
      </c>
      <c r="B270" s="1" t="str">
        <f>"VENDA PRODUÇÃO"</f>
        <v>VENDA PRODUÇÃO</v>
      </c>
      <c r="C270" s="1" t="str">
        <f t="shared" si="12"/>
        <v>Saída</v>
      </c>
      <c r="D270" s="1" t="str">
        <f t="shared" si="13"/>
        <v>Ativa</v>
      </c>
      <c r="E270" s="2" t="str">
        <f>"GERA CE,CR,OF,CT,ESTATISTICA - ICMS COM"</f>
        <v>GERA CE,CR,OF,CT,ESTATISTICA - ICMS COM</v>
      </c>
    </row>
    <row r="271" spans="1:5" x14ac:dyDescent="0.3">
      <c r="A271" s="12">
        <v>510202</v>
      </c>
      <c r="B271" s="1" t="str">
        <f>"VENDA MERC. ADQ. TERCEIROS"</f>
        <v>VENDA MERC. ADQ. TERCEIROS</v>
      </c>
      <c r="C271" s="1" t="str">
        <f t="shared" si="12"/>
        <v>Saída</v>
      </c>
      <c r="D271" s="1" t="str">
        <f t="shared" si="13"/>
        <v>Ativa</v>
      </c>
      <c r="E271" s="2" t="str">
        <f>"GERA CR,OF,CT,ESTATISTICA VENDA DE MERCA"</f>
        <v>GERA CR,OF,CT,ESTATISTICA VENDA DE MERCA</v>
      </c>
    </row>
    <row r="272" spans="1:5" x14ac:dyDescent="0.3">
      <c r="A272" s="12">
        <v>510203</v>
      </c>
      <c r="B272" s="1" t="str">
        <f>"VENDA MERC. ADQ. TERCEIROS"</f>
        <v>VENDA MERC. ADQ. TERCEIROS</v>
      </c>
      <c r="C272" s="1" t="str">
        <f t="shared" si="12"/>
        <v>Saída</v>
      </c>
      <c r="D272" s="1" t="str">
        <f t="shared" si="13"/>
        <v>Ativa</v>
      </c>
      <c r="E272" s="2" t="str">
        <f>"GERA CR,OF,CT,ESTATISTICA  - PROCEDIMENT"</f>
        <v>GERA CR,OF,CT,ESTATISTICA  - PROCEDIMENT</v>
      </c>
    </row>
    <row r="273" spans="1:5" x14ac:dyDescent="0.3">
      <c r="A273" s="12">
        <v>510205</v>
      </c>
      <c r="B273" s="1" t="str">
        <f>"VENDA MERC ADQ TERC"</f>
        <v>VENDA MERC ADQ TERC</v>
      </c>
      <c r="C273" s="1" t="str">
        <f t="shared" si="12"/>
        <v>Saída</v>
      </c>
      <c r="D273" s="1" t="str">
        <f t="shared" si="13"/>
        <v>Ativa</v>
      </c>
      <c r="E273" s="2" t="str">
        <f>"GERA CE,CR,OF,CT,ESTATISTICA - ICMS COM"</f>
        <v>GERA CE,CR,OF,CT,ESTATISTICA - ICMS COM</v>
      </c>
    </row>
    <row r="274" spans="1:5" x14ac:dyDescent="0.3">
      <c r="A274" s="12">
        <v>511601</v>
      </c>
      <c r="B274" s="1" t="str">
        <f>"REMESSA PROD ORIG ENCOM ENTR FUTURA"</f>
        <v>REMESSA PROD ORIG ENCOM ENTR FUTURA</v>
      </c>
      <c r="C274" s="1" t="str">
        <f t="shared" si="12"/>
        <v>Saída</v>
      </c>
      <c r="D274" s="1" t="str">
        <f t="shared" si="13"/>
        <v>Ativa</v>
      </c>
      <c r="E274" s="2" t="str">
        <f>"GERA CE,CR,OF,CT,ESTATISTICA"</f>
        <v>GERA CE,CR,OF,CT,ESTATISTICA</v>
      </c>
    </row>
    <row r="275" spans="1:5" x14ac:dyDescent="0.3">
      <c r="A275" s="12">
        <v>512203</v>
      </c>
      <c r="B275" s="1" t="str">
        <f>"****  VENDA PRODUÇÃO - não utilizar"</f>
        <v>****  VENDA PRODUÇÃO - não utilizar</v>
      </c>
      <c r="C275" s="1" t="str">
        <f t="shared" si="12"/>
        <v>Saída</v>
      </c>
      <c r="D275" s="1" t="str">
        <f t="shared" si="13"/>
        <v>Ativa</v>
      </c>
      <c r="E275" s="2" t="str">
        <f t="shared" ref="E275:E280" si="14">"GERA CE,CR,OF,CT,ESTATISTICA - ICMS COM"</f>
        <v>GERA CE,CR,OF,CT,ESTATISTICA - ICMS COM</v>
      </c>
    </row>
    <row r="276" spans="1:5" x14ac:dyDescent="0.3">
      <c r="A276" s="12">
        <v>512210</v>
      </c>
      <c r="B276" s="1" t="str">
        <f>"VDA PROD REM P/IND POR CONTA ORDEM"</f>
        <v>VDA PROD REM P/IND POR CONTA ORDEM</v>
      </c>
      <c r="C276" s="1" t="str">
        <f t="shared" si="12"/>
        <v>Saída</v>
      </c>
      <c r="D276" s="1" t="str">
        <f t="shared" si="13"/>
        <v>Ativa</v>
      </c>
      <c r="E276" s="2" t="str">
        <f t="shared" si="14"/>
        <v>GERA CE,CR,OF,CT,ESTATISTICA - ICMS COM</v>
      </c>
    </row>
    <row r="277" spans="1:5" x14ac:dyDescent="0.3">
      <c r="A277" s="12">
        <v>512265</v>
      </c>
      <c r="B277" s="1" t="str">
        <f>"VDA PROD REM P/IND POR CONTA ORDEM"</f>
        <v>VDA PROD REM P/IND POR CONTA ORDEM</v>
      </c>
      <c r="C277" s="1" t="str">
        <f t="shared" si="12"/>
        <v>Saída</v>
      </c>
      <c r="D277" s="1" t="str">
        <f t="shared" si="13"/>
        <v>Ativa</v>
      </c>
      <c r="E277" s="2" t="str">
        <f t="shared" si="14"/>
        <v>GERA CE,CR,OF,CT,ESTATISTICA - ICMS COM</v>
      </c>
    </row>
    <row r="278" spans="1:5" x14ac:dyDescent="0.3">
      <c r="A278" s="12">
        <v>512267</v>
      </c>
      <c r="B278" s="1" t="str">
        <f>"VDA PROD REM P/IND POR CONTA ORDEM"</f>
        <v>VDA PROD REM P/IND POR CONTA ORDEM</v>
      </c>
      <c r="C278" s="1" t="str">
        <f t="shared" si="12"/>
        <v>Saída</v>
      </c>
      <c r="D278" s="1" t="str">
        <f t="shared" si="13"/>
        <v>Ativa</v>
      </c>
      <c r="E278" s="2" t="str">
        <f t="shared" si="14"/>
        <v>GERA CE,CR,OF,CT,ESTATISTICA - ICMS COM</v>
      </c>
    </row>
    <row r="279" spans="1:5" x14ac:dyDescent="0.3">
      <c r="A279" s="12">
        <v>512268</v>
      </c>
      <c r="B279" s="1" t="str">
        <f>"VDA PROD REM P/IND POR CONTA ORDEM"</f>
        <v>VDA PROD REM P/IND POR CONTA ORDEM</v>
      </c>
      <c r="C279" s="1" t="str">
        <f t="shared" si="12"/>
        <v>Saída</v>
      </c>
      <c r="D279" s="1" t="str">
        <f t="shared" si="13"/>
        <v>Ativa</v>
      </c>
      <c r="E279" s="2" t="str">
        <f t="shared" si="14"/>
        <v>GERA CE,CR,OF,CT,ESTATISTICA - ICMS COM</v>
      </c>
    </row>
    <row r="280" spans="1:5" x14ac:dyDescent="0.3">
      <c r="A280" s="12">
        <v>512301</v>
      </c>
      <c r="B280" s="1" t="str">
        <f>"VENDA MERC ADQ REC TER"</f>
        <v>VENDA MERC ADQ REC TER</v>
      </c>
      <c r="C280" s="1" t="str">
        <f t="shared" si="12"/>
        <v>Saída</v>
      </c>
      <c r="D280" s="1" t="str">
        <f t="shared" si="13"/>
        <v>Ativa</v>
      </c>
      <c r="E280" s="2" t="str">
        <f t="shared" si="14"/>
        <v>GERA CE,CR,OF,CT,ESTATISTICA - ICMS COM</v>
      </c>
    </row>
    <row r="281" spans="1:5" x14ac:dyDescent="0.3">
      <c r="A281" s="12">
        <v>512401</v>
      </c>
      <c r="B281" s="1" t="str">
        <f>"INDUSTRIALIZAÇÃO"</f>
        <v>INDUSTRIALIZAÇÃO</v>
      </c>
      <c r="C281" s="1" t="str">
        <f t="shared" si="12"/>
        <v>Saída</v>
      </c>
      <c r="D281" s="1" t="str">
        <f t="shared" si="13"/>
        <v>Ativa</v>
      </c>
      <c r="E281" s="2" t="str">
        <f>"GERA CE,CR,OF,CT,ESTATISTICA"</f>
        <v>GERA CE,CR,OF,CT,ESTATISTICA</v>
      </c>
    </row>
    <row r="282" spans="1:5" x14ac:dyDescent="0.3">
      <c r="A282" s="12">
        <v>512501</v>
      </c>
      <c r="B282" s="1" t="str">
        <f>"INDUSTRIALIZAÇÃO"</f>
        <v>INDUSTRIALIZAÇÃO</v>
      </c>
      <c r="C282" s="1" t="str">
        <f t="shared" si="12"/>
        <v>Saída</v>
      </c>
      <c r="D282" s="1" t="str">
        <f t="shared" si="13"/>
        <v>Ativa</v>
      </c>
      <c r="E282" s="2" t="str">
        <f>"GERA CE,CR,OF,CT,ESTATISTICA"</f>
        <v>GERA CE,CR,OF,CT,ESTATISTICA</v>
      </c>
    </row>
    <row r="283" spans="1:5" x14ac:dyDescent="0.3">
      <c r="A283" s="12">
        <v>515101</v>
      </c>
      <c r="B283" s="1" t="str">
        <f>"TRANSFERENCIA DE PRODUCAO ESTAB"</f>
        <v>TRANSFERENCIA DE PRODUCAO ESTAB</v>
      </c>
      <c r="C283" s="1" t="str">
        <f t="shared" si="12"/>
        <v>Saída</v>
      </c>
      <c r="D283" s="1" t="str">
        <f t="shared" si="13"/>
        <v>Ativa</v>
      </c>
      <c r="E283" s="2" t="str">
        <f>"TRANSFERENCIA DE PRODUTO INDUSTRIALIZADO"</f>
        <v>TRANSFERENCIA DE PRODUTO INDUSTRIALIZADO</v>
      </c>
    </row>
    <row r="284" spans="1:5" x14ac:dyDescent="0.3">
      <c r="A284" s="12">
        <v>515201</v>
      </c>
      <c r="B284" s="1" t="str">
        <f>"TRANSFERENCIA DE MERCADORIA ADQ"</f>
        <v>TRANSFERENCIA DE MERCADORIA ADQ</v>
      </c>
      <c r="C284" s="1" t="str">
        <f t="shared" si="12"/>
        <v>Saída</v>
      </c>
      <c r="D284" s="1" t="str">
        <f t="shared" si="13"/>
        <v>Ativa</v>
      </c>
      <c r="E284" s="2" t="str">
        <f>"TRANFRÊNCIA DE MATÉRIA PRIMA DE MATRIZ P"</f>
        <v>TRANFRÊNCIA DE MATÉRIA PRIMA DE MATRIZ P</v>
      </c>
    </row>
    <row r="285" spans="1:5" x14ac:dyDescent="0.3">
      <c r="A285" s="12">
        <v>515202</v>
      </c>
      <c r="B285" s="1" t="str">
        <f>"TRANSFERENCIA DE MERCADORIA ADQ PAL"</f>
        <v>TRANSFERENCIA DE MERCADORIA ADQ PAL</v>
      </c>
      <c r="C285" s="1" t="str">
        <f t="shared" si="12"/>
        <v>Saída</v>
      </c>
      <c r="D285" s="1" t="str">
        <f t="shared" si="13"/>
        <v>Ativa</v>
      </c>
      <c r="E285" s="2" t="str">
        <f>"TRANSFERENCIA DE MERCADORIA DE TERC - NÃ"</f>
        <v>TRANSFERENCIA DE MERCADORIA DE TERC - NÃ</v>
      </c>
    </row>
    <row r="286" spans="1:5" x14ac:dyDescent="0.3">
      <c r="A286" s="12">
        <v>520101</v>
      </c>
      <c r="B286" s="1" t="str">
        <f>"DEV. DE COMPRAS INDUSTRIALIZAÇÃO"</f>
        <v>DEV. DE COMPRAS INDUSTRIALIZAÇÃO</v>
      </c>
      <c r="C286" s="1" t="str">
        <f t="shared" si="12"/>
        <v>Saída</v>
      </c>
      <c r="D286" s="1" t="str">
        <f t="shared" si="13"/>
        <v>Ativa</v>
      </c>
      <c r="E286" s="2" t="str">
        <f>"BAIXA CE, GERA OF Não pode atualizar CR"</f>
        <v>BAIXA CE, GERA OF Não pode atualizar CR</v>
      </c>
    </row>
    <row r="287" spans="1:5" x14ac:dyDescent="0.3">
      <c r="A287" s="12">
        <v>520102</v>
      </c>
      <c r="B287" s="1" t="str">
        <f>"DEV. DE COMPRAS INDUSTRIALIZAÇÃO"</f>
        <v>DEV. DE COMPRAS INDUSTRIALIZAÇÃO</v>
      </c>
      <c r="C287" s="1" t="str">
        <f t="shared" si="12"/>
        <v>Saída</v>
      </c>
      <c r="D287" s="1" t="str">
        <f t="shared" si="13"/>
        <v>Ativa</v>
      </c>
      <c r="E287" s="2" t="str">
        <f>"BAIXA CE, GERA OF"</f>
        <v>BAIXA CE, GERA OF</v>
      </c>
    </row>
    <row r="288" spans="1:5" x14ac:dyDescent="0.3">
      <c r="A288" s="12">
        <v>520104</v>
      </c>
      <c r="B288" s="1" t="str">
        <f>"DEV. DE COMPRAS INDUSTRIALIZAÇÃO"</f>
        <v>DEV. DE COMPRAS INDUSTRIALIZAÇÃO</v>
      </c>
      <c r="C288" s="1" t="str">
        <f t="shared" si="12"/>
        <v>Saída</v>
      </c>
      <c r="D288" s="1" t="str">
        <f t="shared" si="13"/>
        <v>Ativa</v>
      </c>
      <c r="E288" s="2" t="str">
        <f>"BAIXA CE, GERA OF"</f>
        <v>BAIXA CE, GERA OF</v>
      </c>
    </row>
    <row r="289" spans="1:5" x14ac:dyDescent="0.3">
      <c r="A289" s="12">
        <v>520201</v>
      </c>
      <c r="B289" s="1" t="str">
        <f>"DEV. DE COMPRAS COMERCIALIZAÇÃO"</f>
        <v>DEV. DE COMPRAS COMERCIALIZAÇÃO</v>
      </c>
      <c r="C289" s="1" t="str">
        <f t="shared" si="12"/>
        <v>Saída</v>
      </c>
      <c r="D289" s="1" t="str">
        <f t="shared" si="13"/>
        <v>Ativa</v>
      </c>
      <c r="E289" s="2" t="str">
        <f>"BAIXA CE, GERA OF"</f>
        <v>BAIXA CE, GERA OF</v>
      </c>
    </row>
    <row r="290" spans="1:5" x14ac:dyDescent="0.3">
      <c r="A290" s="12">
        <v>541201</v>
      </c>
      <c r="B290" s="1" t="str">
        <f>"DEV. DE COMPRAS IMOBILIZADO ST"</f>
        <v>DEV. DE COMPRAS IMOBILIZADO ST</v>
      </c>
      <c r="C290" s="1" t="str">
        <f t="shared" si="12"/>
        <v>Saída</v>
      </c>
      <c r="D290" s="1" t="str">
        <f t="shared" si="13"/>
        <v>Ativa</v>
      </c>
      <c r="E290" s="2" t="str">
        <f>"BAIXA CE, GERA OF"</f>
        <v>BAIXA CE, GERA OF</v>
      </c>
    </row>
    <row r="291" spans="1:5" x14ac:dyDescent="0.3">
      <c r="A291" s="12">
        <v>541301</v>
      </c>
      <c r="B291" s="1" t="str">
        <f>"DEV. DE COMPRAS MAT.USO CONSUMO"</f>
        <v>DEV. DE COMPRAS MAT.USO CONSUMO</v>
      </c>
      <c r="C291" s="1" t="str">
        <f t="shared" si="12"/>
        <v>Saída</v>
      </c>
      <c r="D291" s="1" t="str">
        <f t="shared" si="13"/>
        <v>Ativa</v>
      </c>
      <c r="E291" s="2" t="str">
        <f>"BAIXA CE, GERA OF"</f>
        <v>BAIXA CE, GERA OF</v>
      </c>
    </row>
    <row r="292" spans="1:5" x14ac:dyDescent="0.3">
      <c r="A292" s="12">
        <v>550501</v>
      </c>
      <c r="B292" s="1" t="str">
        <f>"REMESSA MERC ADQ TER FORM LOTE EXP"</f>
        <v>REMESSA MERC ADQ TER FORM LOTE EXP</v>
      </c>
      <c r="C292" s="1" t="str">
        <f t="shared" si="12"/>
        <v>Saída</v>
      </c>
      <c r="D292" s="1" t="str">
        <f t="shared" si="13"/>
        <v>Ativa</v>
      </c>
      <c r="E292" s="2" t="str">
        <f>"CFOP CRIADA PARA AS OPERAÇÕES COM FIM DE"</f>
        <v>CFOP CRIADA PARA AS OPERAÇÕES COM FIM DE</v>
      </c>
    </row>
    <row r="293" spans="1:5" x14ac:dyDescent="0.3">
      <c r="A293" s="12">
        <v>555101</v>
      </c>
      <c r="B293" s="1" t="str">
        <f>"VENDA BEM ATIVO PERMANENTE"</f>
        <v>VENDA BEM ATIVO PERMANENTE</v>
      </c>
      <c r="C293" s="1" t="str">
        <f t="shared" si="12"/>
        <v>Saída</v>
      </c>
      <c r="D293" s="1" t="str">
        <f t="shared" si="13"/>
        <v>Ativa</v>
      </c>
      <c r="E293" s="2" t="str">
        <f>"BAIXA CE, GERA OF"</f>
        <v>BAIXA CE, GERA OF</v>
      </c>
    </row>
    <row r="294" spans="1:5" x14ac:dyDescent="0.3">
      <c r="A294" s="12">
        <v>555102</v>
      </c>
      <c r="B294" s="1" t="str">
        <f>"VENDA BEM ATIVO PERMANENTE - Ñ CIAP"</f>
        <v>VENDA BEM ATIVO PERMANENTE - Ñ CIAP</v>
      </c>
      <c r="C294" s="1" t="str">
        <f t="shared" si="12"/>
        <v>Saída</v>
      </c>
      <c r="D294" s="1" t="str">
        <f t="shared" si="13"/>
        <v>Ativa</v>
      </c>
      <c r="E294" s="2" t="str">
        <f>"BAIXA CE, GERA OF, GERA DUPLICATA PARA O"</f>
        <v>BAIXA CE, GERA OF, GERA DUPLICATA PARA O</v>
      </c>
    </row>
    <row r="295" spans="1:5" x14ac:dyDescent="0.3">
      <c r="A295" s="12">
        <v>555103</v>
      </c>
      <c r="B295" s="1" t="str">
        <f>"VENDA BEM ATIVO PERMANENTE Não CIAP"</f>
        <v>VENDA BEM ATIVO PERMANENTE Não CIAP</v>
      </c>
      <c r="C295" s="1" t="str">
        <f t="shared" si="12"/>
        <v>Saída</v>
      </c>
      <c r="D295" s="1" t="str">
        <f t="shared" si="13"/>
        <v>Ativa</v>
      </c>
      <c r="E295" s="2" t="str">
        <f>"BAIXA DE ATIVO, GERA OF, NÃO GERA DUPLIC"</f>
        <v>BAIXA DE ATIVO, GERA OF, NÃO GERA DUPLIC</v>
      </c>
    </row>
    <row r="296" spans="1:5" x14ac:dyDescent="0.3">
      <c r="A296" s="12">
        <v>555201</v>
      </c>
      <c r="B296" s="1" t="str">
        <f>"TRANSF DE BEM DO ATIVO IMOBILIZADO"</f>
        <v>TRANSF DE BEM DO ATIVO IMOBILIZADO</v>
      </c>
      <c r="C296" s="1" t="str">
        <f t="shared" si="12"/>
        <v>Saída</v>
      </c>
      <c r="D296" s="1" t="str">
        <f t="shared" si="13"/>
        <v>Ativa</v>
      </c>
      <c r="E296" s="2" t="str">
        <f>"GERA OF, GERA FAT. CFOP PARA TRANSFERENC"</f>
        <v>GERA OF, GERA FAT. CFOP PARA TRANSFERENC</v>
      </c>
    </row>
    <row r="297" spans="1:5" x14ac:dyDescent="0.3">
      <c r="A297" s="12">
        <v>555301</v>
      </c>
      <c r="B297" s="1" t="str">
        <f>"DEV. DE COMPRAS DE BEM ATIVO IMOBIL"</f>
        <v>DEV. DE COMPRAS DE BEM ATIVO IMOBIL</v>
      </c>
      <c r="C297" s="1" t="str">
        <f t="shared" si="12"/>
        <v>Saída</v>
      </c>
      <c r="D297" s="1" t="str">
        <f t="shared" si="13"/>
        <v>Ativa</v>
      </c>
      <c r="E297" s="2" t="str">
        <f>"GERA OF. BAIXA CIAP E CRÉDITOS"</f>
        <v>GERA OF. BAIXA CIAP E CRÉDITOS</v>
      </c>
    </row>
    <row r="298" spans="1:5" x14ac:dyDescent="0.3">
      <c r="A298" s="12">
        <v>555302</v>
      </c>
      <c r="B298" s="1" t="str">
        <f>"DEV. DE COMPRAS DE BEM ATIVO IMOBIL"</f>
        <v>DEV. DE COMPRAS DE BEM ATIVO IMOBIL</v>
      </c>
      <c r="C298" s="1" t="str">
        <f t="shared" si="12"/>
        <v>Saída</v>
      </c>
      <c r="D298" s="1" t="str">
        <f t="shared" si="13"/>
        <v>Ativa</v>
      </c>
      <c r="E298" s="2" t="str">
        <f>"GERA OF; NÃO BAIXA CIAP E CRÉDITOS"</f>
        <v>GERA OF; NÃO BAIXA CIAP E CRÉDITOS</v>
      </c>
    </row>
    <row r="299" spans="1:5" x14ac:dyDescent="0.3">
      <c r="A299" s="12">
        <v>555401</v>
      </c>
      <c r="B299" s="1" t="str">
        <f>"REMESSA DE BEM PARA USO EXTERNO"</f>
        <v>REMESSA DE BEM PARA USO EXTERNO</v>
      </c>
      <c r="C299" s="1" t="str">
        <f t="shared" si="12"/>
        <v>Saída</v>
      </c>
      <c r="D299" s="1" t="str">
        <f t="shared" si="13"/>
        <v>Ativa</v>
      </c>
      <c r="E299" s="2" t="str">
        <f>""</f>
        <v/>
      </c>
    </row>
    <row r="300" spans="1:5" x14ac:dyDescent="0.3">
      <c r="A300" s="12">
        <v>555501</v>
      </c>
      <c r="B300" s="1" t="str">
        <f>"DEV.ATIVO IMOBILIZADO DE TERCEIRO"</f>
        <v>DEV.ATIVO IMOBILIZADO DE TERCEIRO</v>
      </c>
      <c r="C300" s="1" t="str">
        <f t="shared" si="12"/>
        <v>Saída</v>
      </c>
      <c r="D300" s="1" t="str">
        <f t="shared" si="13"/>
        <v>Ativa</v>
      </c>
      <c r="E300" s="2" t="str">
        <f t="shared" ref="E300:E305" si="15">"BAIXA CE, GERA OF"</f>
        <v>BAIXA CE, GERA OF</v>
      </c>
    </row>
    <row r="301" spans="1:5" x14ac:dyDescent="0.3">
      <c r="A301" s="12">
        <v>555502</v>
      </c>
      <c r="B301" s="1" t="str">
        <f>"DEV. DE COMPRAS ATIVO IMOBILIZADO"</f>
        <v>DEV. DE COMPRAS ATIVO IMOBILIZADO</v>
      </c>
      <c r="C301" s="1" t="str">
        <f t="shared" si="12"/>
        <v>Saída</v>
      </c>
      <c r="D301" s="1" t="str">
        <f t="shared" si="13"/>
        <v>Ativa</v>
      </c>
      <c r="E301" s="2" t="str">
        <f t="shared" si="15"/>
        <v>BAIXA CE, GERA OF</v>
      </c>
    </row>
    <row r="302" spans="1:5" x14ac:dyDescent="0.3">
      <c r="A302" s="12">
        <v>555503</v>
      </c>
      <c r="B302" s="1" t="str">
        <f>"DEV. DE COMPRAS ATIVO IMOBILIZADO"</f>
        <v>DEV. DE COMPRAS ATIVO IMOBILIZADO</v>
      </c>
      <c r="C302" s="1" t="str">
        <f t="shared" si="12"/>
        <v>Saída</v>
      </c>
      <c r="D302" s="1" t="str">
        <f t="shared" si="13"/>
        <v>Ativa</v>
      </c>
      <c r="E302" s="2" t="str">
        <f t="shared" si="15"/>
        <v>BAIXA CE, GERA OF</v>
      </c>
    </row>
    <row r="303" spans="1:5" x14ac:dyDescent="0.3">
      <c r="A303" s="12">
        <v>555601</v>
      </c>
      <c r="B303" s="1" t="str">
        <f>"DEV. DE COMPRAS MAT.USO CONSUMO"</f>
        <v>DEV. DE COMPRAS MAT.USO CONSUMO</v>
      </c>
      <c r="C303" s="1" t="str">
        <f t="shared" si="12"/>
        <v>Saída</v>
      </c>
      <c r="D303" s="1" t="str">
        <f t="shared" si="13"/>
        <v>Ativa</v>
      </c>
      <c r="E303" s="2" t="str">
        <f t="shared" si="15"/>
        <v>BAIXA CE, GERA OF</v>
      </c>
    </row>
    <row r="304" spans="1:5" x14ac:dyDescent="0.3">
      <c r="A304" s="12">
        <v>555602</v>
      </c>
      <c r="B304" s="1" t="str">
        <f>"DEV. DE COMPRAS MAT.USO CONSUMO"</f>
        <v>DEV. DE COMPRAS MAT.USO CONSUMO</v>
      </c>
      <c r="C304" s="1" t="str">
        <f t="shared" si="12"/>
        <v>Saída</v>
      </c>
      <c r="D304" s="1" t="str">
        <f t="shared" si="13"/>
        <v>Ativa</v>
      </c>
      <c r="E304" s="2" t="str">
        <f t="shared" si="15"/>
        <v>BAIXA CE, GERA OF</v>
      </c>
    </row>
    <row r="305" spans="1:5" x14ac:dyDescent="0.3">
      <c r="A305" s="12">
        <v>555603</v>
      </c>
      <c r="B305" s="1" t="str">
        <f>"DEV. DE COMPRAS MAT.USO CONSUMO"</f>
        <v>DEV. DE COMPRAS MAT.USO CONSUMO</v>
      </c>
      <c r="C305" s="1" t="str">
        <f t="shared" si="12"/>
        <v>Saída</v>
      </c>
      <c r="D305" s="1" t="str">
        <f t="shared" si="13"/>
        <v>Ativa</v>
      </c>
      <c r="E305" s="2" t="str">
        <f t="shared" si="15"/>
        <v>BAIXA CE, GERA OF</v>
      </c>
    </row>
    <row r="306" spans="1:5" x14ac:dyDescent="0.3">
      <c r="A306" s="12">
        <v>555604</v>
      </c>
      <c r="B306" s="1" t="str">
        <f>"DEVOLUÇÃO DE COMPRA"</f>
        <v>DEVOLUÇÃO DE COMPRA</v>
      </c>
      <c r="C306" s="1" t="str">
        <f t="shared" si="12"/>
        <v>Saída</v>
      </c>
      <c r="D306" s="1" t="str">
        <f t="shared" si="13"/>
        <v>Ativa</v>
      </c>
      <c r="E306" s="2" t="str">
        <f>"GERA OF, GERA FAT."</f>
        <v>GERA OF, GERA FAT.</v>
      </c>
    </row>
    <row r="307" spans="1:5" x14ac:dyDescent="0.3">
      <c r="A307" s="12">
        <v>555701</v>
      </c>
      <c r="B307" s="1" t="str">
        <f>"TRANSFERENCIA MAT USO CONSUMO"</f>
        <v>TRANSFERENCIA MAT USO CONSUMO</v>
      </c>
      <c r="C307" s="1" t="str">
        <f t="shared" si="12"/>
        <v>Saída</v>
      </c>
      <c r="D307" s="1" t="str">
        <f t="shared" si="13"/>
        <v>Ativa</v>
      </c>
      <c r="E307" s="2" t="str">
        <f>"GERA OF, GERA FAT. CFOP PARA TRANSFERENC"</f>
        <v>GERA OF, GERA FAT. CFOP PARA TRANSFERENC</v>
      </c>
    </row>
    <row r="308" spans="1:5" x14ac:dyDescent="0.3">
      <c r="A308" s="12">
        <v>560101</v>
      </c>
      <c r="B308" s="1" t="str">
        <f>"TRANSFERENCIA CREDITO ICMS ACUMULAD"</f>
        <v>TRANSFERENCIA CREDITO ICMS ACUMULAD</v>
      </c>
      <c r="C308" s="1" t="str">
        <f t="shared" si="12"/>
        <v>Saída</v>
      </c>
      <c r="D308" s="1" t="str">
        <f t="shared" si="13"/>
        <v>Ativa</v>
      </c>
      <c r="E308" s="2" t="str">
        <f>"GERA OF, GERA FAT."</f>
        <v>GERA OF, GERA FAT.</v>
      </c>
    </row>
    <row r="309" spans="1:5" x14ac:dyDescent="0.3">
      <c r="A309" s="12">
        <v>560201</v>
      </c>
      <c r="B309" s="1" t="str">
        <f>"TRANSFERÊNCIA DE SALDO CREDOR"</f>
        <v>TRANSFERÊNCIA DE SALDO CREDOR</v>
      </c>
      <c r="C309" s="1" t="str">
        <f t="shared" si="12"/>
        <v>Saída</v>
      </c>
      <c r="D309" s="1" t="str">
        <f t="shared" si="13"/>
        <v>Ativa</v>
      </c>
      <c r="E309" s="2" t="str">
        <f>"GERA OF, GERA FAT."</f>
        <v>GERA OF, GERA FAT.</v>
      </c>
    </row>
    <row r="310" spans="1:5" x14ac:dyDescent="0.3">
      <c r="A310" s="12">
        <v>560501</v>
      </c>
      <c r="B310" s="1" t="str">
        <f>"TRANSFERENCIA DE SALDO DEVEDOR"</f>
        <v>TRANSFERENCIA DE SALDO DEVEDOR</v>
      </c>
      <c r="C310" s="1" t="str">
        <f t="shared" si="12"/>
        <v>Saída</v>
      </c>
      <c r="D310" s="1" t="str">
        <f t="shared" si="13"/>
        <v>Ativa</v>
      </c>
      <c r="E310" s="2" t="str">
        <f>"GERA OF, GERA FAT."</f>
        <v>GERA OF, GERA FAT.</v>
      </c>
    </row>
    <row r="311" spans="1:5" x14ac:dyDescent="0.3">
      <c r="A311" s="12">
        <v>566201</v>
      </c>
      <c r="B311" s="1" t="str">
        <f>"DEVOLUÇÃO COMPRA COMB OU LUBRIF"</f>
        <v>DEVOLUÇÃO COMPRA COMB OU LUBRIF</v>
      </c>
      <c r="C311" s="1" t="str">
        <f t="shared" si="12"/>
        <v>Saída</v>
      </c>
      <c r="D311" s="1" t="str">
        <f t="shared" si="13"/>
        <v>Ativa</v>
      </c>
      <c r="E311" s="2" t="str">
        <f>"GERA OF, GERA FAT."</f>
        <v>GERA OF, GERA FAT.</v>
      </c>
    </row>
    <row r="312" spans="1:5" x14ac:dyDescent="0.3">
      <c r="A312" s="12">
        <v>590101</v>
      </c>
      <c r="B312" s="1" t="str">
        <f>"REMESSA P/INDUSTRIALIZAÇÃO"</f>
        <v>REMESSA P/INDUSTRIALIZAÇÃO</v>
      </c>
      <c r="C312" s="1" t="str">
        <f t="shared" si="12"/>
        <v>Saída</v>
      </c>
      <c r="D312" s="1" t="str">
        <f t="shared" si="13"/>
        <v>Ativa</v>
      </c>
      <c r="E312" s="2" t="str">
        <f>""</f>
        <v/>
      </c>
    </row>
    <row r="313" spans="1:5" x14ac:dyDescent="0.3">
      <c r="A313" s="12">
        <v>590201</v>
      </c>
      <c r="B313" s="1" t="str">
        <f>"RETORNO DE INDUSTRIALIZAÇÃO"</f>
        <v>RETORNO DE INDUSTRIALIZAÇÃO</v>
      </c>
      <c r="C313" s="1" t="str">
        <f t="shared" si="12"/>
        <v>Saída</v>
      </c>
      <c r="D313" s="1" t="str">
        <f t="shared" si="13"/>
        <v>Ativa</v>
      </c>
      <c r="E313" s="2" t="str">
        <f>""</f>
        <v/>
      </c>
    </row>
    <row r="314" spans="1:5" x14ac:dyDescent="0.3">
      <c r="A314" s="12">
        <v>590203</v>
      </c>
      <c r="B314" s="1" t="str">
        <f>"RETORNO IND P/CONTA ORDEM TERCEIROS"</f>
        <v>RETORNO IND P/CONTA ORDEM TERCEIROS</v>
      </c>
      <c r="C314" s="1" t="str">
        <f t="shared" si="12"/>
        <v>Saída</v>
      </c>
      <c r="D314" s="1" t="str">
        <f t="shared" si="13"/>
        <v>Ativa</v>
      </c>
      <c r="E314" s="2" t="str">
        <f>"RETORNO IND P/CONTA ORDEM TERCEIROS - EN"</f>
        <v>RETORNO IND P/CONTA ORDEM TERCEIROS - EN</v>
      </c>
    </row>
    <row r="315" spans="1:5" x14ac:dyDescent="0.3">
      <c r="A315" s="12">
        <v>590204</v>
      </c>
      <c r="B315" s="1" t="str">
        <f>"RETORNO DE INDUSTRIALIZAÇÃO"</f>
        <v>RETORNO DE INDUSTRIALIZAÇÃO</v>
      </c>
      <c r="C315" s="1" t="str">
        <f t="shared" si="12"/>
        <v>Saída</v>
      </c>
      <c r="D315" s="1" t="str">
        <f t="shared" si="13"/>
        <v>Ativa</v>
      </c>
      <c r="E315" s="2" t="str">
        <f>"RETORNO DE INDUSTRIALIZAÇÃO - COM BAIXA"</f>
        <v>RETORNO DE INDUSTRIALIZAÇÃO - COM BAIXA</v>
      </c>
    </row>
    <row r="316" spans="1:5" x14ac:dyDescent="0.3">
      <c r="A316" s="12">
        <v>590301</v>
      </c>
      <c r="B316" s="1" t="str">
        <f>"RETORNO DE INDUSTRIALIZAÇÃO"</f>
        <v>RETORNO DE INDUSTRIALIZAÇÃO</v>
      </c>
      <c r="C316" s="1" t="str">
        <f t="shared" si="12"/>
        <v>Saída</v>
      </c>
      <c r="D316" s="1" t="str">
        <f t="shared" si="13"/>
        <v>Ativa</v>
      </c>
      <c r="E316" s="2" t="str">
        <f>"ICMS SUSPENSO CFE ART. 272 INC I DECRETO"</f>
        <v>ICMS SUSPENSO CFE ART. 272 INC I DECRETO</v>
      </c>
    </row>
    <row r="317" spans="1:5" x14ac:dyDescent="0.3">
      <c r="A317" s="12">
        <v>590302</v>
      </c>
      <c r="B317" s="1" t="str">
        <f>"RETORNO DE INDUSTRIALIZAÇÃO"</f>
        <v>RETORNO DE INDUSTRIALIZAÇÃO</v>
      </c>
      <c r="C317" s="1" t="str">
        <f t="shared" si="12"/>
        <v>Saída</v>
      </c>
      <c r="D317" s="1" t="str">
        <f t="shared" si="13"/>
        <v>Ativa</v>
      </c>
      <c r="E317" s="2" t="str">
        <f>"ICMS SUSPENSO CFE ART. 272 INC I DECRETO"</f>
        <v>ICMS SUSPENSO CFE ART. 272 INC I DECRETO</v>
      </c>
    </row>
    <row r="318" spans="1:5" x14ac:dyDescent="0.3">
      <c r="A318" s="12">
        <v>590303</v>
      </c>
      <c r="B318" s="1" t="str">
        <f>"RETORNO DE INDUSTRIALIZAÇÃO"</f>
        <v>RETORNO DE INDUSTRIALIZAÇÃO</v>
      </c>
      <c r="C318" s="1" t="str">
        <f t="shared" si="12"/>
        <v>Saída</v>
      </c>
      <c r="D318" s="1" t="str">
        <f t="shared" si="13"/>
        <v>Ativa</v>
      </c>
      <c r="E318" s="2" t="str">
        <f>"ICMS SUSPENSO CFE ART. 272 INC I DECRETO"</f>
        <v>ICMS SUSPENSO CFE ART. 272 INC I DECRETO</v>
      </c>
    </row>
    <row r="319" spans="1:5" x14ac:dyDescent="0.3">
      <c r="A319" s="12">
        <v>590501</v>
      </c>
      <c r="B319" s="1" t="str">
        <f>"REMESSA PARA ARMAZEM GERAL"</f>
        <v>REMESSA PARA ARMAZEM GERAL</v>
      </c>
      <c r="C319" s="1" t="str">
        <f t="shared" si="12"/>
        <v>Saída</v>
      </c>
      <c r="D319" s="1" t="str">
        <f t="shared" si="13"/>
        <v>Ativa</v>
      </c>
      <c r="E319" s="2" t="str">
        <f>"Gera mov Terceiros - Remessa Deposito Ma"</f>
        <v>Gera mov Terceiros - Remessa Deposito Ma</v>
      </c>
    </row>
    <row r="320" spans="1:5" x14ac:dyDescent="0.3">
      <c r="A320" s="12">
        <v>590601</v>
      </c>
      <c r="B320" s="1" t="str">
        <f>"RETORNO MATERIAL RECEBIDO ARMAZENAG"</f>
        <v>RETORNO MATERIAL RECEBIDO ARMAZENAG</v>
      </c>
      <c r="C320" s="1" t="str">
        <f t="shared" si="12"/>
        <v>Saída</v>
      </c>
      <c r="D320" s="1" t="str">
        <f t="shared" si="13"/>
        <v>Ativa</v>
      </c>
      <c r="E320" s="2" t="str">
        <f>""</f>
        <v/>
      </c>
    </row>
    <row r="321" spans="1:5" x14ac:dyDescent="0.3">
      <c r="A321" s="12">
        <v>590801</v>
      </c>
      <c r="B321" s="1" t="str">
        <f>"REMESSA EM COMODATO OU LOCAÇÃO"</f>
        <v>REMESSA EM COMODATO OU LOCAÇÃO</v>
      </c>
      <c r="C321" s="1" t="str">
        <f t="shared" si="12"/>
        <v>Saída</v>
      </c>
      <c r="D321" s="1" t="str">
        <f t="shared" si="13"/>
        <v>Ativa</v>
      </c>
      <c r="E321" s="2" t="str">
        <f>"Remessa em comodado - não existe uma cob"</f>
        <v>Remessa em comodado - não existe uma cob</v>
      </c>
    </row>
    <row r="322" spans="1:5" x14ac:dyDescent="0.3">
      <c r="A322" s="12">
        <v>590901</v>
      </c>
      <c r="B322" s="1" t="str">
        <f>"RETORNO REMESSA EM COMODATO"</f>
        <v>RETORNO REMESSA EM COMODATO</v>
      </c>
      <c r="C322" s="1" t="str">
        <f t="shared" ref="C322:C385" si="16">"Saída"</f>
        <v>Saída</v>
      </c>
      <c r="D322" s="1" t="str">
        <f t="shared" ref="D322:D385" si="17">"Ativa"</f>
        <v>Ativa</v>
      </c>
      <c r="E322" s="2" t="str">
        <f>""</f>
        <v/>
      </c>
    </row>
    <row r="323" spans="1:5" x14ac:dyDescent="0.3">
      <c r="A323" s="12">
        <v>590902</v>
      </c>
      <c r="B323" s="1" t="str">
        <f>"RETORNO REMESSA EM COMODATO"</f>
        <v>RETORNO REMESSA EM COMODATO</v>
      </c>
      <c r="C323" s="1" t="str">
        <f t="shared" si="16"/>
        <v>Saída</v>
      </c>
      <c r="D323" s="1" t="str">
        <f t="shared" si="17"/>
        <v>Ativa</v>
      </c>
      <c r="E323" s="2" t="str">
        <f>""</f>
        <v/>
      </c>
    </row>
    <row r="324" spans="1:5" x14ac:dyDescent="0.3">
      <c r="A324" s="12">
        <v>591001</v>
      </c>
      <c r="B324" s="1" t="str">
        <f>"REMESSA DOAÇÃO BENS USO CONSUMO"</f>
        <v>REMESSA DOAÇÃO BENS USO CONSUMO</v>
      </c>
      <c r="C324" s="1" t="str">
        <f t="shared" si="16"/>
        <v>Saída</v>
      </c>
      <c r="D324" s="1" t="str">
        <f t="shared" si="17"/>
        <v>Ativa</v>
      </c>
      <c r="E324" s="2" t="str">
        <f>"CRIADO PARA DOAÇÃO DE USO E CONSUMO - SO"</f>
        <v>CRIADO PARA DOAÇÃO DE USO E CONSUMO - SO</v>
      </c>
    </row>
    <row r="325" spans="1:5" x14ac:dyDescent="0.3">
      <c r="A325" s="12">
        <v>591002</v>
      </c>
      <c r="B325" s="1" t="str">
        <f>"REMESSA DOAÇÃO ATIVO IMOBILIZADO"</f>
        <v>REMESSA DOAÇÃO ATIVO IMOBILIZADO</v>
      </c>
      <c r="C325" s="1" t="str">
        <f t="shared" si="16"/>
        <v>Saída</v>
      </c>
      <c r="D325" s="1" t="str">
        <f t="shared" si="17"/>
        <v>Ativa</v>
      </c>
      <c r="E325" s="2" t="str">
        <f>"UTILIZADO PARA DOAÇÃO DE IMOBILIZADOS -"</f>
        <v>UTILIZADO PARA DOAÇÃO DE IMOBILIZADOS -</v>
      </c>
    </row>
    <row r="326" spans="1:5" x14ac:dyDescent="0.3">
      <c r="A326" s="12">
        <v>591003</v>
      </c>
      <c r="B326" s="1" t="str">
        <f>"REMESSA BRINDES"</f>
        <v>REMESSA BRINDES</v>
      </c>
      <c r="C326" s="1" t="str">
        <f t="shared" si="16"/>
        <v>Saída</v>
      </c>
      <c r="D326" s="1" t="str">
        <f t="shared" si="17"/>
        <v>Ativa</v>
      </c>
      <c r="E326" s="2" t="str">
        <f>"CRIADO PARA NFS DE BRINDES - CESTAS DE N"</f>
        <v>CRIADO PARA NFS DE BRINDES - CESTAS DE N</v>
      </c>
    </row>
    <row r="327" spans="1:5" x14ac:dyDescent="0.3">
      <c r="A327" s="12">
        <v>591004</v>
      </c>
      <c r="B327" s="1" t="str">
        <f>"REMESSA DOAÇÃO SUCATAS"</f>
        <v>REMESSA DOAÇÃO SUCATAS</v>
      </c>
      <c r="C327" s="1" t="str">
        <f t="shared" si="16"/>
        <v>Saída</v>
      </c>
      <c r="D327" s="1" t="str">
        <f t="shared" si="17"/>
        <v>Ativa</v>
      </c>
      <c r="E327" s="2" t="str">
        <f>"CRIADO PARA NFS DE DOAÇÃO - MATERIAIS QU"</f>
        <v>CRIADO PARA NFS DE DOAÇÃO - MATERIAIS QU</v>
      </c>
    </row>
    <row r="328" spans="1:5" x14ac:dyDescent="0.3">
      <c r="A328" s="12">
        <v>591005</v>
      </c>
      <c r="B328" s="1" t="str">
        <f>"REMESSA DOAÇÃO ATIVO IMOBILIZADO"</f>
        <v>REMESSA DOAÇÃO ATIVO IMOBILIZADO</v>
      </c>
      <c r="C328" s="1" t="str">
        <f t="shared" si="16"/>
        <v>Saída</v>
      </c>
      <c r="D328" s="1" t="str">
        <f t="shared" si="17"/>
        <v>Ativa</v>
      </c>
      <c r="E328" s="2" t="str">
        <f>"UTILIZADO PARA DOAÇÃO DE IMOBILIZADOS -"</f>
        <v>UTILIZADO PARA DOAÇÃO DE IMOBILIZADOS -</v>
      </c>
    </row>
    <row r="329" spans="1:5" x14ac:dyDescent="0.3">
      <c r="A329" s="12">
        <v>591006</v>
      </c>
      <c r="B329" s="1" t="str">
        <f>"REMESSA BONIFICAÇÃO"</f>
        <v>REMESSA BONIFICAÇÃO</v>
      </c>
      <c r="C329" s="1" t="str">
        <f t="shared" si="16"/>
        <v>Saída</v>
      </c>
      <c r="D329" s="1" t="str">
        <f t="shared" si="17"/>
        <v>Ativa</v>
      </c>
      <c r="E329" s="2" t="str">
        <f>"PRODUTOS FABRICADOS E ENVIADOS COMO AMOS"</f>
        <v>PRODUTOS FABRICADOS E ENVIADOS COMO AMOS</v>
      </c>
    </row>
    <row r="330" spans="1:5" x14ac:dyDescent="0.3">
      <c r="A330" s="12">
        <v>591101</v>
      </c>
      <c r="B330" s="1" t="str">
        <f>"REMESSA AMOSTRA GRÁTIS (PEQ. QNTD)"</f>
        <v>REMESSA AMOSTRA GRÁTIS (PEQ. QNTD)</v>
      </c>
      <c r="C330" s="1" t="str">
        <f t="shared" si="16"/>
        <v>Saída</v>
      </c>
      <c r="D330" s="1" t="str">
        <f t="shared" si="17"/>
        <v>Ativa</v>
      </c>
      <c r="E330" s="2" t="str">
        <f>"PRODUTOS FABRICADOS E ENVIADOS COMO AMOS"</f>
        <v>PRODUTOS FABRICADOS E ENVIADOS COMO AMOS</v>
      </c>
    </row>
    <row r="331" spans="1:5" x14ac:dyDescent="0.3">
      <c r="A331" s="12">
        <v>591102</v>
      </c>
      <c r="B331" s="1" t="str">
        <f>"REMESSA AMOSTRA GRATIS (GRANDE QNTD"</f>
        <v>REMESSA AMOSTRA GRATIS (GRANDE QNTD</v>
      </c>
      <c r="C331" s="1" t="str">
        <f t="shared" si="16"/>
        <v>Saída</v>
      </c>
      <c r="D331" s="1" t="str">
        <f t="shared" si="17"/>
        <v>Ativa</v>
      </c>
      <c r="E331" s="2" t="str">
        <f>"PRODUTOS FABRICADOS E ENVIADOS COMO AMOS"</f>
        <v>PRODUTOS FABRICADOS E ENVIADOS COMO AMOS</v>
      </c>
    </row>
    <row r="332" spans="1:5" x14ac:dyDescent="0.3">
      <c r="A332" s="12">
        <v>591104</v>
      </c>
      <c r="B332" s="1" t="str">
        <f>"REMESSA AMOSTRA GRATIS (LAB MACHINE"</f>
        <v>REMESSA AMOSTRA GRATIS (LAB MACHINE</v>
      </c>
      <c r="C332" s="1" t="str">
        <f t="shared" si="16"/>
        <v>Saída</v>
      </c>
      <c r="D332" s="1" t="str">
        <f t="shared" si="17"/>
        <v>Ativa</v>
      </c>
      <c r="E332" s="2" t="str">
        <f>"AMOSTRA DE PRODUTOS FABRICADOS PELA LAB"</f>
        <v>AMOSTRA DE PRODUTOS FABRICADOS PELA LAB</v>
      </c>
    </row>
    <row r="333" spans="1:5" x14ac:dyDescent="0.3">
      <c r="A333" s="12">
        <v>591201</v>
      </c>
      <c r="B333" s="1" t="str">
        <f>"REMESSA PARA DEMONSTRAÇÃO"</f>
        <v>REMESSA PARA DEMONSTRAÇÃO</v>
      </c>
      <c r="C333" s="1" t="str">
        <f t="shared" si="16"/>
        <v>Saída</v>
      </c>
      <c r="D333" s="1" t="str">
        <f t="shared" si="17"/>
        <v>Ativa</v>
      </c>
      <c r="E333" s="2" t="str">
        <f>""</f>
        <v/>
      </c>
    </row>
    <row r="334" spans="1:5" x14ac:dyDescent="0.3">
      <c r="A334" s="12">
        <v>591301</v>
      </c>
      <c r="B334" s="1" t="str">
        <f>"RETORNO DE DEMONSTRAÇÃO"</f>
        <v>RETORNO DE DEMONSTRAÇÃO</v>
      </c>
      <c r="C334" s="1" t="str">
        <f t="shared" si="16"/>
        <v>Saída</v>
      </c>
      <c r="D334" s="1" t="str">
        <f t="shared" si="17"/>
        <v>Ativa</v>
      </c>
      <c r="E334" s="2" t="str">
        <f>""</f>
        <v/>
      </c>
    </row>
    <row r="335" spans="1:5" x14ac:dyDescent="0.3">
      <c r="A335" s="12">
        <v>591302</v>
      </c>
      <c r="B335" s="1" t="str">
        <f>"RETORNO DE DEMONSTRAÇÃO"</f>
        <v>RETORNO DE DEMONSTRAÇÃO</v>
      </c>
      <c r="C335" s="1" t="str">
        <f t="shared" si="16"/>
        <v>Saída</v>
      </c>
      <c r="D335" s="1" t="str">
        <f t="shared" si="17"/>
        <v>Ativa</v>
      </c>
      <c r="E335" s="2" t="str">
        <f>""</f>
        <v/>
      </c>
    </row>
    <row r="336" spans="1:5" x14ac:dyDescent="0.3">
      <c r="A336" s="12">
        <v>591401</v>
      </c>
      <c r="B336" s="1" t="str">
        <f>"REMESSA PARA EXPOSIÇÃO / FEIRA"</f>
        <v>REMESSA PARA EXPOSIÇÃO / FEIRA</v>
      </c>
      <c r="C336" s="1" t="str">
        <f t="shared" si="16"/>
        <v>Saída</v>
      </c>
      <c r="D336" s="1" t="str">
        <f t="shared" si="17"/>
        <v>Ativa</v>
      </c>
      <c r="E336" s="2" t="str">
        <f>""</f>
        <v/>
      </c>
    </row>
    <row r="337" spans="1:5" x14ac:dyDescent="0.3">
      <c r="A337" s="12">
        <v>591501</v>
      </c>
      <c r="B337" s="1" t="str">
        <f>"REMESSA PARA CONSERTO/REPAROS"</f>
        <v>REMESSA PARA CONSERTO/REPAROS</v>
      </c>
      <c r="C337" s="1" t="str">
        <f t="shared" si="16"/>
        <v>Saída</v>
      </c>
      <c r="D337" s="1" t="str">
        <f t="shared" si="17"/>
        <v>Ativa</v>
      </c>
      <c r="E337" s="2" t="str">
        <f>"GERA OF, GERA FAT."</f>
        <v>GERA OF, GERA FAT.</v>
      </c>
    </row>
    <row r="338" spans="1:5" x14ac:dyDescent="0.3">
      <c r="A338" s="12">
        <v>591502</v>
      </c>
      <c r="B338" s="1" t="str">
        <f>"REMESSA PARA CONSERTO/REPAROS"</f>
        <v>REMESSA PARA CONSERTO/REPAROS</v>
      </c>
      <c r="C338" s="1" t="str">
        <f t="shared" si="16"/>
        <v>Saída</v>
      </c>
      <c r="D338" s="1" t="str">
        <f t="shared" si="17"/>
        <v>Ativa</v>
      </c>
      <c r="E338" s="2" t="str">
        <f>"GERA OF, GERA FAT.  Criada para consumid"</f>
        <v>GERA OF, GERA FAT.  Criada para consumid</v>
      </c>
    </row>
    <row r="339" spans="1:5" x14ac:dyDescent="0.3">
      <c r="A339" s="12">
        <v>591601</v>
      </c>
      <c r="B339" s="1" t="str">
        <f>"RETORNO DE CONSERTO/REPAROS"</f>
        <v>RETORNO DE CONSERTO/REPAROS</v>
      </c>
      <c r="C339" s="1" t="str">
        <f t="shared" si="16"/>
        <v>Saída</v>
      </c>
      <c r="D339" s="1" t="str">
        <f t="shared" si="17"/>
        <v>Ativa</v>
      </c>
      <c r="E339" s="2" t="str">
        <f>""</f>
        <v/>
      </c>
    </row>
    <row r="340" spans="1:5" x14ac:dyDescent="0.3">
      <c r="A340" s="12">
        <v>592001</v>
      </c>
      <c r="B340" s="1" t="str">
        <f>"REMESSA DE EMBALAGEM"</f>
        <v>REMESSA DE EMBALAGEM</v>
      </c>
      <c r="C340" s="1" t="str">
        <f t="shared" si="16"/>
        <v>Saída</v>
      </c>
      <c r="D340" s="1" t="str">
        <f t="shared" si="17"/>
        <v>Ativa</v>
      </c>
      <c r="E340" s="2" t="str">
        <f>"ICMS ISENTO CFE ANEXO I ITEM 176 DO RICM"</f>
        <v>ICMS ISENTO CFE ANEXO I ITEM 176 DO RICM</v>
      </c>
    </row>
    <row r="341" spans="1:5" x14ac:dyDescent="0.3">
      <c r="A341" s="12">
        <v>592101</v>
      </c>
      <c r="B341" s="1" t="str">
        <f>"RETORNO DE EMBALAGEM"</f>
        <v>RETORNO DE EMBALAGEM</v>
      </c>
      <c r="C341" s="1" t="str">
        <f t="shared" si="16"/>
        <v>Saída</v>
      </c>
      <c r="D341" s="1" t="str">
        <f t="shared" si="17"/>
        <v>Ativa</v>
      </c>
      <c r="E341" s="2" t="str">
        <f>""</f>
        <v/>
      </c>
    </row>
    <row r="342" spans="1:5" x14ac:dyDescent="0.3">
      <c r="A342" s="12">
        <v>592102</v>
      </c>
      <c r="B342" s="1" t="str">
        <f>"RETORNO DE EMBALAGEM"</f>
        <v>RETORNO DE EMBALAGEM</v>
      </c>
      <c r="C342" s="1" t="str">
        <f t="shared" si="16"/>
        <v>Saída</v>
      </c>
      <c r="D342" s="1" t="str">
        <f t="shared" si="17"/>
        <v>Ativa</v>
      </c>
      <c r="E342" s="2" t="str">
        <f>""</f>
        <v/>
      </c>
    </row>
    <row r="343" spans="1:5" x14ac:dyDescent="0.3">
      <c r="A343" s="12">
        <v>592109</v>
      </c>
      <c r="B343" s="1" t="str">
        <f>"RETORNO DE EMBALAGEM-ACT"</f>
        <v>RETORNO DE EMBALAGEM-ACT</v>
      </c>
      <c r="C343" s="1" t="str">
        <f t="shared" si="16"/>
        <v>Saída</v>
      </c>
      <c r="D343" s="1" t="str">
        <f t="shared" si="17"/>
        <v>Ativa</v>
      </c>
      <c r="E343" s="2" t="str">
        <f>""</f>
        <v/>
      </c>
    </row>
    <row r="344" spans="1:5" x14ac:dyDescent="0.3">
      <c r="A344" s="12">
        <v>592201</v>
      </c>
      <c r="B344" s="1" t="str">
        <f>"SIMPLES FATURAMENTO P/ENTREGA FUTUR"</f>
        <v>SIMPLES FATURAMENTO P/ENTREGA FUTUR</v>
      </c>
      <c r="C344" s="1" t="str">
        <f t="shared" si="16"/>
        <v>Saída</v>
      </c>
      <c r="D344" s="1" t="str">
        <f t="shared" si="17"/>
        <v>Ativa</v>
      </c>
      <c r="E344" s="2" t="str">
        <f>""</f>
        <v/>
      </c>
    </row>
    <row r="345" spans="1:5" x14ac:dyDescent="0.3">
      <c r="A345" s="12">
        <v>592301</v>
      </c>
      <c r="B345" s="1" t="str">
        <f>"REMESSA P/CONTA ORDEM TERCEIROS"</f>
        <v>REMESSA P/CONTA ORDEM TERCEIROS</v>
      </c>
      <c r="C345" s="1" t="str">
        <f t="shared" si="16"/>
        <v>Saída</v>
      </c>
      <c r="D345" s="1" t="str">
        <f t="shared" si="17"/>
        <v>Ativa</v>
      </c>
      <c r="E345" s="2" t="str">
        <f>""</f>
        <v/>
      </c>
    </row>
    <row r="346" spans="1:5" x14ac:dyDescent="0.3">
      <c r="A346" s="12">
        <v>592401</v>
      </c>
      <c r="B346" s="1" t="str">
        <f>"REMESSA P/CONTA ORDEM TERCEIROS"</f>
        <v>REMESSA P/CONTA ORDEM TERCEIROS</v>
      </c>
      <c r="C346" s="1" t="str">
        <f t="shared" si="16"/>
        <v>Saída</v>
      </c>
      <c r="D346" s="1" t="str">
        <f t="shared" si="17"/>
        <v>Ativa</v>
      </c>
      <c r="E346" s="2" t="str">
        <f>""</f>
        <v/>
      </c>
    </row>
    <row r="347" spans="1:5" x14ac:dyDescent="0.3">
      <c r="A347" s="12">
        <v>592403</v>
      </c>
      <c r="B347" s="1" t="str">
        <f>"REMESSA P/ORDEM TERC - OP TRIANGULA"</f>
        <v>REMESSA P/ORDEM TERC - OP TRIANGULA</v>
      </c>
      <c r="C347" s="1" t="str">
        <f t="shared" si="16"/>
        <v>Saída</v>
      </c>
      <c r="D347" s="1" t="str">
        <f t="shared" si="17"/>
        <v>Ativa</v>
      </c>
      <c r="E347" s="2" t="str">
        <f>"TRANSAÇÃO PARA INCLUSÃO DE SALDO EM TERC"</f>
        <v>TRANSAÇÃO PARA INCLUSÃO DE SALDO EM TERC</v>
      </c>
    </row>
    <row r="348" spans="1:5" x14ac:dyDescent="0.3">
      <c r="A348" s="12">
        <v>592501</v>
      </c>
      <c r="B348" s="1" t="str">
        <f>"RETORNO IND P/CONTA ORDEM TERCEIROS"</f>
        <v>RETORNO IND P/CONTA ORDEM TERCEIROS</v>
      </c>
      <c r="C348" s="1" t="str">
        <f t="shared" si="16"/>
        <v>Saída</v>
      </c>
      <c r="D348" s="1" t="str">
        <f t="shared" si="17"/>
        <v>Ativa</v>
      </c>
      <c r="E348" s="2" t="str">
        <f>""</f>
        <v/>
      </c>
    </row>
    <row r="349" spans="1:5" x14ac:dyDescent="0.3">
      <c r="A349" s="12">
        <v>592502</v>
      </c>
      <c r="B349" s="1" t="str">
        <f>"RETORNO IND P/CONTA ORDEM TERCEIROS"</f>
        <v>RETORNO IND P/CONTA ORDEM TERCEIROS</v>
      </c>
      <c r="C349" s="1" t="str">
        <f t="shared" si="16"/>
        <v>Saída</v>
      </c>
      <c r="D349" s="1" t="str">
        <f t="shared" si="17"/>
        <v>Ativa</v>
      </c>
      <c r="E349" s="2" t="str">
        <f>"RETORNO IND P/CONTA ORDEM TERCEIROS - EN"</f>
        <v>RETORNO IND P/CONTA ORDEM TERCEIROS - EN</v>
      </c>
    </row>
    <row r="350" spans="1:5" x14ac:dyDescent="0.3">
      <c r="A350" s="12">
        <v>592504</v>
      </c>
      <c r="B350" s="1" t="str">
        <f>"RETORNO REMESSA P/CONTA E ORDEM"</f>
        <v>RETORNO REMESSA P/CONTA E ORDEM</v>
      </c>
      <c r="C350" s="1" t="str">
        <f t="shared" si="16"/>
        <v>Saída</v>
      </c>
      <c r="D350" s="1" t="str">
        <f t="shared" si="17"/>
        <v>Ativa</v>
      </c>
      <c r="E350" s="2" t="str">
        <f>"CFOP CRIADA PARA UTILIZAR QUANDO HOUVER"</f>
        <v>CFOP CRIADA PARA UTILIZAR QUANDO HOUVER</v>
      </c>
    </row>
    <row r="351" spans="1:5" x14ac:dyDescent="0.3">
      <c r="A351" s="12">
        <v>592701</v>
      </c>
      <c r="B351" s="1" t="str">
        <f>"BAIXA ESTOQUE POR PERDA/ESTRAVIO"</f>
        <v>BAIXA ESTOQUE POR PERDA/ESTRAVIO</v>
      </c>
      <c r="C351" s="1" t="str">
        <f t="shared" si="16"/>
        <v>Saída</v>
      </c>
      <c r="D351" s="1" t="str">
        <f t="shared" si="17"/>
        <v>Ativa</v>
      </c>
      <c r="E351" s="2" t="str">
        <f>"BAIXA PARA SUCATA DOS ITENS DO DEPOSITO"</f>
        <v>BAIXA PARA SUCATA DOS ITENS DO DEPOSITO</v>
      </c>
    </row>
    <row r="352" spans="1:5" x14ac:dyDescent="0.3">
      <c r="A352" s="12">
        <v>594901</v>
      </c>
      <c r="B352" s="1" t="str">
        <f>"VENDA DE SUCATAS"</f>
        <v>VENDA DE SUCATAS</v>
      </c>
      <c r="C352" s="1" t="str">
        <f t="shared" si="16"/>
        <v>Saída</v>
      </c>
      <c r="D352" s="1" t="str">
        <f t="shared" si="17"/>
        <v>Ativa</v>
      </c>
      <c r="E352" s="2" t="str">
        <f>"CFOP para Emissão de Venda de Sucata e t"</f>
        <v>CFOP para Emissão de Venda de Sucata e t</v>
      </c>
    </row>
    <row r="353" spans="1:5" x14ac:dyDescent="0.3">
      <c r="A353" s="12">
        <v>594902</v>
      </c>
      <c r="B353" s="1" t="str">
        <f>"REMESSA EMPRESTIMO MERCADORIA"</f>
        <v>REMESSA EMPRESTIMO MERCADORIA</v>
      </c>
      <c r="C353" s="1" t="str">
        <f t="shared" si="16"/>
        <v>Saída</v>
      </c>
      <c r="D353" s="1" t="str">
        <f t="shared" si="17"/>
        <v>Ativa</v>
      </c>
      <c r="E353" s="2" t="str">
        <f>""</f>
        <v/>
      </c>
    </row>
    <row r="354" spans="1:5" x14ac:dyDescent="0.3">
      <c r="A354" s="12">
        <v>594903</v>
      </c>
      <c r="B354" s="1" t="str">
        <f>"RETORNO TESTE  MERCADORIA"</f>
        <v>RETORNO TESTE  MERCADORIA</v>
      </c>
      <c r="C354" s="1" t="str">
        <f t="shared" si="16"/>
        <v>Saída</v>
      </c>
      <c r="D354" s="1" t="str">
        <f t="shared" si="17"/>
        <v>Ativa</v>
      </c>
      <c r="E354" s="2" t="str">
        <f>""</f>
        <v/>
      </c>
    </row>
    <row r="355" spans="1:5" x14ac:dyDescent="0.3">
      <c r="A355" s="12">
        <v>594904</v>
      </c>
      <c r="B355" s="1" t="str">
        <f>"VENDA DE RESIDUOS"</f>
        <v>VENDA DE RESIDUOS</v>
      </c>
      <c r="C355" s="1" t="str">
        <f t="shared" si="16"/>
        <v>Saída</v>
      </c>
      <c r="D355" s="1" t="str">
        <f t="shared" si="17"/>
        <v>Ativa</v>
      </c>
      <c r="E355" s="2" t="str">
        <f>"CFOP para Emissão de Venda de Sucata - c"</f>
        <v>CFOP para Emissão de Venda de Sucata - c</v>
      </c>
    </row>
    <row r="356" spans="1:5" x14ac:dyDescent="0.3">
      <c r="A356" s="12">
        <v>594905</v>
      </c>
      <c r="B356" s="1" t="str">
        <f>"RETORNO REMESSA LOCACAO"</f>
        <v>RETORNO REMESSA LOCACAO</v>
      </c>
      <c r="C356" s="1" t="str">
        <f t="shared" si="16"/>
        <v>Saída</v>
      </c>
      <c r="D356" s="1" t="str">
        <f t="shared" si="17"/>
        <v>Ativa</v>
      </c>
      <c r="E356" s="2" t="str">
        <f>""</f>
        <v/>
      </c>
    </row>
    <row r="357" spans="1:5" x14ac:dyDescent="0.3">
      <c r="A357" s="12">
        <v>594906</v>
      </c>
      <c r="B357" s="1" t="str">
        <f>"REMESSA RESIDUOS/DESCARTE"</f>
        <v>REMESSA RESIDUOS/DESCARTE</v>
      </c>
      <c r="C357" s="1" t="str">
        <f t="shared" si="16"/>
        <v>Saída</v>
      </c>
      <c r="D357" s="1" t="str">
        <f t="shared" si="17"/>
        <v>Ativa</v>
      </c>
      <c r="E357" s="2" t="str">
        <f>""</f>
        <v/>
      </c>
    </row>
    <row r="358" spans="1:5" x14ac:dyDescent="0.3">
      <c r="A358" s="12">
        <v>594907</v>
      </c>
      <c r="B358" s="1" t="str">
        <f>"REMESSA P/INTEGRALIZAÇÃO CAPITAL"</f>
        <v>REMESSA P/INTEGRALIZAÇÃO CAPITAL</v>
      </c>
      <c r="C358" s="1" t="str">
        <f t="shared" si="16"/>
        <v>Saída</v>
      </c>
      <c r="D358" s="1" t="str">
        <f t="shared" si="17"/>
        <v>Ativa</v>
      </c>
      <c r="E358" s="2" t="str">
        <f>"BAIXA CE, GERA OF"</f>
        <v>BAIXA CE, GERA OF</v>
      </c>
    </row>
    <row r="359" spans="1:5" x14ac:dyDescent="0.3">
      <c r="A359" s="12">
        <v>594908</v>
      </c>
      <c r="B359" s="1" t="str">
        <f>"REM. P/ INDUSTRIALIZACAO DE CAPITAL"</f>
        <v>REM. P/ INDUSTRIALIZACAO DE CAPITAL</v>
      </c>
      <c r="C359" s="1" t="str">
        <f t="shared" si="16"/>
        <v>Saída</v>
      </c>
      <c r="D359" s="1" t="str">
        <f t="shared" si="17"/>
        <v>Ativa</v>
      </c>
      <c r="E359" s="2" t="str">
        <f>"GERA CE,CR,OF,CT,ESTATISTICA - ICMS COM"</f>
        <v>GERA CE,CR,OF,CT,ESTATISTICA - ICMS COM</v>
      </c>
    </row>
    <row r="360" spans="1:5" x14ac:dyDescent="0.3">
      <c r="A360" s="12">
        <v>594909</v>
      </c>
      <c r="B360" s="1" t="str">
        <f>"DEVOLUÇÃO REMESSA EM GARANTIA"</f>
        <v>DEVOLUÇÃO REMESSA EM GARANTIA</v>
      </c>
      <c r="C360" s="1" t="str">
        <f t="shared" si="16"/>
        <v>Saída</v>
      </c>
      <c r="D360" s="1" t="str">
        <f t="shared" si="17"/>
        <v>Ativa</v>
      </c>
      <c r="E360" s="2" t="str">
        <f>"CFOP utilizada para realizar troca de me"</f>
        <v>CFOP utilizada para realizar troca de me</v>
      </c>
    </row>
    <row r="361" spans="1:5" x14ac:dyDescent="0.3">
      <c r="A361" s="12">
        <v>594911</v>
      </c>
      <c r="B361" s="1" t="str">
        <f>"REMESSA PARA RECARGA"</f>
        <v>REMESSA PARA RECARGA</v>
      </c>
      <c r="C361" s="1" t="str">
        <f t="shared" si="16"/>
        <v>Saída</v>
      </c>
      <c r="D361" s="1" t="str">
        <f t="shared" si="17"/>
        <v>Ativa</v>
      </c>
      <c r="E361" s="2" t="str">
        <f>""</f>
        <v/>
      </c>
    </row>
    <row r="362" spans="1:5" x14ac:dyDescent="0.3">
      <c r="A362" s="12">
        <v>594913</v>
      </c>
      <c r="B362" s="1" t="str">
        <f>"REMESSA PARA GRAVAÇÃO"</f>
        <v>REMESSA PARA GRAVAÇÃO</v>
      </c>
      <c r="C362" s="1" t="str">
        <f t="shared" si="16"/>
        <v>Saída</v>
      </c>
      <c r="D362" s="1" t="str">
        <f t="shared" si="17"/>
        <v>Ativa</v>
      </c>
      <c r="E362" s="2" t="str">
        <f>""</f>
        <v/>
      </c>
    </row>
    <row r="363" spans="1:5" x14ac:dyDescent="0.3">
      <c r="A363" s="12">
        <v>594914</v>
      </c>
      <c r="B363" s="1" t="str">
        <f>"REMESSA PARA CALIBRAÇÃO"</f>
        <v>REMESSA PARA CALIBRAÇÃO</v>
      </c>
      <c r="C363" s="1" t="str">
        <f t="shared" si="16"/>
        <v>Saída</v>
      </c>
      <c r="D363" s="1" t="str">
        <f t="shared" si="17"/>
        <v>Ativa</v>
      </c>
      <c r="E363" s="2" t="str">
        <f>""</f>
        <v/>
      </c>
    </row>
    <row r="364" spans="1:5" x14ac:dyDescent="0.3">
      <c r="A364" s="12">
        <v>594915</v>
      </c>
      <c r="B364" s="1" t="str">
        <f>"RETORNO MERCADORIA ARMAZENGEM"</f>
        <v>RETORNO MERCADORIA ARMAZENGEM</v>
      </c>
      <c r="C364" s="1" t="str">
        <f t="shared" si="16"/>
        <v>Saída</v>
      </c>
      <c r="D364" s="1" t="str">
        <f t="shared" si="17"/>
        <v>Ativa</v>
      </c>
      <c r="E364" s="2" t="str">
        <f>""</f>
        <v/>
      </c>
    </row>
    <row r="365" spans="1:5" x14ac:dyDescent="0.3">
      <c r="A365" s="12">
        <v>594916</v>
      </c>
      <c r="B365" s="1" t="str">
        <f>"REMESSA PARA MOLDE"</f>
        <v>REMESSA PARA MOLDE</v>
      </c>
      <c r="C365" s="1" t="str">
        <f t="shared" si="16"/>
        <v>Saída</v>
      </c>
      <c r="D365" s="1" t="str">
        <f t="shared" si="17"/>
        <v>Ativa</v>
      </c>
      <c r="E365" s="2" t="str">
        <f>""</f>
        <v/>
      </c>
    </row>
    <row r="366" spans="1:5" x14ac:dyDescent="0.3">
      <c r="A366" s="12">
        <v>594922</v>
      </c>
      <c r="B366" s="1" t="str">
        <f>"REMESSA DE EMBALAGENS"</f>
        <v>REMESSA DE EMBALAGENS</v>
      </c>
      <c r="C366" s="1" t="str">
        <f t="shared" si="16"/>
        <v>Saída</v>
      </c>
      <c r="D366" s="1" t="str">
        <f t="shared" si="17"/>
        <v>Ativa</v>
      </c>
      <c r="E366" s="2" t="str">
        <f>""</f>
        <v/>
      </c>
    </row>
    <row r="367" spans="1:5" x14ac:dyDescent="0.3">
      <c r="A367" s="12">
        <v>594923</v>
      </c>
      <c r="B367" s="1" t="str">
        <f>"REMESSA SALVADO SINISTRO"</f>
        <v>REMESSA SALVADO SINISTRO</v>
      </c>
      <c r="C367" s="1" t="str">
        <f t="shared" si="16"/>
        <v>Saída</v>
      </c>
      <c r="D367" s="1" t="str">
        <f t="shared" si="17"/>
        <v>Ativa</v>
      </c>
      <c r="E367" s="2" t="str">
        <f>"Não incidência do ICMS, conforme Artigo"</f>
        <v>Não incidência do ICMS, conforme Artigo</v>
      </c>
    </row>
    <row r="368" spans="1:5" x14ac:dyDescent="0.3">
      <c r="A368" s="12">
        <v>594926</v>
      </c>
      <c r="B368" s="1" t="str">
        <f>"OUTRAS SAIDAS - COMPL ICMS"</f>
        <v>OUTRAS SAIDAS - COMPL ICMS</v>
      </c>
      <c r="C368" s="1" t="str">
        <f t="shared" si="16"/>
        <v>Saída</v>
      </c>
      <c r="D368" s="1" t="str">
        <f t="shared" si="17"/>
        <v>Ativa</v>
      </c>
      <c r="E368" s="2" t="str">
        <f>"Natureza para emitir complemento de IMPO"</f>
        <v>Natureza para emitir complemento de IMPO</v>
      </c>
    </row>
    <row r="369" spans="1:5" x14ac:dyDescent="0.3">
      <c r="A369" s="12">
        <v>594927</v>
      </c>
      <c r="B369" s="1" t="str">
        <f>"OUTRAS SAIDAS - SOMENTE OF"</f>
        <v>OUTRAS SAIDAS - SOMENTE OF</v>
      </c>
      <c r="C369" s="1" t="str">
        <f t="shared" si="16"/>
        <v>Saída</v>
      </c>
      <c r="D369" s="1" t="str">
        <f t="shared" si="17"/>
        <v>Ativa</v>
      </c>
      <c r="E369" s="2" t="str">
        <f>"ATUALIZA SOMENTE OF, SEM CONTABILIZAÇÃO,"</f>
        <v>ATUALIZA SOMENTE OF, SEM CONTABILIZAÇÃO,</v>
      </c>
    </row>
    <row r="370" spans="1:5" x14ac:dyDescent="0.3">
      <c r="A370" s="12">
        <v>594928</v>
      </c>
      <c r="B370" s="1" t="str">
        <f>"OUTRAS SAIDAS - BAIXA PARA SUCATA"</f>
        <v>OUTRAS SAIDAS - BAIXA PARA SUCATA</v>
      </c>
      <c r="C370" s="1" t="str">
        <f t="shared" si="16"/>
        <v>Saída</v>
      </c>
      <c r="D370" s="1" t="str">
        <f t="shared" si="17"/>
        <v>Ativa</v>
      </c>
      <c r="E370" s="2" t="str">
        <f>"BAIXA PARA SUCATA DOS ITENS DO DEPOSITO"</f>
        <v>BAIXA PARA SUCATA DOS ITENS DO DEPOSITO</v>
      </c>
    </row>
    <row r="371" spans="1:5" x14ac:dyDescent="0.3">
      <c r="A371" s="12">
        <v>594929</v>
      </c>
      <c r="B371" s="1" t="str">
        <f>"OUTRAS SAIDAS INVENTARIO ICMS"</f>
        <v>OUTRAS SAIDAS INVENTARIO ICMS</v>
      </c>
      <c r="C371" s="1" t="str">
        <f t="shared" si="16"/>
        <v>Saída</v>
      </c>
      <c r="D371" s="1" t="str">
        <f t="shared" si="17"/>
        <v>Ativa</v>
      </c>
      <c r="E371" s="2" t="str">
        <f>"GERA OF, GERA FAT.  NATUREZA SOMENTE PAR"</f>
        <v>GERA OF, GERA FAT.  NATUREZA SOMENTE PAR</v>
      </c>
    </row>
    <row r="372" spans="1:5" x14ac:dyDescent="0.3">
      <c r="A372" s="12">
        <v>594930</v>
      </c>
      <c r="B372" s="1" t="str">
        <f>"OUTRAS SAIDAS"</f>
        <v>OUTRAS SAIDAS</v>
      </c>
      <c r="C372" s="1" t="str">
        <f t="shared" si="16"/>
        <v>Saída</v>
      </c>
      <c r="D372" s="1" t="str">
        <f t="shared" si="17"/>
        <v>Ativa</v>
      </c>
      <c r="E372" s="2" t="str">
        <f>"Natureza para emitir complemento de IMPO"</f>
        <v>Natureza para emitir complemento de IMPO</v>
      </c>
    </row>
    <row r="373" spans="1:5" x14ac:dyDescent="0.3">
      <c r="A373" s="12">
        <v>594931</v>
      </c>
      <c r="B373" s="1" t="str">
        <f>"REMESSA DE MERC. PARA TESTE C/RETOR"</f>
        <v>REMESSA DE MERC. PARA TESTE C/RETOR</v>
      </c>
      <c r="C373" s="1" t="str">
        <f t="shared" si="16"/>
        <v>Saída</v>
      </c>
      <c r="D373" s="1" t="str">
        <f t="shared" si="17"/>
        <v>Ativa</v>
      </c>
      <c r="E373" s="2" t="str">
        <f>"MATERIAL ENVIADO PARA O CLIENTE COMO AMO"</f>
        <v>MATERIAL ENVIADO PARA O CLIENTE COMO AMO</v>
      </c>
    </row>
    <row r="374" spans="1:5" x14ac:dyDescent="0.3">
      <c r="A374" s="12">
        <v>594932</v>
      </c>
      <c r="B374" s="1" t="str">
        <f>"OUTRAS SAIDAS - CONTENTORES"</f>
        <v>OUTRAS SAIDAS - CONTENTORES</v>
      </c>
      <c r="C374" s="1" t="str">
        <f t="shared" si="16"/>
        <v>Saída</v>
      </c>
      <c r="D374" s="1" t="str">
        <f t="shared" si="17"/>
        <v>Ativa</v>
      </c>
      <c r="E374" s="2" t="str">
        <f>"NATUREZA CRIADA - PARA REVENDA DE MATERI"</f>
        <v>NATUREZA CRIADA - PARA REVENDA DE MATERI</v>
      </c>
    </row>
    <row r="375" spans="1:5" x14ac:dyDescent="0.3">
      <c r="A375" s="12">
        <v>594933</v>
      </c>
      <c r="B375" s="1" t="str">
        <f>"BAIXA ATIVO IMOBILIZADO PARA SUCATA"</f>
        <v>BAIXA ATIVO IMOBILIZADO PARA SUCATA</v>
      </c>
      <c r="C375" s="1" t="str">
        <f t="shared" si="16"/>
        <v>Saída</v>
      </c>
      <c r="D375" s="1" t="str">
        <f t="shared" si="17"/>
        <v>Ativa</v>
      </c>
      <c r="E375" s="2" t="str">
        <f>"SEM FINANCEIRO SEM IMPOSTOS Baixa de mat"</f>
        <v>SEM FINANCEIRO SEM IMPOSTOS Baixa de mat</v>
      </c>
    </row>
    <row r="376" spans="1:5" x14ac:dyDescent="0.3">
      <c r="A376" s="12">
        <v>594934</v>
      </c>
      <c r="B376" s="1" t="str">
        <f>"BAIXA ATIVO IMOBILIZADO PARA SUCATA"</f>
        <v>BAIXA ATIVO IMOBILIZADO PARA SUCATA</v>
      </c>
      <c r="C376" s="1" t="str">
        <f t="shared" si="16"/>
        <v>Saída</v>
      </c>
      <c r="D376" s="1" t="str">
        <f t="shared" si="17"/>
        <v>Ativa</v>
      </c>
      <c r="E376" s="2" t="str">
        <f>"SEM FINANCEIRO SEM IMPOSTOS Baixa de mat"</f>
        <v>SEM FINANCEIRO SEM IMPOSTOS Baixa de mat</v>
      </c>
    </row>
    <row r="377" spans="1:5" x14ac:dyDescent="0.3">
      <c r="A377" s="12">
        <v>594935</v>
      </c>
      <c r="B377" s="1" t="str">
        <f>"VENDA MAT USO CONSUMO"</f>
        <v>VENDA MAT USO CONSUMO</v>
      </c>
      <c r="C377" s="1" t="str">
        <f t="shared" si="16"/>
        <v>Saída</v>
      </c>
      <c r="D377" s="1" t="str">
        <f t="shared" si="17"/>
        <v>Ativa</v>
      </c>
      <c r="E377" s="2" t="str">
        <f>"C/ DUPLICATA - COM IMPOSTOS b  VENDA DE"</f>
        <v>C/ DUPLICATA - COM IMPOSTOS b  VENDA DE</v>
      </c>
    </row>
    <row r="378" spans="1:5" x14ac:dyDescent="0.3">
      <c r="A378" s="12">
        <v>594936</v>
      </c>
      <c r="B378" s="1" t="str">
        <f>"OUTRAS SAIDAS DIVERSAS"</f>
        <v>OUTRAS SAIDAS DIVERSAS</v>
      </c>
      <c r="C378" s="1" t="str">
        <f t="shared" si="16"/>
        <v>Saída</v>
      </c>
      <c r="D378" s="1" t="str">
        <f t="shared" si="17"/>
        <v>Ativa</v>
      </c>
      <c r="E378" s="2" t="str">
        <f>"CFOP utilizada para realizar DEVOLUÇÃO D"</f>
        <v>CFOP utilizada para realizar DEVOLUÇÃO D</v>
      </c>
    </row>
    <row r="379" spans="1:5" x14ac:dyDescent="0.3">
      <c r="A379" s="12">
        <v>594937</v>
      </c>
      <c r="B379" s="1" t="str">
        <f>"OUTRAS SAIDAS DIVERSAS"</f>
        <v>OUTRAS SAIDAS DIVERSAS</v>
      </c>
      <c r="C379" s="1" t="str">
        <f t="shared" si="16"/>
        <v>Saída</v>
      </c>
      <c r="D379" s="1" t="str">
        <f t="shared" si="17"/>
        <v>Ativa</v>
      </c>
      <c r="E379" s="2" t="str">
        <f>"CFOP utilizada para realizar Outras Said"</f>
        <v>CFOP utilizada para realizar Outras Said</v>
      </c>
    </row>
    <row r="380" spans="1:5" x14ac:dyDescent="0.3">
      <c r="A380" s="12">
        <v>594999</v>
      </c>
      <c r="B380" s="1" t="str">
        <f>"RETORNO DE MERCADORIA EMPRESTIMO"</f>
        <v>RETORNO DE MERCADORIA EMPRESTIMO</v>
      </c>
      <c r="C380" s="1" t="str">
        <f t="shared" si="16"/>
        <v>Saída</v>
      </c>
      <c r="D380" s="1" t="str">
        <f t="shared" si="17"/>
        <v>Ativa</v>
      </c>
      <c r="E380" s="2" t="str">
        <f>""</f>
        <v/>
      </c>
    </row>
    <row r="381" spans="1:5" x14ac:dyDescent="0.3">
      <c r="A381" s="12">
        <v>610101</v>
      </c>
      <c r="B381" s="1" t="str">
        <f>"VENDA PRODUÇÃO"</f>
        <v>VENDA PRODUÇÃO</v>
      </c>
      <c r="C381" s="1" t="str">
        <f t="shared" si="16"/>
        <v>Saída</v>
      </c>
      <c r="D381" s="1" t="str">
        <f t="shared" si="17"/>
        <v>Ativa</v>
      </c>
      <c r="E381" s="2" t="str">
        <f>"GERA CE,CR,OF,CT,ESTATISTICA"</f>
        <v>GERA CE,CR,OF,CT,ESTATISTICA</v>
      </c>
    </row>
    <row r="382" spans="1:5" x14ac:dyDescent="0.3">
      <c r="A382" s="12">
        <v>610102</v>
      </c>
      <c r="B382" s="1" t="str">
        <f>"VENDA PRODUÇÃO - QUALIDADE B"</f>
        <v>VENDA PRODUÇÃO - QUALIDADE B</v>
      </c>
      <c r="C382" s="1" t="str">
        <f t="shared" si="16"/>
        <v>Saída</v>
      </c>
      <c r="D382" s="1" t="str">
        <f t="shared" si="17"/>
        <v>Ativa</v>
      </c>
      <c r="E382" s="2" t="str">
        <f>"GERA CE,CR,OF,CT,ESTATISTICA"</f>
        <v>GERA CE,CR,OF,CT,ESTATISTICA</v>
      </c>
    </row>
    <row r="383" spans="1:5" x14ac:dyDescent="0.3">
      <c r="A383" s="12">
        <v>610103</v>
      </c>
      <c r="B383" s="1" t="str">
        <f>"VENDA PRODUÇÃO - PREP EXPORTADOR"</f>
        <v>VENDA PRODUÇÃO - PREP EXPORTADOR</v>
      </c>
      <c r="C383" s="1" t="str">
        <f t="shared" si="16"/>
        <v>Saída</v>
      </c>
      <c r="D383" s="1" t="str">
        <f t="shared" si="17"/>
        <v>Ativa</v>
      </c>
      <c r="E383" s="2" t="str">
        <f>"TERMO ACORDO TAFISA - GERA CE,CR,OF,CT,E"</f>
        <v>TERMO ACORDO TAFISA - GERA CE,CR,OF,CT,E</v>
      </c>
    </row>
    <row r="384" spans="1:5" x14ac:dyDescent="0.3">
      <c r="A384" s="12">
        <v>610104</v>
      </c>
      <c r="B384" s="1" t="str">
        <f>"VENDA PRODUÇÃO"</f>
        <v>VENDA PRODUÇÃO</v>
      </c>
      <c r="C384" s="1" t="str">
        <f t="shared" si="16"/>
        <v>Saída</v>
      </c>
      <c r="D384" s="1" t="str">
        <f t="shared" si="17"/>
        <v>Ativa</v>
      </c>
      <c r="E384" s="2" t="str">
        <f>"GERA CE,CR,OF,CT,ESTATISTICA"</f>
        <v>GERA CE,CR,OF,CT,ESTATISTICA</v>
      </c>
    </row>
    <row r="385" spans="1:5" x14ac:dyDescent="0.3">
      <c r="A385" s="12">
        <v>610160</v>
      </c>
      <c r="B385" s="1" t="str">
        <f>"VENDA PRODUÇÃO"</f>
        <v>VENDA PRODUÇÃO</v>
      </c>
      <c r="C385" s="1" t="str">
        <f t="shared" si="16"/>
        <v>Saída</v>
      </c>
      <c r="D385" s="1" t="str">
        <f t="shared" si="17"/>
        <v>Ativa</v>
      </c>
      <c r="E385" s="2" t="str">
        <f>"GERA CE,CR,OF,CT,ESTATISTICA"</f>
        <v>GERA CE,CR,OF,CT,ESTATISTICA</v>
      </c>
    </row>
    <row r="386" spans="1:5" x14ac:dyDescent="0.3">
      <c r="A386" s="12">
        <v>610161</v>
      </c>
      <c r="B386" s="1" t="str">
        <f>"VENDA PRODUÇÃO - COMPL ICMS"</f>
        <v>VENDA PRODUÇÃO - COMPL ICMS</v>
      </c>
      <c r="C386" s="1" t="str">
        <f t="shared" ref="C386:C449" si="18">"Saída"</f>
        <v>Saída</v>
      </c>
      <c r="D386" s="1" t="str">
        <f t="shared" ref="D386:D449" si="19">"Ativa"</f>
        <v>Ativa</v>
      </c>
      <c r="E386" s="2" t="str">
        <f>"NATUREZA DE MODELO PARA EMITIR NOTAS FIS"</f>
        <v>NATUREZA DE MODELO PARA EMITIR NOTAS FIS</v>
      </c>
    </row>
    <row r="387" spans="1:5" x14ac:dyDescent="0.3">
      <c r="A387" s="12">
        <v>610165</v>
      </c>
      <c r="B387" s="1" t="str">
        <f>"VENDA PRODUÇÃO"</f>
        <v>VENDA PRODUÇÃO</v>
      </c>
      <c r="C387" s="1" t="str">
        <f t="shared" si="18"/>
        <v>Saída</v>
      </c>
      <c r="D387" s="1" t="str">
        <f t="shared" si="19"/>
        <v>Ativa</v>
      </c>
      <c r="E387" s="2" t="str">
        <f t="shared" ref="E387:E392" si="20">"GERA CE,CR,OF,CT,ESTATISTICA"</f>
        <v>GERA CE,CR,OF,CT,ESTATISTICA</v>
      </c>
    </row>
    <row r="388" spans="1:5" x14ac:dyDescent="0.3">
      <c r="A388" s="12">
        <v>610201</v>
      </c>
      <c r="B388" s="1" t="str">
        <f>"VENDA MERC.ADQ.TERC."</f>
        <v>VENDA MERC.ADQ.TERC.</v>
      </c>
      <c r="C388" s="1" t="str">
        <f t="shared" si="18"/>
        <v>Saída</v>
      </c>
      <c r="D388" s="1" t="str">
        <f t="shared" si="19"/>
        <v>Ativa</v>
      </c>
      <c r="E388" s="2" t="str">
        <f t="shared" si="20"/>
        <v>GERA CE,CR,OF,CT,ESTATISTICA</v>
      </c>
    </row>
    <row r="389" spans="1:5" x14ac:dyDescent="0.3">
      <c r="A389" s="12">
        <v>610202</v>
      </c>
      <c r="B389" s="1" t="str">
        <f>"VENDA MERC.ADQ.TERC."</f>
        <v>VENDA MERC.ADQ.TERC.</v>
      </c>
      <c r="C389" s="1" t="str">
        <f t="shared" si="18"/>
        <v>Saída</v>
      </c>
      <c r="D389" s="1" t="str">
        <f t="shared" si="19"/>
        <v>Ativa</v>
      </c>
      <c r="E389" s="2" t="str">
        <f t="shared" si="20"/>
        <v>GERA CE,CR,OF,CT,ESTATISTICA</v>
      </c>
    </row>
    <row r="390" spans="1:5" x14ac:dyDescent="0.3">
      <c r="A390" s="12">
        <v>611601</v>
      </c>
      <c r="B390" s="1" t="str">
        <f>"REMESSA PROD ORIG ENCOM ENTR FUTURA"</f>
        <v>REMESSA PROD ORIG ENCOM ENTR FUTURA</v>
      </c>
      <c r="C390" s="1" t="str">
        <f t="shared" si="18"/>
        <v>Saída</v>
      </c>
      <c r="D390" s="1" t="str">
        <f t="shared" si="19"/>
        <v>Ativa</v>
      </c>
      <c r="E390" s="2" t="str">
        <f t="shared" si="20"/>
        <v>GERA CE,CR,OF,CT,ESTATISTICA</v>
      </c>
    </row>
    <row r="391" spans="1:5" x14ac:dyDescent="0.3">
      <c r="A391" s="12">
        <v>611602</v>
      </c>
      <c r="B391" s="1" t="str">
        <f>"REMESSA PROD ORIG ENCOM ENTR FUTURA"</f>
        <v>REMESSA PROD ORIG ENCOM ENTR FUTURA</v>
      </c>
      <c r="C391" s="1" t="str">
        <f t="shared" si="18"/>
        <v>Saída</v>
      </c>
      <c r="D391" s="1" t="str">
        <f t="shared" si="19"/>
        <v>Ativa</v>
      </c>
      <c r="E391" s="2" t="str">
        <f t="shared" si="20"/>
        <v>GERA CE,CR,OF,CT,ESTATISTICA</v>
      </c>
    </row>
    <row r="392" spans="1:5" x14ac:dyDescent="0.3">
      <c r="A392" s="12">
        <v>612201</v>
      </c>
      <c r="B392" s="1" t="str">
        <f>"VDA PROD REM P/IND POR CONTA ORDEM"</f>
        <v>VDA PROD REM P/IND POR CONTA ORDEM</v>
      </c>
      <c r="C392" s="1" t="str">
        <f t="shared" si="18"/>
        <v>Saída</v>
      </c>
      <c r="D392" s="1" t="str">
        <f t="shared" si="19"/>
        <v>Ativa</v>
      </c>
      <c r="E392" s="2" t="str">
        <f t="shared" si="20"/>
        <v>GERA CE,CR,OF,CT,ESTATISTICA</v>
      </c>
    </row>
    <row r="393" spans="1:5" x14ac:dyDescent="0.3">
      <c r="A393" s="12">
        <v>612202</v>
      </c>
      <c r="B393" s="1" t="str">
        <f>"VDA PROD REM P/IND POR CONTA ORDEM"</f>
        <v>VDA PROD REM P/IND POR CONTA ORDEM</v>
      </c>
      <c r="C393" s="1" t="str">
        <f t="shared" si="18"/>
        <v>Saída</v>
      </c>
      <c r="D393" s="1" t="str">
        <f t="shared" si="19"/>
        <v>Ativa</v>
      </c>
      <c r="E393" s="2" t="str">
        <f>"GERA CE,CR,OF,CT,ESTATISTICA, GERA NOTA"</f>
        <v>GERA CE,CR,OF,CT,ESTATISTICA, GERA NOTA</v>
      </c>
    </row>
    <row r="394" spans="1:5" x14ac:dyDescent="0.3">
      <c r="A394" s="12">
        <v>612260</v>
      </c>
      <c r="B394" s="1" t="str">
        <f>"VDA PROD REM P/IND CONTA ORDEM"</f>
        <v>VDA PROD REM P/IND CONTA ORDEM</v>
      </c>
      <c r="C394" s="1" t="str">
        <f t="shared" si="18"/>
        <v>Saída</v>
      </c>
      <c r="D394" s="1" t="str">
        <f t="shared" si="19"/>
        <v>Ativa</v>
      </c>
      <c r="E394" s="2" t="str">
        <f>"GERA CE,CR,OF,CT,ESTATISTICA"</f>
        <v>GERA CE,CR,OF,CT,ESTATISTICA</v>
      </c>
    </row>
    <row r="395" spans="1:5" x14ac:dyDescent="0.3">
      <c r="A395" s="12">
        <v>612261</v>
      </c>
      <c r="B395" s="1" t="str">
        <f>"VDA PROD REM P/IND POR CONTA ORDEM"</f>
        <v>VDA PROD REM P/IND POR CONTA ORDEM</v>
      </c>
      <c r="C395" s="1" t="str">
        <f t="shared" si="18"/>
        <v>Saída</v>
      </c>
      <c r="D395" s="1" t="str">
        <f t="shared" si="19"/>
        <v>Ativa</v>
      </c>
      <c r="E395" s="2" t="str">
        <f>"GERA CE,CR,OF,CT,ESTATISTICA GERA NOTA D"</f>
        <v>GERA CE,CR,OF,CT,ESTATISTICA GERA NOTA D</v>
      </c>
    </row>
    <row r="396" spans="1:5" x14ac:dyDescent="0.3">
      <c r="A396" s="12">
        <v>612266</v>
      </c>
      <c r="B396" s="1" t="str">
        <f>"VDA PROD REM P/IND CONTA ORDEM"</f>
        <v>VDA PROD REM P/IND CONTA ORDEM</v>
      </c>
      <c r="C396" s="1" t="str">
        <f t="shared" si="18"/>
        <v>Saída</v>
      </c>
      <c r="D396" s="1" t="str">
        <f t="shared" si="19"/>
        <v>Ativa</v>
      </c>
      <c r="E396" s="2" t="str">
        <f>"GERA CE,CR,OF,CT,ESTATISTICA NATUREZA DE"</f>
        <v>GERA CE,CR,OF,CT,ESTATISTICA NATUREZA DE</v>
      </c>
    </row>
    <row r="397" spans="1:5" x14ac:dyDescent="0.3">
      <c r="A397" s="12">
        <v>612301</v>
      </c>
      <c r="B397" s="1" t="str">
        <f>"VENDA MERC ADQ REC TER"</f>
        <v>VENDA MERC ADQ REC TER</v>
      </c>
      <c r="C397" s="1" t="str">
        <f t="shared" si="18"/>
        <v>Saída</v>
      </c>
      <c r="D397" s="1" t="str">
        <f t="shared" si="19"/>
        <v>Ativa</v>
      </c>
      <c r="E397" s="2" t="str">
        <f>"GERA CE,CR,OF,CT,ESTATISTICA - ICMS COM"</f>
        <v>GERA CE,CR,OF,CT,ESTATISTICA - ICMS COM</v>
      </c>
    </row>
    <row r="398" spans="1:5" x14ac:dyDescent="0.3">
      <c r="A398" s="12">
        <v>612401</v>
      </c>
      <c r="B398" s="1" t="str">
        <f>"INDUSTRIALIZAÇÃO"</f>
        <v>INDUSTRIALIZAÇÃO</v>
      </c>
      <c r="C398" s="1" t="str">
        <f t="shared" si="18"/>
        <v>Saída</v>
      </c>
      <c r="D398" s="1" t="str">
        <f t="shared" si="19"/>
        <v>Ativa</v>
      </c>
      <c r="E398" s="2" t="str">
        <f>"GERA CE,CR,OF,CT,ESTATISTICA"</f>
        <v>GERA CE,CR,OF,CT,ESTATISTICA</v>
      </c>
    </row>
    <row r="399" spans="1:5" x14ac:dyDescent="0.3">
      <c r="A399" s="12">
        <v>612501</v>
      </c>
      <c r="B399" s="1" t="str">
        <f>"INDUSTRIALIZAÇÃO"</f>
        <v>INDUSTRIALIZAÇÃO</v>
      </c>
      <c r="C399" s="1" t="str">
        <f t="shared" si="18"/>
        <v>Saída</v>
      </c>
      <c r="D399" s="1" t="str">
        <f t="shared" si="19"/>
        <v>Ativa</v>
      </c>
      <c r="E399" s="2" t="str">
        <f>"GERA CE,CR,OF,CT,ESTATISTICA"</f>
        <v>GERA CE,CR,OF,CT,ESTATISTICA</v>
      </c>
    </row>
    <row r="400" spans="1:5" x14ac:dyDescent="0.3">
      <c r="A400" s="12">
        <v>620101</v>
      </c>
      <c r="B400" s="1" t="str">
        <f>"DEV. DE COMPRAS INDUSTRIALIZAÇÃO"</f>
        <v>DEV. DE COMPRAS INDUSTRIALIZAÇÃO</v>
      </c>
      <c r="C400" s="1" t="str">
        <f t="shared" si="18"/>
        <v>Saída</v>
      </c>
      <c r="D400" s="1" t="str">
        <f t="shared" si="19"/>
        <v>Ativa</v>
      </c>
      <c r="E400" s="2" t="str">
        <f>"BAIXA CE, GERA OF"</f>
        <v>BAIXA CE, GERA OF</v>
      </c>
    </row>
    <row r="401" spans="1:5" x14ac:dyDescent="0.3">
      <c r="A401" s="12">
        <v>620102</v>
      </c>
      <c r="B401" s="1" t="str">
        <f>"DEV. DE COMPRAS INDUSTRIALIZAÇÃO"</f>
        <v>DEV. DE COMPRAS INDUSTRIALIZAÇÃO</v>
      </c>
      <c r="C401" s="1" t="str">
        <f t="shared" si="18"/>
        <v>Saída</v>
      </c>
      <c r="D401" s="1" t="str">
        <f t="shared" si="19"/>
        <v>Ativa</v>
      </c>
      <c r="E401" s="2" t="str">
        <f>"BAIXA CE, GERA OF"</f>
        <v>BAIXA CE, GERA OF</v>
      </c>
    </row>
    <row r="402" spans="1:5" x14ac:dyDescent="0.3">
      <c r="A402" s="12">
        <v>620103</v>
      </c>
      <c r="B402" s="1" t="str">
        <f>"DEV. DE COMPRAS INDUSTRIALIZAÇÃO"</f>
        <v>DEV. DE COMPRAS INDUSTRIALIZAÇÃO</v>
      </c>
      <c r="C402" s="1" t="str">
        <f t="shared" si="18"/>
        <v>Saída</v>
      </c>
      <c r="D402" s="1" t="str">
        <f t="shared" si="19"/>
        <v>Ativa</v>
      </c>
      <c r="E402" s="2" t="str">
        <f>"BAIXA CE, GERA OF"</f>
        <v>BAIXA CE, GERA OF</v>
      </c>
    </row>
    <row r="403" spans="1:5" x14ac:dyDescent="0.3">
      <c r="A403" s="12">
        <v>625101</v>
      </c>
      <c r="B403" s="1" t="str">
        <f>"CESSÃO DE ENERGIA ELETRICA"</f>
        <v>CESSÃO DE ENERGIA ELETRICA</v>
      </c>
      <c r="C403" s="1" t="str">
        <f t="shared" si="18"/>
        <v>Saída</v>
      </c>
      <c r="D403" s="1" t="str">
        <f t="shared" si="19"/>
        <v>Ativa</v>
      </c>
      <c r="E403" s="2" t="str">
        <f>"GERA CE,CR,OF,CT,ESTATISTICA,  CFOP CRIA"</f>
        <v>GERA CE,CR,OF,CT,ESTATISTICA,  CFOP CRIA</v>
      </c>
    </row>
    <row r="404" spans="1:5" x14ac:dyDescent="0.3">
      <c r="A404" s="12">
        <v>641201</v>
      </c>
      <c r="B404" s="1" t="str">
        <f>"DEV. DE COMPRAS DE BEM ATIVO IMOBIL"</f>
        <v>DEV. DE COMPRAS DE BEM ATIVO IMOBIL</v>
      </c>
      <c r="C404" s="1" t="str">
        <f t="shared" si="18"/>
        <v>Saída</v>
      </c>
      <c r="D404" s="1" t="str">
        <f t="shared" si="19"/>
        <v>Ativa</v>
      </c>
      <c r="E404" s="2" t="str">
        <f>"GERA OF"</f>
        <v>GERA OF</v>
      </c>
    </row>
    <row r="405" spans="1:5" x14ac:dyDescent="0.3">
      <c r="A405" s="12">
        <v>641301</v>
      </c>
      <c r="B405" s="1" t="str">
        <f>"DEV COMPRA MAT.USO CONSUMO SUBS TRI"</f>
        <v>DEV COMPRA MAT.USO CONSUMO SUBS TRI</v>
      </c>
      <c r="C405" s="1" t="str">
        <f t="shared" si="18"/>
        <v>Saída</v>
      </c>
      <c r="D405" s="1" t="str">
        <f t="shared" si="19"/>
        <v>Ativa</v>
      </c>
      <c r="E405" s="2" t="str">
        <f>"BAIXA CE, GERA OF"</f>
        <v>BAIXA CE, GERA OF</v>
      </c>
    </row>
    <row r="406" spans="1:5" x14ac:dyDescent="0.3">
      <c r="A406" s="12">
        <v>655101</v>
      </c>
      <c r="B406" s="1" t="str">
        <f>"VENDA BEM ATIVO PERMANENTE"</f>
        <v>VENDA BEM ATIVO PERMANENTE</v>
      </c>
      <c r="C406" s="1" t="str">
        <f t="shared" si="18"/>
        <v>Saída</v>
      </c>
      <c r="D406" s="1" t="str">
        <f t="shared" si="19"/>
        <v>Ativa</v>
      </c>
      <c r="E406" s="2" t="str">
        <f>"BAIXA CE, GERA OF"</f>
        <v>BAIXA CE, GERA OF</v>
      </c>
    </row>
    <row r="407" spans="1:5" x14ac:dyDescent="0.3">
      <c r="A407" s="12">
        <v>655301</v>
      </c>
      <c r="B407" s="1" t="str">
        <f>"DEV. DE COMPRAS DE BEM ATIVO IMOBIL"</f>
        <v>DEV. DE COMPRAS DE BEM ATIVO IMOBIL</v>
      </c>
      <c r="C407" s="1" t="str">
        <f t="shared" si="18"/>
        <v>Saída</v>
      </c>
      <c r="D407" s="1" t="str">
        <f t="shared" si="19"/>
        <v>Ativa</v>
      </c>
      <c r="E407" s="2" t="str">
        <f>"GERA OF"</f>
        <v>GERA OF</v>
      </c>
    </row>
    <row r="408" spans="1:5" x14ac:dyDescent="0.3">
      <c r="A408" s="12">
        <v>655401</v>
      </c>
      <c r="B408" s="1" t="str">
        <f>"REMESSA BEM PARA USO EXTERNO"</f>
        <v>REMESSA BEM PARA USO EXTERNO</v>
      </c>
      <c r="C408" s="1" t="str">
        <f t="shared" si="18"/>
        <v>Saída</v>
      </c>
      <c r="D408" s="1" t="str">
        <f t="shared" si="19"/>
        <v>Ativa</v>
      </c>
      <c r="E408" s="2" t="str">
        <f>""</f>
        <v/>
      </c>
    </row>
    <row r="409" spans="1:5" x14ac:dyDescent="0.3">
      <c r="A409" s="12">
        <v>655501</v>
      </c>
      <c r="B409" s="1" t="str">
        <f>"DEV. DE COMPRAS ATIVO IMOBILIZADO"</f>
        <v>DEV. DE COMPRAS ATIVO IMOBILIZADO</v>
      </c>
      <c r="C409" s="1" t="str">
        <f t="shared" si="18"/>
        <v>Saída</v>
      </c>
      <c r="D409" s="1" t="str">
        <f t="shared" si="19"/>
        <v>Ativa</v>
      </c>
      <c r="E409" s="2" t="str">
        <f>"BAIXA CE, GERA OF"</f>
        <v>BAIXA CE, GERA OF</v>
      </c>
    </row>
    <row r="410" spans="1:5" x14ac:dyDescent="0.3">
      <c r="A410" s="12">
        <v>655502</v>
      </c>
      <c r="B410" s="1" t="str">
        <f>"DEV. DE COMPRAS ATIVO IMOBILIZADO"</f>
        <v>DEV. DE COMPRAS ATIVO IMOBILIZADO</v>
      </c>
      <c r="C410" s="1" t="str">
        <f t="shared" si="18"/>
        <v>Saída</v>
      </c>
      <c r="D410" s="1" t="str">
        <f t="shared" si="19"/>
        <v>Ativa</v>
      </c>
      <c r="E410" s="2" t="str">
        <f>"BAIXA CE, GERA OF"</f>
        <v>BAIXA CE, GERA OF</v>
      </c>
    </row>
    <row r="411" spans="1:5" x14ac:dyDescent="0.3">
      <c r="A411" s="12">
        <v>655601</v>
      </c>
      <c r="B411" s="1" t="str">
        <f>"DEV. DE COMPRAS MAT.USO CONSUMO"</f>
        <v>DEV. DE COMPRAS MAT.USO CONSUMO</v>
      </c>
      <c r="C411" s="1" t="str">
        <f t="shared" si="18"/>
        <v>Saída</v>
      </c>
      <c r="D411" s="1" t="str">
        <f t="shared" si="19"/>
        <v>Ativa</v>
      </c>
      <c r="E411" s="2" t="str">
        <f>"BAIXA CE, GERA OF"</f>
        <v>BAIXA CE, GERA OF</v>
      </c>
    </row>
    <row r="412" spans="1:5" x14ac:dyDescent="0.3">
      <c r="A412" s="12">
        <v>655604</v>
      </c>
      <c r="B412" s="1" t="str">
        <f>"DEVOLUÇÃO DE COMPRA"</f>
        <v>DEVOLUÇÃO DE COMPRA</v>
      </c>
      <c r="C412" s="1" t="str">
        <f t="shared" si="18"/>
        <v>Saída</v>
      </c>
      <c r="D412" s="1" t="str">
        <f t="shared" si="19"/>
        <v>Ativa</v>
      </c>
      <c r="E412" s="2" t="str">
        <f>"GERA OF, GERA FAT."</f>
        <v>GERA OF, GERA FAT.</v>
      </c>
    </row>
    <row r="413" spans="1:5" x14ac:dyDescent="0.3">
      <c r="A413" s="12">
        <v>690101</v>
      </c>
      <c r="B413" s="1" t="str">
        <f>"REMESSA P/INDUSTRIALIZAÇÃO"</f>
        <v>REMESSA P/INDUSTRIALIZAÇÃO</v>
      </c>
      <c r="C413" s="1" t="str">
        <f t="shared" si="18"/>
        <v>Saída</v>
      </c>
      <c r="D413" s="1" t="str">
        <f t="shared" si="19"/>
        <v>Ativa</v>
      </c>
      <c r="E413" s="2" t="str">
        <f>""</f>
        <v/>
      </c>
    </row>
    <row r="414" spans="1:5" x14ac:dyDescent="0.3">
      <c r="A414" s="12">
        <v>690201</v>
      </c>
      <c r="B414" s="1" t="str">
        <f t="shared" ref="B414:B421" si="21">"RETORNO DE INDUSTRIALIZAÇÃO"</f>
        <v>RETORNO DE INDUSTRIALIZAÇÃO</v>
      </c>
      <c r="C414" s="1" t="str">
        <f t="shared" si="18"/>
        <v>Saída</v>
      </c>
      <c r="D414" s="1" t="str">
        <f t="shared" si="19"/>
        <v>Ativa</v>
      </c>
      <c r="E414" s="2" t="str">
        <f>"ICMS SUSPENSO CFE ART. 272 INC I DECRTO"</f>
        <v>ICMS SUSPENSO CFE ART. 272 INC I DECRTO</v>
      </c>
    </row>
    <row r="415" spans="1:5" x14ac:dyDescent="0.3">
      <c r="A415" s="12">
        <v>690203</v>
      </c>
      <c r="B415" s="1" t="str">
        <f t="shared" si="21"/>
        <v>RETORNO DE INDUSTRIALIZAÇÃO</v>
      </c>
      <c r="C415" s="1" t="str">
        <f t="shared" si="18"/>
        <v>Saída</v>
      </c>
      <c r="D415" s="1" t="str">
        <f t="shared" si="19"/>
        <v>Ativa</v>
      </c>
      <c r="E415" s="2" t="str">
        <f>"ICMS SUSPENSO CFE ART. 272 INC I DECRTO"</f>
        <v>ICMS SUSPENSO CFE ART. 272 INC I DECRTO</v>
      </c>
    </row>
    <row r="416" spans="1:5" x14ac:dyDescent="0.3">
      <c r="A416" s="12">
        <v>690204</v>
      </c>
      <c r="B416" s="1" t="str">
        <f t="shared" si="21"/>
        <v>RETORNO DE INDUSTRIALIZAÇÃO</v>
      </c>
      <c r="C416" s="1" t="str">
        <f t="shared" si="18"/>
        <v>Saída</v>
      </c>
      <c r="D416" s="1" t="str">
        <f t="shared" si="19"/>
        <v>Ativa</v>
      </c>
      <c r="E416" s="2" t="str">
        <f>"ICMS SUSPENSO CFE ART. 272 INC I DECRTO"</f>
        <v>ICMS SUSPENSO CFE ART. 272 INC I DECRTO</v>
      </c>
    </row>
    <row r="417" spans="1:5" x14ac:dyDescent="0.3">
      <c r="A417" s="12">
        <v>690205</v>
      </c>
      <c r="B417" s="1" t="str">
        <f t="shared" si="21"/>
        <v>RETORNO DE INDUSTRIALIZAÇÃO</v>
      </c>
      <c r="C417" s="1" t="str">
        <f t="shared" si="18"/>
        <v>Saída</v>
      </c>
      <c r="D417" s="1" t="str">
        <f t="shared" si="19"/>
        <v>Ativa</v>
      </c>
      <c r="E417" s="2" t="str">
        <f>"ICMS SUSPENSO CFE ART. 272 INC I DECRTO"</f>
        <v>ICMS SUSPENSO CFE ART. 272 INC I DECRTO</v>
      </c>
    </row>
    <row r="418" spans="1:5" x14ac:dyDescent="0.3">
      <c r="A418" s="12">
        <v>690301</v>
      </c>
      <c r="B418" s="1" t="str">
        <f t="shared" si="21"/>
        <v>RETORNO DE INDUSTRIALIZAÇÃO</v>
      </c>
      <c r="C418" s="1" t="str">
        <f t="shared" si="18"/>
        <v>Saída</v>
      </c>
      <c r="D418" s="1" t="str">
        <f t="shared" si="19"/>
        <v>Ativa</v>
      </c>
      <c r="E418" s="2" t="str">
        <f>"ICMS SUSPENSO CFE ANEXO VIII ART 2 DO DE"</f>
        <v>ICMS SUSPENSO CFE ANEXO VIII ART 2 DO DE</v>
      </c>
    </row>
    <row r="419" spans="1:5" x14ac:dyDescent="0.3">
      <c r="A419" s="12">
        <v>690302</v>
      </c>
      <c r="B419" s="1" t="str">
        <f t="shared" si="21"/>
        <v>RETORNO DE INDUSTRIALIZAÇÃO</v>
      </c>
      <c r="C419" s="1" t="str">
        <f t="shared" si="18"/>
        <v>Saída</v>
      </c>
      <c r="D419" s="1" t="str">
        <f t="shared" si="19"/>
        <v>Ativa</v>
      </c>
      <c r="E419" s="2" t="str">
        <f>"ICMS SUSPENSO CFE ART. 272 INC I DECRTO"</f>
        <v>ICMS SUSPENSO CFE ART. 272 INC I DECRTO</v>
      </c>
    </row>
    <row r="420" spans="1:5" x14ac:dyDescent="0.3">
      <c r="A420" s="12">
        <v>690303</v>
      </c>
      <c r="B420" s="1" t="str">
        <f t="shared" si="21"/>
        <v>RETORNO DE INDUSTRIALIZAÇÃO</v>
      </c>
      <c r="C420" s="1" t="str">
        <f t="shared" si="18"/>
        <v>Saída</v>
      </c>
      <c r="D420" s="1" t="str">
        <f t="shared" si="19"/>
        <v>Ativa</v>
      </c>
      <c r="E420" s="2" t="str">
        <f>"ICMS SUSPENSO CFE ART. 272 INC I DECRTO"</f>
        <v>ICMS SUSPENSO CFE ART. 272 INC I DECRTO</v>
      </c>
    </row>
    <row r="421" spans="1:5" x14ac:dyDescent="0.3">
      <c r="A421" s="12">
        <v>690304</v>
      </c>
      <c r="B421" s="1" t="str">
        <f t="shared" si="21"/>
        <v>RETORNO DE INDUSTRIALIZAÇÃO</v>
      </c>
      <c r="C421" s="1" t="str">
        <f t="shared" si="18"/>
        <v>Saída</v>
      </c>
      <c r="D421" s="1" t="str">
        <f t="shared" si="19"/>
        <v>Ativa</v>
      </c>
      <c r="E421" s="2" t="str">
        <f>"ICMS SUSPENSO CFE ANEXO VIII ART 2 DO DE"</f>
        <v>ICMS SUSPENSO CFE ANEXO VIII ART 2 DO DE</v>
      </c>
    </row>
    <row r="422" spans="1:5" x14ac:dyDescent="0.3">
      <c r="A422" s="12">
        <v>690501</v>
      </c>
      <c r="B422" s="1" t="str">
        <f>"REMESSA PARA ARMAZEM GERAL"</f>
        <v>REMESSA PARA ARMAZEM GERAL</v>
      </c>
      <c r="C422" s="1" t="str">
        <f t="shared" si="18"/>
        <v>Saída</v>
      </c>
      <c r="D422" s="1" t="str">
        <f t="shared" si="19"/>
        <v>Ativa</v>
      </c>
      <c r="E422" s="2" t="str">
        <f>"Gera mov Terceiros - Remessa Deposito Ma"</f>
        <v>Gera mov Terceiros - Remessa Deposito Ma</v>
      </c>
    </row>
    <row r="423" spans="1:5" x14ac:dyDescent="0.3">
      <c r="A423" s="12">
        <v>690901</v>
      </c>
      <c r="B423" s="1" t="str">
        <f>"RETORNO REMESSA EM COMODATO"</f>
        <v>RETORNO REMESSA EM COMODATO</v>
      </c>
      <c r="C423" s="1" t="str">
        <f t="shared" si="18"/>
        <v>Saída</v>
      </c>
      <c r="D423" s="1" t="str">
        <f t="shared" si="19"/>
        <v>Ativa</v>
      </c>
      <c r="E423" s="2" t="str">
        <f>""</f>
        <v/>
      </c>
    </row>
    <row r="424" spans="1:5" x14ac:dyDescent="0.3">
      <c r="A424" s="12">
        <v>691001</v>
      </c>
      <c r="B424" s="1" t="str">
        <f>"REMESSA DOAÇÃO BENS USO CONSUMO"</f>
        <v>REMESSA DOAÇÃO BENS USO CONSUMO</v>
      </c>
      <c r="C424" s="1" t="str">
        <f t="shared" si="18"/>
        <v>Saída</v>
      </c>
      <c r="D424" s="1" t="str">
        <f t="shared" si="19"/>
        <v>Ativa</v>
      </c>
      <c r="E424" s="2" t="str">
        <f>"CRIADO PARA DOAÇÃO DE USO E CONSUMO - SO"</f>
        <v>CRIADO PARA DOAÇÃO DE USO E CONSUMO - SO</v>
      </c>
    </row>
    <row r="425" spans="1:5" x14ac:dyDescent="0.3">
      <c r="A425" s="12">
        <v>691002</v>
      </c>
      <c r="B425" s="1" t="str">
        <f>"REMESSA DOAÇÃO (ATIVO IMOBILIZADO)"</f>
        <v>REMESSA DOAÇÃO (ATIVO IMOBILIZADO)</v>
      </c>
      <c r="C425" s="1" t="str">
        <f t="shared" si="18"/>
        <v>Saída</v>
      </c>
      <c r="D425" s="1" t="str">
        <f t="shared" si="19"/>
        <v>Ativa</v>
      </c>
      <c r="E425" s="2" t="str">
        <f>"UTILIZADO PARA DOAÇÃO DE IMOBILIZADOS"</f>
        <v>UTILIZADO PARA DOAÇÃO DE IMOBILIZADOS</v>
      </c>
    </row>
    <row r="426" spans="1:5" x14ac:dyDescent="0.3">
      <c r="A426" s="12">
        <v>691003</v>
      </c>
      <c r="B426" s="1" t="str">
        <f>"REMESSA DOAÇÃO BRINDES"</f>
        <v>REMESSA DOAÇÃO BRINDES</v>
      </c>
      <c r="C426" s="1" t="str">
        <f t="shared" si="18"/>
        <v>Saída</v>
      </c>
      <c r="D426" s="1" t="str">
        <f t="shared" si="19"/>
        <v>Ativa</v>
      </c>
      <c r="E426" s="2" t="str">
        <f>"CRIADO PARA NFS DE BRINDE - CESTAS DE NA"</f>
        <v>CRIADO PARA NFS DE BRINDE - CESTAS DE NA</v>
      </c>
    </row>
    <row r="427" spans="1:5" x14ac:dyDescent="0.3">
      <c r="A427" s="12">
        <v>691004</v>
      </c>
      <c r="B427" s="1" t="str">
        <f>"REMESSA DOAÇÃO SUCATAS"</f>
        <v>REMESSA DOAÇÃO SUCATAS</v>
      </c>
      <c r="C427" s="1" t="str">
        <f t="shared" si="18"/>
        <v>Saída</v>
      </c>
      <c r="D427" s="1" t="str">
        <f t="shared" si="19"/>
        <v>Ativa</v>
      </c>
      <c r="E427" s="2" t="str">
        <f>"CRIADO PARA NFS DE DOAÇÃO - MATERIAIS QU"</f>
        <v>CRIADO PARA NFS DE DOAÇÃO - MATERIAIS QU</v>
      </c>
    </row>
    <row r="428" spans="1:5" x14ac:dyDescent="0.3">
      <c r="A428" s="12">
        <v>691005</v>
      </c>
      <c r="B428" s="1" t="str">
        <f>"REMESSA BONIFICAÇÃO"</f>
        <v>REMESSA BONIFICAÇÃO</v>
      </c>
      <c r="C428" s="1" t="str">
        <f t="shared" si="18"/>
        <v>Saída</v>
      </c>
      <c r="D428" s="1" t="str">
        <f t="shared" si="19"/>
        <v>Ativa</v>
      </c>
      <c r="E428" s="2" t="str">
        <f>"PRODUTOS FABRICADOS E ENVIADOS COMO AMOS"</f>
        <v>PRODUTOS FABRICADOS E ENVIADOS COMO AMOS</v>
      </c>
    </row>
    <row r="429" spans="1:5" x14ac:dyDescent="0.3">
      <c r="A429" s="12">
        <v>691006</v>
      </c>
      <c r="B429" s="1" t="str">
        <f>"REMESSA DOAÇÃO BRINDES"</f>
        <v>REMESSA DOAÇÃO BRINDES</v>
      </c>
      <c r="C429" s="1" t="str">
        <f t="shared" si="18"/>
        <v>Saída</v>
      </c>
      <c r="D429" s="1" t="str">
        <f t="shared" si="19"/>
        <v>Ativa</v>
      </c>
      <c r="E429" s="2" t="str">
        <f>"CRIADO PARA NFS DE BRINDE - CESTAS DE NA"</f>
        <v>CRIADO PARA NFS DE BRINDE - CESTAS DE NA</v>
      </c>
    </row>
    <row r="430" spans="1:5" x14ac:dyDescent="0.3">
      <c r="A430" s="12">
        <v>691101</v>
      </c>
      <c r="B430" s="1" t="str">
        <f>"REMESSA AMOSTRA GRATIS (GRANDE QNTD"</f>
        <v>REMESSA AMOSTRA GRATIS (GRANDE QNTD</v>
      </c>
      <c r="C430" s="1" t="str">
        <f t="shared" si="18"/>
        <v>Saída</v>
      </c>
      <c r="D430" s="1" t="str">
        <f t="shared" si="19"/>
        <v>Ativa</v>
      </c>
      <c r="E430" s="2" t="str">
        <f>"PRODUTOS FABRICADOS E ENVIADOS COMO AMOS"</f>
        <v>PRODUTOS FABRICADOS E ENVIADOS COMO AMOS</v>
      </c>
    </row>
    <row r="431" spans="1:5" x14ac:dyDescent="0.3">
      <c r="A431" s="12">
        <v>691102</v>
      </c>
      <c r="B431" s="1" t="str">
        <f>"REMESSA AMOSTRA GRÁTIS (PEQ. QNTD)"</f>
        <v>REMESSA AMOSTRA GRÁTIS (PEQ. QNTD)</v>
      </c>
      <c r="C431" s="1" t="str">
        <f t="shared" si="18"/>
        <v>Saída</v>
      </c>
      <c r="D431" s="1" t="str">
        <f t="shared" si="19"/>
        <v>Ativa</v>
      </c>
      <c r="E431" s="2" t="str">
        <f>"PRODUTOS FABRICADOS E ENVIADOS COMO AMOS"</f>
        <v>PRODUTOS FABRICADOS E ENVIADOS COMO AMOS</v>
      </c>
    </row>
    <row r="432" spans="1:5" x14ac:dyDescent="0.3">
      <c r="A432" s="12">
        <v>691104</v>
      </c>
      <c r="B432" s="1" t="str">
        <f>"REMESSA AMOSTRA GRATIS (LAB MACHINE"</f>
        <v>REMESSA AMOSTRA GRATIS (LAB MACHINE</v>
      </c>
      <c r="C432" s="1" t="str">
        <f t="shared" si="18"/>
        <v>Saída</v>
      </c>
      <c r="D432" s="1" t="str">
        <f t="shared" si="19"/>
        <v>Ativa</v>
      </c>
      <c r="E432" s="2" t="str">
        <f>"AMOSTRA DE PRODUTOS FABRICADOS PELA LAB"</f>
        <v>AMOSTRA DE PRODUTOS FABRICADOS PELA LAB</v>
      </c>
    </row>
    <row r="433" spans="1:5" x14ac:dyDescent="0.3">
      <c r="A433" s="12">
        <v>691105</v>
      </c>
      <c r="B433" s="1" t="str">
        <f>"REMESSA PARA AMOSTRA"</f>
        <v>REMESSA PARA AMOSTRA</v>
      </c>
      <c r="C433" s="1" t="str">
        <f t="shared" si="18"/>
        <v>Saída</v>
      </c>
      <c r="D433" s="1" t="str">
        <f t="shared" si="19"/>
        <v>Ativa</v>
      </c>
      <c r="E433" s="2" t="str">
        <f>""</f>
        <v/>
      </c>
    </row>
    <row r="434" spans="1:5" x14ac:dyDescent="0.3">
      <c r="A434" s="12">
        <v>691201</v>
      </c>
      <c r="B434" s="1" t="str">
        <f>"REMESSA PARA DEMONSTRAÇÃO"</f>
        <v>REMESSA PARA DEMONSTRAÇÃO</v>
      </c>
      <c r="C434" s="1" t="str">
        <f t="shared" si="18"/>
        <v>Saída</v>
      </c>
      <c r="D434" s="1" t="str">
        <f t="shared" si="19"/>
        <v>Ativa</v>
      </c>
      <c r="E434" s="2" t="str">
        <f>"CFOP PARA REMESSAS DE MERCADORIA (TESTE)"</f>
        <v>CFOP PARA REMESSAS DE MERCADORIA (TESTE)</v>
      </c>
    </row>
    <row r="435" spans="1:5" x14ac:dyDescent="0.3">
      <c r="A435" s="12">
        <v>691301</v>
      </c>
      <c r="B435" s="1" t="str">
        <f>"RETORNO DE DEMONSTRAÇÃO"</f>
        <v>RETORNO DE DEMONSTRAÇÃO</v>
      </c>
      <c r="C435" s="1" t="str">
        <f t="shared" si="18"/>
        <v>Saída</v>
      </c>
      <c r="D435" s="1" t="str">
        <f t="shared" si="19"/>
        <v>Ativa</v>
      </c>
      <c r="E435" s="2" t="str">
        <f>""</f>
        <v/>
      </c>
    </row>
    <row r="436" spans="1:5" x14ac:dyDescent="0.3">
      <c r="A436" s="12">
        <v>691302</v>
      </c>
      <c r="B436" s="1" t="str">
        <f>"RETORNO DE DEMONSTRAÇÃO"</f>
        <v>RETORNO DE DEMONSTRAÇÃO</v>
      </c>
      <c r="C436" s="1" t="str">
        <f t="shared" si="18"/>
        <v>Saída</v>
      </c>
      <c r="D436" s="1" t="str">
        <f t="shared" si="19"/>
        <v>Ativa</v>
      </c>
      <c r="E436" s="2" t="str">
        <f>"IGUAL A 691201 MAS COM DÉBITO DO ICMS"</f>
        <v>IGUAL A 691201 MAS COM DÉBITO DO ICMS</v>
      </c>
    </row>
    <row r="437" spans="1:5" x14ac:dyDescent="0.3">
      <c r="A437" s="12">
        <v>691401</v>
      </c>
      <c r="B437" s="1" t="str">
        <f>"REMESSA PARA EXPOSIÇÃO / FEIRA"</f>
        <v>REMESSA PARA EXPOSIÇÃO / FEIRA</v>
      </c>
      <c r="C437" s="1" t="str">
        <f t="shared" si="18"/>
        <v>Saída</v>
      </c>
      <c r="D437" s="1" t="str">
        <f t="shared" si="19"/>
        <v>Ativa</v>
      </c>
      <c r="E437" s="2" t="str">
        <f>""</f>
        <v/>
      </c>
    </row>
    <row r="438" spans="1:5" x14ac:dyDescent="0.3">
      <c r="A438" s="12">
        <v>691501</v>
      </c>
      <c r="B438" s="1" t="str">
        <f>"REMESSA PARA CONSERTO / REPARO"</f>
        <v>REMESSA PARA CONSERTO / REPARO</v>
      </c>
      <c r="C438" s="1" t="str">
        <f t="shared" si="18"/>
        <v>Saída</v>
      </c>
      <c r="D438" s="1" t="str">
        <f t="shared" si="19"/>
        <v>Ativa</v>
      </c>
      <c r="E438" s="2" t="str">
        <f>""</f>
        <v/>
      </c>
    </row>
    <row r="439" spans="1:5" x14ac:dyDescent="0.3">
      <c r="A439" s="12">
        <v>691599</v>
      </c>
      <c r="B439" s="1" t="str">
        <f>"REMESSA PARA CONSERTO / REPARO"</f>
        <v>REMESSA PARA CONSERTO / REPARO</v>
      </c>
      <c r="C439" s="1" t="str">
        <f t="shared" si="18"/>
        <v>Saída</v>
      </c>
      <c r="D439" s="1" t="str">
        <f t="shared" si="19"/>
        <v>Ativa</v>
      </c>
      <c r="E439" s="2" t="str">
        <f>"Alterado o ICMS para tributado 12%, para"</f>
        <v>Alterado o ICMS para tributado 12%, para</v>
      </c>
    </row>
    <row r="440" spans="1:5" x14ac:dyDescent="0.3">
      <c r="A440" s="12">
        <v>691601</v>
      </c>
      <c r="B440" s="1" t="str">
        <f>"RETORNO DE CONSERTO/REPAROS"</f>
        <v>RETORNO DE CONSERTO/REPAROS</v>
      </c>
      <c r="C440" s="1" t="str">
        <f t="shared" si="18"/>
        <v>Saída</v>
      </c>
      <c r="D440" s="1" t="str">
        <f t="shared" si="19"/>
        <v>Ativa</v>
      </c>
      <c r="E440" s="2" t="str">
        <f>""</f>
        <v/>
      </c>
    </row>
    <row r="441" spans="1:5" x14ac:dyDescent="0.3">
      <c r="A441" s="12">
        <v>691699</v>
      </c>
      <c r="B441" s="1" t="str">
        <f>"RETORNO DE CONSERTO/REPAROS"</f>
        <v>RETORNO DE CONSERTO/REPAROS</v>
      </c>
      <c r="C441" s="1" t="str">
        <f t="shared" si="18"/>
        <v>Saída</v>
      </c>
      <c r="D441" s="1" t="str">
        <f t="shared" si="19"/>
        <v>Ativa</v>
      </c>
      <c r="E441" s="2" t="str">
        <f>""</f>
        <v/>
      </c>
    </row>
    <row r="442" spans="1:5" x14ac:dyDescent="0.3">
      <c r="A442" s="12">
        <v>691701</v>
      </c>
      <c r="B442" s="1" t="str">
        <f>"REMESSA EM CONSIGNAÇÃO INDL"</f>
        <v>REMESSA EM CONSIGNAÇÃO INDL</v>
      </c>
      <c r="C442" s="1" t="str">
        <f t="shared" si="18"/>
        <v>Saída</v>
      </c>
      <c r="D442" s="1" t="str">
        <f t="shared" si="19"/>
        <v>Ativa</v>
      </c>
      <c r="E442" s="2" t="str">
        <f>""</f>
        <v/>
      </c>
    </row>
    <row r="443" spans="1:5" x14ac:dyDescent="0.3">
      <c r="A443" s="12">
        <v>691801</v>
      </c>
      <c r="B443" s="1" t="str">
        <f>"DEVOL. MERC. REC. EM CONSIGNACAO"</f>
        <v>DEVOL. MERC. REC. EM CONSIGNACAO</v>
      </c>
      <c r="C443" s="1" t="str">
        <f t="shared" si="18"/>
        <v>Saída</v>
      </c>
      <c r="D443" s="1" t="str">
        <f t="shared" si="19"/>
        <v>Ativa</v>
      </c>
      <c r="E443" s="2" t="str">
        <f>""</f>
        <v/>
      </c>
    </row>
    <row r="444" spans="1:5" x14ac:dyDescent="0.3">
      <c r="A444" s="12">
        <v>691901</v>
      </c>
      <c r="B444" s="1" t="str">
        <f>"DEVOL. MERC. REC. EM CONSIGNACAO"</f>
        <v>DEVOL. MERC. REC. EM CONSIGNACAO</v>
      </c>
      <c r="C444" s="1" t="str">
        <f t="shared" si="18"/>
        <v>Saída</v>
      </c>
      <c r="D444" s="1" t="str">
        <f t="shared" si="19"/>
        <v>Ativa</v>
      </c>
      <c r="E444" s="2" t="str">
        <f>""</f>
        <v/>
      </c>
    </row>
    <row r="445" spans="1:5" x14ac:dyDescent="0.3">
      <c r="A445" s="12">
        <v>692001</v>
      </c>
      <c r="B445" s="1" t="str">
        <f>"REMESSA DE EMBALAGEM"</f>
        <v>REMESSA DE EMBALAGEM</v>
      </c>
      <c r="C445" s="1" t="str">
        <f t="shared" si="18"/>
        <v>Saída</v>
      </c>
      <c r="D445" s="1" t="str">
        <f t="shared" si="19"/>
        <v>Ativa</v>
      </c>
      <c r="E445" s="2" t="str">
        <f>"ICMS ISENTO CFE ANEXO I ITEM 102 DO RICM"</f>
        <v>ICMS ISENTO CFE ANEXO I ITEM 102 DO RICM</v>
      </c>
    </row>
    <row r="446" spans="1:5" x14ac:dyDescent="0.3">
      <c r="A446" s="12">
        <v>692101</v>
      </c>
      <c r="B446" s="1" t="str">
        <f>"RETORNO DE EMBALAGEM"</f>
        <v>RETORNO DE EMBALAGEM</v>
      </c>
      <c r="C446" s="1" t="str">
        <f t="shared" si="18"/>
        <v>Saída</v>
      </c>
      <c r="D446" s="1" t="str">
        <f t="shared" si="19"/>
        <v>Ativa</v>
      </c>
      <c r="E446" s="2" t="str">
        <f>""</f>
        <v/>
      </c>
    </row>
    <row r="447" spans="1:5" x14ac:dyDescent="0.3">
      <c r="A447" s="12">
        <v>692201</v>
      </c>
      <c r="B447" s="1" t="str">
        <f>"SIMPLES FATURAMENTO P/ENTREGA FUTUR"</f>
        <v>SIMPLES FATURAMENTO P/ENTREGA FUTUR</v>
      </c>
      <c r="C447" s="1" t="str">
        <f t="shared" si="18"/>
        <v>Saída</v>
      </c>
      <c r="D447" s="1" t="str">
        <f t="shared" si="19"/>
        <v>Ativa</v>
      </c>
      <c r="E447" s="2" t="str">
        <f>"GERA CR,OF,CT,ESTATISTICA"</f>
        <v>GERA CR,OF,CT,ESTATISTICA</v>
      </c>
    </row>
    <row r="448" spans="1:5" x14ac:dyDescent="0.3">
      <c r="A448" s="12">
        <v>692301</v>
      </c>
      <c r="B448" s="1" t="str">
        <f>"REMESSA P/CONTA ORDEM TERCEIROS"</f>
        <v>REMESSA P/CONTA ORDEM TERCEIROS</v>
      </c>
      <c r="C448" s="1" t="str">
        <f t="shared" si="18"/>
        <v>Saída</v>
      </c>
      <c r="D448" s="1" t="str">
        <f t="shared" si="19"/>
        <v>Ativa</v>
      </c>
      <c r="E448" s="2" t="str">
        <f>""</f>
        <v/>
      </c>
    </row>
    <row r="449" spans="1:5" x14ac:dyDescent="0.3">
      <c r="A449" s="12">
        <v>692401</v>
      </c>
      <c r="B449" s="1" t="str">
        <f>"REMESSA P/CONTA ORDEM TERCEIROS"</f>
        <v>REMESSA P/CONTA ORDEM TERCEIROS</v>
      </c>
      <c r="C449" s="1" t="str">
        <f t="shared" si="18"/>
        <v>Saída</v>
      </c>
      <c r="D449" s="1" t="str">
        <f t="shared" si="19"/>
        <v>Ativa</v>
      </c>
      <c r="E449" s="2" t="str">
        <f>""</f>
        <v/>
      </c>
    </row>
    <row r="450" spans="1:5" x14ac:dyDescent="0.3">
      <c r="A450" s="12">
        <v>692403</v>
      </c>
      <c r="B450" s="1" t="str">
        <f>"REMESSA P/ORDEM TERC - OP TRIANGULA"</f>
        <v>REMESSA P/ORDEM TERC - OP TRIANGULA</v>
      </c>
      <c r="C450" s="1" t="str">
        <f t="shared" ref="C450:C490" si="22">"Saída"</f>
        <v>Saída</v>
      </c>
      <c r="D450" s="1" t="str">
        <f t="shared" ref="D450:D490" si="23">"Ativa"</f>
        <v>Ativa</v>
      </c>
      <c r="E450" s="2" t="str">
        <f>"TRANSAÇÃO PARA INCLUSÃO DE SALDO EM TERC"</f>
        <v>TRANSAÇÃO PARA INCLUSÃO DE SALDO EM TERC</v>
      </c>
    </row>
    <row r="451" spans="1:5" x14ac:dyDescent="0.3">
      <c r="A451" s="12">
        <v>692502</v>
      </c>
      <c r="B451" s="1" t="str">
        <f>"RETORNO REMESSA P/CONTA E ORDEM"</f>
        <v>RETORNO REMESSA P/CONTA E ORDEM</v>
      </c>
      <c r="C451" s="1" t="str">
        <f t="shared" si="22"/>
        <v>Saída</v>
      </c>
      <c r="D451" s="1" t="str">
        <f t="shared" si="23"/>
        <v>Ativa</v>
      </c>
      <c r="E451" s="2" t="str">
        <f>""</f>
        <v/>
      </c>
    </row>
    <row r="452" spans="1:5" x14ac:dyDescent="0.3">
      <c r="A452" s="12">
        <v>692503</v>
      </c>
      <c r="B452" s="1" t="str">
        <f>"RETORNO REMESSA P/CONTA E ORDEM"</f>
        <v>RETORNO REMESSA P/CONTA E ORDEM</v>
      </c>
      <c r="C452" s="1" t="str">
        <f t="shared" si="22"/>
        <v>Saída</v>
      </c>
      <c r="D452" s="1" t="str">
        <f t="shared" si="23"/>
        <v>Ativa</v>
      </c>
      <c r="E452" s="2" t="str">
        <f>"IGUAL A 692502 - PERMITE ALTERAR O VALOR"</f>
        <v>IGUAL A 692502 - PERMITE ALTERAR O VALOR</v>
      </c>
    </row>
    <row r="453" spans="1:5" x14ac:dyDescent="0.3">
      <c r="A453" s="12">
        <v>692505</v>
      </c>
      <c r="B453" s="1" t="str">
        <f>"RETORNO REMESSA P/CONTA E ORDEM"</f>
        <v>RETORNO REMESSA P/CONTA E ORDEM</v>
      </c>
      <c r="C453" s="1" t="str">
        <f t="shared" si="22"/>
        <v>Saída</v>
      </c>
      <c r="D453" s="1" t="str">
        <f t="shared" si="23"/>
        <v>Ativa</v>
      </c>
      <c r="E453" s="2" t="str">
        <f>"CFOP CRIADA PARA UTILIZAR QUANDO HOUVER"</f>
        <v>CFOP CRIADA PARA UTILIZAR QUANDO HOUVER</v>
      </c>
    </row>
    <row r="454" spans="1:5" x14ac:dyDescent="0.3">
      <c r="A454" s="12">
        <v>694909</v>
      </c>
      <c r="B454" s="1" t="str">
        <f>"VENDA DE SUCATAS"</f>
        <v>VENDA DE SUCATAS</v>
      </c>
      <c r="C454" s="1" t="str">
        <f t="shared" si="22"/>
        <v>Saída</v>
      </c>
      <c r="D454" s="1" t="str">
        <f t="shared" si="23"/>
        <v>Ativa</v>
      </c>
      <c r="E454" s="2" t="str">
        <f>""</f>
        <v/>
      </c>
    </row>
    <row r="455" spans="1:5" x14ac:dyDescent="0.3">
      <c r="A455" s="12">
        <v>694911</v>
      </c>
      <c r="B455" s="1" t="str">
        <f>"REMESSA PARA CALIBRAÇÃO"</f>
        <v>REMESSA PARA CALIBRAÇÃO</v>
      </c>
      <c r="C455" s="1" t="str">
        <f t="shared" si="22"/>
        <v>Saída</v>
      </c>
      <c r="D455" s="1" t="str">
        <f t="shared" si="23"/>
        <v>Ativa</v>
      </c>
      <c r="E455" s="2" t="str">
        <f>""</f>
        <v/>
      </c>
    </row>
    <row r="456" spans="1:5" x14ac:dyDescent="0.3">
      <c r="A456" s="12">
        <v>694912</v>
      </c>
      <c r="B456" s="1" t="str">
        <f>"RETORNO DE MERCADORIA - ATLAS"</f>
        <v>RETORNO DE MERCADORIA - ATLAS</v>
      </c>
      <c r="C456" s="1" t="str">
        <f t="shared" si="22"/>
        <v>Saída</v>
      </c>
      <c r="D456" s="1" t="str">
        <f t="shared" si="23"/>
        <v>Ativa</v>
      </c>
      <c r="E456" s="2" t="str">
        <f>""</f>
        <v/>
      </c>
    </row>
    <row r="457" spans="1:5" x14ac:dyDescent="0.3">
      <c r="A457" s="12">
        <v>694913</v>
      </c>
      <c r="B457" s="1" t="str">
        <f>"REMESSA PARA GRAVAÇÃO"</f>
        <v>REMESSA PARA GRAVAÇÃO</v>
      </c>
      <c r="C457" s="1" t="str">
        <f t="shared" si="22"/>
        <v>Saída</v>
      </c>
      <c r="D457" s="1" t="str">
        <f t="shared" si="23"/>
        <v>Ativa</v>
      </c>
      <c r="E457" s="2" t="str">
        <f>""</f>
        <v/>
      </c>
    </row>
    <row r="458" spans="1:5" x14ac:dyDescent="0.3">
      <c r="A458" s="12">
        <v>694914</v>
      </c>
      <c r="B458" s="1" t="str">
        <f>"REMESSA DE MERC. PARA TESTE C/RETOR"</f>
        <v>REMESSA DE MERC. PARA TESTE C/RETOR</v>
      </c>
      <c r="C458" s="1" t="str">
        <f t="shared" si="22"/>
        <v>Saída</v>
      </c>
      <c r="D458" s="1" t="str">
        <f t="shared" si="23"/>
        <v>Ativa</v>
      </c>
      <c r="E458" s="2" t="str">
        <f>"MATERIAL ENVIADO PARA O CLIENTE COMO AMO"</f>
        <v>MATERIAL ENVIADO PARA O CLIENTE COMO AMO</v>
      </c>
    </row>
    <row r="459" spans="1:5" x14ac:dyDescent="0.3">
      <c r="A459" s="12">
        <v>694916</v>
      </c>
      <c r="B459" s="1" t="str">
        <f>"RETORNO REMESSA LOCACAO"</f>
        <v>RETORNO REMESSA LOCACAO</v>
      </c>
      <c r="C459" s="1" t="str">
        <f t="shared" si="22"/>
        <v>Saída</v>
      </c>
      <c r="D459" s="1" t="str">
        <f t="shared" si="23"/>
        <v>Ativa</v>
      </c>
      <c r="E459" s="2" t="str">
        <f>""</f>
        <v/>
      </c>
    </row>
    <row r="460" spans="1:5" x14ac:dyDescent="0.3">
      <c r="A460" s="12">
        <v>694917</v>
      </c>
      <c r="B460" s="1" t="str">
        <f>"REMESSA DE MERCADORIA SINISTRADA"</f>
        <v>REMESSA DE MERCADORIA SINISTRADA</v>
      </c>
      <c r="C460" s="1" t="str">
        <f t="shared" si="22"/>
        <v>Saída</v>
      </c>
      <c r="D460" s="1" t="str">
        <f t="shared" si="23"/>
        <v>Ativa</v>
      </c>
      <c r="E460" s="2" t="str">
        <f>"Não incidência do ICMS, conforme Artigo"</f>
        <v>Não incidência do ICMS, conforme Artigo</v>
      </c>
    </row>
    <row r="461" spans="1:5" x14ac:dyDescent="0.3">
      <c r="A461" s="12">
        <v>694919</v>
      </c>
      <c r="B461" s="1" t="str">
        <f>"REMESSA DE MATERIAL PARA CONSERTO"</f>
        <v>REMESSA DE MATERIAL PARA CONSERTO</v>
      </c>
      <c r="C461" s="1" t="str">
        <f t="shared" si="22"/>
        <v>Saída</v>
      </c>
      <c r="D461" s="1" t="str">
        <f t="shared" si="23"/>
        <v>Ativa</v>
      </c>
      <c r="E461" s="2" t="str">
        <f>""</f>
        <v/>
      </c>
    </row>
    <row r="462" spans="1:5" x14ac:dyDescent="0.3">
      <c r="A462" s="12">
        <v>694920</v>
      </c>
      <c r="B462" s="1" t="str">
        <f>"REMESSA RESIDUOS/DESCARTE"</f>
        <v>REMESSA RESIDUOS/DESCARTE</v>
      </c>
      <c r="C462" s="1" t="str">
        <f t="shared" si="22"/>
        <v>Saída</v>
      </c>
      <c r="D462" s="1" t="str">
        <f t="shared" si="23"/>
        <v>Ativa</v>
      </c>
      <c r="E462" s="2" t="str">
        <f>""</f>
        <v/>
      </c>
    </row>
    <row r="463" spans="1:5" x14ac:dyDescent="0.3">
      <c r="A463" s="12">
        <v>694921</v>
      </c>
      <c r="B463" s="1" t="str">
        <f>"REMESSA DE MERC. PARA TESTE S/RETON"</f>
        <v>REMESSA DE MERC. PARA TESTE S/RETON</v>
      </c>
      <c r="C463" s="1" t="str">
        <f t="shared" si="22"/>
        <v>Saída</v>
      </c>
      <c r="D463" s="1" t="str">
        <f t="shared" si="23"/>
        <v>Ativa</v>
      </c>
      <c r="E463" s="2" t="str">
        <f>""</f>
        <v/>
      </c>
    </row>
    <row r="464" spans="1:5" x14ac:dyDescent="0.3">
      <c r="A464" s="12">
        <v>694922</v>
      </c>
      <c r="B464" s="1" t="str">
        <f>"OUTRAS SAIDAS"</f>
        <v>OUTRAS SAIDAS</v>
      </c>
      <c r="C464" s="1" t="str">
        <f t="shared" si="22"/>
        <v>Saída</v>
      </c>
      <c r="D464" s="1" t="str">
        <f t="shared" si="23"/>
        <v>Ativa</v>
      </c>
      <c r="E464" s="2" t="str">
        <f>"Natureza para emitir complemento de IMPO"</f>
        <v>Natureza para emitir complemento de IMPO</v>
      </c>
    </row>
    <row r="465" spans="1:5" x14ac:dyDescent="0.3">
      <c r="A465" s="12">
        <v>694923</v>
      </c>
      <c r="B465" s="1" t="str">
        <f>"OUTRAS SAIDAS"</f>
        <v>OUTRAS SAIDAS</v>
      </c>
      <c r="C465" s="1" t="str">
        <f t="shared" si="22"/>
        <v>Saída</v>
      </c>
      <c r="D465" s="1" t="str">
        <f t="shared" si="23"/>
        <v>Ativa</v>
      </c>
      <c r="E465" s="2" t="str">
        <f>"OUTRAS SAÍDAS - DEFINITIVA, COM MOVIMENT"</f>
        <v>OUTRAS SAÍDAS - DEFINITIVA, COM MOVIMENT</v>
      </c>
    </row>
    <row r="466" spans="1:5" x14ac:dyDescent="0.3">
      <c r="A466" s="12">
        <v>694924</v>
      </c>
      <c r="B466" s="1" t="str">
        <f>"OUTRAS SAIDAS"</f>
        <v>OUTRAS SAIDAS</v>
      </c>
      <c r="C466" s="1" t="str">
        <f t="shared" si="22"/>
        <v>Saída</v>
      </c>
      <c r="D466" s="1" t="str">
        <f t="shared" si="23"/>
        <v>Ativa</v>
      </c>
      <c r="E466" s="2" t="str">
        <f>"nota complementar de IPI"</f>
        <v>nota complementar de IPI</v>
      </c>
    </row>
    <row r="467" spans="1:5" x14ac:dyDescent="0.3">
      <c r="A467" s="12">
        <v>694925</v>
      </c>
      <c r="B467" s="1" t="str">
        <f>"REMESSA PARA TROCA MERC EM GARANTIA"</f>
        <v>REMESSA PARA TROCA MERC EM GARANTIA</v>
      </c>
      <c r="C467" s="1" t="str">
        <f t="shared" si="22"/>
        <v>Saída</v>
      </c>
      <c r="D467" s="1" t="str">
        <f t="shared" si="23"/>
        <v>Ativa</v>
      </c>
      <c r="E467" s="2" t="str">
        <f>"CFOP PARA TROCA DE MERCADORIA EM GARANTI"</f>
        <v>CFOP PARA TROCA DE MERCADORIA EM GARANTI</v>
      </c>
    </row>
    <row r="468" spans="1:5" x14ac:dyDescent="0.3">
      <c r="A468" s="12">
        <v>694926</v>
      </c>
      <c r="B468" s="1" t="str">
        <f>"OUTRAS SAIDAS - COMPL ICMS"</f>
        <v>OUTRAS SAIDAS - COMPL ICMS</v>
      </c>
      <c r="C468" s="1" t="str">
        <f t="shared" si="22"/>
        <v>Saída</v>
      </c>
      <c r="D468" s="1" t="str">
        <f t="shared" si="23"/>
        <v>Ativa</v>
      </c>
      <c r="E468" s="2" t="str">
        <f>"Natureza para emitir complemento de IMPO"</f>
        <v>Natureza para emitir complemento de IMPO</v>
      </c>
    </row>
    <row r="469" spans="1:5" x14ac:dyDescent="0.3">
      <c r="A469" s="12">
        <v>697927</v>
      </c>
      <c r="B469" s="1" t="str">
        <f>"OUTRAS SAIDAS - COMPL PREÇO"</f>
        <v>OUTRAS SAIDAS - COMPL PREÇO</v>
      </c>
      <c r="C469" s="1" t="str">
        <f t="shared" si="22"/>
        <v>Saída</v>
      </c>
      <c r="D469" s="1" t="str">
        <f t="shared" si="23"/>
        <v>Ativa</v>
      </c>
      <c r="E469" s="2" t="str">
        <f>"Natureza para emitir complemento de preç"</f>
        <v>Natureza para emitir complemento de preç</v>
      </c>
    </row>
    <row r="470" spans="1:5" x14ac:dyDescent="0.3">
      <c r="A470" s="12">
        <v>710101</v>
      </c>
      <c r="B470" s="1" t="str">
        <f>"VENDA PRODUÇÃO"</f>
        <v>VENDA PRODUÇÃO</v>
      </c>
      <c r="C470" s="1" t="str">
        <f t="shared" si="22"/>
        <v>Saída</v>
      </c>
      <c r="D470" s="1" t="str">
        <f t="shared" si="23"/>
        <v>Ativa</v>
      </c>
      <c r="E470" s="2" t="str">
        <f>"GERA CE,CR,OF,CT,ESTATISTICA"</f>
        <v>GERA CE,CR,OF,CT,ESTATISTICA</v>
      </c>
    </row>
    <row r="471" spans="1:5" x14ac:dyDescent="0.3">
      <c r="A471" s="12">
        <v>710102</v>
      </c>
      <c r="B471" s="1" t="str">
        <f>"VENDA PRODUÇÃO"</f>
        <v>VENDA PRODUÇÃO</v>
      </c>
      <c r="C471" s="1" t="str">
        <f t="shared" si="22"/>
        <v>Saída</v>
      </c>
      <c r="D471" s="1" t="str">
        <f t="shared" si="23"/>
        <v>Ativa</v>
      </c>
      <c r="E471" s="2" t="str">
        <f>"NAO BAIXA ESTOQUE"</f>
        <v>NAO BAIXA ESTOQUE</v>
      </c>
    </row>
    <row r="472" spans="1:5" x14ac:dyDescent="0.3">
      <c r="A472" s="12">
        <v>710160</v>
      </c>
      <c r="B472" s="1" t="str">
        <f>"VENDA PRODUÇÃO"</f>
        <v>VENDA PRODUÇÃO</v>
      </c>
      <c r="C472" s="1" t="str">
        <f t="shared" si="22"/>
        <v>Saída</v>
      </c>
      <c r="D472" s="1" t="str">
        <f t="shared" si="23"/>
        <v>Ativa</v>
      </c>
      <c r="E472" s="2" t="str">
        <f t="shared" ref="E472:E477" si="24">"GERA CE,CR,OF,CT,ESTATISTICA"</f>
        <v>GERA CE,CR,OF,CT,ESTATISTICA</v>
      </c>
    </row>
    <row r="473" spans="1:5" x14ac:dyDescent="0.3">
      <c r="A473" s="12">
        <v>710165</v>
      </c>
      <c r="B473" s="1" t="str">
        <f>"VENDA PRODUÇÃO"</f>
        <v>VENDA PRODUÇÃO</v>
      </c>
      <c r="C473" s="1" t="str">
        <f t="shared" si="22"/>
        <v>Saída</v>
      </c>
      <c r="D473" s="1" t="str">
        <f t="shared" si="23"/>
        <v>Ativa</v>
      </c>
      <c r="E473" s="2" t="str">
        <f t="shared" si="24"/>
        <v>GERA CE,CR,OF,CT,ESTATISTICA</v>
      </c>
    </row>
    <row r="474" spans="1:5" x14ac:dyDescent="0.3">
      <c r="A474" s="12">
        <v>710201</v>
      </c>
      <c r="B474" s="1" t="str">
        <f>"VENDA MERC. ADQ. TERC."</f>
        <v>VENDA MERC. ADQ. TERC.</v>
      </c>
      <c r="C474" s="1" t="str">
        <f t="shared" si="22"/>
        <v>Saída</v>
      </c>
      <c r="D474" s="1" t="str">
        <f t="shared" si="23"/>
        <v>Ativa</v>
      </c>
      <c r="E474" s="2" t="str">
        <f t="shared" si="24"/>
        <v>GERA CE,CR,OF,CT,ESTATISTICA</v>
      </c>
    </row>
    <row r="475" spans="1:5" x14ac:dyDescent="0.3">
      <c r="A475" s="12">
        <v>712701</v>
      </c>
      <c r="B475" s="1" t="str">
        <f>"VENDA PRODUÇÃO (DRAWBACK)"</f>
        <v>VENDA PRODUÇÃO (DRAWBACK)</v>
      </c>
      <c r="C475" s="1" t="str">
        <f t="shared" si="22"/>
        <v>Saída</v>
      </c>
      <c r="D475" s="1" t="str">
        <f t="shared" si="23"/>
        <v>Ativa</v>
      </c>
      <c r="E475" s="2" t="str">
        <f t="shared" si="24"/>
        <v>GERA CE,CR,OF,CT,ESTATISTICA</v>
      </c>
    </row>
    <row r="476" spans="1:5" x14ac:dyDescent="0.3">
      <c r="A476" s="12">
        <v>712760</v>
      </c>
      <c r="B476" s="1" t="str">
        <f>"VENDA PRODUÇÃO DRAWBACK"</f>
        <v>VENDA PRODUÇÃO DRAWBACK</v>
      </c>
      <c r="C476" s="1" t="str">
        <f t="shared" si="22"/>
        <v>Saída</v>
      </c>
      <c r="D476" s="1" t="str">
        <f t="shared" si="23"/>
        <v>Ativa</v>
      </c>
      <c r="E476" s="2" t="str">
        <f t="shared" si="24"/>
        <v>GERA CE,CR,OF,CT,ESTATISTICA</v>
      </c>
    </row>
    <row r="477" spans="1:5" x14ac:dyDescent="0.3">
      <c r="A477" s="12">
        <v>712765</v>
      </c>
      <c r="B477" s="1" t="str">
        <f>"VENDA PRODUÇÃO DRAWBACK"</f>
        <v>VENDA PRODUÇÃO DRAWBACK</v>
      </c>
      <c r="C477" s="1" t="str">
        <f t="shared" si="22"/>
        <v>Saída</v>
      </c>
      <c r="D477" s="1" t="str">
        <f t="shared" si="23"/>
        <v>Ativa</v>
      </c>
      <c r="E477" s="2" t="str">
        <f t="shared" si="24"/>
        <v>GERA CE,CR,OF,CT,ESTATISTICA</v>
      </c>
    </row>
    <row r="478" spans="1:5" x14ac:dyDescent="0.3">
      <c r="A478" s="12">
        <v>720101</v>
      </c>
      <c r="B478" s="1" t="str">
        <f>"DEV. DE COMPRAS INDUSTRIALIZAÇÃO"</f>
        <v>DEV. DE COMPRAS INDUSTRIALIZAÇÃO</v>
      </c>
      <c r="C478" s="1" t="str">
        <f t="shared" si="22"/>
        <v>Saída</v>
      </c>
      <c r="D478" s="1" t="str">
        <f t="shared" si="23"/>
        <v>Ativa</v>
      </c>
      <c r="E478" s="2" t="str">
        <f>"BAIXA CE, GERA OF"</f>
        <v>BAIXA CE, GERA OF</v>
      </c>
    </row>
    <row r="479" spans="1:5" x14ac:dyDescent="0.3">
      <c r="A479" s="12">
        <v>720102</v>
      </c>
      <c r="B479" s="1" t="str">
        <f>"DEV. DE COMPRAS INDUSTRIALIZAÇÃO DW"</f>
        <v>DEV. DE COMPRAS INDUSTRIALIZAÇÃO DW</v>
      </c>
      <c r="C479" s="1" t="str">
        <f t="shared" si="22"/>
        <v>Saída</v>
      </c>
      <c r="D479" s="1" t="str">
        <f t="shared" si="23"/>
        <v>Ativa</v>
      </c>
      <c r="E479" s="2" t="str">
        <f>"BAIXA CE, GERA OF   CFOP PARA GERAÇÃO DE"</f>
        <v>BAIXA CE, GERA OF   CFOP PARA GERAÇÃO DE</v>
      </c>
    </row>
    <row r="480" spans="1:5" x14ac:dyDescent="0.3">
      <c r="A480" s="12">
        <v>721101</v>
      </c>
      <c r="B480" s="1" t="str">
        <f>"DEV.COMPRAS INDUSTRIALIZAÇÃO DRAWBA"</f>
        <v>DEV.COMPRAS INDUSTRIALIZAÇÃO DRAWBA</v>
      </c>
      <c r="C480" s="1" t="str">
        <f t="shared" si="22"/>
        <v>Saída</v>
      </c>
      <c r="D480" s="1" t="str">
        <f t="shared" si="23"/>
        <v>Ativa</v>
      </c>
      <c r="E480" s="2" t="str">
        <f>"BAIXA CE, GERA OF"</f>
        <v>BAIXA CE, GERA OF</v>
      </c>
    </row>
    <row r="481" spans="1:5" x14ac:dyDescent="0.3">
      <c r="A481" s="12">
        <v>750101</v>
      </c>
      <c r="B481" s="1" t="str">
        <f>"EXPORTAÇÃO MERC REC FIM ESPEC EXP"</f>
        <v>EXPORTAÇÃO MERC REC FIM ESPEC EXP</v>
      </c>
      <c r="C481" s="1" t="str">
        <f t="shared" si="22"/>
        <v>Saída</v>
      </c>
      <c r="D481" s="1" t="str">
        <f t="shared" si="23"/>
        <v>Ativa</v>
      </c>
      <c r="E481" s="2" t="str">
        <f>"CFOP CRIADA PARA OPERAÇÕES Exportação de"</f>
        <v>CFOP CRIADA PARA OPERAÇÕES Exportação de</v>
      </c>
    </row>
    <row r="482" spans="1:5" x14ac:dyDescent="0.3">
      <c r="A482" s="12">
        <v>755101</v>
      </c>
      <c r="B482" s="1" t="str">
        <f>"VENDA BEM DO ATIVO IMOBILIZADO"</f>
        <v>VENDA BEM DO ATIVO IMOBILIZADO</v>
      </c>
      <c r="C482" s="1" t="str">
        <f t="shared" si="22"/>
        <v>Saída</v>
      </c>
      <c r="D482" s="1" t="str">
        <f t="shared" si="23"/>
        <v>Ativa</v>
      </c>
      <c r="E482" s="2" t="str">
        <f>"GERA CE,CR,OF,CT,ESTATISTICA"</f>
        <v>GERA CE,CR,OF,CT,ESTATISTICA</v>
      </c>
    </row>
    <row r="483" spans="1:5" x14ac:dyDescent="0.3">
      <c r="A483" s="12">
        <v>755601</v>
      </c>
      <c r="B483" s="1" t="str">
        <f>"DEV. DE COMPRAS MAT.USO CONSUMO"</f>
        <v>DEV. DE COMPRAS MAT.USO CONSUMO</v>
      </c>
      <c r="C483" s="1" t="str">
        <f t="shared" si="22"/>
        <v>Saída</v>
      </c>
      <c r="D483" s="1" t="str">
        <f t="shared" si="23"/>
        <v>Ativa</v>
      </c>
      <c r="E483" s="2" t="str">
        <f>"GERA OF"</f>
        <v>GERA OF</v>
      </c>
    </row>
    <row r="484" spans="1:5" x14ac:dyDescent="0.3">
      <c r="A484" s="12">
        <v>793001</v>
      </c>
      <c r="B484" s="1" t="str">
        <f>"RETORNO DE MERCADORIA-ADMISSAO TEMP"</f>
        <v>RETORNO DE MERCADORIA-ADMISSAO TEMP</v>
      </c>
      <c r="C484" s="1" t="str">
        <f t="shared" si="22"/>
        <v>Saída</v>
      </c>
      <c r="D484" s="1" t="str">
        <f t="shared" si="23"/>
        <v>Ativa</v>
      </c>
      <c r="E484" s="2" t="str">
        <f>"Não Incidência de ICMS de acordo com o A"</f>
        <v>Não Incidência de ICMS de acordo com o A</v>
      </c>
    </row>
    <row r="485" spans="1:5" x14ac:dyDescent="0.3">
      <c r="A485" s="12">
        <v>794901</v>
      </c>
      <c r="B485" s="1" t="str">
        <f>"REMESSA AMOSTRA P/EXTERIOR - COMERC"</f>
        <v>REMESSA AMOSTRA P/EXTERIOR - COMERC</v>
      </c>
      <c r="C485" s="1" t="str">
        <f t="shared" si="22"/>
        <v>Saída</v>
      </c>
      <c r="D485" s="1" t="str">
        <f t="shared" si="23"/>
        <v>Ativa</v>
      </c>
      <c r="E485" s="2" t="str">
        <f>"Não Incidência de ICMS de acordo com o A"</f>
        <v>Não Incidência de ICMS de acordo com o A</v>
      </c>
    </row>
    <row r="486" spans="1:5" x14ac:dyDescent="0.3">
      <c r="A486" s="12">
        <v>794902</v>
      </c>
      <c r="B486" s="1" t="str">
        <f>"REMESSA PARA CONSERTO/REPAROS"</f>
        <v>REMESSA PARA CONSERTO/REPAROS</v>
      </c>
      <c r="C486" s="1" t="str">
        <f t="shared" si="22"/>
        <v>Saída</v>
      </c>
      <c r="D486" s="1" t="str">
        <f t="shared" si="23"/>
        <v>Ativa</v>
      </c>
      <c r="E486" s="2" t="str">
        <f>""</f>
        <v/>
      </c>
    </row>
    <row r="487" spans="1:5" x14ac:dyDescent="0.3">
      <c r="A487" s="12">
        <v>794903</v>
      </c>
      <c r="B487" s="1" t="str">
        <f>"REMESSA DE BRINDE"</f>
        <v>REMESSA DE BRINDE</v>
      </c>
      <c r="C487" s="1" t="str">
        <f t="shared" si="22"/>
        <v>Saída</v>
      </c>
      <c r="D487" s="1" t="str">
        <f t="shared" si="23"/>
        <v>Ativa</v>
      </c>
      <c r="E487" s="2" t="str">
        <f>"Não Incidência de ICMS de acordo com o A"</f>
        <v>Não Incidência de ICMS de acordo com o A</v>
      </c>
    </row>
    <row r="488" spans="1:5" x14ac:dyDescent="0.3">
      <c r="A488" s="12">
        <v>794904</v>
      </c>
      <c r="B488" s="1" t="str">
        <f>"OUTRAS SAIDAS"</f>
        <v>OUTRAS SAIDAS</v>
      </c>
      <c r="C488" s="1" t="str">
        <f t="shared" si="22"/>
        <v>Saída</v>
      </c>
      <c r="D488" s="1" t="str">
        <f t="shared" si="23"/>
        <v>Ativa</v>
      </c>
      <c r="E488" s="2" t="str">
        <f>"Não Incidência de ICMS de acordo com o A"</f>
        <v>Não Incidência de ICMS de acordo com o A</v>
      </c>
    </row>
    <row r="489" spans="1:5" x14ac:dyDescent="0.3">
      <c r="A489" s="12">
        <v>794905</v>
      </c>
      <c r="B489" s="1" t="str">
        <f>"REMESSA AMOSTRA P/EXTERIOR - DESENV"</f>
        <v>REMESSA AMOSTRA P/EXTERIOR - DESENV</v>
      </c>
      <c r="C489" s="1" t="str">
        <f t="shared" si="22"/>
        <v>Saída</v>
      </c>
      <c r="D489" s="1" t="str">
        <f t="shared" si="23"/>
        <v>Ativa</v>
      </c>
      <c r="E489" s="2" t="str">
        <f>"Não Incidência de ICMS de acordo com o A"</f>
        <v>Não Incidência de ICMS de acordo com o A</v>
      </c>
    </row>
    <row r="490" spans="1:5" ht="15" thickBot="1" x14ac:dyDescent="0.35">
      <c r="A490" s="13">
        <v>794906</v>
      </c>
      <c r="B490" s="3" t="str">
        <f>"REMESSA AMOSTRA P/EXTERIOR - Lab"</f>
        <v>REMESSA AMOSTRA P/EXTERIOR - Lab</v>
      </c>
      <c r="C490" s="3" t="str">
        <f t="shared" si="22"/>
        <v>Saída</v>
      </c>
      <c r="D490" s="3" t="str">
        <f t="shared" si="23"/>
        <v>Ativa</v>
      </c>
      <c r="E490" s="4" t="str">
        <f>"Não Incidência de ICMS de acordo com o A"</f>
        <v>Não Incidência de ICMS de acordo com o A</v>
      </c>
    </row>
    <row r="491" spans="1:5" x14ac:dyDescent="0.3">
      <c r="A491" t="s">
        <v>5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e um novo documento." ma:contentTypeScope="" ma:versionID="3acbdff660be4f41504a7377bd00bfbe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3d165de6d9d878c1143ab435ba51092c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5E409A-8D0D-4778-AB2A-950F2BEE96DD}"/>
</file>

<file path=customXml/itemProps2.xml><?xml version="1.0" encoding="utf-8"?>
<ds:datastoreItem xmlns:ds="http://schemas.openxmlformats.org/officeDocument/2006/customXml" ds:itemID="{50080378-2300-4DBB-85C1-0E2BCBC6BAC1}"/>
</file>

<file path=customXml/itemProps3.xml><?xml version="1.0" encoding="utf-8"?>
<ds:datastoreItem xmlns:ds="http://schemas.openxmlformats.org/officeDocument/2006/customXml" ds:itemID="{BCC5BFFE-E773-47DA-B79C-0FF2FA46EA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2025-01-16T12:47:14Z</dcterms:created>
  <dcterms:modified xsi:type="dcterms:W3CDTF">2025-01-16T12:48:04Z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