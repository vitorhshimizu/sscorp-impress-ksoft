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EA742CB0-890C-4FA9-9AEA-CB6F8902C0BD}" xr6:coauthVersionLast="47" xr6:coauthVersionMax="47" xr10:uidLastSave="{00000000-0000-0000-0000-000000000000}"/>
  <bookViews>
    <workbookView minimized="1" xWindow="1560" yWindow="1560" windowWidth="15375" windowHeight="7875"/>
  </bookViews>
  <sheets>
    <sheet name="Controle Verba" sheetId="1" r:id="rId1"/>
    <sheet name="Parâmetr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  <c r="C3" i="1"/>
  <c r="C4" i="1"/>
  <c r="J4" i="1"/>
  <c r="C5" i="1"/>
  <c r="C6" i="1"/>
</calcChain>
</file>

<file path=xl/sharedStrings.xml><?xml version="1.0" encoding="utf-8"?>
<sst xmlns="http://schemas.openxmlformats.org/spreadsheetml/2006/main" count="75" uniqueCount="63">
  <si>
    <t>Listagem Verba Ordem de Investimento - Detalhada</t>
  </si>
  <si>
    <t>Empresa:</t>
  </si>
  <si>
    <t>Valor Verba Orig:</t>
  </si>
  <si>
    <t>Responsável:</t>
  </si>
  <si>
    <t>mlcardoso</t>
  </si>
  <si>
    <t>Estab Exec:</t>
  </si>
  <si>
    <t>Valor Verba:</t>
  </si>
  <si>
    <t>Validade:</t>
  </si>
  <si>
    <t>Num Projeto :</t>
  </si>
  <si>
    <t>Valor Compromis:</t>
  </si>
  <si>
    <t>Unid. Negócio:</t>
  </si>
  <si>
    <t>DP - 100,0000 %</t>
  </si>
  <si>
    <t>Número Ordem:</t>
  </si>
  <si>
    <t>Valor Realizado:</t>
  </si>
  <si>
    <t>Situação:</t>
  </si>
  <si>
    <t>Ativa</t>
  </si>
  <si>
    <t>Total:</t>
  </si>
  <si>
    <t>Moeda Controle:</t>
  </si>
  <si>
    <t>Real</t>
  </si>
  <si>
    <t>Saldo:</t>
  </si>
  <si>
    <t>Data Movto</t>
  </si>
  <si>
    <t>Item</t>
  </si>
  <si>
    <t>Num Ord EMS</t>
  </si>
  <si>
    <t>Tipo</t>
  </si>
  <si>
    <t>Solicit</t>
  </si>
  <si>
    <t>Seq</t>
  </si>
  <si>
    <t>Ordem</t>
  </si>
  <si>
    <t>Pedido</t>
  </si>
  <si>
    <t>Fornecedor</t>
  </si>
  <si>
    <t>Nome Abrev</t>
  </si>
  <si>
    <t>Documento</t>
  </si>
  <si>
    <t>Ent Comp</t>
  </si>
  <si>
    <t>Sai Comp</t>
  </si>
  <si>
    <t>Ent Realiz</t>
  </si>
  <si>
    <t>Sai Realiz</t>
  </si>
  <si>
    <t>Saldo Comp</t>
  </si>
  <si>
    <t>Saldo Real</t>
  </si>
  <si>
    <t>Conta</t>
  </si>
  <si>
    <t>Centro Custo</t>
  </si>
  <si>
    <t>MULTILASER INDUSTRIAL S.A.</t>
  </si>
  <si>
    <t>Nota Fisc</t>
  </si>
  <si>
    <t>14/0719431/255102/10</t>
  </si>
  <si>
    <t>Generico</t>
  </si>
  <si>
    <t>3/0068285/655301/10</t>
  </si>
  <si>
    <t>CONTABILISTA PAPELARIA E  INFORMATIC</t>
  </si>
  <si>
    <t>SELEÇÃO</t>
  </si>
  <si>
    <t>Empresa</t>
  </si>
  <si>
    <t>Estabelec</t>
  </si>
  <si>
    <t>Projeto</t>
  </si>
  <si>
    <t>Emissao</t>
  </si>
  <si>
    <t>CLASSIFICAÇÃO</t>
  </si>
  <si>
    <t>Classificação</t>
  </si>
  <si>
    <t>PARÂMETRO</t>
  </si>
  <si>
    <t>Exibir Valores na Moeda</t>
  </si>
  <si>
    <t>Principal</t>
  </si>
  <si>
    <t>Atualiza Valores</t>
  </si>
  <si>
    <t>Não</t>
  </si>
  <si>
    <t>Imprime Narrativa</t>
  </si>
  <si>
    <t>IMPRESSÃO</t>
  </si>
  <si>
    <t>Destino</t>
  </si>
  <si>
    <t>Planilha - C:/TOTVS/OEWORK/JALMEIDA/IN0518.xlsx</t>
  </si>
  <si>
    <t>Usuário</t>
  </si>
  <si>
    <t>softwaresul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</si>
</sst>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###,##0.00"/>
    <numFmt numFmtId="165" formatCode="#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0"/>
      <color theme="1"/>
      <name val="Times New Roman"/>
      <family val="1"/>
    </font>
    <font>
      <b/>
      <sz val="9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0" xfId="0" applyFont="1"/>
    <xf numFmtId="14" fontId="20" fillId="0" borderId="0" xfId="0" applyNumberFormat="1" applyFont="1" applyAlignment="1">
      <alignment horizontal="right"/>
    </xf>
    <xf numFmtId="0" fontId="21" fillId="0" borderId="0" xfId="0" applyFont="1"/>
    <xf numFmtId="0" fontId="20" fillId="0" borderId="0" xfId="0" applyFont="1"/>
    <xf numFmtId="0" fontId="19" fillId="0" borderId="0" xfId="0" applyFont="1" applyAlignment="1">
      <alignment horizontal="right"/>
    </xf>
    <xf numFmtId="49" fontId="20" fillId="0" borderId="0" xfId="0" applyNumberFormat="1" applyFont="1"/>
    <xf numFmtId="0" fontId="20" fillId="0" borderId="0" xfId="0" applyFont="1" applyAlignment="1">
      <alignment horizontal="right"/>
    </xf>
    <xf numFmtId="164" fontId="20" fillId="0" borderId="0" xfId="0" applyNumberFormat="1" applyFont="1"/>
    <xf numFmtId="164" fontId="20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/>
  </sheetViews>
  <sheetFormatPr defaultRowHeight="15" x14ac:dyDescent="0.25"/>
  <cols>
    <col min="1" max="19" width="15.7109375" customWidth="1"/>
  </cols>
  <sheetData>
    <row r="1" spans="1:19" x14ac:dyDescent="0.25">
      <c r="E1" s="1" t="s">
        <v>0</v>
      </c>
    </row>
    <row r="3" spans="1:19" x14ac:dyDescent="0.25">
      <c r="B3" s="6" t="s">
        <v>1</v>
      </c>
      <c r="C3" s="7" t="str">
        <f>"1 - IMPRESS DECOR BRASIL LTDA"</f>
        <v>1 - IMPRESS DECOR BRASIL LTDA</v>
      </c>
      <c r="F3" s="6" t="s">
        <v>2</v>
      </c>
      <c r="G3" s="9">
        <v>330</v>
      </c>
      <c r="I3" s="6" t="s">
        <v>3</v>
      </c>
      <c r="J3" s="5" t="s">
        <v>4</v>
      </c>
    </row>
    <row r="4" spans="1:19" x14ac:dyDescent="0.25">
      <c r="B4" s="6" t="s">
        <v>5</v>
      </c>
      <c r="C4" s="7" t="str">
        <f>"101 - IMPRESS DECOR BRASIL-IND PAP. DECOR.LTDA"</f>
        <v>101 - IMPRESS DECOR BRASIL-IND PAP. DECOR.LTDA</v>
      </c>
      <c r="F4" s="6" t="s">
        <v>6</v>
      </c>
      <c r="G4" s="9">
        <v>328.22</v>
      </c>
      <c r="I4" s="6" t="s">
        <v>7</v>
      </c>
      <c r="J4" s="7" t="str">
        <f>"29/08/2023 - 31/12/9999"</f>
        <v>29/08/2023 - 31/12/9999</v>
      </c>
    </row>
    <row r="5" spans="1:19" x14ac:dyDescent="0.25">
      <c r="B5" s="6" t="s">
        <v>8</v>
      </c>
      <c r="C5" s="7" t="str">
        <f>"394 - General investments on SCM"</f>
        <v>394 - General investments on SCM</v>
      </c>
      <c r="F5" s="6" t="s">
        <v>9</v>
      </c>
      <c r="G5" s="9">
        <v>0</v>
      </c>
      <c r="I5" s="6" t="s">
        <v>10</v>
      </c>
      <c r="J5" s="5" t="s">
        <v>11</v>
      </c>
    </row>
    <row r="6" spans="1:19" x14ac:dyDescent="0.25">
      <c r="B6" s="6" t="s">
        <v>12</v>
      </c>
      <c r="C6" s="7" t="str">
        <f>"1 - Paper shredder for Supply chain departme"</f>
        <v>1 - Paper shredder for Supply chain departme</v>
      </c>
      <c r="F6" s="6" t="s">
        <v>13</v>
      </c>
      <c r="G6" s="9">
        <v>656.44</v>
      </c>
    </row>
    <row r="7" spans="1:19" x14ac:dyDescent="0.25">
      <c r="B7" s="6" t="s">
        <v>14</v>
      </c>
      <c r="C7" s="5" t="s">
        <v>15</v>
      </c>
      <c r="F7" s="6" t="s">
        <v>16</v>
      </c>
      <c r="G7" s="9">
        <v>656.44</v>
      </c>
    </row>
    <row r="8" spans="1:19" x14ac:dyDescent="0.25">
      <c r="B8" s="6" t="s">
        <v>17</v>
      </c>
      <c r="C8" s="5" t="s">
        <v>18</v>
      </c>
      <c r="F8" s="6" t="s">
        <v>19</v>
      </c>
      <c r="G8" s="9">
        <v>-328.22</v>
      </c>
    </row>
    <row r="9" spans="1:19" x14ac:dyDescent="0.25">
      <c r="B9" s="4"/>
    </row>
    <row r="10" spans="1:19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29</v>
      </c>
      <c r="K10" s="2" t="s">
        <v>30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37</v>
      </c>
      <c r="S10" s="2" t="s">
        <v>38</v>
      </c>
    </row>
    <row r="11" spans="1:19" x14ac:dyDescent="0.25">
      <c r="A11" s="3">
        <v>45188</v>
      </c>
      <c r="B11" s="5">
        <v>61046</v>
      </c>
      <c r="C11" s="8">
        <v>934</v>
      </c>
      <c r="D11" s="5" t="s">
        <v>24</v>
      </c>
      <c r="E11" s="8">
        <v>62754</v>
      </c>
      <c r="F11" s="8">
        <v>10</v>
      </c>
      <c r="G11" s="8">
        <v>0</v>
      </c>
      <c r="H11" s="8">
        <v>0</v>
      </c>
      <c r="I11" s="8"/>
      <c r="J11" s="5"/>
      <c r="K11" s="8"/>
      <c r="L11" s="10">
        <v>280</v>
      </c>
      <c r="M11" s="10">
        <v>0</v>
      </c>
      <c r="N11" s="10">
        <v>0</v>
      </c>
      <c r="O11" s="10">
        <v>0</v>
      </c>
      <c r="P11" s="10">
        <v>280</v>
      </c>
      <c r="Q11" s="10">
        <v>0</v>
      </c>
      <c r="R11" s="11">
        <v>1230308</v>
      </c>
      <c r="S11" s="11">
        <v>300004</v>
      </c>
    </row>
    <row r="12" spans="1:19" x14ac:dyDescent="0.25">
      <c r="A12" s="3">
        <v>45190</v>
      </c>
      <c r="B12" s="5">
        <v>61046</v>
      </c>
      <c r="C12" s="8">
        <v>934</v>
      </c>
      <c r="D12" s="5" t="s">
        <v>26</v>
      </c>
      <c r="E12" s="8">
        <v>62754</v>
      </c>
      <c r="F12" s="8">
        <v>0</v>
      </c>
      <c r="G12" s="8">
        <v>35665</v>
      </c>
      <c r="H12" s="8">
        <v>0</v>
      </c>
      <c r="I12" s="8">
        <v>7406</v>
      </c>
      <c r="J12" s="5" t="s">
        <v>39</v>
      </c>
      <c r="K12" s="8"/>
      <c r="L12" s="10">
        <v>0</v>
      </c>
      <c r="M12" s="10">
        <v>280</v>
      </c>
      <c r="N12" s="10">
        <v>0</v>
      </c>
      <c r="O12" s="10">
        <v>0</v>
      </c>
      <c r="P12" s="10">
        <v>0</v>
      </c>
      <c r="Q12" s="10">
        <v>0</v>
      </c>
      <c r="R12" s="11">
        <v>1230308</v>
      </c>
      <c r="S12" s="11">
        <v>300004</v>
      </c>
    </row>
    <row r="13" spans="1:19" x14ac:dyDescent="0.25">
      <c r="A13" s="3">
        <v>45190</v>
      </c>
      <c r="B13" s="5">
        <v>61046</v>
      </c>
      <c r="C13" s="8">
        <v>934</v>
      </c>
      <c r="D13" s="5" t="s">
        <v>27</v>
      </c>
      <c r="E13" s="8">
        <v>62754</v>
      </c>
      <c r="F13" s="8">
        <v>0</v>
      </c>
      <c r="G13" s="8">
        <v>35665</v>
      </c>
      <c r="H13" s="8">
        <v>50182</v>
      </c>
      <c r="I13" s="8">
        <v>7406</v>
      </c>
      <c r="J13" s="5" t="s">
        <v>39</v>
      </c>
      <c r="K13" s="8"/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1"/>
      <c r="S13" s="11"/>
    </row>
    <row r="14" spans="1:19" x14ac:dyDescent="0.25">
      <c r="A14" s="3">
        <v>45198</v>
      </c>
      <c r="B14" s="5">
        <v>61046</v>
      </c>
      <c r="C14" s="8">
        <v>934</v>
      </c>
      <c r="D14" s="5" t="s">
        <v>40</v>
      </c>
      <c r="E14" s="8">
        <v>62754</v>
      </c>
      <c r="F14" s="8">
        <v>0</v>
      </c>
      <c r="G14" s="8">
        <v>35665</v>
      </c>
      <c r="H14" s="8">
        <v>50182</v>
      </c>
      <c r="I14" s="8">
        <v>7406</v>
      </c>
      <c r="J14" s="5" t="s">
        <v>39</v>
      </c>
      <c r="K14" s="8" t="s">
        <v>41</v>
      </c>
      <c r="L14" s="10">
        <v>0</v>
      </c>
      <c r="M14" s="10">
        <v>275.62</v>
      </c>
      <c r="N14" s="10">
        <v>328.22</v>
      </c>
      <c r="O14" s="10">
        <v>0</v>
      </c>
      <c r="P14" s="10">
        <v>-275.62</v>
      </c>
      <c r="Q14" s="10">
        <v>328.22</v>
      </c>
      <c r="R14" s="11">
        <v>1230308</v>
      </c>
      <c r="S14" s="11">
        <v>300004</v>
      </c>
    </row>
    <row r="15" spans="1:19" x14ac:dyDescent="0.25">
      <c r="A15" s="3">
        <v>45392</v>
      </c>
      <c r="B15" s="5">
        <v>61046</v>
      </c>
      <c r="C15" s="8">
        <v>934</v>
      </c>
      <c r="D15" s="5" t="s">
        <v>40</v>
      </c>
      <c r="E15" s="8">
        <v>62754</v>
      </c>
      <c r="F15" s="8">
        <v>0</v>
      </c>
      <c r="G15" s="8">
        <v>35665</v>
      </c>
      <c r="H15" s="8">
        <v>50182</v>
      </c>
      <c r="I15" s="8">
        <v>0</v>
      </c>
      <c r="J15" s="5" t="s">
        <v>42</v>
      </c>
      <c r="K15" s="8" t="s">
        <v>43</v>
      </c>
      <c r="L15" s="10">
        <v>275.62</v>
      </c>
      <c r="M15" s="10">
        <v>0</v>
      </c>
      <c r="N15" s="10">
        <v>0</v>
      </c>
      <c r="O15" s="10">
        <v>328.22</v>
      </c>
      <c r="P15" s="10">
        <v>0</v>
      </c>
      <c r="Q15" s="10">
        <v>0</v>
      </c>
      <c r="R15" s="11"/>
      <c r="S15" s="11"/>
    </row>
    <row r="16" spans="1:19" x14ac:dyDescent="0.25">
      <c r="A16" s="3">
        <v>45190</v>
      </c>
      <c r="B16" s="5">
        <v>61046</v>
      </c>
      <c r="C16" s="8">
        <v>934</v>
      </c>
      <c r="D16" s="5" t="s">
        <v>26</v>
      </c>
      <c r="E16" s="8">
        <v>0</v>
      </c>
      <c r="F16" s="8">
        <v>0</v>
      </c>
      <c r="G16" s="8">
        <v>9249809</v>
      </c>
      <c r="H16" s="8">
        <v>0</v>
      </c>
      <c r="I16" s="8">
        <v>177</v>
      </c>
      <c r="J16" s="5" t="s">
        <v>44</v>
      </c>
      <c r="K16" s="8"/>
      <c r="L16" s="10">
        <v>1</v>
      </c>
      <c r="M16" s="10">
        <v>0</v>
      </c>
      <c r="N16" s="10">
        <v>0</v>
      </c>
      <c r="O16" s="10">
        <v>0</v>
      </c>
      <c r="P16" s="10">
        <v>1</v>
      </c>
      <c r="Q16" s="10">
        <v>0</v>
      </c>
      <c r="R16" s="11">
        <v>1230308</v>
      </c>
      <c r="S16" s="11">
        <v>300004</v>
      </c>
    </row>
    <row r="17" spans="1:19" x14ac:dyDescent="0.25">
      <c r="A17" s="3">
        <v>45392</v>
      </c>
      <c r="B17" s="5">
        <v>61046</v>
      </c>
      <c r="C17" s="8">
        <v>934</v>
      </c>
      <c r="D17" s="5" t="s">
        <v>27</v>
      </c>
      <c r="E17" s="8">
        <v>0</v>
      </c>
      <c r="F17" s="8">
        <v>0</v>
      </c>
      <c r="G17" s="8">
        <v>9249809</v>
      </c>
      <c r="H17" s="8">
        <v>51724</v>
      </c>
      <c r="I17" s="8">
        <v>177</v>
      </c>
      <c r="J17" s="5" t="s">
        <v>44</v>
      </c>
      <c r="K17" s="8"/>
      <c r="L17" s="10">
        <v>285</v>
      </c>
      <c r="M17" s="10">
        <v>1</v>
      </c>
      <c r="N17" s="10">
        <v>0</v>
      </c>
      <c r="O17" s="10">
        <v>0</v>
      </c>
      <c r="P17" s="10">
        <v>285</v>
      </c>
      <c r="Q17" s="10">
        <v>0</v>
      </c>
      <c r="R17" s="11"/>
      <c r="S17" s="11"/>
    </row>
    <row r="18" spans="1:19" x14ac:dyDescent="0.25">
      <c r="B18" s="4"/>
    </row>
  </sheetData>
  <pageMargins left="0.78740157499999996" right="0.78740157499999996" top="0.984251969" bottom="0.984251969" header="0.4921259845" footer="0.492125984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 x14ac:dyDescent="0.25"/>
  <cols>
    <col min="1" max="2" width="20.7109375" customWidth="1"/>
  </cols>
  <sheetData>
    <row r="1" spans="1:2" x14ac:dyDescent="0.25">
      <c r="A1" s="12" t="s">
        <v>45</v>
      </c>
    </row>
    <row r="2" spans="1:2" x14ac:dyDescent="0.25">
      <c r="A2" s="6" t="s">
        <v>46</v>
      </c>
      <c r="B2" s="7" t="str">
        <f>"1 - 1"</f>
        <v>1 - 1</v>
      </c>
    </row>
    <row r="3" spans="1:2" x14ac:dyDescent="0.25">
      <c r="A3" s="6" t="s">
        <v>47</v>
      </c>
      <c r="B3" s="7" t="str">
        <f>"101 - 101"</f>
        <v>101 - 101</v>
      </c>
    </row>
    <row r="4" spans="1:2" x14ac:dyDescent="0.25">
      <c r="A4" s="6" t="s">
        <v>48</v>
      </c>
      <c r="B4" s="7" t="str">
        <f>"394 - 394"</f>
        <v>394 - 394</v>
      </c>
    </row>
    <row r="5" spans="1:2" x14ac:dyDescent="0.25">
      <c r="A5" s="6" t="s">
        <v>26</v>
      </c>
      <c r="B5" s="7" t="str">
        <f>"1 - 1"</f>
        <v>1 - 1</v>
      </c>
    </row>
    <row r="6" spans="1:2" x14ac:dyDescent="0.25">
      <c r="A6" s="6" t="s">
        <v>49</v>
      </c>
      <c r="B6" s="7" t="str">
        <f>"29/08/2023 - 31/12/2024"</f>
        <v>29/08/2023 - 31/12/2024</v>
      </c>
    </row>
    <row r="9" spans="1:2" x14ac:dyDescent="0.25">
      <c r="A9" s="12" t="s">
        <v>50</v>
      </c>
    </row>
    <row r="10" spans="1:2" x14ac:dyDescent="0.25">
      <c r="A10" s="6" t="s">
        <v>51</v>
      </c>
      <c r="B10" s="5" t="s">
        <v>21</v>
      </c>
    </row>
    <row r="13" spans="1:2" x14ac:dyDescent="0.25">
      <c r="A13" s="12" t="s">
        <v>52</v>
      </c>
    </row>
    <row r="14" spans="1:2" x14ac:dyDescent="0.25">
      <c r="A14" s="6" t="s">
        <v>53</v>
      </c>
      <c r="B14" s="5" t="s">
        <v>54</v>
      </c>
    </row>
    <row r="15" spans="1:2" x14ac:dyDescent="0.25">
      <c r="A15" s="6" t="s">
        <v>55</v>
      </c>
      <c r="B15" s="5" t="s">
        <v>56</v>
      </c>
    </row>
    <row r="16" spans="1:2" x14ac:dyDescent="0.25">
      <c r="A16" s="6" t="s">
        <v>57</v>
      </c>
      <c r="B16" s="5" t="s">
        <v>56</v>
      </c>
    </row>
    <row r="19" spans="1:2" x14ac:dyDescent="0.25">
      <c r="A19" s="12" t="s">
        <v>58</v>
      </c>
    </row>
    <row r="20" spans="1:2" x14ac:dyDescent="0.25">
      <c r="A20" s="6" t="s">
        <v>59</v>
      </c>
      <c r="B20" s="5" t="s">
        <v>60</v>
      </c>
    </row>
    <row r="21" spans="1:2" x14ac:dyDescent="0.25">
      <c r="A21" s="6" t="s">
        <v>61</v>
      </c>
      <c r="B21" s="5" t="s">
        <v>62</v>
      </c>
    </row>
  </sheetData>
  <pageMargins left="0.78740157499999996" right="0.78740157499999996" top="0.984251969" bottom="0.984251969" header="0.4921259845" footer="0.4921259845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609AF9-9AB3-408D-A6C8-657F4D14F073}"/>
</file>

<file path=customXml/itemProps2.xml><?xml version="1.0" encoding="utf-8"?>
<ds:datastoreItem xmlns:ds="http://schemas.openxmlformats.org/officeDocument/2006/customXml" ds:itemID="{8FB0E2FC-223B-4733-9AF5-2355A1BD6773}"/>
</file>

<file path=customXml/itemProps3.xml><?xml version="1.0" encoding="utf-8"?>
<ds:datastoreItem xmlns:ds="http://schemas.openxmlformats.org/officeDocument/2006/customXml" ds:itemID="{4F1A8A45-6BF6-4616-A6AA-C2B3CB35C0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Verba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Rocha - Softwaredev</cp:lastModifiedBy>
  <dcterms:created xsi:type="dcterms:W3CDTF">2024-06-04T14:52:24Z</dcterms:created>
  <dcterms:modified xsi:type="dcterms:W3CDTF">2024-06-04T14:52:25Z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