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970A5866-975C-45AC-84F9-34D16C2F26A2}" xr6:coauthVersionLast="47" xr6:coauthVersionMax="47" xr10:uidLastSave="{00000000-0000-0000-0000-000000000000}"/>
  <bookViews>
    <workbookView xWindow="-120" yWindow="-120" windowWidth="29040" windowHeight="15840" xr2:uid="{023E9860-18D8-4444-B5DF-BAE28434E6B8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</calcChain>
</file>

<file path=xl/sharedStrings.xml><?xml version="1.0" encoding="utf-8"?>
<sst xmlns="http://schemas.openxmlformats.org/spreadsheetml/2006/main" count="88" uniqueCount="6">
  <si>
    <t>Centro de Custo</t>
  </si>
  <si>
    <t>Título</t>
  </si>
  <si>
    <t>Inic Valid</t>
  </si>
  <si>
    <t>Fim Valid</t>
  </si>
  <si>
    <t>01/01/0001</t>
  </si>
  <si>
    <t>01/01/1800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</si>
</sst>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1" xfId="0" applyBorder="1"/>
    <xf numFmtId="0" fontId="0" fillId="0" borderId="12" xfId="0" applyBorder="1"/>
    <xf numFmtId="14" fontId="0" fillId="0" borderId="12" xfId="0" applyNumberFormat="1" applyBorder="1" applyAlignment="1">
      <alignment horizontal="right"/>
    </xf>
    <xf numFmtId="14" fontId="0" fillId="0" borderId="13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14" fontId="0" fillId="0" borderId="15" xfId="0" applyNumberFormat="1" applyBorder="1" applyAlignment="1">
      <alignment horizontal="right"/>
    </xf>
    <xf numFmtId="14" fontId="0" fillId="0" borderId="16" xfId="0" applyNumberFormat="1" applyBorder="1" applyAlignment="1">
      <alignment horizontal="right"/>
    </xf>
    <xf numFmtId="0" fontId="16" fillId="33" borderId="10" xfId="0" applyFont="1" applyFill="1" applyBorder="1"/>
    <xf numFmtId="0" fontId="16" fillId="33" borderId="17" xfId="0" applyFont="1" applyFill="1" applyBorder="1"/>
    <xf numFmtId="0" fontId="16" fillId="33" borderId="17" xfId="0" applyFont="1" applyFill="1" applyBorder="1" applyAlignment="1">
      <alignment horizontal="right"/>
    </xf>
    <xf numFmtId="0" fontId="16" fillId="33" borderId="18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9904-8324-465E-A0E6-84D068F4CAAE}">
  <dimension ref="A1:D140"/>
  <sheetViews>
    <sheetView tabSelected="1" workbookViewId="0"/>
  </sheetViews>
  <sheetFormatPr defaultRowHeight="15" x14ac:dyDescent="0.25"/>
  <cols>
    <col min="1" max="1" width="21.85546875" bestFit="1" customWidth="1"/>
    <col min="2" max="2" width="37.7109375" bestFit="1" customWidth="1"/>
    <col min="3" max="4" width="10.7109375" bestFit="1" customWidth="1"/>
  </cols>
  <sheetData>
    <row r="1" spans="1:4" ht="15.75" thickBot="1" x14ac:dyDescent="0.3">
      <c r="A1" s="9" t="s">
        <v>0</v>
      </c>
      <c r="B1" s="10" t="s">
        <v>1</v>
      </c>
      <c r="C1" s="11" t="s">
        <v>2</v>
      </c>
      <c r="D1" s="12" t="s">
        <v>3</v>
      </c>
    </row>
    <row r="2" spans="1:4" x14ac:dyDescent="0.25">
      <c r="A2" s="1" t="str">
        <f>"1.00.0.00"</f>
        <v>1.00.0.00</v>
      </c>
      <c r="B2" s="2" t="str">
        <f>"DESPESAS"</f>
        <v>DESPESAS</v>
      </c>
      <c r="C2" s="3" t="s">
        <v>4</v>
      </c>
      <c r="D2" s="4">
        <v>2958465</v>
      </c>
    </row>
    <row r="3" spans="1:4" x14ac:dyDescent="0.25">
      <c r="A3" s="1" t="str">
        <f>"1.11.0.00"</f>
        <v>1.11.0.00</v>
      </c>
      <c r="B3" s="2" t="str">
        <f>"ADMINISTRATIVAS"</f>
        <v>ADMINISTRATIVAS</v>
      </c>
      <c r="C3" s="3" t="s">
        <v>4</v>
      </c>
      <c r="D3" s="4">
        <v>2958465</v>
      </c>
    </row>
    <row r="4" spans="1:4" x14ac:dyDescent="0.25">
      <c r="A4" s="1" t="str">
        <f>"1.11.1.00"</f>
        <v>1.11.1.00</v>
      </c>
      <c r="B4" s="2" t="str">
        <f>"UNIDADE PAPEL"</f>
        <v>UNIDADE PAPEL</v>
      </c>
      <c r="C4" s="3" t="s">
        <v>4</v>
      </c>
      <c r="D4" s="4">
        <v>2958465</v>
      </c>
    </row>
    <row r="5" spans="1:4" x14ac:dyDescent="0.25">
      <c r="A5" s="1" t="str">
        <f>"1.11.1.01"</f>
        <v>1.11.1.01</v>
      </c>
      <c r="B5" s="2" t="str">
        <f>"Diretoria administrativa financeira"</f>
        <v>Diretoria administrativa financeira</v>
      </c>
      <c r="C5" s="3">
        <v>40909</v>
      </c>
      <c r="D5" s="4">
        <v>2958465</v>
      </c>
    </row>
    <row r="6" spans="1:4" x14ac:dyDescent="0.25">
      <c r="A6" s="1" t="str">
        <f>"1.11.1.02"</f>
        <v>1.11.1.02</v>
      </c>
      <c r="B6" s="2" t="str">
        <f>"Controladoria e financas"</f>
        <v>Controladoria e financas</v>
      </c>
      <c r="C6" s="3">
        <v>40909</v>
      </c>
      <c r="D6" s="4">
        <v>2958465</v>
      </c>
    </row>
    <row r="7" spans="1:4" x14ac:dyDescent="0.25">
      <c r="A7" s="1" t="str">
        <f>"1.11.1.03"</f>
        <v>1.11.1.03</v>
      </c>
      <c r="B7" s="2" t="str">
        <f>"Informatica"</f>
        <v>Informatica</v>
      </c>
      <c r="C7" s="3">
        <v>40909</v>
      </c>
      <c r="D7" s="4">
        <v>2958465</v>
      </c>
    </row>
    <row r="8" spans="1:4" x14ac:dyDescent="0.25">
      <c r="A8" s="1" t="str">
        <f>"1.11.1.04"</f>
        <v>1.11.1.04</v>
      </c>
      <c r="B8" s="2" t="str">
        <f>"Recursos humanos"</f>
        <v>Recursos humanos</v>
      </c>
      <c r="C8" s="3">
        <v>36526</v>
      </c>
      <c r="D8" s="4">
        <v>2958465</v>
      </c>
    </row>
    <row r="9" spans="1:4" x14ac:dyDescent="0.25">
      <c r="A9" s="1" t="str">
        <f>"1.11.1.05"</f>
        <v>1.11.1.05</v>
      </c>
      <c r="B9" s="2" t="str">
        <f>"Logistica e almoxarifado"</f>
        <v>Logistica e almoxarifado</v>
      </c>
      <c r="C9" s="3">
        <v>40909</v>
      </c>
      <c r="D9" s="4">
        <v>2958465</v>
      </c>
    </row>
    <row r="10" spans="1:4" x14ac:dyDescent="0.25">
      <c r="A10" s="1" t="str">
        <f>"1.11.1.06"</f>
        <v>1.11.1.06</v>
      </c>
      <c r="B10" s="2" t="str">
        <f>"Seguranca do trabalho"</f>
        <v>Seguranca do trabalho</v>
      </c>
      <c r="C10" s="3" t="s">
        <v>4</v>
      </c>
      <c r="D10" s="4">
        <v>2958465</v>
      </c>
    </row>
    <row r="11" spans="1:4" x14ac:dyDescent="0.25">
      <c r="A11" s="1" t="str">
        <f>"1.11.1.07"</f>
        <v>1.11.1.07</v>
      </c>
      <c r="B11" s="2" t="str">
        <f>"Compras"</f>
        <v>Compras</v>
      </c>
      <c r="C11" s="3" t="s">
        <v>4</v>
      </c>
      <c r="D11" s="4">
        <v>2958465</v>
      </c>
    </row>
    <row r="12" spans="1:4" x14ac:dyDescent="0.25">
      <c r="A12" s="1" t="str">
        <f>"1.11.1.08"</f>
        <v>1.11.1.08</v>
      </c>
      <c r="B12" s="2" t="str">
        <f>"Projeto melhoria continua"</f>
        <v>Projeto melhoria continua</v>
      </c>
      <c r="C12" s="3" t="s">
        <v>4</v>
      </c>
      <c r="D12" s="4">
        <v>43100</v>
      </c>
    </row>
    <row r="13" spans="1:4" x14ac:dyDescent="0.25">
      <c r="A13" s="1" t="str">
        <f>"1.11.1.09"</f>
        <v>1.11.1.09</v>
      </c>
      <c r="B13" s="2" t="str">
        <f>"Desenvolvimento de processos - INOVES"</f>
        <v>Desenvolvimento de processos - INOVES</v>
      </c>
      <c r="C13" s="3">
        <v>36526</v>
      </c>
      <c r="D13" s="4">
        <v>401768</v>
      </c>
    </row>
    <row r="14" spans="1:4" x14ac:dyDescent="0.25">
      <c r="A14" s="1" t="str">
        <f>"1.11.1.45"</f>
        <v>1.11.1.45</v>
      </c>
      <c r="B14" s="2" t="str">
        <f>"Equipamentos de apoio e utilidades"</f>
        <v>Equipamentos de apoio e utilidades</v>
      </c>
      <c r="C14" s="3">
        <v>40909</v>
      </c>
      <c r="D14" s="4">
        <v>2958465</v>
      </c>
    </row>
    <row r="15" spans="1:4" x14ac:dyDescent="0.25">
      <c r="A15" s="1" t="str">
        <f>"1.11.1.46"</f>
        <v>1.11.1.46</v>
      </c>
      <c r="B15" s="2" t="str">
        <f>"Manutencao predial"</f>
        <v>Manutencao predial</v>
      </c>
      <c r="C15" s="3" t="s">
        <v>4</v>
      </c>
      <c r="D15" s="4">
        <v>42855</v>
      </c>
    </row>
    <row r="16" spans="1:4" x14ac:dyDescent="0.25">
      <c r="A16" s="1" t="str">
        <f>"1.11.1.48"</f>
        <v>1.11.1.48</v>
      </c>
      <c r="B16" s="2" t="str">
        <f>"Medicina do Trabalho"</f>
        <v>Medicina do Trabalho</v>
      </c>
      <c r="C16" s="3">
        <v>42736</v>
      </c>
      <c r="D16" s="4">
        <v>2958465</v>
      </c>
    </row>
    <row r="17" spans="1:4" x14ac:dyDescent="0.25">
      <c r="A17" s="1" t="str">
        <f>"1.11.1.49"</f>
        <v>1.11.1.49</v>
      </c>
      <c r="B17" s="2" t="str">
        <f>"Patrimonial e Eventos"</f>
        <v>Patrimonial e Eventos</v>
      </c>
      <c r="C17" s="3">
        <v>43101</v>
      </c>
      <c r="D17" s="4">
        <v>2958465</v>
      </c>
    </row>
    <row r="18" spans="1:4" x14ac:dyDescent="0.25">
      <c r="A18" s="1" t="str">
        <f>"1.11.1.50"</f>
        <v>1.11.1.50</v>
      </c>
      <c r="B18" s="2" t="str">
        <f>"Gastos centralizados Codiv-19"</f>
        <v>Gastos centralizados Codiv-19</v>
      </c>
      <c r="C18" s="3">
        <v>43831</v>
      </c>
      <c r="D18" s="4">
        <v>2958465</v>
      </c>
    </row>
    <row r="19" spans="1:4" x14ac:dyDescent="0.25">
      <c r="A19" s="1" t="str">
        <f>"1.11.1.51"</f>
        <v>1.11.1.51</v>
      </c>
      <c r="B19" s="2" t="str">
        <f>"S&amp;OP"</f>
        <v>S&amp;OP</v>
      </c>
      <c r="C19" s="3">
        <v>44287</v>
      </c>
      <c r="D19" s="4">
        <v>2958465</v>
      </c>
    </row>
    <row r="20" spans="1:4" x14ac:dyDescent="0.25">
      <c r="A20" s="1" t="str">
        <f>"1.11.1.52"</f>
        <v>1.11.1.52</v>
      </c>
      <c r="B20" s="2" t="str">
        <f>"Projeto Ksoft"</f>
        <v>Projeto Ksoft</v>
      </c>
      <c r="C20" s="3">
        <v>45292</v>
      </c>
      <c r="D20" s="4">
        <v>2958465</v>
      </c>
    </row>
    <row r="21" spans="1:4" x14ac:dyDescent="0.25">
      <c r="A21" s="1" t="str">
        <f>"1.11.3.00"</f>
        <v>1.11.3.00</v>
      </c>
      <c r="B21" s="2" t="str">
        <f>"UNIDADE TINTAS"</f>
        <v>UNIDADE TINTAS</v>
      </c>
      <c r="C21" s="3" t="s">
        <v>4</v>
      </c>
      <c r="D21" s="4">
        <v>2958465</v>
      </c>
    </row>
    <row r="22" spans="1:4" x14ac:dyDescent="0.25">
      <c r="A22" s="1" t="str">
        <f>"1.11.3.01"</f>
        <v>1.11.3.01</v>
      </c>
      <c r="B22" s="2" t="str">
        <f>"Diretoria administrativa financeira"</f>
        <v>Diretoria administrativa financeira</v>
      </c>
      <c r="C22" s="3" t="s">
        <v>4</v>
      </c>
      <c r="D22" s="4">
        <v>42855</v>
      </c>
    </row>
    <row r="23" spans="1:4" x14ac:dyDescent="0.25">
      <c r="A23" s="1" t="str">
        <f>"1.11.3.02"</f>
        <v>1.11.3.02</v>
      </c>
      <c r="B23" s="2" t="str">
        <f>"Controladoria e financas"</f>
        <v>Controladoria e financas</v>
      </c>
      <c r="C23" s="3" t="s">
        <v>4</v>
      </c>
      <c r="D23" s="4">
        <v>42613</v>
      </c>
    </row>
    <row r="24" spans="1:4" x14ac:dyDescent="0.25">
      <c r="A24" s="1" t="str">
        <f>"1.11.3.03"</f>
        <v>1.11.3.03</v>
      </c>
      <c r="B24" s="2" t="str">
        <f>"Informatica"</f>
        <v>Informatica</v>
      </c>
      <c r="C24" s="3" t="s">
        <v>4</v>
      </c>
      <c r="D24" s="4">
        <v>42855</v>
      </c>
    </row>
    <row r="25" spans="1:4" x14ac:dyDescent="0.25">
      <c r="A25" s="1" t="str">
        <f>"1.11.3.04"</f>
        <v>1.11.3.04</v>
      </c>
      <c r="B25" s="2" t="str">
        <f>"Recursos humanos"</f>
        <v>Recursos humanos</v>
      </c>
      <c r="C25" s="3" t="s">
        <v>4</v>
      </c>
      <c r="D25" s="4">
        <v>42855</v>
      </c>
    </row>
    <row r="26" spans="1:4" x14ac:dyDescent="0.25">
      <c r="A26" s="1" t="str">
        <f>"1.11.3.05"</f>
        <v>1.11.3.05</v>
      </c>
      <c r="B26" s="2" t="str">
        <f>"Logistica e almoxarifado"</f>
        <v>Logistica e almoxarifado</v>
      </c>
      <c r="C26" s="3" t="s">
        <v>4</v>
      </c>
      <c r="D26" s="4">
        <v>42855</v>
      </c>
    </row>
    <row r="27" spans="1:4" x14ac:dyDescent="0.25">
      <c r="A27" s="1" t="str">
        <f>"1.11.4.00"</f>
        <v>1.11.4.00</v>
      </c>
      <c r="B27" s="2" t="str">
        <f>"UNIDADE IMPREGNACAO"</f>
        <v>UNIDADE IMPREGNACAO</v>
      </c>
      <c r="C27" s="3" t="s">
        <v>4</v>
      </c>
      <c r="D27" s="4">
        <v>2958465</v>
      </c>
    </row>
    <row r="28" spans="1:4" x14ac:dyDescent="0.25">
      <c r="A28" s="1" t="str">
        <f>"1.11.4.01"</f>
        <v>1.11.4.01</v>
      </c>
      <c r="B28" s="2" t="str">
        <f>"Diretoria administrativa financeira"</f>
        <v>Diretoria administrativa financeira</v>
      </c>
      <c r="C28" s="3" t="s">
        <v>4</v>
      </c>
      <c r="D28" s="4">
        <v>42855</v>
      </c>
    </row>
    <row r="29" spans="1:4" x14ac:dyDescent="0.25">
      <c r="A29" s="1" t="str">
        <f>"1.11.4.02"</f>
        <v>1.11.4.02</v>
      </c>
      <c r="B29" s="2" t="str">
        <f>"Controladoria e financas"</f>
        <v>Controladoria e financas</v>
      </c>
      <c r="C29" s="3" t="s">
        <v>4</v>
      </c>
      <c r="D29" s="4">
        <v>42855</v>
      </c>
    </row>
    <row r="30" spans="1:4" x14ac:dyDescent="0.25">
      <c r="A30" s="1" t="str">
        <f>"1.11.4.03"</f>
        <v>1.11.4.03</v>
      </c>
      <c r="B30" s="2" t="str">
        <f>"Informatica"</f>
        <v>Informatica</v>
      </c>
      <c r="C30" s="3" t="s">
        <v>4</v>
      </c>
      <c r="D30" s="4">
        <v>42855</v>
      </c>
    </row>
    <row r="31" spans="1:4" x14ac:dyDescent="0.25">
      <c r="A31" s="1" t="str">
        <f>"1.11.4.04"</f>
        <v>1.11.4.04</v>
      </c>
      <c r="B31" s="2" t="str">
        <f>"Recursos humanos"</f>
        <v>Recursos humanos</v>
      </c>
      <c r="C31" s="3" t="s">
        <v>4</v>
      </c>
      <c r="D31" s="4">
        <v>42855</v>
      </c>
    </row>
    <row r="32" spans="1:4" x14ac:dyDescent="0.25">
      <c r="A32" s="1" t="str">
        <f>"1.11.4.05"</f>
        <v>1.11.4.05</v>
      </c>
      <c r="B32" s="2" t="str">
        <f>"Logistica e almoxarifado"</f>
        <v>Logistica e almoxarifado</v>
      </c>
      <c r="C32" s="3" t="s">
        <v>4</v>
      </c>
      <c r="D32" s="4">
        <v>43039</v>
      </c>
    </row>
    <row r="33" spans="1:4" x14ac:dyDescent="0.25">
      <c r="A33" s="1" t="str">
        <f>"1.12.1.23"</f>
        <v>1.12.1.23</v>
      </c>
      <c r="B33" s="2" t="str">
        <f>"teste de materiais"</f>
        <v>teste de materiais</v>
      </c>
      <c r="C33" s="3" t="s">
        <v>4</v>
      </c>
      <c r="D33" s="4">
        <v>42369</v>
      </c>
    </row>
    <row r="34" spans="1:4" x14ac:dyDescent="0.25">
      <c r="A34" s="1" t="str">
        <f>"1.13.0.00"</f>
        <v>1.13.0.00</v>
      </c>
      <c r="B34" s="2" t="str">
        <f>"COMERCIAIS"</f>
        <v>COMERCIAIS</v>
      </c>
      <c r="C34" s="3" t="s">
        <v>4</v>
      </c>
      <c r="D34" s="4">
        <v>2958465</v>
      </c>
    </row>
    <row r="35" spans="1:4" x14ac:dyDescent="0.25">
      <c r="A35" s="1" t="str">
        <f>"1.13.1.00"</f>
        <v>1.13.1.00</v>
      </c>
      <c r="B35" s="2" t="str">
        <f>"UNIDADE PAPEL"</f>
        <v>UNIDADE PAPEL</v>
      </c>
      <c r="C35" s="3" t="s">
        <v>4</v>
      </c>
      <c r="D35" s="4">
        <v>2958465</v>
      </c>
    </row>
    <row r="36" spans="1:4" x14ac:dyDescent="0.25">
      <c r="A36" s="1" t="str">
        <f>"1.13.1.20"</f>
        <v>1.13.1.20</v>
      </c>
      <c r="B36" s="2" t="str">
        <f>"Diretoria Geral"</f>
        <v>Diretoria Geral</v>
      </c>
      <c r="C36" s="3">
        <v>42736</v>
      </c>
      <c r="D36" s="4">
        <v>2958465</v>
      </c>
    </row>
    <row r="37" spans="1:4" x14ac:dyDescent="0.25">
      <c r="A37" s="1" t="str">
        <f>"1.13.1.21"</f>
        <v>1.13.1.21</v>
      </c>
      <c r="B37" s="2" t="str">
        <f>"Diretoria comercial"</f>
        <v>Diretoria comercial</v>
      </c>
      <c r="C37" s="3" t="s">
        <v>4</v>
      </c>
      <c r="D37" s="4">
        <v>2958465</v>
      </c>
    </row>
    <row r="38" spans="1:4" x14ac:dyDescent="0.25">
      <c r="A38" s="1" t="str">
        <f>"1.13.1.22"</f>
        <v>1.13.1.22</v>
      </c>
      <c r="B38" s="2" t="str">
        <f>"Exportacao"</f>
        <v>Exportacao</v>
      </c>
      <c r="C38" s="3" t="s">
        <v>4</v>
      </c>
      <c r="D38" s="4">
        <v>43100</v>
      </c>
    </row>
    <row r="39" spans="1:4" x14ac:dyDescent="0.25">
      <c r="A39" s="1" t="str">
        <f>"1.13.1.23"</f>
        <v>1.13.1.23</v>
      </c>
      <c r="B39" s="2" t="str">
        <f>"Marketing"</f>
        <v>Marketing</v>
      </c>
      <c r="C39" s="3">
        <v>41275</v>
      </c>
      <c r="D39" s="4">
        <v>2958465</v>
      </c>
    </row>
    <row r="40" spans="1:4" x14ac:dyDescent="0.25">
      <c r="A40" s="1" t="str">
        <f>"1.13.1.24"</f>
        <v>1.13.1.24</v>
      </c>
      <c r="B40" s="2" t="str">
        <f>"Administracao de vendas"</f>
        <v>Administracao de vendas</v>
      </c>
      <c r="C40" s="3" t="s">
        <v>4</v>
      </c>
      <c r="D40" s="4">
        <v>2958465</v>
      </c>
    </row>
    <row r="41" spans="1:4" x14ac:dyDescent="0.25">
      <c r="A41" s="1" t="str">
        <f>"1.13.1.25"</f>
        <v>1.13.1.25</v>
      </c>
      <c r="B41" s="2" t="str">
        <f>"Lab Machine"</f>
        <v>Lab Machine</v>
      </c>
      <c r="C41" s="3">
        <v>40909</v>
      </c>
      <c r="D41" s="4">
        <v>2958465</v>
      </c>
    </row>
    <row r="42" spans="1:4" x14ac:dyDescent="0.25">
      <c r="A42" s="1" t="str">
        <f>"1.13.1.26"</f>
        <v>1.13.1.26</v>
      </c>
      <c r="B42" s="2" t="str">
        <f>"Design center"</f>
        <v>Design center</v>
      </c>
      <c r="C42" s="3" t="s">
        <v>4</v>
      </c>
      <c r="D42" s="4">
        <v>2958465</v>
      </c>
    </row>
    <row r="43" spans="1:4" x14ac:dyDescent="0.25">
      <c r="A43" s="1" t="str">
        <f>"1.13.1.27"</f>
        <v>1.13.1.27</v>
      </c>
      <c r="B43" s="2" t="str">
        <f>"Assistente diretorias"</f>
        <v>Assistente diretorias</v>
      </c>
      <c r="C43" s="3" t="s">
        <v>4</v>
      </c>
      <c r="D43" s="4">
        <v>2958465</v>
      </c>
    </row>
    <row r="44" spans="1:4" x14ac:dyDescent="0.25">
      <c r="A44" s="1" t="str">
        <f>"1.13.1.28"</f>
        <v>1.13.1.28</v>
      </c>
      <c r="B44" s="2" t="str">
        <f>"Consultoria design center"</f>
        <v>Consultoria design center</v>
      </c>
      <c r="C44" s="3" t="s">
        <v>4</v>
      </c>
      <c r="D44" s="4">
        <v>2958465</v>
      </c>
    </row>
    <row r="45" spans="1:4" x14ac:dyDescent="0.25">
      <c r="A45" s="1" t="str">
        <f>"1.13.1.29"</f>
        <v>1.13.1.29</v>
      </c>
      <c r="B45" s="2" t="str">
        <f>"Assistencia tecnica"</f>
        <v>Assistencia tecnica</v>
      </c>
      <c r="C45" s="3" t="s">
        <v>4</v>
      </c>
      <c r="D45" s="4">
        <v>2958465</v>
      </c>
    </row>
    <row r="46" spans="1:4" x14ac:dyDescent="0.25">
      <c r="A46" s="1" t="str">
        <f>"1.13.1.45"</f>
        <v>1.13.1.45</v>
      </c>
      <c r="B46" s="2" t="str">
        <f>"Equipamentos de apoio e utilidades"</f>
        <v>Equipamentos de apoio e utilidades</v>
      </c>
      <c r="C46" s="3" t="s">
        <v>4</v>
      </c>
      <c r="D46" s="4">
        <v>43100</v>
      </c>
    </row>
    <row r="47" spans="1:4" x14ac:dyDescent="0.25">
      <c r="A47" s="1" t="str">
        <f>"1.13.1.46"</f>
        <v>1.13.1.46</v>
      </c>
      <c r="B47" s="2" t="str">
        <f>"Manutencao predial"</f>
        <v>Manutencao predial</v>
      </c>
      <c r="C47" s="3" t="s">
        <v>4</v>
      </c>
      <c r="D47" s="4">
        <v>42855</v>
      </c>
    </row>
    <row r="48" spans="1:4" x14ac:dyDescent="0.25">
      <c r="A48" s="1" t="str">
        <f>"1.13.1.47"</f>
        <v>1.13.1.47</v>
      </c>
      <c r="B48" s="2" t="str">
        <f>"Projeto Portas"</f>
        <v>Projeto Portas</v>
      </c>
      <c r="C48" s="3">
        <v>43101</v>
      </c>
      <c r="D48" s="4">
        <v>2958465</v>
      </c>
    </row>
    <row r="49" spans="1:4" x14ac:dyDescent="0.25">
      <c r="A49" s="1" t="str">
        <f>"1.13.1.48"</f>
        <v>1.13.1.48</v>
      </c>
      <c r="B49" s="2" t="str">
        <f>"Administração de vendas II"</f>
        <v>Administração de vendas II</v>
      </c>
      <c r="C49" s="3">
        <v>44562</v>
      </c>
      <c r="D49" s="4">
        <v>44986</v>
      </c>
    </row>
    <row r="50" spans="1:4" x14ac:dyDescent="0.25">
      <c r="A50" s="1" t="str">
        <f>"1.13.1.49"</f>
        <v>1.13.1.49</v>
      </c>
      <c r="B50" s="2" t="str">
        <f>"Projeto Aditivos"</f>
        <v>Projeto Aditivos</v>
      </c>
      <c r="C50" s="3">
        <v>43831</v>
      </c>
      <c r="D50" s="4">
        <v>2958465</v>
      </c>
    </row>
    <row r="51" spans="1:4" x14ac:dyDescent="0.25">
      <c r="A51" s="1" t="str">
        <f>"1.13.3.00"</f>
        <v>1.13.3.00</v>
      </c>
      <c r="B51" s="2" t="str">
        <f>"UNIDADE TINTAS"</f>
        <v>UNIDADE TINTAS</v>
      </c>
      <c r="C51" s="3" t="s">
        <v>4</v>
      </c>
      <c r="D51" s="4">
        <v>2958465</v>
      </c>
    </row>
    <row r="52" spans="1:4" x14ac:dyDescent="0.25">
      <c r="A52" s="1" t="str">
        <f>"1.13.3.22"</f>
        <v>1.13.3.22</v>
      </c>
      <c r="B52" s="2" t="str">
        <f>"Importação e exportação tintas"</f>
        <v>Importação e exportação tintas</v>
      </c>
      <c r="C52" s="3" t="s">
        <v>4</v>
      </c>
      <c r="D52" s="4">
        <v>42855</v>
      </c>
    </row>
    <row r="53" spans="1:4" x14ac:dyDescent="0.25">
      <c r="A53" s="1" t="str">
        <f>"1.13.3.23"</f>
        <v>1.13.3.23</v>
      </c>
      <c r="B53" s="2" t="str">
        <f>"Marketing"</f>
        <v>Marketing</v>
      </c>
      <c r="C53" s="3" t="s">
        <v>4</v>
      </c>
      <c r="D53" s="4">
        <v>42855</v>
      </c>
    </row>
    <row r="54" spans="1:4" x14ac:dyDescent="0.25">
      <c r="A54" s="1" t="str">
        <f>"1.13.3.24"</f>
        <v>1.13.3.24</v>
      </c>
      <c r="B54" s="2" t="str">
        <f>"Administracao de vendas"</f>
        <v>Administracao de vendas</v>
      </c>
      <c r="C54" s="3" t="s">
        <v>4</v>
      </c>
      <c r="D54" s="4">
        <v>42855</v>
      </c>
    </row>
    <row r="55" spans="1:4" x14ac:dyDescent="0.25">
      <c r="A55" s="1" t="str">
        <f>"1.13.3.29"</f>
        <v>1.13.3.29</v>
      </c>
      <c r="B55" s="2" t="str">
        <f>"Assistencia tecnica"</f>
        <v>Assistencia tecnica</v>
      </c>
      <c r="C55" s="3" t="s">
        <v>4</v>
      </c>
      <c r="D55" s="4">
        <v>42855</v>
      </c>
    </row>
    <row r="56" spans="1:4" x14ac:dyDescent="0.25">
      <c r="A56" s="1" t="str">
        <f>"1.13.3.30"</f>
        <v>1.13.3.30</v>
      </c>
      <c r="B56" s="2" t="str">
        <f>"Gastos ampliação - showroom"</f>
        <v>Gastos ampliação - showroom</v>
      </c>
      <c r="C56" s="3">
        <v>44562</v>
      </c>
      <c r="D56" s="4">
        <v>46022</v>
      </c>
    </row>
    <row r="57" spans="1:4" x14ac:dyDescent="0.25">
      <c r="A57" s="1" t="str">
        <f>"1.13.4.00"</f>
        <v>1.13.4.00</v>
      </c>
      <c r="B57" s="2" t="str">
        <f>"UNIDADE IMPREGNACAO"</f>
        <v>UNIDADE IMPREGNACAO</v>
      </c>
      <c r="C57" s="3" t="s">
        <v>4</v>
      </c>
      <c r="D57" s="4">
        <v>2958465</v>
      </c>
    </row>
    <row r="58" spans="1:4" x14ac:dyDescent="0.25">
      <c r="A58" s="1" t="str">
        <f>"1.13.4.22"</f>
        <v>1.13.4.22</v>
      </c>
      <c r="B58" s="2" t="str">
        <f>"Importação e exportação"</f>
        <v>Importação e exportação</v>
      </c>
      <c r="C58" s="3" t="s">
        <v>4</v>
      </c>
      <c r="D58" s="4">
        <v>42855</v>
      </c>
    </row>
    <row r="59" spans="1:4" x14ac:dyDescent="0.25">
      <c r="A59" s="1" t="str">
        <f>"1.13.4.23"</f>
        <v>1.13.4.23</v>
      </c>
      <c r="B59" s="2" t="str">
        <f>"Marketing"</f>
        <v>Marketing</v>
      </c>
      <c r="C59" s="3" t="s">
        <v>4</v>
      </c>
      <c r="D59" s="4">
        <v>42855</v>
      </c>
    </row>
    <row r="60" spans="1:4" x14ac:dyDescent="0.25">
      <c r="A60" s="1" t="str">
        <f>"1.13.4.24"</f>
        <v>1.13.4.24</v>
      </c>
      <c r="B60" s="2" t="str">
        <f>"Administracao de vendas"</f>
        <v>Administracao de vendas</v>
      </c>
      <c r="C60" s="3" t="s">
        <v>4</v>
      </c>
      <c r="D60" s="4">
        <v>44742</v>
      </c>
    </row>
    <row r="61" spans="1:4" x14ac:dyDescent="0.25">
      <c r="A61" s="1" t="str">
        <f>"1.13.4.29"</f>
        <v>1.13.4.29</v>
      </c>
      <c r="B61" s="2" t="str">
        <f>"Assitencia tecnica"</f>
        <v>Assitencia tecnica</v>
      </c>
      <c r="C61" s="3" t="s">
        <v>4</v>
      </c>
      <c r="D61" s="4">
        <v>42855</v>
      </c>
    </row>
    <row r="62" spans="1:4" x14ac:dyDescent="0.25">
      <c r="A62" s="1" t="str">
        <f>"2.00.0.00"</f>
        <v>2.00.0.00</v>
      </c>
      <c r="B62" s="2" t="str">
        <f>"CUSTOS"</f>
        <v>CUSTOS</v>
      </c>
      <c r="C62" s="3" t="s">
        <v>4</v>
      </c>
      <c r="D62" s="4">
        <v>2958465</v>
      </c>
    </row>
    <row r="63" spans="1:4" x14ac:dyDescent="0.25">
      <c r="A63" s="1" t="str">
        <f>"2.21.0.00"</f>
        <v>2.21.0.00</v>
      </c>
      <c r="B63" s="2" t="str">
        <f>"CUSTOS INDIRETO"</f>
        <v>CUSTOS INDIRETO</v>
      </c>
      <c r="C63" s="3" t="s">
        <v>4</v>
      </c>
      <c r="D63" s="4">
        <v>2958465</v>
      </c>
    </row>
    <row r="64" spans="1:4" x14ac:dyDescent="0.25">
      <c r="A64" s="1" t="str">
        <f>"2.21.1.00"</f>
        <v>2.21.1.00</v>
      </c>
      <c r="B64" s="2" t="str">
        <f>"UNIDADE PAPEL"</f>
        <v>UNIDADE PAPEL</v>
      </c>
      <c r="C64" s="3" t="s">
        <v>4</v>
      </c>
      <c r="D64" s="4">
        <v>2958465</v>
      </c>
    </row>
    <row r="65" spans="1:4" x14ac:dyDescent="0.25">
      <c r="A65" s="1" t="str">
        <f>"2.21.1.01"</f>
        <v>2.21.1.01</v>
      </c>
      <c r="B65" s="2" t="str">
        <f>"Diretoria geral"</f>
        <v>Diretoria geral</v>
      </c>
      <c r="C65" s="3">
        <v>44927</v>
      </c>
      <c r="D65" s="4">
        <v>2958465</v>
      </c>
    </row>
    <row r="66" spans="1:4" x14ac:dyDescent="0.25">
      <c r="A66" s="1" t="str">
        <f>"2.21.1.03"</f>
        <v>2.21.1.03</v>
      </c>
      <c r="B66" s="2" t="str">
        <f>"Informatica"</f>
        <v>Informatica</v>
      </c>
      <c r="C66" s="3" t="s">
        <v>4</v>
      </c>
      <c r="D66" s="4">
        <v>43100</v>
      </c>
    </row>
    <row r="67" spans="1:4" x14ac:dyDescent="0.25">
      <c r="A67" s="1" t="str">
        <f>"2.21.1.04"</f>
        <v>2.21.1.04</v>
      </c>
      <c r="B67" s="2" t="str">
        <f>"Recursos humanos"</f>
        <v>Recursos humanos</v>
      </c>
      <c r="C67" s="3" t="s">
        <v>4</v>
      </c>
      <c r="D67" s="4">
        <v>43100</v>
      </c>
    </row>
    <row r="68" spans="1:4" x14ac:dyDescent="0.25">
      <c r="A68" s="1" t="str">
        <f>"2.21.1.05"</f>
        <v>2.21.1.05</v>
      </c>
      <c r="B68" s="2" t="str">
        <f>"Logistica e almoxarifado"</f>
        <v>Logistica e almoxarifado</v>
      </c>
      <c r="C68" s="3" t="s">
        <v>4</v>
      </c>
      <c r="D68" s="4">
        <v>43465</v>
      </c>
    </row>
    <row r="69" spans="1:4" x14ac:dyDescent="0.25">
      <c r="A69" s="1" t="str">
        <f>"2.21.1.06"</f>
        <v>2.21.1.06</v>
      </c>
      <c r="B69" s="2" t="str">
        <f>"Teste de materiais"</f>
        <v>Teste de materiais</v>
      </c>
      <c r="C69" s="3" t="s">
        <v>4</v>
      </c>
      <c r="D69" s="4">
        <v>45291</v>
      </c>
    </row>
    <row r="70" spans="1:4" x14ac:dyDescent="0.25">
      <c r="A70" s="1" t="str">
        <f>"2.21.1.40"</f>
        <v>2.21.1.40</v>
      </c>
      <c r="B70" s="2" t="str">
        <f>"Diretoria industrial"</f>
        <v>Diretoria industrial</v>
      </c>
      <c r="C70" s="3">
        <v>43466</v>
      </c>
      <c r="D70" s="4">
        <v>2958465</v>
      </c>
    </row>
    <row r="71" spans="1:4" x14ac:dyDescent="0.25">
      <c r="A71" s="1" t="str">
        <f>"2.21.1.41"</f>
        <v>2.21.1.41</v>
      </c>
      <c r="B71" s="2" t="str">
        <f>"Administracao de producao"</f>
        <v>Administracao de producao</v>
      </c>
      <c r="C71" s="3">
        <v>40909</v>
      </c>
      <c r="D71" s="4">
        <v>2958465</v>
      </c>
    </row>
    <row r="72" spans="1:4" x14ac:dyDescent="0.25">
      <c r="A72" s="1" t="str">
        <f>"2.21.1.42"</f>
        <v>2.21.1.42</v>
      </c>
      <c r="B72" s="2" t="str">
        <f>"Laboratorio"</f>
        <v>Laboratorio</v>
      </c>
      <c r="C72" s="3">
        <v>40909</v>
      </c>
      <c r="D72" s="4">
        <v>2958465</v>
      </c>
    </row>
    <row r="73" spans="1:4" x14ac:dyDescent="0.25">
      <c r="A73" s="1" t="str">
        <f>"2.21.1.43"</f>
        <v>2.21.1.43</v>
      </c>
      <c r="B73" s="2" t="str">
        <f>"Manutencao industrial"</f>
        <v>Manutencao industrial</v>
      </c>
      <c r="C73" s="3">
        <v>40909</v>
      </c>
      <c r="D73" s="4">
        <v>2958465</v>
      </c>
    </row>
    <row r="74" spans="1:4" x14ac:dyDescent="0.25">
      <c r="A74" s="1" t="str">
        <f>"2.21.1.44"</f>
        <v>2.21.1.44</v>
      </c>
      <c r="B74" s="2" t="str">
        <f>"Meio Ambiente"</f>
        <v>Meio Ambiente</v>
      </c>
      <c r="C74" s="3">
        <v>40909</v>
      </c>
      <c r="D74" s="4">
        <v>2958465</v>
      </c>
    </row>
    <row r="75" spans="1:4" x14ac:dyDescent="0.25">
      <c r="A75" s="1" t="str">
        <f>"2.21.1.45"</f>
        <v>2.21.1.45</v>
      </c>
      <c r="B75" s="2" t="str">
        <f>"Equipamentos de apoio e utilidades"</f>
        <v>Equipamentos de apoio e utilidades</v>
      </c>
      <c r="C75" s="3">
        <v>40909</v>
      </c>
      <c r="D75" s="4">
        <v>2958465</v>
      </c>
    </row>
    <row r="76" spans="1:4" x14ac:dyDescent="0.25">
      <c r="A76" s="1" t="str">
        <f>"2.21.1.46"</f>
        <v>2.21.1.46</v>
      </c>
      <c r="B76" s="2" t="str">
        <f>"Manutencao predial"</f>
        <v>Manutencao predial</v>
      </c>
      <c r="C76" s="3" t="s">
        <v>4</v>
      </c>
      <c r="D76" s="4">
        <v>42855</v>
      </c>
    </row>
    <row r="77" spans="1:4" x14ac:dyDescent="0.25">
      <c r="A77" s="1" t="str">
        <f>"2.21.1.47"</f>
        <v>2.21.1.47</v>
      </c>
      <c r="B77" s="2" t="str">
        <f>"Lavador de pecas"</f>
        <v>Lavador de pecas</v>
      </c>
      <c r="C77" s="3" t="s">
        <v>4</v>
      </c>
      <c r="D77" s="4">
        <v>2958465</v>
      </c>
    </row>
    <row r="78" spans="1:4" x14ac:dyDescent="0.25">
      <c r="A78" s="1" t="str">
        <f>"2.21.1.48"</f>
        <v>2.21.1.48</v>
      </c>
      <c r="B78" s="2" t="str">
        <f>"Pesquisa e desenvolvimento"</f>
        <v>Pesquisa e desenvolvimento</v>
      </c>
      <c r="C78" s="3" t="s">
        <v>4</v>
      </c>
      <c r="D78" s="4">
        <v>42855</v>
      </c>
    </row>
    <row r="79" spans="1:4" x14ac:dyDescent="0.25">
      <c r="A79" s="1" t="str">
        <f>"2.21.1.49"</f>
        <v>2.21.1.49</v>
      </c>
      <c r="B79" s="2" t="str">
        <f>"Engenharia de projeto"</f>
        <v>Engenharia de projeto</v>
      </c>
      <c r="C79" s="3" t="s">
        <v>4</v>
      </c>
      <c r="D79" s="4">
        <v>2958465</v>
      </c>
    </row>
    <row r="80" spans="1:4" x14ac:dyDescent="0.25">
      <c r="A80" s="1" t="str">
        <f>"2.21.1.50"</f>
        <v>2.21.1.50</v>
      </c>
      <c r="B80" s="2" t="str">
        <f>"PCP"</f>
        <v>PCP</v>
      </c>
      <c r="C80" s="3">
        <v>40909</v>
      </c>
      <c r="D80" s="4">
        <v>401768</v>
      </c>
    </row>
    <row r="81" spans="1:4" x14ac:dyDescent="0.25">
      <c r="A81" s="1" t="str">
        <f>"2.21.3.00"</f>
        <v>2.21.3.00</v>
      </c>
      <c r="B81" s="2" t="str">
        <f>"UNIDADE TINTAS"</f>
        <v>UNIDADE TINTAS</v>
      </c>
      <c r="C81" s="3" t="s">
        <v>4</v>
      </c>
      <c r="D81" s="4">
        <v>2958465</v>
      </c>
    </row>
    <row r="82" spans="1:4" x14ac:dyDescent="0.25">
      <c r="A82" s="1" t="str">
        <f>"2.21.3.03"</f>
        <v>2.21.3.03</v>
      </c>
      <c r="B82" s="2" t="str">
        <f>"Serviços de informatica"</f>
        <v>Serviços de informatica</v>
      </c>
      <c r="C82" s="3" t="s">
        <v>4</v>
      </c>
      <c r="D82" s="4">
        <v>42855</v>
      </c>
    </row>
    <row r="83" spans="1:4" x14ac:dyDescent="0.25">
      <c r="A83" s="1" t="str">
        <f>"2.21.3.04"</f>
        <v>2.21.3.04</v>
      </c>
      <c r="B83" s="2" t="str">
        <f>"Recursos humanos"</f>
        <v>Recursos humanos</v>
      </c>
      <c r="C83" s="3" t="s">
        <v>4</v>
      </c>
      <c r="D83" s="4">
        <v>42855</v>
      </c>
    </row>
    <row r="84" spans="1:4" x14ac:dyDescent="0.25">
      <c r="A84" s="1" t="str">
        <f>"2.21.3.41"</f>
        <v>2.21.3.41</v>
      </c>
      <c r="B84" s="2" t="str">
        <f>"Administracao de producao"</f>
        <v>Administracao de producao</v>
      </c>
      <c r="C84" s="3">
        <v>40909</v>
      </c>
      <c r="D84" s="4">
        <v>42855</v>
      </c>
    </row>
    <row r="85" spans="1:4" x14ac:dyDescent="0.25">
      <c r="A85" s="1" t="str">
        <f>"2.21.3.42"</f>
        <v>2.21.3.42</v>
      </c>
      <c r="B85" s="2" t="str">
        <f>"Laboratorio"</f>
        <v>Laboratorio</v>
      </c>
      <c r="C85" s="3" t="s">
        <v>4</v>
      </c>
      <c r="D85" s="4">
        <v>42855</v>
      </c>
    </row>
    <row r="86" spans="1:4" x14ac:dyDescent="0.25">
      <c r="A86" s="1" t="str">
        <f>"2.21.3.43"</f>
        <v>2.21.3.43</v>
      </c>
      <c r="B86" s="2" t="str">
        <f>"Manutencao industrial"</f>
        <v>Manutencao industrial</v>
      </c>
      <c r="C86" s="3" t="s">
        <v>4</v>
      </c>
      <c r="D86" s="4">
        <v>42855</v>
      </c>
    </row>
    <row r="87" spans="1:4" x14ac:dyDescent="0.25">
      <c r="A87" s="1" t="str">
        <f>"2.21.3.44"</f>
        <v>2.21.3.44</v>
      </c>
      <c r="B87" s="2" t="str">
        <f>"Estacao de tratamento"</f>
        <v>Estacao de tratamento</v>
      </c>
      <c r="C87" s="3" t="s">
        <v>4</v>
      </c>
      <c r="D87" s="4">
        <v>42855</v>
      </c>
    </row>
    <row r="88" spans="1:4" x14ac:dyDescent="0.25">
      <c r="A88" s="1" t="str">
        <f>"2.21.3.45"</f>
        <v>2.21.3.45</v>
      </c>
      <c r="B88" s="2" t="str">
        <f>"Equipamentos de apoio e utilidades"</f>
        <v>Equipamentos de apoio e utilidades</v>
      </c>
      <c r="C88" s="3" t="s">
        <v>4</v>
      </c>
      <c r="D88" s="4">
        <v>42855</v>
      </c>
    </row>
    <row r="89" spans="1:4" x14ac:dyDescent="0.25">
      <c r="A89" s="1" t="str">
        <f>"2.21.3.46"</f>
        <v>2.21.3.46</v>
      </c>
      <c r="B89" s="2" t="str">
        <f>"Manutencao predial"</f>
        <v>Manutencao predial</v>
      </c>
      <c r="C89" s="3" t="s">
        <v>4</v>
      </c>
      <c r="D89" s="4">
        <v>42855</v>
      </c>
    </row>
    <row r="90" spans="1:4" x14ac:dyDescent="0.25">
      <c r="A90" s="1" t="str">
        <f>"2.21.4.00"</f>
        <v>2.21.4.00</v>
      </c>
      <c r="B90" s="2" t="str">
        <f>"UNIDADE IMPREGNACAO"</f>
        <v>UNIDADE IMPREGNACAO</v>
      </c>
      <c r="C90" s="3" t="s">
        <v>4</v>
      </c>
      <c r="D90" s="4">
        <v>2958465</v>
      </c>
    </row>
    <row r="91" spans="1:4" x14ac:dyDescent="0.25">
      <c r="A91" s="1" t="str">
        <f>"2.21.4.04"</f>
        <v>2.21.4.04</v>
      </c>
      <c r="B91" s="2" t="str">
        <f>"Recursos humanos"</f>
        <v>Recursos humanos</v>
      </c>
      <c r="C91" s="3" t="s">
        <v>4</v>
      </c>
      <c r="D91" s="4">
        <v>42855</v>
      </c>
    </row>
    <row r="92" spans="1:4" x14ac:dyDescent="0.25">
      <c r="A92" s="1" t="str">
        <f>"2.21.4.41"</f>
        <v>2.21.4.41</v>
      </c>
      <c r="B92" s="2" t="str">
        <f>"Administracao de producao"</f>
        <v>Administracao de producao</v>
      </c>
      <c r="C92" s="3" t="s">
        <v>4</v>
      </c>
      <c r="D92" s="4">
        <v>42886</v>
      </c>
    </row>
    <row r="93" spans="1:4" x14ac:dyDescent="0.25">
      <c r="A93" s="1" t="str">
        <f>"2.21.4.42"</f>
        <v>2.21.4.42</v>
      </c>
      <c r="B93" s="2" t="str">
        <f>"Laboratorio"</f>
        <v>Laboratorio</v>
      </c>
      <c r="C93" s="3" t="s">
        <v>4</v>
      </c>
      <c r="D93" s="4">
        <v>42855</v>
      </c>
    </row>
    <row r="94" spans="1:4" x14ac:dyDescent="0.25">
      <c r="A94" s="1" t="str">
        <f>"2.21.4.43"</f>
        <v>2.21.4.43</v>
      </c>
      <c r="B94" s="2" t="str">
        <f>"Manutencao industrial"</f>
        <v>Manutencao industrial</v>
      </c>
      <c r="C94" s="3">
        <v>40909</v>
      </c>
      <c r="D94" s="4">
        <v>42855</v>
      </c>
    </row>
    <row r="95" spans="1:4" x14ac:dyDescent="0.25">
      <c r="A95" s="1" t="str">
        <f>"2.21.4.44"</f>
        <v>2.21.4.44</v>
      </c>
      <c r="B95" s="2" t="str">
        <f>"Estacao de tratamento"</f>
        <v>Estacao de tratamento</v>
      </c>
      <c r="C95" s="3">
        <v>40909</v>
      </c>
      <c r="D95" s="4">
        <v>42855</v>
      </c>
    </row>
    <row r="96" spans="1:4" x14ac:dyDescent="0.25">
      <c r="A96" s="1" t="str">
        <f>"2.21.4.45"</f>
        <v>2.21.4.45</v>
      </c>
      <c r="B96" s="2" t="str">
        <f>"Equipamento de apoio e utilidades"</f>
        <v>Equipamento de apoio e utilidades</v>
      </c>
      <c r="C96" s="3" t="s">
        <v>4</v>
      </c>
      <c r="D96" s="4">
        <v>42855</v>
      </c>
    </row>
    <row r="97" spans="1:4" x14ac:dyDescent="0.25">
      <c r="A97" s="1" t="str">
        <f>"2.21.4.46"</f>
        <v>2.21.4.46</v>
      </c>
      <c r="B97" s="2" t="str">
        <f>"Manutencao predial"</f>
        <v>Manutencao predial</v>
      </c>
      <c r="C97" s="3" t="s">
        <v>4</v>
      </c>
      <c r="D97" s="4">
        <v>42855</v>
      </c>
    </row>
    <row r="98" spans="1:4" x14ac:dyDescent="0.25">
      <c r="A98" s="1" t="str">
        <f>"2.21.4.50"</f>
        <v>2.21.4.50</v>
      </c>
      <c r="B98" s="2" t="str">
        <f>"PCP - Impregnação"</f>
        <v>PCP - Impregnação</v>
      </c>
      <c r="C98" s="3" t="s">
        <v>4</v>
      </c>
      <c r="D98" s="4">
        <v>42855</v>
      </c>
    </row>
    <row r="99" spans="1:4" x14ac:dyDescent="0.25">
      <c r="A99" s="1" t="str">
        <f>"2.22.0.00"</f>
        <v>2.22.0.00</v>
      </c>
      <c r="B99" s="2" t="str">
        <f>"CUSTOS DIRETO"</f>
        <v>CUSTOS DIRETO</v>
      </c>
      <c r="C99" s="3" t="s">
        <v>4</v>
      </c>
      <c r="D99" s="4">
        <v>2958465</v>
      </c>
    </row>
    <row r="100" spans="1:4" x14ac:dyDescent="0.25">
      <c r="A100" s="1" t="str">
        <f>"2.22.1.00"</f>
        <v>2.22.1.00</v>
      </c>
      <c r="B100" s="2" t="str">
        <f>"UNIDADE PAPEL"</f>
        <v>UNIDADE PAPEL</v>
      </c>
      <c r="C100" s="3" t="s">
        <v>4</v>
      </c>
      <c r="D100" s="4">
        <v>2958465</v>
      </c>
    </row>
    <row r="101" spans="1:4" x14ac:dyDescent="0.25">
      <c r="A101" s="1" t="str">
        <f>"2.22.1.60"</f>
        <v>2.22.1.60</v>
      </c>
      <c r="B101" s="2" t="str">
        <f>"Produção Papel"</f>
        <v>Produção Papel</v>
      </c>
      <c r="C101" s="3">
        <v>42736</v>
      </c>
      <c r="D101" s="4">
        <v>2958465</v>
      </c>
    </row>
    <row r="102" spans="1:4" x14ac:dyDescent="0.25">
      <c r="A102" s="1" t="str">
        <f>"2.22.1.61"</f>
        <v>2.22.1.61</v>
      </c>
      <c r="B102" s="2" t="str">
        <f>"Sala de tintas"</f>
        <v>Sala de tintas</v>
      </c>
      <c r="C102" s="3">
        <v>40909</v>
      </c>
      <c r="D102" s="4">
        <v>2958465</v>
      </c>
    </row>
    <row r="103" spans="1:4" x14ac:dyDescent="0.25">
      <c r="A103" s="1" t="str">
        <f>"2.22.1.62"</f>
        <v>2.22.1.62</v>
      </c>
      <c r="B103" s="2" t="str">
        <f>"Linha de impressao kosksiek I"</f>
        <v>Linha de impressao kosksiek I</v>
      </c>
      <c r="C103" s="3">
        <v>40909</v>
      </c>
      <c r="D103" s="4">
        <v>2958465</v>
      </c>
    </row>
    <row r="104" spans="1:4" x14ac:dyDescent="0.25">
      <c r="A104" s="1" t="str">
        <f>"2.22.1.63"</f>
        <v>2.22.1.63</v>
      </c>
      <c r="B104" s="2" t="str">
        <f>"Linha de impressao kocksiek II"</f>
        <v>Linha de impressao kocksiek II</v>
      </c>
      <c r="C104" s="3">
        <v>40909</v>
      </c>
      <c r="D104" s="4">
        <v>2958465</v>
      </c>
    </row>
    <row r="105" spans="1:4" x14ac:dyDescent="0.25">
      <c r="A105" s="1" t="str">
        <f>"2.22.1.64"</f>
        <v>2.22.1.64</v>
      </c>
      <c r="B105" s="2" t="str">
        <f>"Linha de impressao wemateck"</f>
        <v>Linha de impressao wemateck</v>
      </c>
      <c r="C105" s="3">
        <v>40909</v>
      </c>
      <c r="D105" s="4">
        <v>2958465</v>
      </c>
    </row>
    <row r="106" spans="1:4" x14ac:dyDescent="0.25">
      <c r="A106" s="1" t="str">
        <f>"2.22.1.65"</f>
        <v>2.22.1.65</v>
      </c>
      <c r="B106" s="2" t="str">
        <f>"Rebobinamento"</f>
        <v>Rebobinamento</v>
      </c>
      <c r="C106" s="3">
        <v>40909</v>
      </c>
      <c r="D106" s="4">
        <v>2958465</v>
      </c>
    </row>
    <row r="107" spans="1:4" x14ac:dyDescent="0.25">
      <c r="A107" s="1" t="str">
        <f>"2.22.1.66"</f>
        <v>2.22.1.66</v>
      </c>
      <c r="B107" s="2" t="str">
        <f>"Cilindros"</f>
        <v>Cilindros</v>
      </c>
      <c r="C107" s="3">
        <v>40909</v>
      </c>
      <c r="D107" s="4">
        <v>2958465</v>
      </c>
    </row>
    <row r="108" spans="1:4" x14ac:dyDescent="0.25">
      <c r="A108" s="1" t="str">
        <f>"2.22.1.67"</f>
        <v>2.22.1.67</v>
      </c>
      <c r="B108" s="2" t="str">
        <f>"Linha de Impressão Kocksiek IV"</f>
        <v>Linha de Impressão Kocksiek IV</v>
      </c>
      <c r="C108" s="3">
        <v>44562</v>
      </c>
      <c r="D108" s="4">
        <v>2958465</v>
      </c>
    </row>
    <row r="109" spans="1:4" x14ac:dyDescent="0.25">
      <c r="A109" s="1" t="str">
        <f>"2.22.1.68"</f>
        <v>2.22.1.68</v>
      </c>
      <c r="B109" s="2" t="str">
        <f>"Linha de impressão kocksiek III"</f>
        <v>Linha de impressão kocksiek III</v>
      </c>
      <c r="C109" s="3">
        <v>45292</v>
      </c>
      <c r="D109" s="4">
        <v>2958465</v>
      </c>
    </row>
    <row r="110" spans="1:4" x14ac:dyDescent="0.25">
      <c r="A110" s="1" t="str">
        <f>"2.22.3.00"</f>
        <v>2.22.3.00</v>
      </c>
      <c r="B110" s="2" t="str">
        <f>"UNIDADE TINTAS"</f>
        <v>UNIDADE TINTAS</v>
      </c>
      <c r="C110" s="3" t="s">
        <v>4</v>
      </c>
      <c r="D110" s="4">
        <v>2958465</v>
      </c>
    </row>
    <row r="111" spans="1:4" x14ac:dyDescent="0.25">
      <c r="A111" s="1" t="str">
        <f>"2.22.3.79"</f>
        <v>2.22.3.79</v>
      </c>
      <c r="B111" s="2" t="str">
        <f>"Produção tintas"</f>
        <v>Produção tintas</v>
      </c>
      <c r="C111" s="3">
        <v>42705</v>
      </c>
      <c r="D111" s="4">
        <v>2958465</v>
      </c>
    </row>
    <row r="112" spans="1:4" x14ac:dyDescent="0.25">
      <c r="A112" s="1" t="str">
        <f>"2.22.3.80"</f>
        <v>2.22.3.80</v>
      </c>
      <c r="B112" s="2" t="str">
        <f>"Dispersores"</f>
        <v>Dispersores</v>
      </c>
      <c r="C112" s="3" t="s">
        <v>4</v>
      </c>
      <c r="D112" s="4">
        <v>2958465</v>
      </c>
    </row>
    <row r="113" spans="1:4" x14ac:dyDescent="0.25">
      <c r="A113" s="1" t="str">
        <f>"2.22.3.81"</f>
        <v>2.22.3.81</v>
      </c>
      <c r="B113" s="2" t="str">
        <f>"Moinho"</f>
        <v>Moinho</v>
      </c>
      <c r="C113" s="3" t="s">
        <v>4</v>
      </c>
      <c r="D113" s="4">
        <v>2958465</v>
      </c>
    </row>
    <row r="114" spans="1:4" x14ac:dyDescent="0.25">
      <c r="A114" s="1" t="str">
        <f>"2.22.3.82"</f>
        <v>2.22.3.82</v>
      </c>
      <c r="B114" s="2" t="str">
        <f>"Embalagens tintas"</f>
        <v>Embalagens tintas</v>
      </c>
      <c r="C114" s="3" t="s">
        <v>4</v>
      </c>
      <c r="D114" s="4">
        <v>42855</v>
      </c>
    </row>
    <row r="115" spans="1:4" x14ac:dyDescent="0.25">
      <c r="A115" s="1" t="str">
        <f>"2.22.3.83"</f>
        <v>2.22.3.83</v>
      </c>
      <c r="B115" s="2" t="str">
        <f>"Reator"</f>
        <v>Reator</v>
      </c>
      <c r="C115" s="3" t="s">
        <v>4</v>
      </c>
      <c r="D115" s="4">
        <v>2958465</v>
      </c>
    </row>
    <row r="116" spans="1:4" x14ac:dyDescent="0.25">
      <c r="A116" s="1" t="str">
        <f>"2.22.4.00"</f>
        <v>2.22.4.00</v>
      </c>
      <c r="B116" s="2" t="str">
        <f>"UNIDADE IMPREGNACAO"</f>
        <v>UNIDADE IMPREGNACAO</v>
      </c>
      <c r="C116" s="3" t="s">
        <v>4</v>
      </c>
      <c r="D116" s="4">
        <v>2958465</v>
      </c>
    </row>
    <row r="117" spans="1:4" x14ac:dyDescent="0.25">
      <c r="A117" s="1" t="str">
        <f>"2.22.4.89"</f>
        <v>2.22.4.89</v>
      </c>
      <c r="B117" s="2" t="str">
        <f>"Produção IP"</f>
        <v>Produção IP</v>
      </c>
      <c r="C117" s="3">
        <v>42644</v>
      </c>
      <c r="D117" s="4">
        <v>2958465</v>
      </c>
    </row>
    <row r="118" spans="1:4" x14ac:dyDescent="0.25">
      <c r="A118" s="1" t="str">
        <f>"2.22.4.90"</f>
        <v>2.22.4.90</v>
      </c>
      <c r="B118" s="2" t="str">
        <f>"Sala de preparacao de cola IFA"</f>
        <v>Sala de preparacao de cola IFA</v>
      </c>
      <c r="C118" s="3">
        <v>40909</v>
      </c>
      <c r="D118" s="4">
        <v>2958465</v>
      </c>
    </row>
    <row r="119" spans="1:4" x14ac:dyDescent="0.25">
      <c r="A119" s="1" t="str">
        <f>"2.22.4.91"</f>
        <v>2.22.4.91</v>
      </c>
      <c r="B119" s="2" t="str">
        <f>"Linha impregnadora"</f>
        <v>Linha impregnadora</v>
      </c>
      <c r="C119" s="3">
        <v>40909</v>
      </c>
      <c r="D119" s="4">
        <v>2958465</v>
      </c>
    </row>
    <row r="120" spans="1:4" x14ac:dyDescent="0.25">
      <c r="A120" s="1" t="str">
        <f>"2.22.4.92"</f>
        <v>2.22.4.92</v>
      </c>
      <c r="B120" s="2" t="str">
        <f>"Embalagens impregnacao"</f>
        <v>Embalagens impregnacao</v>
      </c>
      <c r="C120" s="3">
        <v>40909</v>
      </c>
      <c r="D120" s="4">
        <v>2958465</v>
      </c>
    </row>
    <row r="121" spans="1:4" x14ac:dyDescent="0.25">
      <c r="A121" s="1" t="str">
        <f>"2.22.4.93"</f>
        <v>2.22.4.93</v>
      </c>
      <c r="B121" s="2" t="str">
        <f>"Linha impregnadora II"</f>
        <v>Linha impregnadora II</v>
      </c>
      <c r="C121" s="3">
        <v>42005</v>
      </c>
      <c r="D121" s="4">
        <v>2958465</v>
      </c>
    </row>
    <row r="122" spans="1:4" x14ac:dyDescent="0.25">
      <c r="A122" s="1" t="str">
        <f>"2.22.4.94"</f>
        <v>2.22.4.94</v>
      </c>
      <c r="B122" s="2" t="str">
        <f>"Despesas manutenção 3a impregnadora"</f>
        <v>Despesas manutenção 3a impregnadora</v>
      </c>
      <c r="C122" s="3">
        <v>44197</v>
      </c>
      <c r="D122" s="4">
        <v>45260</v>
      </c>
    </row>
    <row r="123" spans="1:4" x14ac:dyDescent="0.25">
      <c r="A123" s="1" t="str">
        <f>"2.22.4.95"</f>
        <v>2.22.4.95</v>
      </c>
      <c r="B123" s="2" t="str">
        <f>"Linha impregnadora III"</f>
        <v>Linha impregnadora III</v>
      </c>
      <c r="C123" s="3">
        <v>44562</v>
      </c>
      <c r="D123" s="4">
        <v>2958465</v>
      </c>
    </row>
    <row r="124" spans="1:4" x14ac:dyDescent="0.25">
      <c r="A124" s="1" t="str">
        <f>"3.00.0.00"</f>
        <v>3.00.0.00</v>
      </c>
      <c r="B124" s="2" t="str">
        <f>"INVESTIMENTOS"</f>
        <v>INVESTIMENTOS</v>
      </c>
      <c r="C124" s="3" t="s">
        <v>5</v>
      </c>
      <c r="D124" s="4">
        <v>2958465</v>
      </c>
    </row>
    <row r="125" spans="1:4" x14ac:dyDescent="0.25">
      <c r="A125" s="1" t="str">
        <f>"3.00.0.01"</f>
        <v>3.00.0.01</v>
      </c>
      <c r="B125" s="2" t="str">
        <f>"DIGITAL PRINTING"</f>
        <v>DIGITAL PRINTING</v>
      </c>
      <c r="C125" s="3" t="s">
        <v>5</v>
      </c>
      <c r="D125" s="4">
        <v>2958465</v>
      </c>
    </row>
    <row r="126" spans="1:4" x14ac:dyDescent="0.25">
      <c r="A126" s="1" t="str">
        <f>"3.00.0.02"</f>
        <v>3.00.0.02</v>
      </c>
      <c r="B126" s="2" t="str">
        <f>"INK&amp;RESIN \ DECOR PRODUCTION"</f>
        <v>INK&amp;RESIN \ DECOR PRODUCTION</v>
      </c>
      <c r="C126" s="3">
        <v>40909</v>
      </c>
      <c r="D126" s="4">
        <v>2958465</v>
      </c>
    </row>
    <row r="127" spans="1:4" x14ac:dyDescent="0.25">
      <c r="A127" s="1" t="str">
        <f>"3.00.0.03"</f>
        <v>3.00.0.03</v>
      </c>
      <c r="B127" s="2" t="str">
        <f>"INDUSTRIAL \ UTILITIES \ MAINTENANCE"</f>
        <v>INDUSTRIAL \ UTILITIES \ MAINTENANCE</v>
      </c>
      <c r="C127" s="3">
        <v>40909</v>
      </c>
      <c r="D127" s="4">
        <v>2958465</v>
      </c>
    </row>
    <row r="128" spans="1:4" x14ac:dyDescent="0.25">
      <c r="A128" s="1" t="str">
        <f>"3.00.0.04"</f>
        <v>3.00.0.04</v>
      </c>
      <c r="B128" s="2" t="str">
        <f>"LOGISTIC \ WAREHOUSE"</f>
        <v>LOGISTIC \ WAREHOUSE</v>
      </c>
      <c r="C128" s="3" t="s">
        <v>5</v>
      </c>
      <c r="D128" s="4">
        <v>2958465</v>
      </c>
    </row>
    <row r="129" spans="1:4" x14ac:dyDescent="0.25">
      <c r="A129" s="1" t="str">
        <f>"3.00.0.05"</f>
        <v>3.00.0.05</v>
      </c>
      <c r="B129" s="2" t="str">
        <f>"LAB MACHINE \ DESIGN CENTER"</f>
        <v>LAB MACHINE \ DESIGN CENTER</v>
      </c>
      <c r="C129" s="3" t="s">
        <v>5</v>
      </c>
      <c r="D129" s="4">
        <v>2958465</v>
      </c>
    </row>
    <row r="130" spans="1:4" x14ac:dyDescent="0.25">
      <c r="A130" s="1" t="str">
        <f>"3.00.0.06"</f>
        <v>3.00.0.06</v>
      </c>
      <c r="B130" s="2" t="str">
        <f>"HUMAN RESOURSES"</f>
        <v>HUMAN RESOURSES</v>
      </c>
      <c r="C130" s="3" t="s">
        <v>5</v>
      </c>
      <c r="D130" s="4">
        <v>2958465</v>
      </c>
    </row>
    <row r="131" spans="1:4" x14ac:dyDescent="0.25">
      <c r="A131" s="1" t="str">
        <f>"3.00.0.07"</f>
        <v>3.00.0.07</v>
      </c>
      <c r="B131" s="2" t="str">
        <f>"IT"</f>
        <v>IT</v>
      </c>
      <c r="C131" s="3">
        <v>40909</v>
      </c>
      <c r="D131" s="4">
        <v>2958465</v>
      </c>
    </row>
    <row r="132" spans="1:4" x14ac:dyDescent="0.25">
      <c r="A132" s="1" t="str">
        <f>"3.00.0.08"</f>
        <v>3.00.0.08</v>
      </c>
      <c r="B132" s="2" t="str">
        <f>"IMPREGNATION BU - 2014"</f>
        <v>IMPREGNATION BU - 2014</v>
      </c>
      <c r="C132" s="3" t="s">
        <v>5</v>
      </c>
      <c r="D132" s="4">
        <v>42004</v>
      </c>
    </row>
    <row r="133" spans="1:4" x14ac:dyDescent="0.25">
      <c r="A133" s="1" t="str">
        <f>"3.00.0.09"</f>
        <v>3.00.0.09</v>
      </c>
      <c r="B133" s="2" t="str">
        <f>"ENGRAVING PRODUCTION"</f>
        <v>ENGRAVING PRODUCTION</v>
      </c>
      <c r="C133" s="3">
        <v>41244</v>
      </c>
      <c r="D133" s="4">
        <v>2958465</v>
      </c>
    </row>
    <row r="134" spans="1:4" x14ac:dyDescent="0.25">
      <c r="A134" s="1" t="str">
        <f>"3.00.0.10"</f>
        <v>3.00.0.10</v>
      </c>
      <c r="B134" s="2" t="str">
        <f>"ENGRAVING LAB MACHINE"</f>
        <v>ENGRAVING LAB MACHINE</v>
      </c>
      <c r="C134" s="3">
        <v>41275</v>
      </c>
      <c r="D134" s="4">
        <v>2958465</v>
      </c>
    </row>
    <row r="135" spans="1:4" x14ac:dyDescent="0.25">
      <c r="A135" s="1" t="str">
        <f>"3.00.0.11"</f>
        <v>3.00.0.11</v>
      </c>
      <c r="B135" s="2" t="str">
        <f>"BASE CYLIND.PRODUCTION"</f>
        <v>BASE CYLIND.PRODUCTION</v>
      </c>
      <c r="C135" s="3">
        <v>41275</v>
      </c>
      <c r="D135" s="4">
        <v>2958465</v>
      </c>
    </row>
    <row r="136" spans="1:4" x14ac:dyDescent="0.25">
      <c r="A136" s="1" t="str">
        <f>"3.00.0.12"</f>
        <v>3.00.0.12</v>
      </c>
      <c r="B136" s="2" t="str">
        <f>"BASE CYLIND. LAB"</f>
        <v>BASE CYLIND. LAB</v>
      </c>
      <c r="C136" s="3" t="s">
        <v>5</v>
      </c>
      <c r="D136" s="4">
        <v>2958465</v>
      </c>
    </row>
    <row r="137" spans="1:4" x14ac:dyDescent="0.25">
      <c r="A137" s="1" t="str">
        <f>"3.00.0.13"</f>
        <v>3.00.0.13</v>
      </c>
      <c r="B137" s="2" t="str">
        <f>"OTHERS"</f>
        <v>OTHERS</v>
      </c>
      <c r="C137" s="3" t="s">
        <v>5</v>
      </c>
      <c r="D137" s="4">
        <v>2958465</v>
      </c>
    </row>
    <row r="138" spans="1:4" x14ac:dyDescent="0.25">
      <c r="A138" s="1" t="str">
        <f>"3.00.0.14"</f>
        <v>3.00.0.14</v>
      </c>
      <c r="B138" s="2" t="str">
        <f>"IMPREGNATION BU - 2015"</f>
        <v>IMPREGNATION BU - 2015</v>
      </c>
      <c r="C138" s="3">
        <v>42005</v>
      </c>
      <c r="D138" s="4">
        <v>2958465</v>
      </c>
    </row>
    <row r="139" spans="1:4" x14ac:dyDescent="0.25">
      <c r="A139" s="1" t="str">
        <f>"3.00.0.98"</f>
        <v>3.00.0.98</v>
      </c>
      <c r="B139" s="2" t="str">
        <f>"TRANSFERENCIAS"</f>
        <v>TRANSFERENCIAS</v>
      </c>
      <c r="C139" s="3" t="s">
        <v>5</v>
      </c>
      <c r="D139" s="4">
        <v>2958465</v>
      </c>
    </row>
    <row r="140" spans="1:4" ht="15.75" thickBot="1" x14ac:dyDescent="0.3">
      <c r="A140" s="5" t="str">
        <f>"3.00.0.99"</f>
        <v>3.00.0.99</v>
      </c>
      <c r="B140" s="6" t="str">
        <f>"Corporativo"</f>
        <v>Corporativo</v>
      </c>
      <c r="C140" s="7">
        <v>42370</v>
      </c>
      <c r="D140" s="8">
        <v>2958465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79875-05FE-48D5-945D-2B7A3177C41F}"/>
</file>

<file path=customXml/itemProps2.xml><?xml version="1.0" encoding="utf-8"?>
<ds:datastoreItem xmlns:ds="http://schemas.openxmlformats.org/officeDocument/2006/customXml" ds:itemID="{E8CDF7BD-6610-4100-8AAB-0F0AA2915311}"/>
</file>

<file path=customXml/itemProps3.xml><?xml version="1.0" encoding="utf-8"?>
<ds:datastoreItem xmlns:ds="http://schemas.openxmlformats.org/officeDocument/2006/customXml" ds:itemID="{C9B06E4A-2418-4BFE-872C-8FCCBFBCE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2025-03-12T10:56:56Z</dcterms:created>
  <dcterms:modified xsi:type="dcterms:W3CDTF">2025-03-12T10:57:42Z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