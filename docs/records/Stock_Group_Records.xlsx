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7C75AB66-1871-41A7-8B79-E0F2BFD374B5}" xr6:coauthVersionLast="47" xr6:coauthVersionMax="47" xr10:uidLastSave="{00000000-0000-0000-0000-000000000000}"/>
  <bookViews>
    <workbookView xWindow="-108" yWindow="-108" windowWidth="23256" windowHeight="14016" xr2:uid="{DDEEAC15-BAB0-48E9-A823-7E897389555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</calcChain>
</file>

<file path=xl/sharedStrings.xml><?xml version="1.0" encoding="utf-8"?>
<sst xmlns="http://schemas.openxmlformats.org/spreadsheetml/2006/main" count="3" uniqueCount="3">
  <si>
    <t>GE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</si>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</sst>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1264-2E7C-44BC-9D58-340C7089D253}">
  <dimension ref="A1:B80"/>
  <sheetViews>
    <sheetView tabSelected="1" workbookViewId="0"/>
  </sheetViews>
  <sheetFormatPr defaultRowHeight="14.4" x14ac:dyDescent="0.3"/>
  <cols>
    <col min="1" max="1" width="16.5546875" bestFit="1" customWidth="1"/>
    <col min="2" max="2" width="33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>
        <v>0</v>
      </c>
      <c r="B2" s="6" t="str">
        <f>"IP INDUSTRIALIZAÇÃO 3º"</f>
        <v>IP INDUSTRIALIZAÇÃO 3º</v>
      </c>
    </row>
    <row r="3" spans="1:2" x14ac:dyDescent="0.3">
      <c r="A3" s="1">
        <v>1</v>
      </c>
      <c r="B3" s="2" t="str">
        <f>"Mat. Prima Papéis Nac."</f>
        <v>Mat. Prima Papéis Nac.</v>
      </c>
    </row>
    <row r="4" spans="1:2" x14ac:dyDescent="0.3">
      <c r="A4" s="1">
        <v>2</v>
      </c>
      <c r="B4" s="2" t="str">
        <f>"Mat. Prima Papéis Imp."</f>
        <v>Mat. Prima Papéis Imp.</v>
      </c>
    </row>
    <row r="5" spans="1:2" x14ac:dyDescent="0.3">
      <c r="A5" s="1">
        <v>3</v>
      </c>
      <c r="B5" s="2" t="str">
        <f>"Mat. Prima Tintas Nac."</f>
        <v>Mat. Prima Tintas Nac.</v>
      </c>
    </row>
    <row r="6" spans="1:2" x14ac:dyDescent="0.3">
      <c r="A6" s="1">
        <v>4</v>
      </c>
      <c r="B6" s="2" t="str">
        <f>"Mat. Prima Tintas Imp."</f>
        <v>Mat. Prima Tintas Imp.</v>
      </c>
    </row>
    <row r="7" spans="1:2" x14ac:dyDescent="0.3">
      <c r="A7" s="1">
        <v>5</v>
      </c>
      <c r="B7" s="2" t="str">
        <f>"Mat. Prima Lacas Nac."</f>
        <v>Mat. Prima Lacas Nac.</v>
      </c>
    </row>
    <row r="8" spans="1:2" x14ac:dyDescent="0.3">
      <c r="A8" s="1">
        <v>6</v>
      </c>
      <c r="B8" s="2" t="str">
        <f>"Mat. Prima Lacas Imp."</f>
        <v>Mat. Prima Lacas Imp.</v>
      </c>
    </row>
    <row r="9" spans="1:2" x14ac:dyDescent="0.3">
      <c r="A9" s="1">
        <v>10</v>
      </c>
      <c r="B9" s="2" t="str">
        <f>"Mat. Prima Quimicos Nacionais"</f>
        <v>Mat. Prima Quimicos Nacionais</v>
      </c>
    </row>
    <row r="10" spans="1:2" x14ac:dyDescent="0.3">
      <c r="A10" s="1">
        <v>11</v>
      </c>
      <c r="B10" s="2" t="str">
        <f>"Mat. Prima Quimicos Importados"</f>
        <v>Mat. Prima Quimicos Importados</v>
      </c>
    </row>
    <row r="11" spans="1:2" x14ac:dyDescent="0.3">
      <c r="A11" s="1">
        <v>12</v>
      </c>
      <c r="B11" s="2" t="str">
        <f>"MP PAPÉIS NACIONAIS FSC 70%"</f>
        <v>MP PAPÉIS NACIONAIS FSC 70%</v>
      </c>
    </row>
    <row r="12" spans="1:2" x14ac:dyDescent="0.3">
      <c r="A12" s="1">
        <v>13</v>
      </c>
      <c r="B12" s="2" t="str">
        <f>"MP PAPÉIS IMPORTADOS FSC 70%"</f>
        <v>MP PAPÉIS IMPORTADOS FSC 70%</v>
      </c>
    </row>
    <row r="13" spans="1:2" x14ac:dyDescent="0.3">
      <c r="A13" s="1">
        <v>14</v>
      </c>
      <c r="B13" s="2" t="str">
        <f>"MP PAPÉIS NAC MAD CONTR FSC"</f>
        <v>MP PAPÉIS NAC MAD CONTR FSC</v>
      </c>
    </row>
    <row r="14" spans="1:2" x14ac:dyDescent="0.3">
      <c r="A14" s="1">
        <v>15</v>
      </c>
      <c r="B14" s="2" t="str">
        <f>"MP PAPÉIS IMP MAD CONTR FSC"</f>
        <v>MP PAPÉIS IMP MAD CONTR FSC</v>
      </c>
    </row>
    <row r="15" spans="1:2" x14ac:dyDescent="0.3">
      <c r="A15" s="1">
        <v>16</v>
      </c>
      <c r="B15" s="2" t="str">
        <f>"MP PAPÉIS BASE IMPREGNAÇÃO"</f>
        <v>MP PAPÉIS BASE IMPREGNAÇÃO</v>
      </c>
    </row>
    <row r="16" spans="1:2" x14ac:dyDescent="0.3">
      <c r="A16" s="1">
        <v>17</v>
      </c>
      <c r="B16" s="2" t="str">
        <f>"Mat.Prima Embalagens"</f>
        <v>Mat.Prima Embalagens</v>
      </c>
    </row>
    <row r="17" spans="1:2" x14ac:dyDescent="0.3">
      <c r="A17" s="1">
        <v>18</v>
      </c>
      <c r="B17" s="2" t="str">
        <f>"Amostra Tintas e Lacas"</f>
        <v>Amostra Tintas e Lacas</v>
      </c>
    </row>
    <row r="18" spans="1:2" x14ac:dyDescent="0.3">
      <c r="A18" s="1">
        <v>19</v>
      </c>
      <c r="B18" s="2" t="str">
        <f>"Amostra Papeis Base"</f>
        <v>Amostra Papeis Base</v>
      </c>
    </row>
    <row r="19" spans="1:2" x14ac:dyDescent="0.3">
      <c r="A19" s="1">
        <v>20</v>
      </c>
      <c r="B19" s="2" t="str">
        <f>"Embalagens"</f>
        <v>Embalagens</v>
      </c>
    </row>
    <row r="20" spans="1:2" x14ac:dyDescent="0.3">
      <c r="A20" s="1">
        <v>21</v>
      </c>
      <c r="B20" s="2" t="str">
        <f>"IP PRODUTO ACABADO Ñ IMPRESSOS"</f>
        <v>IP PRODUTO ACABADO Ñ IMPRESSOS</v>
      </c>
    </row>
    <row r="21" spans="1:2" x14ac:dyDescent="0.3">
      <c r="A21" s="1">
        <v>22</v>
      </c>
      <c r="B21" s="2" t="str">
        <f>"PAPEL DECORATIVO DE TERCEIROS"</f>
        <v>PAPEL DECORATIVO DE TERCEIROS</v>
      </c>
    </row>
    <row r="22" spans="1:2" x14ac:dyDescent="0.3">
      <c r="A22" s="1">
        <v>23</v>
      </c>
      <c r="B22" s="2" t="str">
        <f>"IP PRODUTO ACABADO IMPRESSOS"</f>
        <v>IP PRODUTO ACABADO IMPRESSOS</v>
      </c>
    </row>
    <row r="23" spans="1:2" x14ac:dyDescent="0.3">
      <c r="A23" s="1">
        <v>24</v>
      </c>
      <c r="B23" s="2" t="str">
        <f>"Material de terceiros - outros"</f>
        <v>Material de terceiros - outros</v>
      </c>
    </row>
    <row r="24" spans="1:2" x14ac:dyDescent="0.3">
      <c r="A24" s="1">
        <v>25</v>
      </c>
      <c r="B24" s="2" t="str">
        <f>"IP PR ACAB Ñ IMPRESSOS FSC CW"</f>
        <v>IP PR ACAB Ñ IMPRESSOS FSC CW</v>
      </c>
    </row>
    <row r="25" spans="1:2" x14ac:dyDescent="0.3">
      <c r="A25" s="1">
        <v>26</v>
      </c>
      <c r="B25" s="2" t="str">
        <f>"IP PROD ACAB IMPRESSOS FSC CW"</f>
        <v>IP PROD ACAB IMPRESSOS FSC CW</v>
      </c>
    </row>
    <row r="26" spans="1:2" x14ac:dyDescent="0.3">
      <c r="A26" s="1">
        <v>27</v>
      </c>
      <c r="B26" s="2" t="str">
        <f>"Mercadorias para Revenda"</f>
        <v>Mercadorias para Revenda</v>
      </c>
    </row>
    <row r="27" spans="1:2" x14ac:dyDescent="0.3">
      <c r="A27" s="1">
        <v>28</v>
      </c>
      <c r="B27" s="2" t="str">
        <f>"IP PR ACAB Ñ IMPRESSOS FSC 70%"</f>
        <v>IP PR ACAB Ñ IMPRESSOS FSC 70%</v>
      </c>
    </row>
    <row r="28" spans="1:2" x14ac:dyDescent="0.3">
      <c r="A28" s="1">
        <v>29</v>
      </c>
      <c r="B28" s="2" t="str">
        <f>"IP PROD ACAB IMPRESSOS FSC 70%"</f>
        <v>IP PROD ACAB IMPRESSOS FSC 70%</v>
      </c>
    </row>
    <row r="29" spans="1:2" x14ac:dyDescent="0.3">
      <c r="A29" s="1">
        <v>30</v>
      </c>
      <c r="B29" s="2" t="str">
        <f>"Mat. de Consumo Produção"</f>
        <v>Mat. de Consumo Produção</v>
      </c>
    </row>
    <row r="30" spans="1:2" x14ac:dyDescent="0.3">
      <c r="A30" s="1">
        <v>31</v>
      </c>
      <c r="B30" s="2" t="str">
        <f>"Materiais de Segurança"</f>
        <v>Materiais de Segurança</v>
      </c>
    </row>
    <row r="31" spans="1:2" x14ac:dyDescent="0.3">
      <c r="A31" s="1">
        <v>32</v>
      </c>
      <c r="B31" s="2" t="str">
        <f>"Materiais Manutenção"</f>
        <v>Materiais Manutenção</v>
      </c>
    </row>
    <row r="32" spans="1:2" x14ac:dyDescent="0.3">
      <c r="A32" s="1">
        <v>33</v>
      </c>
      <c r="B32" s="2" t="str">
        <f>"Materiais Limpeza"</f>
        <v>Materiais Limpeza</v>
      </c>
    </row>
    <row r="33" spans="1:2" x14ac:dyDescent="0.3">
      <c r="A33" s="1">
        <v>34</v>
      </c>
      <c r="B33" s="2" t="str">
        <f>"Materiais ETE"</f>
        <v>Materiais ETE</v>
      </c>
    </row>
    <row r="34" spans="1:2" x14ac:dyDescent="0.3">
      <c r="A34" s="1">
        <v>35</v>
      </c>
      <c r="B34" s="2" t="str">
        <f>"Equipamentos Manutenç. - capex"</f>
        <v>Equipamentos Manutenç. - capex</v>
      </c>
    </row>
    <row r="35" spans="1:2" x14ac:dyDescent="0.3">
      <c r="A35" s="1">
        <v>36</v>
      </c>
      <c r="B35" s="2" t="str">
        <f>"Servicos"</f>
        <v>Servicos</v>
      </c>
    </row>
    <row r="36" spans="1:2" x14ac:dyDescent="0.3">
      <c r="A36" s="1">
        <v>37</v>
      </c>
      <c r="B36" s="2" t="str">
        <f>"Material Intemeriario"</f>
        <v>Material Intemeriario</v>
      </c>
    </row>
    <row r="37" spans="1:2" x14ac:dyDescent="0.3">
      <c r="A37" s="1">
        <v>40</v>
      </c>
      <c r="B37" s="2" t="str">
        <f>"Materiais de Escritório"</f>
        <v>Materiais de Escritório</v>
      </c>
    </row>
    <row r="38" spans="1:2" x14ac:dyDescent="0.3">
      <c r="A38" s="1">
        <v>41</v>
      </c>
      <c r="B38" s="2" t="str">
        <f>"Materiais de Informática"</f>
        <v>Materiais de Informática</v>
      </c>
    </row>
    <row r="39" spans="1:2" x14ac:dyDescent="0.3">
      <c r="A39" s="1">
        <v>50</v>
      </c>
      <c r="B39" s="2" t="str">
        <f>"Prod. Int. Tintas"</f>
        <v>Prod. Int. Tintas</v>
      </c>
    </row>
    <row r="40" spans="1:2" x14ac:dyDescent="0.3">
      <c r="A40" s="1">
        <v>51</v>
      </c>
      <c r="B40" s="2" t="str">
        <f>"Prod. Int. Lacas"</f>
        <v>Prod. Int. Lacas</v>
      </c>
    </row>
    <row r="41" spans="1:2" x14ac:dyDescent="0.3">
      <c r="A41" s="1">
        <v>52</v>
      </c>
      <c r="B41" s="2" t="str">
        <f>"Prod. Int. Concentrados"</f>
        <v>Prod. Int. Concentrados</v>
      </c>
    </row>
    <row r="42" spans="1:2" x14ac:dyDescent="0.3">
      <c r="A42" s="1">
        <v>53</v>
      </c>
      <c r="B42" s="2" t="str">
        <f>"Prod. Int. Cat. e Aditivos"</f>
        <v>Prod. Int. Cat. e Aditivos</v>
      </c>
    </row>
    <row r="43" spans="1:2" x14ac:dyDescent="0.3">
      <c r="A43" s="1">
        <v>54</v>
      </c>
      <c r="B43" s="2" t="str">
        <f>"Prod. Int. Solvente Tintas"</f>
        <v>Prod. Int. Solvente Tintas</v>
      </c>
    </row>
    <row r="44" spans="1:2" x14ac:dyDescent="0.3">
      <c r="A44" s="1">
        <v>55</v>
      </c>
      <c r="B44" s="2" t="str">
        <f>"Prod. Int. Solvente Lacas"</f>
        <v>Prod. Int. Solvente Lacas</v>
      </c>
    </row>
    <row r="45" spans="1:2" x14ac:dyDescent="0.3">
      <c r="A45" s="1">
        <v>60</v>
      </c>
      <c r="B45" s="2" t="str">
        <f>"CILINDROS"</f>
        <v>CILINDROS</v>
      </c>
    </row>
    <row r="46" spans="1:2" x14ac:dyDescent="0.3">
      <c r="A46" s="1">
        <v>61</v>
      </c>
      <c r="B46" s="2" t="str">
        <f>"ATIVO IMOBILIZADO"</f>
        <v>ATIVO IMOBILIZADO</v>
      </c>
    </row>
    <row r="47" spans="1:2" x14ac:dyDescent="0.3">
      <c r="A47" s="1">
        <v>62</v>
      </c>
      <c r="B47" s="2" t="str">
        <f>"DISPONIVEL USO"</f>
        <v>DISPONIVEL USO</v>
      </c>
    </row>
    <row r="48" spans="1:2" x14ac:dyDescent="0.3">
      <c r="A48" s="1">
        <v>63</v>
      </c>
      <c r="B48" s="2" t="str">
        <f>"ITECH MADEIRA CONTROLADA"</f>
        <v>ITECH MADEIRA CONTROLADA</v>
      </c>
    </row>
    <row r="49" spans="1:2" x14ac:dyDescent="0.3">
      <c r="A49" s="1">
        <v>64</v>
      </c>
      <c r="B49" s="2" t="str">
        <f>"FF MADEIRA CONTROLADA"</f>
        <v>FF MADEIRA CONTROLADA</v>
      </c>
    </row>
    <row r="50" spans="1:2" x14ac:dyDescent="0.3">
      <c r="A50" s="1">
        <v>65</v>
      </c>
      <c r="B50" s="2" t="str">
        <f>"DISPONIVEL USO"</f>
        <v>DISPONIVEL USO</v>
      </c>
    </row>
    <row r="51" spans="1:2" x14ac:dyDescent="0.3">
      <c r="A51" s="1">
        <v>66</v>
      </c>
      <c r="B51" s="2" t="str">
        <f>"PAPEL DECOR MADEIRA CONTROLADA"</f>
        <v>PAPEL DECOR MADEIRA CONTROLADA</v>
      </c>
    </row>
    <row r="52" spans="1:2" x14ac:dyDescent="0.3">
      <c r="A52" s="1">
        <v>67</v>
      </c>
      <c r="B52" s="2" t="str">
        <f>"ITECH FSC MISTO"</f>
        <v>ITECH FSC MISTO</v>
      </c>
    </row>
    <row r="53" spans="1:2" x14ac:dyDescent="0.3">
      <c r="A53" s="1">
        <v>68</v>
      </c>
      <c r="B53" s="2" t="str">
        <f>"FF FSC MISTO"</f>
        <v>FF FSC MISTO</v>
      </c>
    </row>
    <row r="54" spans="1:2" x14ac:dyDescent="0.3">
      <c r="A54" s="1">
        <v>69</v>
      </c>
      <c r="B54" s="2" t="str">
        <f>"PAPEL DECOR FSC MISTO"</f>
        <v>PAPEL DECOR FSC MISTO</v>
      </c>
    </row>
    <row r="55" spans="1:2" x14ac:dyDescent="0.3">
      <c r="A55" s="1">
        <v>70</v>
      </c>
      <c r="B55" s="2" t="str">
        <f>"PRODUTO ACABADO - TINTAS"</f>
        <v>PRODUTO ACABADO - TINTAS</v>
      </c>
    </row>
    <row r="56" spans="1:2" x14ac:dyDescent="0.3">
      <c r="A56" s="1">
        <v>71</v>
      </c>
      <c r="B56" s="2" t="str">
        <f>"SEMI  ACABADO - TINTAS"</f>
        <v>SEMI  ACABADO - TINTAS</v>
      </c>
    </row>
    <row r="57" spans="1:2" x14ac:dyDescent="0.3">
      <c r="A57" s="1">
        <v>72</v>
      </c>
      <c r="B57" s="2" t="str">
        <f>"MP QUÍMICOS TINTA"</f>
        <v>MP QUÍMICOS TINTA</v>
      </c>
    </row>
    <row r="58" spans="1:2" x14ac:dyDescent="0.3">
      <c r="A58" s="1">
        <v>73</v>
      </c>
      <c r="B58" s="2" t="str">
        <f>"MP QUÍMICOS IMPREGNAÇÃO"</f>
        <v>MP QUÍMICOS IMPREGNAÇÃO</v>
      </c>
    </row>
    <row r="59" spans="1:2" x14ac:dyDescent="0.3">
      <c r="A59" s="1">
        <v>74</v>
      </c>
      <c r="B59" s="2" t="str">
        <f>"MATERIAIS AUXILIARES - TINTAS"</f>
        <v>MATERIAIS AUXILIARES - TINTAS</v>
      </c>
    </row>
    <row r="60" spans="1:2" x14ac:dyDescent="0.3">
      <c r="A60" s="1">
        <v>75</v>
      </c>
      <c r="B60" s="2" t="str">
        <f>"EMBALAGEM"</f>
        <v>EMBALAGEM</v>
      </c>
    </row>
    <row r="61" spans="1:2" x14ac:dyDescent="0.3">
      <c r="A61" s="1">
        <v>76</v>
      </c>
      <c r="B61" s="2" t="str">
        <f>"LOTE PILOTO - TINTAS"</f>
        <v>LOTE PILOTO - TINTAS</v>
      </c>
    </row>
    <row r="62" spans="1:2" x14ac:dyDescent="0.3">
      <c r="A62" s="1">
        <v>77</v>
      </c>
      <c r="B62" s="2" t="str">
        <f>"AMOSTRAS LAB. P&amp;D - TINTAS"</f>
        <v>AMOSTRAS LAB. P&amp;D - TINTAS</v>
      </c>
    </row>
    <row r="63" spans="1:2" x14ac:dyDescent="0.3">
      <c r="A63" s="1">
        <v>79</v>
      </c>
      <c r="B63" s="2" t="str">
        <f>"DEBITO DIRETO - TINTAS"</f>
        <v>DEBITO DIRETO - TINTAS</v>
      </c>
    </row>
    <row r="64" spans="1:2" x14ac:dyDescent="0.3">
      <c r="A64" s="1">
        <v>80</v>
      </c>
      <c r="B64" s="2" t="str">
        <f>"Prod. Acabado B  Finish Foils"</f>
        <v>Prod. Acabado B  Finish Foils</v>
      </c>
    </row>
    <row r="65" spans="1:2" x14ac:dyDescent="0.3">
      <c r="A65" s="1">
        <v>81</v>
      </c>
      <c r="B65" s="2" t="str">
        <f>"Produto Acabado  B  LPL"</f>
        <v>Produto Acabado  B  LPL</v>
      </c>
    </row>
    <row r="66" spans="1:2" x14ac:dyDescent="0.3">
      <c r="A66" s="1">
        <v>82</v>
      </c>
      <c r="B66" s="2" t="str">
        <f>"Produto Acabado B  HPL"</f>
        <v>Produto Acabado B  HPL</v>
      </c>
    </row>
    <row r="67" spans="1:2" x14ac:dyDescent="0.3">
      <c r="A67" s="1">
        <v>83</v>
      </c>
      <c r="B67" s="2" t="str">
        <f>"Produto Acabado  B  CPL"</f>
        <v>Produto Acabado  B  CPL</v>
      </c>
    </row>
    <row r="68" spans="1:2" x14ac:dyDescent="0.3">
      <c r="A68" s="1">
        <v>84</v>
      </c>
      <c r="B68" s="2" t="str">
        <f>"Produto Acabado  B  Acessórios"</f>
        <v>Produto Acabado  B  Acessórios</v>
      </c>
    </row>
    <row r="69" spans="1:2" x14ac:dyDescent="0.3">
      <c r="A69" s="1">
        <v>89</v>
      </c>
      <c r="B69" s="2" t="str">
        <f>"Finish Foil I-TECH"</f>
        <v>Finish Foil I-TECH</v>
      </c>
    </row>
    <row r="70" spans="1:2" x14ac:dyDescent="0.3">
      <c r="A70" s="1">
        <v>90</v>
      </c>
      <c r="B70" s="2" t="str">
        <f>"Produto Acabado Finish Foils"</f>
        <v>Produto Acabado Finish Foils</v>
      </c>
    </row>
    <row r="71" spans="1:2" x14ac:dyDescent="0.3">
      <c r="A71" s="1">
        <v>91</v>
      </c>
      <c r="B71" s="2" t="str">
        <f>"Produto Acabado LPL"</f>
        <v>Produto Acabado LPL</v>
      </c>
    </row>
    <row r="72" spans="1:2" x14ac:dyDescent="0.3">
      <c r="A72" s="1">
        <v>92</v>
      </c>
      <c r="B72" s="2" t="str">
        <f>"Produto Acabado HPL"</f>
        <v>Produto Acabado HPL</v>
      </c>
    </row>
    <row r="73" spans="1:2" x14ac:dyDescent="0.3">
      <c r="A73" s="1">
        <v>93</v>
      </c>
      <c r="B73" s="2" t="str">
        <f>"Produto Acabado CPL"</f>
        <v>Produto Acabado CPL</v>
      </c>
    </row>
    <row r="74" spans="1:2" x14ac:dyDescent="0.3">
      <c r="A74" s="1">
        <v>94</v>
      </c>
      <c r="B74" s="2" t="str">
        <f>"Produto Acabado Acessórios"</f>
        <v>Produto Acabado Acessórios</v>
      </c>
    </row>
    <row r="75" spans="1:2" x14ac:dyDescent="0.3">
      <c r="A75" s="1">
        <v>95</v>
      </c>
      <c r="B75" s="2" t="str">
        <f>"Prod. Acab. Industr. Terceiros"</f>
        <v>Prod. Acab. Industr. Terceiros</v>
      </c>
    </row>
    <row r="76" spans="1:2" x14ac:dyDescent="0.3">
      <c r="A76" s="1">
        <v>96</v>
      </c>
      <c r="B76" s="2" t="str">
        <f>"Produto Acabado Filme"</f>
        <v>Produto Acabado Filme</v>
      </c>
    </row>
    <row r="77" spans="1:2" x14ac:dyDescent="0.3">
      <c r="A77" s="1">
        <v>97</v>
      </c>
      <c r="B77" s="2" t="str">
        <f>"Produto Acabado HPL-OL"</f>
        <v>Produto Acabado HPL-OL</v>
      </c>
    </row>
    <row r="78" spans="1:2" x14ac:dyDescent="0.3">
      <c r="A78" s="1">
        <v>98</v>
      </c>
      <c r="B78" s="2" t="str">
        <f>"Desenvolvimento de Produto"</f>
        <v>Desenvolvimento de Produto</v>
      </c>
    </row>
    <row r="79" spans="1:2" ht="15" thickBot="1" x14ac:dyDescent="0.35">
      <c r="A79" s="3">
        <v>99</v>
      </c>
      <c r="B79" s="4" t="str">
        <f>"DÉBITO DIRETO"</f>
        <v>DÉBITO DIRETO</v>
      </c>
    </row>
    <row r="80" spans="1:2" x14ac:dyDescent="0.3">
      <c r="A80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7646BB-BD9A-45D7-A710-2FF1A92C1E21}"/>
</file>

<file path=customXml/itemProps2.xml><?xml version="1.0" encoding="utf-8"?>
<ds:datastoreItem xmlns:ds="http://schemas.openxmlformats.org/officeDocument/2006/customXml" ds:itemID="{CDFA03F6-16F4-45AE-B02F-2E62087B95EF}"/>
</file>

<file path=customXml/itemProps3.xml><?xml version="1.0" encoding="utf-8"?>
<ds:datastoreItem xmlns:ds="http://schemas.openxmlformats.org/officeDocument/2006/customXml" ds:itemID="{4F61BB10-9FAE-41D5-BE34-2E6C5CAC9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2025-01-16T12:01:13Z</dcterms:created>
  <dcterms:modified xsi:type="dcterms:W3CDTF">2025-01-16T12:01:37Z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