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550828AC-3CCA-4016-9E6D-BC8D75FBB304}" xr6:coauthVersionLast="47" xr6:coauthVersionMax="47" xr10:uidLastSave="{00000000-0000-0000-0000-000000000000}"/>
  <bookViews>
    <workbookView xWindow="-108" yWindow="-108" windowWidth="23256" windowHeight="14016" xr2:uid="{3F425553-FA12-473B-A462-ECF85D0F3513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A3" i="1"/>
  <c r="B3" i="1"/>
  <c r="C3" i="1"/>
  <c r="D3" i="1"/>
  <c r="A4" i="1"/>
  <c r="B4" i="1"/>
  <c r="C4" i="1"/>
  <c r="D4" i="1"/>
  <c r="A5" i="1"/>
  <c r="B5" i="1"/>
  <c r="C5" i="1"/>
  <c r="D5" i="1"/>
  <c r="A6" i="1"/>
  <c r="B6" i="1"/>
  <c r="C6" i="1"/>
  <c r="D6" i="1"/>
  <c r="A7" i="1"/>
  <c r="B7" i="1"/>
  <c r="C7" i="1"/>
  <c r="D7" i="1"/>
  <c r="A8" i="1"/>
  <c r="B8" i="1"/>
  <c r="C8" i="1"/>
  <c r="D8" i="1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A13" i="1"/>
  <c r="B13" i="1"/>
  <c r="C13" i="1"/>
  <c r="D13" i="1"/>
  <c r="A14" i="1"/>
  <c r="B14" i="1"/>
  <c r="C14" i="1"/>
  <c r="D14" i="1"/>
  <c r="A15" i="1"/>
  <c r="B15" i="1"/>
  <c r="C15" i="1"/>
  <c r="D15" i="1"/>
  <c r="A16" i="1"/>
  <c r="B16" i="1"/>
  <c r="C16" i="1"/>
  <c r="D16" i="1"/>
  <c r="A17" i="1"/>
  <c r="B17" i="1"/>
  <c r="C17" i="1"/>
  <c r="D17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3" i="1"/>
  <c r="B43" i="1"/>
  <c r="C43" i="1"/>
  <c r="D43" i="1"/>
  <c r="A44" i="1"/>
  <c r="B44" i="1"/>
  <c r="C44" i="1"/>
  <c r="D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D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A153" i="1"/>
  <c r="B153" i="1"/>
  <c r="C153" i="1"/>
  <c r="D153" i="1"/>
  <c r="A154" i="1"/>
  <c r="B154" i="1"/>
  <c r="C154" i="1"/>
  <c r="D154" i="1"/>
  <c r="A155" i="1"/>
  <c r="B155" i="1"/>
  <c r="C155" i="1"/>
  <c r="D155" i="1"/>
  <c r="A156" i="1"/>
  <c r="B156" i="1"/>
  <c r="C156" i="1"/>
  <c r="D156" i="1"/>
  <c r="A157" i="1"/>
  <c r="B157" i="1"/>
  <c r="C157" i="1"/>
  <c r="D157" i="1"/>
  <c r="A158" i="1"/>
  <c r="B158" i="1"/>
  <c r="C158" i="1"/>
  <c r="D158" i="1"/>
  <c r="A159" i="1"/>
  <c r="B159" i="1"/>
  <c r="C159" i="1"/>
  <c r="D159" i="1"/>
  <c r="A160" i="1"/>
  <c r="B160" i="1"/>
  <c r="C160" i="1"/>
  <c r="D160" i="1"/>
  <c r="A161" i="1"/>
  <c r="B161" i="1"/>
  <c r="C161" i="1"/>
  <c r="D161" i="1"/>
  <c r="A162" i="1"/>
  <c r="B162" i="1"/>
  <c r="C162" i="1"/>
  <c r="D162" i="1"/>
  <c r="A163" i="1"/>
  <c r="B163" i="1"/>
  <c r="C163" i="1"/>
  <c r="D163" i="1"/>
  <c r="A164" i="1"/>
  <c r="B164" i="1"/>
  <c r="C164" i="1"/>
  <c r="D164" i="1"/>
  <c r="A165" i="1"/>
  <c r="B165" i="1"/>
  <c r="C165" i="1"/>
  <c r="D165" i="1"/>
  <c r="A166" i="1"/>
  <c r="B166" i="1"/>
  <c r="C166" i="1"/>
  <c r="D166" i="1"/>
  <c r="A167" i="1"/>
  <c r="B167" i="1"/>
  <c r="C167" i="1"/>
  <c r="D167" i="1"/>
  <c r="A168" i="1"/>
  <c r="B168" i="1"/>
  <c r="C168" i="1"/>
  <c r="D168" i="1"/>
  <c r="A169" i="1"/>
  <c r="B169" i="1"/>
  <c r="C169" i="1"/>
  <c r="D169" i="1"/>
  <c r="A170" i="1"/>
  <c r="B170" i="1"/>
  <c r="C170" i="1"/>
  <c r="D170" i="1"/>
  <c r="A171" i="1"/>
  <c r="B171" i="1"/>
  <c r="C171" i="1"/>
  <c r="D171" i="1"/>
  <c r="A172" i="1"/>
  <c r="B172" i="1"/>
  <c r="C172" i="1"/>
  <c r="D172" i="1"/>
  <c r="A173" i="1"/>
  <c r="B173" i="1"/>
  <c r="C173" i="1"/>
  <c r="D173" i="1"/>
  <c r="A174" i="1"/>
  <c r="B174" i="1"/>
  <c r="C174" i="1"/>
  <c r="D174" i="1"/>
  <c r="A175" i="1"/>
  <c r="B175" i="1"/>
  <c r="C175" i="1"/>
  <c r="D175" i="1"/>
  <c r="A176" i="1"/>
  <c r="B176" i="1"/>
  <c r="C176" i="1"/>
  <c r="D176" i="1"/>
  <c r="A177" i="1"/>
  <c r="B177" i="1"/>
  <c r="C177" i="1"/>
  <c r="D177" i="1"/>
  <c r="A178" i="1"/>
  <c r="B178" i="1"/>
  <c r="C178" i="1"/>
  <c r="D178" i="1"/>
  <c r="A179" i="1"/>
  <c r="B179" i="1"/>
  <c r="C179" i="1"/>
  <c r="D179" i="1"/>
  <c r="A180" i="1"/>
  <c r="B180" i="1"/>
  <c r="C180" i="1"/>
  <c r="D180" i="1"/>
  <c r="A181" i="1"/>
  <c r="B181" i="1"/>
  <c r="C181" i="1"/>
  <c r="D181" i="1"/>
  <c r="A182" i="1"/>
  <c r="B182" i="1"/>
  <c r="C182" i="1"/>
  <c r="D182" i="1"/>
  <c r="A183" i="1"/>
  <c r="B183" i="1"/>
  <c r="C183" i="1"/>
  <c r="D183" i="1"/>
  <c r="A184" i="1"/>
  <c r="B184" i="1"/>
  <c r="C184" i="1"/>
  <c r="D184" i="1"/>
  <c r="A185" i="1"/>
  <c r="B185" i="1"/>
  <c r="C185" i="1"/>
  <c r="D185" i="1"/>
  <c r="A186" i="1"/>
  <c r="B186" i="1"/>
  <c r="C186" i="1"/>
  <c r="D186" i="1"/>
  <c r="A187" i="1"/>
  <c r="B187" i="1"/>
  <c r="C187" i="1"/>
  <c r="D187" i="1"/>
  <c r="A188" i="1"/>
  <c r="B188" i="1"/>
  <c r="C188" i="1"/>
  <c r="D188" i="1"/>
  <c r="A189" i="1"/>
  <c r="B189" i="1"/>
  <c r="C189" i="1"/>
  <c r="D189" i="1"/>
  <c r="A190" i="1"/>
  <c r="B190" i="1"/>
  <c r="C190" i="1"/>
  <c r="D190" i="1"/>
  <c r="A191" i="1"/>
  <c r="B191" i="1"/>
  <c r="C191" i="1"/>
  <c r="D191" i="1"/>
  <c r="A192" i="1"/>
  <c r="B192" i="1"/>
  <c r="C192" i="1"/>
  <c r="D192" i="1"/>
  <c r="A193" i="1"/>
  <c r="B193" i="1"/>
  <c r="C193" i="1"/>
  <c r="D193" i="1"/>
  <c r="A194" i="1"/>
  <c r="B194" i="1"/>
  <c r="C194" i="1"/>
  <c r="D194" i="1"/>
  <c r="A195" i="1"/>
  <c r="B195" i="1"/>
  <c r="C195" i="1"/>
  <c r="D195" i="1"/>
  <c r="A196" i="1"/>
  <c r="B196" i="1"/>
  <c r="C196" i="1"/>
  <c r="D196" i="1"/>
  <c r="A197" i="1"/>
  <c r="B197" i="1"/>
  <c r="C197" i="1"/>
  <c r="D197" i="1"/>
  <c r="A198" i="1"/>
  <c r="B198" i="1"/>
  <c r="C198" i="1"/>
  <c r="D198" i="1"/>
  <c r="A199" i="1"/>
  <c r="B199" i="1"/>
  <c r="C199" i="1"/>
  <c r="D199" i="1"/>
  <c r="A200" i="1"/>
  <c r="B200" i="1"/>
  <c r="C200" i="1"/>
  <c r="D200" i="1"/>
  <c r="A201" i="1"/>
  <c r="B201" i="1"/>
  <c r="C201" i="1"/>
  <c r="D201" i="1"/>
  <c r="A202" i="1"/>
  <c r="B202" i="1"/>
  <c r="C202" i="1"/>
  <c r="D202" i="1"/>
  <c r="A203" i="1"/>
  <c r="B203" i="1"/>
  <c r="C203" i="1"/>
  <c r="D203" i="1"/>
  <c r="A204" i="1"/>
  <c r="B204" i="1"/>
  <c r="C204" i="1"/>
  <c r="D204" i="1"/>
  <c r="A205" i="1"/>
  <c r="B205" i="1"/>
  <c r="C205" i="1"/>
  <c r="D205" i="1"/>
  <c r="A206" i="1"/>
  <c r="B206" i="1"/>
  <c r="C206" i="1"/>
  <c r="D206" i="1"/>
  <c r="A207" i="1"/>
  <c r="B207" i="1"/>
  <c r="C207" i="1"/>
  <c r="D207" i="1"/>
  <c r="A208" i="1"/>
  <c r="B208" i="1"/>
  <c r="C208" i="1"/>
  <c r="D208" i="1"/>
  <c r="A209" i="1"/>
  <c r="B209" i="1"/>
  <c r="C209" i="1"/>
  <c r="D209" i="1"/>
  <c r="A210" i="1"/>
  <c r="B210" i="1"/>
  <c r="C210" i="1"/>
  <c r="D210" i="1"/>
  <c r="A211" i="1"/>
  <c r="B211" i="1"/>
  <c r="C211" i="1"/>
  <c r="D211" i="1"/>
  <c r="A212" i="1"/>
  <c r="B212" i="1"/>
  <c r="C212" i="1"/>
  <c r="D212" i="1"/>
  <c r="A213" i="1"/>
  <c r="B213" i="1"/>
  <c r="C213" i="1"/>
  <c r="D213" i="1"/>
  <c r="A214" i="1"/>
  <c r="B214" i="1"/>
  <c r="C214" i="1"/>
  <c r="D214" i="1"/>
  <c r="A215" i="1"/>
  <c r="B215" i="1"/>
  <c r="C215" i="1"/>
  <c r="D215" i="1"/>
  <c r="A216" i="1"/>
  <c r="B216" i="1"/>
  <c r="C216" i="1"/>
  <c r="D216" i="1"/>
  <c r="A217" i="1"/>
  <c r="B217" i="1"/>
  <c r="C217" i="1"/>
  <c r="D217" i="1"/>
  <c r="A218" i="1"/>
  <c r="B218" i="1"/>
  <c r="C218" i="1"/>
  <c r="D218" i="1"/>
  <c r="A219" i="1"/>
  <c r="B219" i="1"/>
  <c r="C219" i="1"/>
  <c r="D219" i="1"/>
  <c r="A220" i="1"/>
  <c r="B220" i="1"/>
  <c r="C220" i="1"/>
  <c r="D220" i="1"/>
  <c r="A221" i="1"/>
  <c r="B221" i="1"/>
  <c r="C221" i="1"/>
  <c r="D221" i="1"/>
  <c r="A222" i="1"/>
  <c r="B222" i="1"/>
  <c r="C222" i="1"/>
  <c r="D222" i="1"/>
  <c r="A223" i="1"/>
  <c r="B223" i="1"/>
  <c r="C223" i="1"/>
  <c r="D223" i="1"/>
  <c r="A224" i="1"/>
  <c r="B224" i="1"/>
  <c r="C224" i="1"/>
  <c r="D224" i="1"/>
  <c r="A225" i="1"/>
  <c r="B225" i="1"/>
  <c r="C225" i="1"/>
  <c r="D225" i="1"/>
  <c r="A226" i="1"/>
  <c r="B226" i="1"/>
  <c r="C226" i="1"/>
  <c r="D226" i="1"/>
  <c r="A227" i="1"/>
  <c r="B227" i="1"/>
  <c r="C227" i="1"/>
  <c r="D227" i="1"/>
  <c r="A228" i="1"/>
  <c r="B228" i="1"/>
  <c r="C228" i="1"/>
  <c r="D228" i="1"/>
  <c r="A229" i="1"/>
  <c r="B229" i="1"/>
  <c r="C229" i="1"/>
  <c r="D229" i="1"/>
  <c r="A230" i="1"/>
  <c r="B230" i="1"/>
  <c r="C230" i="1"/>
  <c r="D230" i="1"/>
  <c r="A231" i="1"/>
  <c r="B231" i="1"/>
  <c r="C231" i="1"/>
  <c r="D231" i="1"/>
  <c r="A232" i="1"/>
  <c r="B232" i="1"/>
  <c r="C232" i="1"/>
  <c r="D232" i="1"/>
  <c r="A233" i="1"/>
  <c r="B233" i="1"/>
  <c r="C233" i="1"/>
  <c r="D233" i="1"/>
  <c r="A234" i="1"/>
  <c r="B234" i="1"/>
  <c r="C234" i="1"/>
  <c r="D234" i="1"/>
  <c r="A235" i="1"/>
  <c r="B235" i="1"/>
  <c r="C235" i="1"/>
  <c r="D235" i="1"/>
  <c r="A236" i="1"/>
  <c r="B236" i="1"/>
  <c r="C236" i="1"/>
  <c r="D236" i="1"/>
  <c r="A237" i="1"/>
  <c r="B237" i="1"/>
  <c r="C237" i="1"/>
  <c r="D237" i="1"/>
  <c r="A238" i="1"/>
  <c r="B238" i="1"/>
  <c r="C238" i="1"/>
  <c r="D238" i="1"/>
  <c r="A239" i="1"/>
  <c r="B239" i="1"/>
  <c r="C239" i="1"/>
  <c r="D239" i="1"/>
  <c r="A240" i="1"/>
  <c r="B240" i="1"/>
  <c r="C240" i="1"/>
  <c r="D240" i="1"/>
  <c r="A241" i="1"/>
  <c r="B241" i="1"/>
  <c r="C241" i="1"/>
  <c r="D241" i="1"/>
  <c r="A242" i="1"/>
  <c r="B242" i="1"/>
  <c r="C242" i="1"/>
  <c r="D242" i="1"/>
  <c r="A243" i="1"/>
  <c r="B243" i="1"/>
  <c r="C243" i="1"/>
  <c r="D243" i="1"/>
  <c r="A244" i="1"/>
  <c r="B244" i="1"/>
  <c r="C244" i="1"/>
  <c r="D244" i="1"/>
  <c r="A245" i="1"/>
  <c r="B245" i="1"/>
  <c r="C245" i="1"/>
  <c r="D245" i="1"/>
  <c r="A246" i="1"/>
  <c r="B246" i="1"/>
  <c r="C246" i="1"/>
  <c r="D246" i="1"/>
  <c r="A247" i="1"/>
  <c r="B247" i="1"/>
  <c r="C247" i="1"/>
  <c r="D247" i="1"/>
  <c r="A248" i="1"/>
  <c r="B248" i="1"/>
  <c r="C248" i="1"/>
  <c r="D248" i="1"/>
  <c r="A249" i="1"/>
  <c r="B249" i="1"/>
  <c r="C249" i="1"/>
  <c r="D249" i="1"/>
  <c r="A250" i="1"/>
  <c r="B250" i="1"/>
  <c r="C250" i="1"/>
  <c r="D250" i="1"/>
  <c r="A251" i="1"/>
  <c r="B251" i="1"/>
  <c r="C251" i="1"/>
  <c r="D251" i="1"/>
  <c r="A252" i="1"/>
  <c r="B252" i="1"/>
  <c r="C252" i="1"/>
  <c r="D252" i="1"/>
  <c r="A253" i="1"/>
  <c r="B253" i="1"/>
  <c r="C253" i="1"/>
  <c r="D253" i="1"/>
  <c r="A254" i="1"/>
  <c r="B254" i="1"/>
  <c r="C254" i="1"/>
  <c r="D254" i="1"/>
  <c r="A255" i="1"/>
  <c r="B255" i="1"/>
  <c r="C255" i="1"/>
  <c r="D255" i="1"/>
  <c r="A256" i="1"/>
  <c r="B256" i="1"/>
  <c r="C256" i="1"/>
  <c r="D256" i="1"/>
  <c r="A257" i="1"/>
  <c r="B257" i="1"/>
  <c r="C257" i="1"/>
  <c r="D257" i="1"/>
  <c r="A258" i="1"/>
  <c r="B258" i="1"/>
  <c r="C258" i="1"/>
  <c r="D258" i="1"/>
  <c r="A259" i="1"/>
  <c r="B259" i="1"/>
  <c r="C259" i="1"/>
  <c r="D259" i="1"/>
  <c r="A260" i="1"/>
  <c r="B260" i="1"/>
  <c r="C260" i="1"/>
  <c r="D260" i="1"/>
  <c r="A261" i="1"/>
  <c r="B261" i="1"/>
  <c r="C261" i="1"/>
  <c r="D261" i="1"/>
  <c r="A262" i="1"/>
  <c r="B262" i="1"/>
  <c r="C262" i="1"/>
  <c r="D262" i="1"/>
  <c r="A263" i="1"/>
  <c r="B263" i="1"/>
  <c r="C263" i="1"/>
  <c r="D263" i="1"/>
  <c r="A264" i="1"/>
  <c r="B264" i="1"/>
  <c r="C264" i="1"/>
  <c r="D264" i="1"/>
  <c r="A265" i="1"/>
  <c r="B265" i="1"/>
  <c r="C265" i="1"/>
  <c r="D265" i="1"/>
  <c r="A266" i="1"/>
  <c r="B266" i="1"/>
  <c r="C266" i="1"/>
  <c r="D266" i="1"/>
  <c r="A267" i="1"/>
  <c r="B267" i="1"/>
  <c r="C267" i="1"/>
  <c r="D267" i="1"/>
  <c r="A268" i="1"/>
  <c r="B268" i="1"/>
  <c r="C268" i="1"/>
  <c r="D268" i="1"/>
  <c r="A269" i="1"/>
  <c r="B269" i="1"/>
  <c r="C269" i="1"/>
  <c r="D269" i="1"/>
  <c r="A270" i="1"/>
  <c r="B270" i="1"/>
  <c r="C270" i="1"/>
  <c r="D270" i="1"/>
  <c r="A271" i="1"/>
  <c r="B271" i="1"/>
  <c r="C271" i="1"/>
  <c r="D271" i="1"/>
  <c r="A272" i="1"/>
  <c r="B272" i="1"/>
  <c r="C272" i="1"/>
  <c r="D272" i="1"/>
  <c r="A273" i="1"/>
  <c r="B273" i="1"/>
  <c r="C273" i="1"/>
  <c r="D273" i="1"/>
  <c r="A274" i="1"/>
  <c r="B274" i="1"/>
  <c r="C274" i="1"/>
  <c r="D274" i="1"/>
  <c r="A275" i="1"/>
  <c r="B275" i="1"/>
  <c r="C275" i="1"/>
  <c r="D275" i="1"/>
  <c r="A276" i="1"/>
  <c r="B276" i="1"/>
  <c r="C276" i="1"/>
  <c r="D276" i="1"/>
  <c r="A277" i="1"/>
  <c r="B277" i="1"/>
  <c r="C277" i="1"/>
  <c r="D277" i="1"/>
  <c r="A278" i="1"/>
  <c r="B278" i="1"/>
  <c r="C278" i="1"/>
  <c r="D278" i="1"/>
  <c r="A279" i="1"/>
  <c r="B279" i="1"/>
  <c r="C279" i="1"/>
  <c r="D279" i="1"/>
  <c r="A280" i="1"/>
  <c r="B280" i="1"/>
  <c r="C280" i="1"/>
  <c r="D280" i="1"/>
  <c r="A281" i="1"/>
  <c r="B281" i="1"/>
  <c r="C281" i="1"/>
  <c r="D281" i="1"/>
  <c r="A282" i="1"/>
  <c r="B282" i="1"/>
  <c r="C282" i="1"/>
  <c r="D282" i="1"/>
  <c r="A283" i="1"/>
  <c r="B283" i="1"/>
  <c r="C283" i="1"/>
  <c r="D283" i="1"/>
  <c r="A284" i="1"/>
  <c r="B284" i="1"/>
  <c r="C284" i="1"/>
  <c r="D284" i="1"/>
  <c r="A285" i="1"/>
  <c r="B285" i="1"/>
  <c r="C285" i="1"/>
  <c r="D285" i="1"/>
  <c r="A286" i="1"/>
  <c r="B286" i="1"/>
  <c r="C286" i="1"/>
  <c r="D286" i="1"/>
  <c r="A287" i="1"/>
  <c r="B287" i="1"/>
  <c r="C287" i="1"/>
  <c r="D287" i="1"/>
  <c r="A288" i="1"/>
  <c r="B288" i="1"/>
  <c r="C288" i="1"/>
  <c r="D288" i="1"/>
  <c r="A289" i="1"/>
  <c r="B289" i="1"/>
  <c r="C289" i="1"/>
  <c r="D289" i="1"/>
  <c r="A290" i="1"/>
  <c r="B290" i="1"/>
  <c r="C290" i="1"/>
  <c r="D290" i="1"/>
  <c r="A291" i="1"/>
  <c r="B291" i="1"/>
  <c r="C291" i="1"/>
  <c r="D291" i="1"/>
  <c r="A292" i="1"/>
  <c r="B292" i="1"/>
  <c r="C292" i="1"/>
  <c r="D292" i="1"/>
  <c r="A293" i="1"/>
  <c r="B293" i="1"/>
  <c r="C293" i="1"/>
  <c r="D293" i="1"/>
  <c r="A294" i="1"/>
  <c r="B294" i="1"/>
  <c r="C294" i="1"/>
  <c r="D294" i="1"/>
  <c r="A295" i="1"/>
  <c r="B295" i="1"/>
  <c r="C295" i="1"/>
  <c r="D295" i="1"/>
  <c r="A296" i="1"/>
  <c r="B296" i="1"/>
  <c r="C296" i="1"/>
  <c r="D296" i="1"/>
  <c r="A297" i="1"/>
  <c r="B297" i="1"/>
  <c r="C297" i="1"/>
  <c r="D297" i="1"/>
  <c r="A298" i="1"/>
  <c r="B298" i="1"/>
  <c r="C298" i="1"/>
  <c r="D298" i="1"/>
  <c r="A299" i="1"/>
  <c r="B299" i="1"/>
  <c r="C299" i="1"/>
  <c r="D299" i="1"/>
  <c r="A300" i="1"/>
  <c r="B300" i="1"/>
  <c r="C300" i="1"/>
  <c r="D300" i="1"/>
  <c r="A301" i="1"/>
  <c r="B301" i="1"/>
  <c r="C301" i="1"/>
  <c r="D301" i="1"/>
  <c r="A302" i="1"/>
  <c r="B302" i="1"/>
  <c r="C302" i="1"/>
  <c r="D302" i="1"/>
  <c r="A303" i="1"/>
  <c r="B303" i="1"/>
  <c r="C303" i="1"/>
  <c r="D303" i="1"/>
  <c r="A304" i="1"/>
  <c r="B304" i="1"/>
  <c r="C304" i="1"/>
  <c r="D304" i="1"/>
  <c r="A305" i="1"/>
  <c r="B305" i="1"/>
  <c r="C305" i="1"/>
  <c r="D305" i="1"/>
  <c r="A306" i="1"/>
  <c r="B306" i="1"/>
  <c r="C306" i="1"/>
  <c r="D306" i="1"/>
  <c r="A307" i="1"/>
  <c r="B307" i="1"/>
  <c r="C307" i="1"/>
  <c r="D307" i="1"/>
  <c r="A308" i="1"/>
  <c r="B308" i="1"/>
  <c r="C308" i="1"/>
  <c r="D308" i="1"/>
  <c r="A309" i="1"/>
  <c r="B309" i="1"/>
  <c r="C309" i="1"/>
  <c r="D309" i="1"/>
  <c r="A310" i="1"/>
  <c r="B310" i="1"/>
  <c r="C310" i="1"/>
  <c r="D310" i="1"/>
  <c r="A311" i="1"/>
  <c r="B311" i="1"/>
  <c r="C311" i="1"/>
  <c r="D311" i="1"/>
  <c r="A312" i="1"/>
  <c r="B312" i="1"/>
  <c r="C312" i="1"/>
  <c r="D312" i="1"/>
  <c r="A313" i="1"/>
  <c r="B313" i="1"/>
  <c r="C313" i="1"/>
  <c r="D313" i="1"/>
  <c r="A314" i="1"/>
  <c r="B314" i="1"/>
  <c r="C314" i="1"/>
  <c r="D314" i="1"/>
  <c r="A315" i="1"/>
  <c r="B315" i="1"/>
  <c r="C315" i="1"/>
  <c r="D315" i="1"/>
  <c r="A316" i="1"/>
  <c r="B316" i="1"/>
  <c r="C316" i="1"/>
  <c r="D316" i="1"/>
  <c r="A317" i="1"/>
  <c r="B317" i="1"/>
  <c r="C317" i="1"/>
  <c r="D317" i="1"/>
  <c r="A318" i="1"/>
  <c r="B318" i="1"/>
  <c r="C318" i="1"/>
  <c r="D318" i="1"/>
  <c r="A319" i="1"/>
  <c r="B319" i="1"/>
  <c r="C319" i="1"/>
  <c r="D319" i="1"/>
  <c r="A320" i="1"/>
  <c r="B320" i="1"/>
  <c r="C320" i="1"/>
  <c r="D320" i="1"/>
  <c r="A321" i="1"/>
  <c r="B321" i="1"/>
  <c r="C321" i="1"/>
  <c r="D321" i="1"/>
  <c r="A322" i="1"/>
  <c r="B322" i="1"/>
  <c r="C322" i="1"/>
  <c r="D322" i="1"/>
  <c r="A323" i="1"/>
  <c r="B323" i="1"/>
  <c r="C323" i="1"/>
  <c r="D323" i="1"/>
  <c r="A324" i="1"/>
  <c r="B324" i="1"/>
  <c r="C324" i="1"/>
  <c r="D324" i="1"/>
  <c r="A325" i="1"/>
  <c r="B325" i="1"/>
  <c r="C325" i="1"/>
  <c r="D325" i="1"/>
  <c r="A326" i="1"/>
  <c r="B326" i="1"/>
  <c r="C326" i="1"/>
  <c r="D326" i="1"/>
  <c r="A327" i="1"/>
  <c r="B327" i="1"/>
  <c r="C327" i="1"/>
  <c r="D327" i="1"/>
  <c r="A328" i="1"/>
  <c r="B328" i="1"/>
  <c r="C328" i="1"/>
  <c r="D328" i="1"/>
  <c r="A329" i="1"/>
  <c r="B329" i="1"/>
  <c r="C329" i="1"/>
  <c r="D329" i="1"/>
  <c r="A330" i="1"/>
  <c r="B330" i="1"/>
  <c r="C330" i="1"/>
  <c r="D330" i="1"/>
  <c r="A331" i="1"/>
  <c r="B331" i="1"/>
  <c r="C331" i="1"/>
  <c r="D331" i="1"/>
  <c r="A332" i="1"/>
  <c r="B332" i="1"/>
  <c r="C332" i="1"/>
  <c r="D332" i="1"/>
  <c r="A333" i="1"/>
  <c r="B333" i="1"/>
  <c r="C333" i="1"/>
  <c r="D333" i="1"/>
  <c r="A334" i="1"/>
  <c r="B334" i="1"/>
  <c r="C334" i="1"/>
  <c r="D334" i="1"/>
  <c r="A335" i="1"/>
  <c r="B335" i="1"/>
  <c r="C335" i="1"/>
  <c r="D335" i="1"/>
  <c r="A336" i="1"/>
  <c r="B336" i="1"/>
  <c r="C336" i="1"/>
  <c r="D336" i="1"/>
  <c r="A337" i="1"/>
  <c r="B337" i="1"/>
  <c r="C337" i="1"/>
  <c r="D337" i="1"/>
  <c r="A338" i="1"/>
  <c r="B338" i="1"/>
  <c r="C338" i="1"/>
  <c r="D338" i="1"/>
  <c r="A339" i="1"/>
  <c r="B339" i="1"/>
  <c r="C339" i="1"/>
  <c r="D339" i="1"/>
  <c r="A340" i="1"/>
  <c r="B340" i="1"/>
  <c r="C340" i="1"/>
  <c r="D340" i="1"/>
  <c r="A341" i="1"/>
  <c r="B341" i="1"/>
  <c r="C341" i="1"/>
  <c r="D341" i="1"/>
  <c r="A342" i="1"/>
  <c r="B342" i="1"/>
  <c r="C342" i="1"/>
  <c r="D342" i="1"/>
  <c r="A343" i="1"/>
  <c r="B343" i="1"/>
  <c r="C343" i="1"/>
  <c r="D343" i="1"/>
  <c r="A344" i="1"/>
  <c r="B344" i="1"/>
  <c r="C344" i="1"/>
  <c r="D344" i="1"/>
  <c r="A345" i="1"/>
  <c r="B345" i="1"/>
  <c r="C345" i="1"/>
  <c r="D345" i="1"/>
  <c r="A346" i="1"/>
  <c r="B346" i="1"/>
  <c r="C346" i="1"/>
  <c r="D346" i="1"/>
  <c r="A347" i="1"/>
  <c r="B347" i="1"/>
  <c r="C347" i="1"/>
  <c r="D347" i="1"/>
  <c r="A348" i="1"/>
  <c r="B348" i="1"/>
  <c r="C348" i="1"/>
  <c r="D348" i="1"/>
  <c r="A349" i="1"/>
  <c r="B349" i="1"/>
  <c r="C349" i="1"/>
  <c r="D349" i="1"/>
  <c r="A350" i="1"/>
  <c r="B350" i="1"/>
  <c r="C350" i="1"/>
  <c r="D350" i="1"/>
  <c r="A351" i="1"/>
  <c r="B351" i="1"/>
  <c r="C351" i="1"/>
  <c r="D351" i="1"/>
  <c r="A352" i="1"/>
  <c r="B352" i="1"/>
  <c r="C352" i="1"/>
  <c r="D352" i="1"/>
  <c r="A353" i="1"/>
  <c r="B353" i="1"/>
  <c r="C353" i="1"/>
  <c r="D353" i="1"/>
  <c r="A354" i="1"/>
  <c r="B354" i="1"/>
  <c r="C354" i="1"/>
  <c r="D354" i="1"/>
  <c r="A355" i="1"/>
  <c r="B355" i="1"/>
  <c r="C355" i="1"/>
  <c r="D355" i="1"/>
  <c r="A356" i="1"/>
  <c r="B356" i="1"/>
  <c r="C356" i="1"/>
  <c r="D356" i="1"/>
  <c r="A357" i="1"/>
  <c r="B357" i="1"/>
  <c r="C357" i="1"/>
  <c r="D357" i="1"/>
  <c r="A358" i="1"/>
  <c r="B358" i="1"/>
  <c r="C358" i="1"/>
  <c r="D358" i="1"/>
  <c r="A359" i="1"/>
  <c r="B359" i="1"/>
  <c r="C359" i="1"/>
  <c r="D359" i="1"/>
  <c r="A360" i="1"/>
  <c r="B360" i="1"/>
  <c r="C360" i="1"/>
  <c r="D360" i="1"/>
  <c r="A361" i="1"/>
  <c r="B361" i="1"/>
  <c r="C361" i="1"/>
  <c r="D361" i="1"/>
  <c r="A362" i="1"/>
  <c r="B362" i="1"/>
  <c r="C362" i="1"/>
  <c r="D362" i="1"/>
  <c r="A363" i="1"/>
  <c r="B363" i="1"/>
  <c r="C363" i="1"/>
  <c r="D363" i="1"/>
  <c r="A364" i="1"/>
  <c r="B364" i="1"/>
  <c r="C364" i="1"/>
  <c r="D364" i="1"/>
  <c r="A365" i="1"/>
  <c r="B365" i="1"/>
  <c r="C365" i="1"/>
  <c r="D365" i="1"/>
  <c r="A366" i="1"/>
  <c r="B366" i="1"/>
  <c r="C366" i="1"/>
  <c r="D366" i="1"/>
  <c r="A367" i="1"/>
  <c r="B367" i="1"/>
  <c r="C367" i="1"/>
  <c r="D367" i="1"/>
  <c r="A368" i="1"/>
  <c r="B368" i="1"/>
  <c r="C368" i="1"/>
  <c r="D368" i="1"/>
  <c r="A369" i="1"/>
  <c r="B369" i="1"/>
  <c r="C369" i="1"/>
  <c r="D369" i="1"/>
  <c r="A370" i="1"/>
  <c r="B370" i="1"/>
  <c r="C370" i="1"/>
  <c r="D370" i="1"/>
  <c r="A371" i="1"/>
  <c r="B371" i="1"/>
  <c r="C371" i="1"/>
  <c r="D371" i="1"/>
  <c r="A372" i="1"/>
  <c r="B372" i="1"/>
  <c r="C372" i="1"/>
  <c r="D372" i="1"/>
  <c r="A373" i="1"/>
  <c r="B373" i="1"/>
  <c r="C373" i="1"/>
  <c r="D373" i="1"/>
  <c r="A374" i="1"/>
  <c r="B374" i="1"/>
  <c r="C374" i="1"/>
  <c r="D374" i="1"/>
  <c r="A375" i="1"/>
  <c r="B375" i="1"/>
  <c r="C375" i="1"/>
  <c r="D375" i="1"/>
  <c r="A376" i="1"/>
  <c r="B376" i="1"/>
  <c r="C376" i="1"/>
  <c r="D376" i="1"/>
  <c r="A377" i="1"/>
  <c r="B377" i="1"/>
  <c r="C377" i="1"/>
  <c r="D377" i="1"/>
  <c r="A378" i="1"/>
  <c r="B378" i="1"/>
  <c r="C378" i="1"/>
  <c r="D378" i="1"/>
  <c r="A379" i="1"/>
  <c r="B379" i="1"/>
  <c r="C379" i="1"/>
  <c r="D379" i="1"/>
  <c r="A380" i="1"/>
  <c r="B380" i="1"/>
  <c r="C380" i="1"/>
  <c r="D380" i="1"/>
  <c r="A381" i="1"/>
  <c r="B381" i="1"/>
  <c r="C381" i="1"/>
  <c r="D381" i="1"/>
  <c r="A382" i="1"/>
  <c r="B382" i="1"/>
  <c r="C382" i="1"/>
  <c r="D382" i="1"/>
  <c r="A383" i="1"/>
  <c r="B383" i="1"/>
  <c r="C383" i="1"/>
  <c r="D383" i="1"/>
  <c r="A384" i="1"/>
  <c r="B384" i="1"/>
  <c r="C384" i="1"/>
  <c r="D384" i="1"/>
  <c r="A385" i="1"/>
  <c r="B385" i="1"/>
  <c r="C385" i="1"/>
  <c r="D385" i="1"/>
  <c r="A386" i="1"/>
  <c r="B386" i="1"/>
  <c r="C386" i="1"/>
  <c r="D386" i="1"/>
  <c r="A387" i="1"/>
  <c r="B387" i="1"/>
  <c r="C387" i="1"/>
  <c r="D387" i="1"/>
  <c r="A388" i="1"/>
  <c r="B388" i="1"/>
  <c r="C388" i="1"/>
  <c r="D388" i="1"/>
  <c r="A389" i="1"/>
  <c r="B389" i="1"/>
  <c r="C389" i="1"/>
  <c r="D389" i="1"/>
  <c r="A390" i="1"/>
  <c r="B390" i="1"/>
  <c r="C390" i="1"/>
  <c r="D390" i="1"/>
  <c r="A391" i="1"/>
  <c r="B391" i="1"/>
  <c r="C391" i="1"/>
  <c r="D391" i="1"/>
  <c r="A392" i="1"/>
  <c r="B392" i="1"/>
  <c r="C392" i="1"/>
  <c r="D392" i="1"/>
  <c r="A393" i="1"/>
  <c r="B393" i="1"/>
  <c r="C393" i="1"/>
  <c r="D393" i="1"/>
  <c r="A394" i="1"/>
  <c r="B394" i="1"/>
  <c r="C394" i="1"/>
  <c r="D394" i="1"/>
  <c r="A395" i="1"/>
  <c r="B395" i="1"/>
  <c r="C395" i="1"/>
  <c r="D395" i="1"/>
  <c r="A396" i="1"/>
  <c r="B396" i="1"/>
  <c r="C396" i="1"/>
  <c r="D396" i="1"/>
  <c r="A397" i="1"/>
  <c r="B397" i="1"/>
  <c r="C397" i="1"/>
  <c r="D397" i="1"/>
  <c r="A398" i="1"/>
  <c r="B398" i="1"/>
  <c r="C398" i="1"/>
  <c r="D398" i="1"/>
  <c r="A399" i="1"/>
  <c r="B399" i="1"/>
  <c r="C399" i="1"/>
  <c r="D399" i="1"/>
  <c r="A400" i="1"/>
  <c r="B400" i="1"/>
  <c r="C400" i="1"/>
  <c r="D400" i="1"/>
  <c r="A401" i="1"/>
  <c r="B401" i="1"/>
  <c r="C401" i="1"/>
  <c r="D401" i="1"/>
  <c r="A402" i="1"/>
  <c r="B402" i="1"/>
  <c r="C402" i="1"/>
  <c r="D402" i="1"/>
  <c r="A403" i="1"/>
  <c r="B403" i="1"/>
  <c r="C403" i="1"/>
  <c r="D403" i="1"/>
  <c r="A404" i="1"/>
  <c r="B404" i="1"/>
  <c r="C404" i="1"/>
  <c r="D404" i="1"/>
  <c r="A405" i="1"/>
  <c r="B405" i="1"/>
  <c r="C405" i="1"/>
  <c r="D405" i="1"/>
  <c r="A406" i="1"/>
  <c r="B406" i="1"/>
  <c r="C406" i="1"/>
  <c r="D406" i="1"/>
  <c r="A407" i="1"/>
  <c r="B407" i="1"/>
  <c r="C407" i="1"/>
  <c r="D407" i="1"/>
  <c r="A408" i="1"/>
  <c r="B408" i="1"/>
  <c r="C408" i="1"/>
  <c r="D408" i="1"/>
  <c r="A409" i="1"/>
  <c r="B409" i="1"/>
  <c r="C409" i="1"/>
  <c r="D409" i="1"/>
  <c r="A410" i="1"/>
  <c r="B410" i="1"/>
  <c r="C410" i="1"/>
  <c r="D410" i="1"/>
  <c r="A411" i="1"/>
  <c r="B411" i="1"/>
  <c r="C411" i="1"/>
  <c r="D411" i="1"/>
  <c r="A412" i="1"/>
  <c r="B412" i="1"/>
  <c r="C412" i="1"/>
  <c r="D412" i="1"/>
  <c r="A413" i="1"/>
  <c r="B413" i="1"/>
  <c r="C413" i="1"/>
  <c r="D413" i="1"/>
  <c r="A414" i="1"/>
  <c r="B414" i="1"/>
  <c r="C414" i="1"/>
  <c r="D414" i="1"/>
  <c r="A415" i="1"/>
  <c r="B415" i="1"/>
  <c r="C415" i="1"/>
  <c r="D415" i="1"/>
  <c r="A416" i="1"/>
  <c r="B416" i="1"/>
  <c r="C416" i="1"/>
  <c r="D416" i="1"/>
  <c r="A417" i="1"/>
  <c r="B417" i="1"/>
  <c r="C417" i="1"/>
  <c r="D417" i="1"/>
  <c r="A418" i="1"/>
  <c r="B418" i="1"/>
  <c r="C418" i="1"/>
  <c r="D418" i="1"/>
  <c r="A419" i="1"/>
  <c r="B419" i="1"/>
  <c r="C419" i="1"/>
  <c r="D419" i="1"/>
  <c r="A420" i="1"/>
  <c r="B420" i="1"/>
  <c r="C420" i="1"/>
  <c r="D420" i="1"/>
  <c r="A421" i="1"/>
  <c r="B421" i="1"/>
  <c r="C421" i="1"/>
  <c r="D421" i="1"/>
  <c r="A422" i="1"/>
  <c r="B422" i="1"/>
  <c r="C422" i="1"/>
  <c r="D422" i="1"/>
  <c r="A423" i="1"/>
  <c r="B423" i="1"/>
  <c r="C423" i="1"/>
  <c r="D423" i="1"/>
  <c r="A424" i="1"/>
  <c r="B424" i="1"/>
  <c r="C424" i="1"/>
  <c r="D424" i="1"/>
  <c r="A425" i="1"/>
  <c r="B425" i="1"/>
  <c r="C425" i="1"/>
  <c r="D425" i="1"/>
  <c r="A426" i="1"/>
  <c r="B426" i="1"/>
  <c r="C426" i="1"/>
  <c r="D426" i="1"/>
  <c r="A427" i="1"/>
  <c r="B427" i="1"/>
  <c r="C427" i="1"/>
  <c r="D427" i="1"/>
  <c r="A428" i="1"/>
  <c r="B428" i="1"/>
  <c r="C428" i="1"/>
  <c r="D428" i="1"/>
  <c r="A429" i="1"/>
  <c r="B429" i="1"/>
  <c r="C429" i="1"/>
  <c r="D429" i="1"/>
  <c r="A430" i="1"/>
  <c r="B430" i="1"/>
  <c r="C430" i="1"/>
  <c r="D430" i="1"/>
  <c r="A431" i="1"/>
  <c r="B431" i="1"/>
  <c r="C431" i="1"/>
  <c r="D431" i="1"/>
  <c r="A432" i="1"/>
  <c r="B432" i="1"/>
  <c r="C432" i="1"/>
  <c r="D432" i="1"/>
  <c r="A433" i="1"/>
  <c r="B433" i="1"/>
  <c r="C433" i="1"/>
  <c r="D433" i="1"/>
  <c r="A434" i="1"/>
  <c r="B434" i="1"/>
  <c r="C434" i="1"/>
  <c r="D434" i="1"/>
  <c r="A435" i="1"/>
  <c r="B435" i="1"/>
  <c r="C435" i="1"/>
  <c r="D435" i="1"/>
  <c r="A436" i="1"/>
  <c r="B436" i="1"/>
  <c r="C436" i="1"/>
  <c r="D436" i="1"/>
  <c r="A437" i="1"/>
  <c r="B437" i="1"/>
  <c r="C437" i="1"/>
  <c r="D437" i="1"/>
  <c r="A438" i="1"/>
  <c r="B438" i="1"/>
  <c r="C438" i="1"/>
  <c r="D438" i="1"/>
  <c r="A439" i="1"/>
  <c r="B439" i="1"/>
  <c r="C439" i="1"/>
  <c r="D439" i="1"/>
  <c r="A440" i="1"/>
  <c r="B440" i="1"/>
  <c r="C440" i="1"/>
  <c r="D440" i="1"/>
  <c r="A441" i="1"/>
  <c r="B441" i="1"/>
  <c r="C441" i="1"/>
  <c r="D441" i="1"/>
  <c r="A442" i="1"/>
  <c r="B442" i="1"/>
  <c r="C442" i="1"/>
  <c r="D442" i="1"/>
  <c r="A443" i="1"/>
  <c r="B443" i="1"/>
  <c r="C443" i="1"/>
  <c r="D443" i="1"/>
  <c r="A444" i="1"/>
  <c r="B444" i="1"/>
  <c r="C444" i="1"/>
  <c r="D444" i="1"/>
  <c r="A445" i="1"/>
  <c r="B445" i="1"/>
  <c r="C445" i="1"/>
  <c r="D445" i="1"/>
  <c r="A446" i="1"/>
  <c r="B446" i="1"/>
  <c r="C446" i="1"/>
  <c r="D446" i="1"/>
  <c r="A447" i="1"/>
  <c r="B447" i="1"/>
  <c r="C447" i="1"/>
  <c r="D447" i="1"/>
  <c r="A448" i="1"/>
  <c r="B448" i="1"/>
  <c r="C448" i="1"/>
  <c r="D448" i="1"/>
  <c r="A449" i="1"/>
  <c r="B449" i="1"/>
  <c r="C449" i="1"/>
  <c r="D449" i="1"/>
  <c r="A450" i="1"/>
  <c r="B450" i="1"/>
  <c r="C450" i="1"/>
  <c r="D450" i="1"/>
  <c r="A451" i="1"/>
  <c r="B451" i="1"/>
  <c r="C451" i="1"/>
  <c r="D451" i="1"/>
  <c r="A452" i="1"/>
  <c r="B452" i="1"/>
  <c r="C452" i="1"/>
  <c r="D452" i="1"/>
  <c r="A453" i="1"/>
  <c r="B453" i="1"/>
  <c r="C453" i="1"/>
  <c r="D453" i="1"/>
  <c r="A454" i="1"/>
  <c r="B454" i="1"/>
  <c r="C454" i="1"/>
  <c r="D454" i="1"/>
  <c r="A455" i="1"/>
  <c r="B455" i="1"/>
  <c r="C455" i="1"/>
  <c r="D455" i="1"/>
  <c r="A456" i="1"/>
  <c r="B456" i="1"/>
  <c r="C456" i="1"/>
  <c r="D456" i="1"/>
  <c r="A457" i="1"/>
  <c r="B457" i="1"/>
  <c r="C457" i="1"/>
  <c r="D457" i="1"/>
  <c r="A458" i="1"/>
  <c r="B458" i="1"/>
  <c r="C458" i="1"/>
  <c r="D458" i="1"/>
  <c r="A459" i="1"/>
  <c r="B459" i="1"/>
  <c r="C459" i="1"/>
  <c r="D459" i="1"/>
  <c r="A460" i="1"/>
  <c r="B460" i="1"/>
  <c r="C460" i="1"/>
  <c r="D460" i="1"/>
  <c r="A461" i="1"/>
  <c r="B461" i="1"/>
  <c r="C461" i="1"/>
  <c r="D461" i="1"/>
  <c r="A462" i="1"/>
  <c r="B462" i="1"/>
  <c r="C462" i="1"/>
  <c r="D462" i="1"/>
  <c r="A463" i="1"/>
  <c r="B463" i="1"/>
  <c r="C463" i="1"/>
  <c r="D463" i="1"/>
  <c r="A464" i="1"/>
  <c r="B464" i="1"/>
  <c r="C464" i="1"/>
  <c r="D464" i="1"/>
  <c r="A465" i="1"/>
  <c r="B465" i="1"/>
  <c r="C465" i="1"/>
  <c r="D465" i="1"/>
  <c r="A466" i="1"/>
  <c r="B466" i="1"/>
  <c r="C466" i="1"/>
  <c r="D466" i="1"/>
  <c r="A467" i="1"/>
  <c r="B467" i="1"/>
  <c r="C467" i="1"/>
  <c r="D467" i="1"/>
  <c r="A468" i="1"/>
  <c r="B468" i="1"/>
  <c r="C468" i="1"/>
  <c r="D468" i="1"/>
  <c r="A469" i="1"/>
  <c r="B469" i="1"/>
  <c r="C469" i="1"/>
  <c r="D469" i="1"/>
  <c r="A470" i="1"/>
  <c r="B470" i="1"/>
  <c r="C470" i="1"/>
  <c r="D470" i="1"/>
  <c r="A471" i="1"/>
  <c r="B471" i="1"/>
  <c r="C471" i="1"/>
  <c r="D471" i="1"/>
  <c r="A472" i="1"/>
  <c r="B472" i="1"/>
  <c r="C472" i="1"/>
  <c r="D472" i="1"/>
  <c r="A473" i="1"/>
  <c r="B473" i="1"/>
  <c r="C473" i="1"/>
  <c r="D473" i="1"/>
  <c r="A474" i="1"/>
  <c r="B474" i="1"/>
  <c r="C474" i="1"/>
  <c r="D474" i="1"/>
  <c r="A475" i="1"/>
  <c r="B475" i="1"/>
  <c r="C475" i="1"/>
  <c r="D475" i="1"/>
  <c r="A476" i="1"/>
  <c r="B476" i="1"/>
  <c r="C476" i="1"/>
  <c r="D476" i="1"/>
  <c r="A477" i="1"/>
  <c r="B477" i="1"/>
  <c r="C477" i="1"/>
  <c r="D477" i="1"/>
  <c r="A478" i="1"/>
  <c r="B478" i="1"/>
  <c r="C478" i="1"/>
  <c r="D478" i="1"/>
  <c r="A479" i="1"/>
  <c r="B479" i="1"/>
  <c r="C479" i="1"/>
  <c r="D479" i="1"/>
  <c r="A480" i="1"/>
  <c r="B480" i="1"/>
  <c r="C480" i="1"/>
  <c r="D480" i="1"/>
  <c r="A481" i="1"/>
  <c r="B481" i="1"/>
  <c r="C481" i="1"/>
  <c r="D481" i="1"/>
  <c r="A482" i="1"/>
  <c r="B482" i="1"/>
  <c r="C482" i="1"/>
  <c r="D482" i="1"/>
  <c r="A483" i="1"/>
  <c r="B483" i="1"/>
  <c r="C483" i="1"/>
  <c r="D483" i="1"/>
  <c r="A484" i="1"/>
  <c r="B484" i="1"/>
  <c r="C484" i="1"/>
  <c r="D484" i="1"/>
  <c r="A485" i="1"/>
  <c r="B485" i="1"/>
  <c r="C485" i="1"/>
  <c r="D485" i="1"/>
  <c r="A486" i="1"/>
  <c r="B486" i="1"/>
  <c r="C486" i="1"/>
  <c r="D486" i="1"/>
  <c r="A487" i="1"/>
  <c r="B487" i="1"/>
  <c r="C487" i="1"/>
  <c r="D487" i="1"/>
  <c r="A488" i="1"/>
  <c r="B488" i="1"/>
  <c r="C488" i="1"/>
  <c r="D488" i="1"/>
  <c r="A489" i="1"/>
  <c r="B489" i="1"/>
  <c r="C489" i="1"/>
  <c r="D489" i="1"/>
  <c r="A490" i="1"/>
  <c r="B490" i="1"/>
  <c r="C490" i="1"/>
  <c r="D490" i="1"/>
  <c r="A491" i="1"/>
  <c r="B491" i="1"/>
  <c r="C491" i="1"/>
  <c r="D491" i="1"/>
  <c r="A492" i="1"/>
  <c r="B492" i="1"/>
  <c r="C492" i="1"/>
  <c r="D492" i="1"/>
  <c r="A493" i="1"/>
  <c r="B493" i="1"/>
  <c r="C493" i="1"/>
  <c r="D493" i="1"/>
  <c r="A494" i="1"/>
  <c r="B494" i="1"/>
  <c r="C494" i="1"/>
  <c r="D494" i="1"/>
  <c r="A495" i="1"/>
  <c r="B495" i="1"/>
  <c r="C495" i="1"/>
  <c r="D495" i="1"/>
  <c r="A496" i="1"/>
  <c r="B496" i="1"/>
  <c r="C496" i="1"/>
  <c r="D496" i="1"/>
  <c r="A497" i="1"/>
  <c r="B497" i="1"/>
  <c r="C497" i="1"/>
  <c r="D497" i="1"/>
  <c r="A498" i="1"/>
  <c r="B498" i="1"/>
  <c r="C498" i="1"/>
  <c r="D498" i="1"/>
  <c r="A499" i="1"/>
  <c r="B499" i="1"/>
  <c r="C499" i="1"/>
  <c r="D499" i="1"/>
  <c r="A500" i="1"/>
  <c r="B500" i="1"/>
  <c r="C500" i="1"/>
  <c r="D500" i="1"/>
  <c r="A501" i="1"/>
  <c r="B501" i="1"/>
  <c r="C501" i="1"/>
  <c r="D501" i="1"/>
  <c r="A502" i="1"/>
  <c r="B502" i="1"/>
  <c r="C502" i="1"/>
  <c r="D502" i="1"/>
  <c r="A503" i="1"/>
  <c r="B503" i="1"/>
  <c r="C503" i="1"/>
  <c r="D503" i="1"/>
  <c r="A504" i="1"/>
  <c r="B504" i="1"/>
  <c r="C504" i="1"/>
  <c r="D504" i="1"/>
  <c r="A505" i="1"/>
  <c r="B505" i="1"/>
  <c r="C505" i="1"/>
  <c r="D505" i="1"/>
  <c r="A506" i="1"/>
  <c r="B506" i="1"/>
  <c r="C506" i="1"/>
  <c r="D506" i="1"/>
  <c r="A507" i="1"/>
  <c r="B507" i="1"/>
  <c r="C507" i="1"/>
  <c r="D507" i="1"/>
  <c r="A508" i="1"/>
  <c r="B508" i="1"/>
  <c r="C508" i="1"/>
  <c r="D508" i="1"/>
  <c r="A509" i="1"/>
  <c r="B509" i="1"/>
  <c r="C509" i="1"/>
  <c r="D509" i="1"/>
  <c r="A510" i="1"/>
  <c r="B510" i="1"/>
  <c r="C510" i="1"/>
  <c r="D510" i="1"/>
  <c r="A511" i="1"/>
  <c r="B511" i="1"/>
  <c r="C511" i="1"/>
  <c r="D511" i="1"/>
  <c r="A512" i="1"/>
  <c r="B512" i="1"/>
  <c r="C512" i="1"/>
  <c r="D512" i="1"/>
  <c r="A513" i="1"/>
  <c r="B513" i="1"/>
  <c r="C513" i="1"/>
  <c r="D513" i="1"/>
  <c r="A514" i="1"/>
  <c r="B514" i="1"/>
  <c r="C514" i="1"/>
  <c r="D514" i="1"/>
  <c r="A515" i="1"/>
  <c r="B515" i="1"/>
  <c r="C515" i="1"/>
  <c r="D515" i="1"/>
  <c r="A516" i="1"/>
  <c r="B516" i="1"/>
  <c r="C516" i="1"/>
  <c r="D516" i="1"/>
  <c r="A517" i="1"/>
  <c r="B517" i="1"/>
  <c r="C517" i="1"/>
  <c r="D517" i="1"/>
  <c r="A518" i="1"/>
  <c r="B518" i="1"/>
  <c r="C518" i="1"/>
  <c r="D518" i="1"/>
  <c r="A519" i="1"/>
  <c r="B519" i="1"/>
  <c r="C519" i="1"/>
  <c r="D519" i="1"/>
  <c r="A520" i="1"/>
  <c r="B520" i="1"/>
  <c r="C520" i="1"/>
  <c r="D520" i="1"/>
  <c r="A521" i="1"/>
  <c r="B521" i="1"/>
  <c r="C521" i="1"/>
  <c r="D521" i="1"/>
  <c r="A522" i="1"/>
  <c r="B522" i="1"/>
  <c r="C522" i="1"/>
  <c r="D522" i="1"/>
  <c r="A523" i="1"/>
  <c r="B523" i="1"/>
  <c r="C523" i="1"/>
  <c r="D523" i="1"/>
  <c r="A524" i="1"/>
  <c r="B524" i="1"/>
  <c r="C524" i="1"/>
  <c r="D524" i="1"/>
  <c r="A525" i="1"/>
  <c r="B525" i="1"/>
  <c r="C525" i="1"/>
  <c r="D525" i="1"/>
  <c r="A526" i="1"/>
  <c r="B526" i="1"/>
  <c r="C526" i="1"/>
  <c r="D526" i="1"/>
  <c r="A527" i="1"/>
  <c r="B527" i="1"/>
  <c r="C527" i="1"/>
  <c r="D527" i="1"/>
  <c r="A528" i="1"/>
  <c r="B528" i="1"/>
  <c r="C528" i="1"/>
  <c r="D528" i="1"/>
  <c r="A529" i="1"/>
  <c r="B529" i="1"/>
  <c r="C529" i="1"/>
  <c r="D529" i="1"/>
  <c r="A530" i="1"/>
  <c r="B530" i="1"/>
  <c r="C530" i="1"/>
  <c r="D530" i="1"/>
  <c r="A531" i="1"/>
  <c r="B531" i="1"/>
  <c r="C531" i="1"/>
  <c r="D531" i="1"/>
  <c r="A532" i="1"/>
  <c r="B532" i="1"/>
  <c r="C532" i="1"/>
  <c r="D532" i="1"/>
  <c r="A533" i="1"/>
  <c r="B533" i="1"/>
  <c r="C533" i="1"/>
  <c r="D533" i="1"/>
  <c r="A534" i="1"/>
  <c r="B534" i="1"/>
  <c r="C534" i="1"/>
  <c r="D534" i="1"/>
  <c r="A535" i="1"/>
  <c r="B535" i="1"/>
  <c r="C535" i="1"/>
  <c r="D535" i="1"/>
  <c r="A536" i="1"/>
  <c r="B536" i="1"/>
  <c r="C536" i="1"/>
  <c r="D536" i="1"/>
  <c r="A537" i="1"/>
  <c r="B537" i="1"/>
  <c r="C537" i="1"/>
  <c r="D537" i="1"/>
  <c r="A538" i="1"/>
  <c r="B538" i="1"/>
  <c r="C538" i="1"/>
  <c r="D538" i="1"/>
  <c r="A539" i="1"/>
  <c r="B539" i="1"/>
  <c r="C539" i="1"/>
  <c r="D539" i="1"/>
  <c r="A540" i="1"/>
  <c r="B540" i="1"/>
  <c r="C540" i="1"/>
  <c r="D540" i="1"/>
  <c r="A541" i="1"/>
  <c r="B541" i="1"/>
  <c r="C541" i="1"/>
  <c r="D541" i="1"/>
  <c r="A542" i="1"/>
  <c r="B542" i="1"/>
  <c r="C542" i="1"/>
  <c r="D542" i="1"/>
  <c r="A543" i="1"/>
  <c r="B543" i="1"/>
  <c r="C543" i="1"/>
  <c r="D543" i="1"/>
  <c r="A544" i="1"/>
  <c r="B544" i="1"/>
  <c r="C544" i="1"/>
  <c r="D544" i="1"/>
  <c r="A545" i="1"/>
  <c r="B545" i="1"/>
  <c r="C545" i="1"/>
  <c r="D545" i="1"/>
  <c r="A546" i="1"/>
  <c r="B546" i="1"/>
  <c r="C546" i="1"/>
  <c r="D546" i="1"/>
  <c r="A547" i="1"/>
  <c r="B547" i="1"/>
  <c r="C547" i="1"/>
  <c r="D547" i="1"/>
  <c r="A548" i="1"/>
  <c r="B548" i="1"/>
  <c r="C548" i="1"/>
  <c r="D548" i="1"/>
  <c r="A549" i="1"/>
  <c r="B549" i="1"/>
  <c r="C549" i="1"/>
  <c r="D549" i="1"/>
  <c r="A550" i="1"/>
  <c r="B550" i="1"/>
  <c r="C550" i="1"/>
  <c r="D550" i="1"/>
  <c r="A551" i="1"/>
  <c r="B551" i="1"/>
  <c r="C551" i="1"/>
  <c r="D551" i="1"/>
  <c r="A552" i="1"/>
  <c r="B552" i="1"/>
  <c r="C552" i="1"/>
  <c r="D552" i="1"/>
  <c r="A553" i="1"/>
  <c r="B553" i="1"/>
  <c r="C553" i="1"/>
  <c r="D553" i="1"/>
  <c r="A554" i="1"/>
  <c r="B554" i="1"/>
  <c r="C554" i="1"/>
  <c r="D554" i="1"/>
  <c r="A555" i="1"/>
  <c r="B555" i="1"/>
  <c r="C555" i="1"/>
  <c r="D555" i="1"/>
  <c r="A556" i="1"/>
  <c r="B556" i="1"/>
  <c r="C556" i="1"/>
  <c r="D556" i="1"/>
  <c r="A557" i="1"/>
  <c r="B557" i="1"/>
  <c r="C557" i="1"/>
  <c r="D557" i="1"/>
  <c r="A558" i="1"/>
  <c r="B558" i="1"/>
  <c r="C558" i="1"/>
  <c r="D558" i="1"/>
  <c r="A559" i="1"/>
  <c r="B559" i="1"/>
  <c r="C559" i="1"/>
  <c r="D559" i="1"/>
  <c r="A560" i="1"/>
  <c r="B560" i="1"/>
  <c r="C560" i="1"/>
  <c r="D560" i="1"/>
  <c r="A561" i="1"/>
  <c r="B561" i="1"/>
  <c r="C561" i="1"/>
  <c r="D561" i="1"/>
  <c r="A562" i="1"/>
  <c r="B562" i="1"/>
  <c r="C562" i="1"/>
  <c r="D562" i="1"/>
  <c r="A563" i="1"/>
  <c r="B563" i="1"/>
  <c r="C563" i="1"/>
  <c r="D563" i="1"/>
  <c r="A564" i="1"/>
  <c r="B564" i="1"/>
  <c r="C564" i="1"/>
  <c r="D564" i="1"/>
  <c r="A565" i="1"/>
  <c r="B565" i="1"/>
  <c r="C565" i="1"/>
  <c r="D565" i="1"/>
  <c r="A566" i="1"/>
  <c r="B566" i="1"/>
  <c r="C566" i="1"/>
  <c r="D566" i="1"/>
  <c r="A567" i="1"/>
  <c r="B567" i="1"/>
  <c r="C567" i="1"/>
  <c r="D567" i="1"/>
  <c r="A568" i="1"/>
  <c r="B568" i="1"/>
  <c r="C568" i="1"/>
  <c r="D568" i="1"/>
  <c r="A569" i="1"/>
  <c r="B569" i="1"/>
  <c r="C569" i="1"/>
  <c r="D569" i="1"/>
  <c r="A570" i="1"/>
  <c r="B570" i="1"/>
  <c r="C570" i="1"/>
  <c r="D570" i="1"/>
  <c r="A571" i="1"/>
  <c r="B571" i="1"/>
  <c r="C571" i="1"/>
  <c r="D571" i="1"/>
  <c r="A572" i="1"/>
  <c r="B572" i="1"/>
  <c r="C572" i="1"/>
  <c r="D572" i="1"/>
  <c r="A573" i="1"/>
  <c r="B573" i="1"/>
  <c r="C573" i="1"/>
  <c r="D573" i="1"/>
  <c r="A574" i="1"/>
  <c r="B574" i="1"/>
  <c r="C574" i="1"/>
  <c r="D574" i="1"/>
  <c r="A575" i="1"/>
  <c r="B575" i="1"/>
  <c r="C575" i="1"/>
  <c r="D575" i="1"/>
  <c r="A576" i="1"/>
  <c r="B576" i="1"/>
  <c r="C576" i="1"/>
  <c r="D576" i="1"/>
  <c r="A577" i="1"/>
  <c r="B577" i="1"/>
  <c r="C577" i="1"/>
  <c r="D577" i="1"/>
  <c r="A578" i="1"/>
  <c r="B578" i="1"/>
  <c r="C578" i="1"/>
  <c r="D578" i="1"/>
  <c r="A579" i="1"/>
  <c r="B579" i="1"/>
  <c r="C579" i="1"/>
  <c r="D579" i="1"/>
  <c r="A580" i="1"/>
  <c r="B580" i="1"/>
  <c r="C580" i="1"/>
  <c r="D580" i="1"/>
  <c r="A581" i="1"/>
  <c r="B581" i="1"/>
  <c r="C581" i="1"/>
  <c r="D581" i="1"/>
  <c r="A582" i="1"/>
  <c r="B582" i="1"/>
  <c r="C582" i="1"/>
  <c r="D582" i="1"/>
  <c r="A583" i="1"/>
  <c r="B583" i="1"/>
  <c r="C583" i="1"/>
  <c r="D583" i="1"/>
  <c r="A584" i="1"/>
  <c r="B584" i="1"/>
  <c r="C584" i="1"/>
  <c r="D584" i="1"/>
  <c r="A585" i="1"/>
  <c r="B585" i="1"/>
  <c r="C585" i="1"/>
  <c r="D585" i="1"/>
  <c r="A586" i="1"/>
  <c r="B586" i="1"/>
  <c r="C586" i="1"/>
  <c r="D586" i="1"/>
  <c r="A587" i="1"/>
  <c r="B587" i="1"/>
  <c r="C587" i="1"/>
  <c r="D587" i="1"/>
  <c r="A588" i="1"/>
  <c r="B588" i="1"/>
  <c r="C588" i="1"/>
  <c r="D588" i="1"/>
  <c r="A589" i="1"/>
  <c r="B589" i="1"/>
  <c r="C589" i="1"/>
  <c r="D589" i="1"/>
  <c r="A590" i="1"/>
  <c r="B590" i="1"/>
  <c r="C590" i="1"/>
  <c r="D590" i="1"/>
  <c r="A591" i="1"/>
  <c r="B591" i="1"/>
  <c r="C591" i="1"/>
  <c r="D591" i="1"/>
  <c r="A592" i="1"/>
  <c r="B592" i="1"/>
  <c r="C592" i="1"/>
  <c r="D592" i="1"/>
  <c r="A593" i="1"/>
  <c r="B593" i="1"/>
  <c r="C593" i="1"/>
  <c r="D593" i="1"/>
  <c r="A594" i="1"/>
  <c r="B594" i="1"/>
  <c r="C594" i="1"/>
  <c r="D594" i="1"/>
  <c r="A595" i="1"/>
  <c r="B595" i="1"/>
  <c r="C595" i="1"/>
  <c r="D595" i="1"/>
  <c r="A596" i="1"/>
  <c r="B596" i="1"/>
  <c r="C596" i="1"/>
  <c r="D596" i="1"/>
  <c r="A597" i="1"/>
  <c r="B597" i="1"/>
  <c r="C597" i="1"/>
  <c r="D597" i="1"/>
  <c r="A598" i="1"/>
  <c r="B598" i="1"/>
  <c r="C598" i="1"/>
  <c r="D598" i="1"/>
  <c r="A599" i="1"/>
  <c r="B599" i="1"/>
  <c r="C599" i="1"/>
  <c r="D599" i="1"/>
  <c r="A600" i="1"/>
  <c r="B600" i="1"/>
  <c r="C600" i="1"/>
  <c r="D600" i="1"/>
  <c r="A601" i="1"/>
  <c r="B601" i="1"/>
  <c r="C601" i="1"/>
  <c r="D601" i="1"/>
  <c r="A602" i="1"/>
  <c r="B602" i="1"/>
  <c r="C602" i="1"/>
  <c r="D602" i="1"/>
  <c r="A603" i="1"/>
  <c r="B603" i="1"/>
  <c r="C603" i="1"/>
  <c r="D603" i="1"/>
  <c r="A604" i="1"/>
  <c r="B604" i="1"/>
  <c r="C604" i="1"/>
  <c r="D604" i="1"/>
  <c r="A605" i="1"/>
  <c r="B605" i="1"/>
  <c r="C605" i="1"/>
  <c r="D605" i="1"/>
  <c r="A606" i="1"/>
  <c r="B606" i="1"/>
  <c r="C606" i="1"/>
  <c r="D606" i="1"/>
  <c r="A607" i="1"/>
  <c r="B607" i="1"/>
  <c r="C607" i="1"/>
  <c r="D607" i="1"/>
  <c r="A608" i="1"/>
  <c r="B608" i="1"/>
  <c r="C608" i="1"/>
  <c r="D608" i="1"/>
  <c r="A609" i="1"/>
  <c r="B609" i="1"/>
  <c r="C609" i="1"/>
  <c r="D609" i="1"/>
  <c r="A610" i="1"/>
  <c r="B610" i="1"/>
  <c r="C610" i="1"/>
  <c r="D610" i="1"/>
  <c r="A611" i="1"/>
  <c r="B611" i="1"/>
  <c r="C611" i="1"/>
  <c r="D611" i="1"/>
  <c r="A612" i="1"/>
  <c r="B612" i="1"/>
  <c r="C612" i="1"/>
  <c r="D612" i="1"/>
  <c r="A613" i="1"/>
  <c r="B613" i="1"/>
  <c r="C613" i="1"/>
  <c r="D613" i="1"/>
  <c r="A614" i="1"/>
  <c r="B614" i="1"/>
  <c r="C614" i="1"/>
  <c r="D614" i="1"/>
  <c r="A615" i="1"/>
  <c r="B615" i="1"/>
  <c r="C615" i="1"/>
  <c r="D615" i="1"/>
  <c r="A616" i="1"/>
  <c r="B616" i="1"/>
  <c r="C616" i="1"/>
  <c r="D616" i="1"/>
  <c r="A617" i="1"/>
  <c r="B617" i="1"/>
  <c r="C617" i="1"/>
  <c r="D617" i="1"/>
  <c r="A618" i="1"/>
  <c r="B618" i="1"/>
  <c r="C618" i="1"/>
  <c r="D618" i="1"/>
  <c r="A619" i="1"/>
  <c r="B619" i="1"/>
  <c r="C619" i="1"/>
  <c r="D619" i="1"/>
  <c r="A620" i="1"/>
  <c r="B620" i="1"/>
  <c r="C620" i="1"/>
  <c r="D620" i="1"/>
  <c r="A621" i="1"/>
  <c r="B621" i="1"/>
  <c r="C621" i="1"/>
  <c r="D621" i="1"/>
  <c r="A622" i="1"/>
  <c r="B622" i="1"/>
  <c r="C622" i="1"/>
  <c r="D622" i="1"/>
  <c r="A623" i="1"/>
  <c r="B623" i="1"/>
  <c r="C623" i="1"/>
  <c r="D623" i="1"/>
  <c r="A624" i="1"/>
  <c r="B624" i="1"/>
  <c r="C624" i="1"/>
  <c r="D624" i="1"/>
  <c r="A625" i="1"/>
  <c r="B625" i="1"/>
  <c r="C625" i="1"/>
  <c r="D625" i="1"/>
  <c r="A626" i="1"/>
  <c r="B626" i="1"/>
  <c r="C626" i="1"/>
  <c r="D626" i="1"/>
  <c r="A627" i="1"/>
  <c r="B627" i="1"/>
  <c r="C627" i="1"/>
  <c r="D627" i="1"/>
  <c r="A628" i="1"/>
  <c r="B628" i="1"/>
  <c r="C628" i="1"/>
  <c r="D628" i="1"/>
  <c r="A629" i="1"/>
  <c r="B629" i="1"/>
  <c r="C629" i="1"/>
  <c r="D629" i="1"/>
  <c r="A630" i="1"/>
  <c r="B630" i="1"/>
  <c r="C630" i="1"/>
  <c r="D630" i="1"/>
  <c r="A631" i="1"/>
  <c r="B631" i="1"/>
  <c r="C631" i="1"/>
  <c r="D631" i="1"/>
  <c r="A632" i="1"/>
  <c r="B632" i="1"/>
  <c r="C632" i="1"/>
  <c r="D632" i="1"/>
  <c r="A633" i="1"/>
  <c r="B633" i="1"/>
  <c r="C633" i="1"/>
  <c r="D633" i="1"/>
  <c r="A634" i="1"/>
  <c r="B634" i="1"/>
  <c r="C634" i="1"/>
  <c r="D634" i="1"/>
  <c r="A635" i="1"/>
  <c r="B635" i="1"/>
  <c r="C635" i="1"/>
  <c r="D635" i="1"/>
  <c r="A636" i="1"/>
  <c r="B636" i="1"/>
  <c r="C636" i="1"/>
  <c r="D636" i="1"/>
  <c r="A637" i="1"/>
  <c r="B637" i="1"/>
  <c r="C637" i="1"/>
  <c r="D637" i="1"/>
  <c r="A638" i="1"/>
  <c r="B638" i="1"/>
  <c r="C638" i="1"/>
  <c r="D638" i="1"/>
  <c r="A639" i="1"/>
  <c r="B639" i="1"/>
  <c r="C639" i="1"/>
  <c r="D639" i="1"/>
  <c r="A640" i="1"/>
  <c r="B640" i="1"/>
  <c r="C640" i="1"/>
  <c r="D640" i="1"/>
  <c r="A641" i="1"/>
  <c r="B641" i="1"/>
  <c r="C641" i="1"/>
  <c r="D641" i="1"/>
  <c r="A642" i="1"/>
  <c r="B642" i="1"/>
  <c r="C642" i="1"/>
  <c r="D642" i="1"/>
  <c r="A643" i="1"/>
  <c r="B643" i="1"/>
  <c r="C643" i="1"/>
  <c r="D643" i="1"/>
  <c r="A644" i="1"/>
  <c r="B644" i="1"/>
  <c r="C644" i="1"/>
  <c r="D644" i="1"/>
  <c r="A645" i="1"/>
  <c r="B645" i="1"/>
  <c r="C645" i="1"/>
  <c r="D645" i="1"/>
  <c r="A646" i="1"/>
  <c r="B646" i="1"/>
  <c r="C646" i="1"/>
  <c r="D646" i="1"/>
  <c r="A647" i="1"/>
  <c r="B647" i="1"/>
  <c r="C647" i="1"/>
  <c r="D647" i="1"/>
  <c r="A648" i="1"/>
  <c r="B648" i="1"/>
  <c r="C648" i="1"/>
  <c r="D648" i="1"/>
  <c r="A649" i="1"/>
  <c r="B649" i="1"/>
  <c r="C649" i="1"/>
  <c r="D649" i="1"/>
  <c r="A650" i="1"/>
  <c r="B650" i="1"/>
  <c r="C650" i="1"/>
  <c r="D650" i="1"/>
  <c r="A651" i="1"/>
  <c r="B651" i="1"/>
  <c r="C651" i="1"/>
  <c r="D651" i="1"/>
  <c r="A652" i="1"/>
  <c r="B652" i="1"/>
  <c r="C652" i="1"/>
  <c r="D652" i="1"/>
  <c r="A653" i="1"/>
  <c r="B653" i="1"/>
  <c r="C653" i="1"/>
  <c r="D653" i="1"/>
  <c r="A654" i="1"/>
  <c r="B654" i="1"/>
  <c r="C654" i="1"/>
  <c r="D654" i="1"/>
  <c r="A655" i="1"/>
  <c r="B655" i="1"/>
  <c r="C655" i="1"/>
  <c r="D655" i="1"/>
  <c r="A656" i="1"/>
  <c r="B656" i="1"/>
  <c r="C656" i="1"/>
  <c r="D656" i="1"/>
  <c r="A657" i="1"/>
  <c r="B657" i="1"/>
  <c r="C657" i="1"/>
  <c r="D657" i="1"/>
  <c r="A658" i="1"/>
  <c r="B658" i="1"/>
  <c r="C658" i="1"/>
  <c r="D658" i="1"/>
  <c r="A659" i="1"/>
  <c r="B659" i="1"/>
  <c r="C659" i="1"/>
  <c r="D659" i="1"/>
  <c r="A660" i="1"/>
  <c r="B660" i="1"/>
  <c r="C660" i="1"/>
  <c r="D660" i="1"/>
  <c r="A661" i="1"/>
  <c r="B661" i="1"/>
  <c r="C661" i="1"/>
  <c r="D661" i="1"/>
  <c r="A662" i="1"/>
  <c r="B662" i="1"/>
  <c r="C662" i="1"/>
  <c r="D662" i="1"/>
  <c r="A663" i="1"/>
  <c r="B663" i="1"/>
  <c r="C663" i="1"/>
  <c r="D663" i="1"/>
  <c r="A664" i="1"/>
  <c r="B664" i="1"/>
  <c r="C664" i="1"/>
  <c r="D664" i="1"/>
  <c r="A665" i="1"/>
  <c r="B665" i="1"/>
  <c r="C665" i="1"/>
  <c r="D665" i="1"/>
  <c r="A666" i="1"/>
  <c r="B666" i="1"/>
  <c r="C666" i="1"/>
  <c r="D666" i="1"/>
  <c r="A667" i="1"/>
  <c r="B667" i="1"/>
  <c r="C667" i="1"/>
  <c r="D667" i="1"/>
  <c r="A668" i="1"/>
  <c r="B668" i="1"/>
  <c r="C668" i="1"/>
  <c r="D668" i="1"/>
  <c r="A669" i="1"/>
  <c r="B669" i="1"/>
  <c r="C669" i="1"/>
  <c r="D669" i="1"/>
  <c r="A670" i="1"/>
  <c r="B670" i="1"/>
  <c r="C670" i="1"/>
  <c r="D670" i="1"/>
  <c r="A671" i="1"/>
  <c r="B671" i="1"/>
  <c r="C671" i="1"/>
  <c r="D671" i="1"/>
  <c r="A672" i="1"/>
  <c r="B672" i="1"/>
  <c r="C672" i="1"/>
  <c r="D672" i="1"/>
  <c r="A673" i="1"/>
  <c r="B673" i="1"/>
  <c r="C673" i="1"/>
  <c r="D673" i="1"/>
  <c r="A674" i="1"/>
  <c r="B674" i="1"/>
  <c r="C674" i="1"/>
  <c r="D674" i="1"/>
  <c r="A675" i="1"/>
  <c r="B675" i="1"/>
  <c r="C675" i="1"/>
  <c r="D675" i="1"/>
  <c r="A676" i="1"/>
  <c r="B676" i="1"/>
  <c r="C676" i="1"/>
  <c r="D676" i="1"/>
  <c r="A677" i="1"/>
  <c r="B677" i="1"/>
  <c r="C677" i="1"/>
  <c r="D677" i="1"/>
  <c r="A678" i="1"/>
  <c r="B678" i="1"/>
  <c r="C678" i="1"/>
  <c r="D678" i="1"/>
  <c r="A679" i="1"/>
  <c r="B679" i="1"/>
  <c r="C679" i="1"/>
  <c r="D679" i="1"/>
  <c r="A680" i="1"/>
  <c r="B680" i="1"/>
  <c r="C680" i="1"/>
  <c r="D680" i="1"/>
  <c r="A681" i="1"/>
  <c r="B681" i="1"/>
  <c r="C681" i="1"/>
  <c r="D681" i="1"/>
  <c r="A682" i="1"/>
  <c r="B682" i="1"/>
  <c r="C682" i="1"/>
  <c r="D682" i="1"/>
  <c r="A683" i="1"/>
  <c r="B683" i="1"/>
  <c r="C683" i="1"/>
  <c r="D683" i="1"/>
  <c r="A684" i="1"/>
  <c r="B684" i="1"/>
  <c r="C684" i="1"/>
  <c r="D684" i="1"/>
  <c r="A685" i="1"/>
  <c r="B685" i="1"/>
  <c r="C685" i="1"/>
  <c r="D685" i="1"/>
  <c r="A686" i="1"/>
  <c r="B686" i="1"/>
  <c r="C686" i="1"/>
  <c r="D686" i="1"/>
  <c r="A687" i="1"/>
  <c r="B687" i="1"/>
  <c r="C687" i="1"/>
  <c r="D687" i="1"/>
  <c r="A688" i="1"/>
  <c r="B688" i="1"/>
  <c r="C688" i="1"/>
  <c r="D688" i="1"/>
  <c r="A689" i="1"/>
  <c r="B689" i="1"/>
  <c r="C689" i="1"/>
  <c r="D689" i="1"/>
  <c r="A690" i="1"/>
  <c r="B690" i="1"/>
  <c r="C690" i="1"/>
  <c r="D690" i="1"/>
  <c r="A691" i="1"/>
  <c r="B691" i="1"/>
  <c r="C691" i="1"/>
  <c r="D691" i="1"/>
  <c r="A692" i="1"/>
  <c r="B692" i="1"/>
  <c r="C692" i="1"/>
  <c r="D692" i="1"/>
  <c r="A693" i="1"/>
  <c r="B693" i="1"/>
  <c r="C693" i="1"/>
  <c r="D693" i="1"/>
  <c r="A694" i="1"/>
  <c r="B694" i="1"/>
  <c r="C694" i="1"/>
  <c r="D694" i="1"/>
  <c r="A695" i="1"/>
  <c r="B695" i="1"/>
  <c r="C695" i="1"/>
  <c r="D695" i="1"/>
  <c r="A696" i="1"/>
  <c r="B696" i="1"/>
  <c r="C696" i="1"/>
  <c r="D696" i="1"/>
  <c r="A697" i="1"/>
  <c r="B697" i="1"/>
  <c r="C697" i="1"/>
  <c r="D697" i="1"/>
  <c r="A698" i="1"/>
  <c r="B698" i="1"/>
  <c r="C698" i="1"/>
  <c r="D698" i="1"/>
  <c r="A699" i="1"/>
  <c r="B699" i="1"/>
  <c r="C699" i="1"/>
  <c r="D699" i="1"/>
  <c r="A700" i="1"/>
  <c r="B700" i="1"/>
  <c r="C700" i="1"/>
  <c r="D700" i="1"/>
  <c r="A701" i="1"/>
  <c r="B701" i="1"/>
  <c r="C701" i="1"/>
  <c r="D701" i="1"/>
  <c r="A702" i="1"/>
  <c r="B702" i="1"/>
  <c r="C702" i="1"/>
  <c r="D702" i="1"/>
  <c r="A703" i="1"/>
  <c r="B703" i="1"/>
  <c r="C703" i="1"/>
  <c r="D703" i="1"/>
  <c r="A704" i="1"/>
  <c r="B704" i="1"/>
  <c r="C704" i="1"/>
  <c r="D704" i="1"/>
  <c r="A705" i="1"/>
  <c r="B705" i="1"/>
  <c r="C705" i="1"/>
  <c r="D705" i="1"/>
  <c r="A706" i="1"/>
  <c r="B706" i="1"/>
  <c r="C706" i="1"/>
  <c r="D706" i="1"/>
  <c r="A707" i="1"/>
  <c r="B707" i="1"/>
  <c r="C707" i="1"/>
  <c r="D707" i="1"/>
  <c r="A708" i="1"/>
  <c r="B708" i="1"/>
  <c r="C708" i="1"/>
  <c r="D708" i="1"/>
  <c r="A709" i="1"/>
  <c r="B709" i="1"/>
  <c r="C709" i="1"/>
  <c r="D709" i="1"/>
  <c r="A710" i="1"/>
  <c r="B710" i="1"/>
  <c r="C710" i="1"/>
  <c r="D710" i="1"/>
  <c r="A711" i="1"/>
  <c r="B711" i="1"/>
  <c r="C711" i="1"/>
  <c r="D711" i="1"/>
  <c r="A712" i="1"/>
  <c r="B712" i="1"/>
  <c r="C712" i="1"/>
  <c r="D712" i="1"/>
  <c r="A713" i="1"/>
  <c r="B713" i="1"/>
  <c r="C713" i="1"/>
  <c r="D713" i="1"/>
  <c r="A714" i="1"/>
  <c r="B714" i="1"/>
  <c r="C714" i="1"/>
  <c r="D714" i="1"/>
  <c r="A715" i="1"/>
  <c r="B715" i="1"/>
  <c r="C715" i="1"/>
  <c r="D715" i="1"/>
  <c r="A716" i="1"/>
  <c r="B716" i="1"/>
  <c r="C716" i="1"/>
  <c r="D716" i="1"/>
  <c r="A717" i="1"/>
  <c r="B717" i="1"/>
  <c r="C717" i="1"/>
  <c r="D717" i="1"/>
  <c r="A718" i="1"/>
  <c r="B718" i="1"/>
  <c r="C718" i="1"/>
  <c r="D718" i="1"/>
  <c r="A719" i="1"/>
  <c r="B719" i="1"/>
  <c r="C719" i="1"/>
  <c r="D719" i="1"/>
  <c r="A720" i="1"/>
  <c r="B720" i="1"/>
  <c r="C720" i="1"/>
  <c r="D720" i="1"/>
  <c r="A721" i="1"/>
  <c r="B721" i="1"/>
  <c r="C721" i="1"/>
  <c r="D721" i="1"/>
  <c r="A722" i="1"/>
  <c r="B722" i="1"/>
  <c r="C722" i="1"/>
  <c r="D722" i="1"/>
  <c r="A723" i="1"/>
  <c r="B723" i="1"/>
  <c r="C723" i="1"/>
  <c r="D723" i="1"/>
  <c r="A724" i="1"/>
  <c r="B724" i="1"/>
  <c r="C724" i="1"/>
  <c r="D724" i="1"/>
  <c r="A725" i="1"/>
  <c r="B725" i="1"/>
  <c r="C725" i="1"/>
  <c r="D725" i="1"/>
  <c r="A726" i="1"/>
  <c r="B726" i="1"/>
  <c r="C726" i="1"/>
  <c r="D726" i="1"/>
  <c r="A727" i="1"/>
  <c r="B727" i="1"/>
  <c r="C727" i="1"/>
  <c r="D727" i="1"/>
  <c r="A728" i="1"/>
  <c r="B728" i="1"/>
  <c r="C728" i="1"/>
  <c r="D728" i="1"/>
  <c r="A729" i="1"/>
  <c r="B729" i="1"/>
  <c r="C729" i="1"/>
  <c r="D729" i="1"/>
  <c r="A730" i="1"/>
  <c r="B730" i="1"/>
  <c r="C730" i="1"/>
  <c r="D730" i="1"/>
  <c r="A731" i="1"/>
  <c r="B731" i="1"/>
  <c r="C731" i="1"/>
  <c r="D731" i="1"/>
  <c r="A732" i="1"/>
  <c r="B732" i="1"/>
  <c r="C732" i="1"/>
  <c r="D732" i="1"/>
  <c r="A733" i="1"/>
  <c r="B733" i="1"/>
  <c r="C733" i="1"/>
  <c r="D733" i="1"/>
  <c r="A734" i="1"/>
  <c r="B734" i="1"/>
  <c r="C734" i="1"/>
  <c r="D734" i="1"/>
  <c r="A735" i="1"/>
  <c r="B735" i="1"/>
  <c r="C735" i="1"/>
  <c r="D735" i="1"/>
  <c r="A736" i="1"/>
  <c r="B736" i="1"/>
  <c r="C736" i="1"/>
  <c r="D736" i="1"/>
  <c r="A737" i="1"/>
  <c r="B737" i="1"/>
  <c r="C737" i="1"/>
  <c r="D737" i="1"/>
  <c r="A738" i="1"/>
  <c r="B738" i="1"/>
  <c r="C738" i="1"/>
  <c r="D738" i="1"/>
  <c r="A739" i="1"/>
  <c r="B739" i="1"/>
  <c r="C739" i="1"/>
  <c r="D739" i="1"/>
  <c r="A740" i="1"/>
  <c r="B740" i="1"/>
  <c r="C740" i="1"/>
  <c r="D740" i="1"/>
  <c r="A741" i="1"/>
  <c r="B741" i="1"/>
  <c r="C741" i="1"/>
  <c r="D741" i="1"/>
  <c r="A742" i="1"/>
  <c r="B742" i="1"/>
  <c r="C742" i="1"/>
  <c r="D742" i="1"/>
  <c r="A743" i="1"/>
  <c r="B743" i="1"/>
  <c r="C743" i="1"/>
  <c r="D743" i="1"/>
  <c r="A744" i="1"/>
  <c r="B744" i="1"/>
  <c r="C744" i="1"/>
  <c r="D744" i="1"/>
  <c r="A745" i="1"/>
  <c r="B745" i="1"/>
  <c r="C745" i="1"/>
  <c r="D745" i="1"/>
  <c r="A746" i="1"/>
  <c r="B746" i="1"/>
  <c r="C746" i="1"/>
  <c r="D746" i="1"/>
  <c r="A747" i="1"/>
  <c r="B747" i="1"/>
  <c r="C747" i="1"/>
  <c r="D747" i="1"/>
  <c r="A748" i="1"/>
  <c r="B748" i="1"/>
  <c r="C748" i="1"/>
  <c r="D748" i="1"/>
  <c r="A749" i="1"/>
  <c r="B749" i="1"/>
  <c r="C749" i="1"/>
  <c r="D749" i="1"/>
  <c r="A750" i="1"/>
  <c r="B750" i="1"/>
  <c r="C750" i="1"/>
  <c r="D750" i="1"/>
  <c r="A751" i="1"/>
  <c r="B751" i="1"/>
  <c r="C751" i="1"/>
  <c r="D751" i="1"/>
  <c r="A752" i="1"/>
  <c r="B752" i="1"/>
  <c r="C752" i="1"/>
  <c r="D752" i="1"/>
  <c r="A753" i="1"/>
  <c r="B753" i="1"/>
  <c r="C753" i="1"/>
  <c r="D753" i="1"/>
  <c r="A754" i="1"/>
  <c r="B754" i="1"/>
  <c r="C754" i="1"/>
  <c r="D754" i="1"/>
  <c r="A755" i="1"/>
  <c r="B755" i="1"/>
  <c r="C755" i="1"/>
  <c r="D755" i="1"/>
  <c r="A756" i="1"/>
  <c r="B756" i="1"/>
  <c r="C756" i="1"/>
  <c r="D756" i="1"/>
  <c r="A757" i="1"/>
  <c r="B757" i="1"/>
  <c r="C757" i="1"/>
  <c r="D757" i="1"/>
  <c r="A758" i="1"/>
  <c r="B758" i="1"/>
  <c r="C758" i="1"/>
  <c r="D758" i="1"/>
  <c r="A759" i="1"/>
  <c r="B759" i="1"/>
  <c r="C759" i="1"/>
  <c r="D759" i="1"/>
  <c r="A760" i="1"/>
  <c r="B760" i="1"/>
  <c r="C760" i="1"/>
  <c r="D760" i="1"/>
  <c r="A761" i="1"/>
  <c r="B761" i="1"/>
  <c r="C761" i="1"/>
  <c r="D761" i="1"/>
  <c r="A762" i="1"/>
  <c r="B762" i="1"/>
  <c r="C762" i="1"/>
  <c r="D762" i="1"/>
  <c r="A763" i="1"/>
  <c r="B763" i="1"/>
  <c r="C763" i="1"/>
  <c r="D763" i="1"/>
  <c r="A764" i="1"/>
  <c r="B764" i="1"/>
  <c r="C764" i="1"/>
  <c r="D764" i="1"/>
  <c r="A765" i="1"/>
  <c r="B765" i="1"/>
  <c r="C765" i="1"/>
  <c r="D765" i="1"/>
  <c r="A766" i="1"/>
  <c r="B766" i="1"/>
  <c r="C766" i="1"/>
  <c r="D766" i="1"/>
  <c r="A767" i="1"/>
  <c r="B767" i="1"/>
  <c r="C767" i="1"/>
  <c r="D767" i="1"/>
  <c r="A768" i="1"/>
  <c r="B768" i="1"/>
  <c r="C768" i="1"/>
  <c r="D768" i="1"/>
  <c r="A769" i="1"/>
  <c r="B769" i="1"/>
  <c r="C769" i="1"/>
  <c r="D769" i="1"/>
  <c r="A770" i="1"/>
  <c r="B770" i="1"/>
  <c r="C770" i="1"/>
  <c r="D770" i="1"/>
  <c r="A771" i="1"/>
  <c r="B771" i="1"/>
  <c r="C771" i="1"/>
  <c r="D771" i="1"/>
  <c r="A772" i="1"/>
  <c r="B772" i="1"/>
  <c r="C772" i="1"/>
  <c r="D772" i="1"/>
  <c r="A773" i="1"/>
  <c r="B773" i="1"/>
  <c r="C773" i="1"/>
  <c r="D773" i="1"/>
  <c r="A774" i="1"/>
  <c r="B774" i="1"/>
  <c r="C774" i="1"/>
  <c r="D774" i="1"/>
  <c r="A775" i="1"/>
  <c r="B775" i="1"/>
  <c r="C775" i="1"/>
  <c r="D775" i="1"/>
  <c r="A776" i="1"/>
  <c r="B776" i="1"/>
  <c r="C776" i="1"/>
  <c r="D776" i="1"/>
  <c r="A777" i="1"/>
  <c r="B777" i="1"/>
  <c r="C777" i="1"/>
  <c r="D777" i="1"/>
  <c r="A778" i="1"/>
  <c r="B778" i="1"/>
  <c r="C778" i="1"/>
  <c r="D778" i="1"/>
  <c r="A779" i="1"/>
  <c r="B779" i="1"/>
  <c r="C779" i="1"/>
  <c r="D779" i="1"/>
  <c r="A780" i="1"/>
  <c r="B780" i="1"/>
  <c r="C780" i="1"/>
  <c r="D780" i="1"/>
  <c r="A781" i="1"/>
  <c r="B781" i="1"/>
  <c r="C781" i="1"/>
  <c r="D781" i="1"/>
  <c r="A782" i="1"/>
  <c r="B782" i="1"/>
  <c r="C782" i="1"/>
  <c r="D782" i="1"/>
  <c r="A783" i="1"/>
  <c r="B783" i="1"/>
  <c r="C783" i="1"/>
  <c r="D783" i="1"/>
  <c r="A784" i="1"/>
  <c r="B784" i="1"/>
  <c r="C784" i="1"/>
  <c r="D784" i="1"/>
  <c r="A785" i="1"/>
  <c r="B785" i="1"/>
  <c r="C785" i="1"/>
  <c r="D785" i="1"/>
  <c r="A786" i="1"/>
  <c r="B786" i="1"/>
  <c r="C786" i="1"/>
  <c r="D786" i="1"/>
  <c r="A787" i="1"/>
  <c r="B787" i="1"/>
  <c r="C787" i="1"/>
  <c r="D787" i="1"/>
  <c r="A788" i="1"/>
  <c r="B788" i="1"/>
  <c r="C788" i="1"/>
  <c r="D788" i="1"/>
  <c r="A789" i="1"/>
  <c r="B789" i="1"/>
  <c r="C789" i="1"/>
  <c r="D789" i="1"/>
  <c r="A790" i="1"/>
  <c r="B790" i="1"/>
  <c r="C790" i="1"/>
  <c r="D790" i="1"/>
  <c r="A791" i="1"/>
  <c r="B791" i="1"/>
  <c r="C791" i="1"/>
  <c r="D791" i="1"/>
  <c r="A792" i="1"/>
  <c r="B792" i="1"/>
  <c r="C792" i="1"/>
  <c r="D792" i="1"/>
  <c r="A793" i="1"/>
  <c r="B793" i="1"/>
  <c r="C793" i="1"/>
  <c r="D793" i="1"/>
  <c r="A794" i="1"/>
  <c r="B794" i="1"/>
  <c r="C794" i="1"/>
  <c r="D794" i="1"/>
  <c r="A795" i="1"/>
  <c r="B795" i="1"/>
  <c r="C795" i="1"/>
  <c r="D795" i="1"/>
  <c r="A796" i="1"/>
  <c r="B796" i="1"/>
  <c r="C796" i="1"/>
  <c r="D796" i="1"/>
  <c r="A797" i="1"/>
  <c r="B797" i="1"/>
  <c r="C797" i="1"/>
  <c r="D797" i="1"/>
  <c r="A798" i="1"/>
  <c r="B798" i="1"/>
  <c r="C798" i="1"/>
  <c r="D798" i="1"/>
  <c r="A799" i="1"/>
  <c r="B799" i="1"/>
  <c r="C799" i="1"/>
  <c r="D799" i="1"/>
  <c r="A800" i="1"/>
  <c r="B800" i="1"/>
  <c r="C800" i="1"/>
  <c r="D800" i="1"/>
  <c r="A801" i="1"/>
  <c r="B801" i="1"/>
  <c r="C801" i="1"/>
  <c r="D801" i="1"/>
  <c r="A802" i="1"/>
  <c r="B802" i="1"/>
  <c r="C802" i="1"/>
  <c r="D802" i="1"/>
  <c r="A803" i="1"/>
  <c r="B803" i="1"/>
  <c r="C803" i="1"/>
  <c r="D803" i="1"/>
  <c r="A804" i="1"/>
  <c r="B804" i="1"/>
  <c r="C804" i="1"/>
  <c r="D804" i="1"/>
  <c r="A805" i="1"/>
  <c r="B805" i="1"/>
  <c r="C805" i="1"/>
  <c r="D805" i="1"/>
  <c r="A806" i="1"/>
  <c r="B806" i="1"/>
  <c r="C806" i="1"/>
  <c r="D806" i="1"/>
  <c r="A807" i="1"/>
  <c r="B807" i="1"/>
  <c r="C807" i="1"/>
  <c r="D807" i="1"/>
  <c r="A808" i="1"/>
  <c r="B808" i="1"/>
  <c r="C808" i="1"/>
  <c r="D808" i="1"/>
  <c r="A809" i="1"/>
  <c r="B809" i="1"/>
  <c r="C809" i="1"/>
  <c r="D809" i="1"/>
  <c r="A810" i="1"/>
  <c r="B810" i="1"/>
  <c r="C810" i="1"/>
  <c r="D810" i="1"/>
  <c r="A811" i="1"/>
  <c r="B811" i="1"/>
  <c r="C811" i="1"/>
  <c r="D811" i="1"/>
  <c r="A812" i="1"/>
  <c r="B812" i="1"/>
  <c r="C812" i="1"/>
  <c r="D812" i="1"/>
  <c r="A813" i="1"/>
  <c r="B813" i="1"/>
  <c r="C813" i="1"/>
  <c r="D813" i="1"/>
  <c r="A814" i="1"/>
  <c r="B814" i="1"/>
  <c r="C814" i="1"/>
  <c r="D814" i="1"/>
  <c r="A815" i="1"/>
  <c r="B815" i="1"/>
  <c r="C815" i="1"/>
  <c r="D815" i="1"/>
  <c r="A816" i="1"/>
  <c r="B816" i="1"/>
  <c r="C816" i="1"/>
  <c r="D816" i="1"/>
  <c r="A817" i="1"/>
  <c r="B817" i="1"/>
  <c r="C817" i="1"/>
  <c r="D817" i="1"/>
  <c r="A818" i="1"/>
  <c r="B818" i="1"/>
  <c r="C818" i="1"/>
  <c r="D818" i="1"/>
  <c r="A819" i="1"/>
  <c r="B819" i="1"/>
  <c r="C819" i="1"/>
  <c r="D819" i="1"/>
  <c r="A820" i="1"/>
  <c r="B820" i="1"/>
  <c r="C820" i="1"/>
  <c r="D820" i="1"/>
  <c r="A821" i="1"/>
  <c r="B821" i="1"/>
  <c r="C821" i="1"/>
  <c r="D821" i="1"/>
  <c r="A822" i="1"/>
  <c r="B822" i="1"/>
  <c r="C822" i="1"/>
  <c r="D822" i="1"/>
  <c r="A823" i="1"/>
  <c r="B823" i="1"/>
  <c r="C823" i="1"/>
  <c r="D823" i="1"/>
  <c r="A824" i="1"/>
  <c r="B824" i="1"/>
  <c r="C824" i="1"/>
  <c r="D824" i="1"/>
  <c r="A825" i="1"/>
  <c r="B825" i="1"/>
  <c r="C825" i="1"/>
  <c r="D825" i="1"/>
  <c r="A826" i="1"/>
  <c r="B826" i="1"/>
  <c r="C826" i="1"/>
  <c r="D826" i="1"/>
  <c r="A827" i="1"/>
  <c r="B827" i="1"/>
  <c r="C827" i="1"/>
  <c r="D827" i="1"/>
  <c r="A828" i="1"/>
  <c r="B828" i="1"/>
  <c r="C828" i="1"/>
  <c r="D828" i="1"/>
  <c r="A829" i="1"/>
  <c r="B829" i="1"/>
  <c r="C829" i="1"/>
  <c r="D829" i="1"/>
  <c r="A830" i="1"/>
  <c r="B830" i="1"/>
  <c r="C830" i="1"/>
  <c r="D830" i="1"/>
  <c r="A831" i="1"/>
  <c r="B831" i="1"/>
  <c r="C831" i="1"/>
  <c r="D831" i="1"/>
  <c r="A832" i="1"/>
  <c r="B832" i="1"/>
  <c r="C832" i="1"/>
  <c r="D832" i="1"/>
  <c r="A833" i="1"/>
  <c r="B833" i="1"/>
  <c r="C833" i="1"/>
  <c r="D833" i="1"/>
  <c r="A834" i="1"/>
  <c r="B834" i="1"/>
  <c r="C834" i="1"/>
  <c r="D834" i="1"/>
  <c r="A835" i="1"/>
  <c r="B835" i="1"/>
  <c r="C835" i="1"/>
  <c r="D835" i="1"/>
  <c r="A836" i="1"/>
  <c r="B836" i="1"/>
  <c r="C836" i="1"/>
  <c r="D836" i="1"/>
  <c r="A837" i="1"/>
  <c r="B837" i="1"/>
  <c r="C837" i="1"/>
  <c r="D837" i="1"/>
  <c r="A838" i="1"/>
  <c r="B838" i="1"/>
  <c r="C838" i="1"/>
  <c r="D838" i="1"/>
  <c r="A839" i="1"/>
  <c r="B839" i="1"/>
  <c r="C839" i="1"/>
  <c r="D839" i="1"/>
  <c r="A840" i="1"/>
  <c r="B840" i="1"/>
  <c r="C840" i="1"/>
  <c r="D840" i="1"/>
  <c r="A841" i="1"/>
  <c r="B841" i="1"/>
  <c r="C841" i="1"/>
  <c r="D841" i="1"/>
  <c r="A842" i="1"/>
  <c r="B842" i="1"/>
  <c r="C842" i="1"/>
  <c r="D842" i="1"/>
  <c r="A843" i="1"/>
  <c r="B843" i="1"/>
  <c r="C843" i="1"/>
  <c r="D843" i="1"/>
  <c r="A844" i="1"/>
  <c r="B844" i="1"/>
  <c r="C844" i="1"/>
  <c r="D844" i="1"/>
  <c r="A845" i="1"/>
  <c r="B845" i="1"/>
  <c r="C845" i="1"/>
  <c r="D845" i="1"/>
  <c r="A846" i="1"/>
  <c r="B846" i="1"/>
  <c r="C846" i="1"/>
  <c r="D846" i="1"/>
  <c r="A847" i="1"/>
  <c r="B847" i="1"/>
  <c r="C847" i="1"/>
  <c r="D847" i="1"/>
  <c r="A848" i="1"/>
  <c r="B848" i="1"/>
  <c r="C848" i="1"/>
  <c r="D848" i="1"/>
  <c r="A849" i="1"/>
  <c r="B849" i="1"/>
  <c r="C849" i="1"/>
  <c r="D849" i="1"/>
  <c r="A850" i="1"/>
  <c r="B850" i="1"/>
  <c r="C850" i="1"/>
  <c r="D850" i="1"/>
  <c r="A851" i="1"/>
  <c r="B851" i="1"/>
  <c r="C851" i="1"/>
  <c r="D851" i="1"/>
  <c r="A852" i="1"/>
  <c r="B852" i="1"/>
  <c r="C852" i="1"/>
  <c r="D852" i="1"/>
  <c r="A853" i="1"/>
  <c r="B853" i="1"/>
  <c r="C853" i="1"/>
  <c r="D853" i="1"/>
  <c r="A854" i="1"/>
  <c r="B854" i="1"/>
  <c r="C854" i="1"/>
  <c r="D854" i="1"/>
  <c r="A855" i="1"/>
  <c r="B855" i="1"/>
  <c r="C855" i="1"/>
  <c r="D855" i="1"/>
  <c r="A856" i="1"/>
  <c r="B856" i="1"/>
  <c r="C856" i="1"/>
  <c r="D856" i="1"/>
  <c r="A857" i="1"/>
  <c r="B857" i="1"/>
  <c r="C857" i="1"/>
  <c r="D857" i="1"/>
  <c r="A858" i="1"/>
  <c r="B858" i="1"/>
  <c r="C858" i="1"/>
  <c r="D858" i="1"/>
  <c r="A859" i="1"/>
  <c r="B859" i="1"/>
  <c r="C859" i="1"/>
  <c r="D859" i="1"/>
  <c r="A860" i="1"/>
  <c r="B860" i="1"/>
  <c r="C860" i="1"/>
  <c r="D860" i="1"/>
  <c r="A861" i="1"/>
  <c r="B861" i="1"/>
  <c r="C861" i="1"/>
  <c r="D861" i="1"/>
  <c r="A862" i="1"/>
  <c r="B862" i="1"/>
  <c r="C862" i="1"/>
  <c r="D862" i="1"/>
  <c r="A863" i="1"/>
  <c r="B863" i="1"/>
  <c r="C863" i="1"/>
  <c r="D863" i="1"/>
  <c r="A864" i="1"/>
  <c r="B864" i="1"/>
  <c r="C864" i="1"/>
  <c r="D864" i="1"/>
  <c r="A865" i="1"/>
  <c r="B865" i="1"/>
  <c r="C865" i="1"/>
  <c r="D865" i="1"/>
  <c r="A866" i="1"/>
  <c r="B866" i="1"/>
  <c r="C866" i="1"/>
  <c r="D866" i="1"/>
  <c r="A867" i="1"/>
  <c r="B867" i="1"/>
  <c r="C867" i="1"/>
  <c r="D867" i="1"/>
  <c r="A868" i="1"/>
  <c r="B868" i="1"/>
  <c r="C868" i="1"/>
  <c r="D868" i="1"/>
  <c r="A869" i="1"/>
  <c r="B869" i="1"/>
  <c r="C869" i="1"/>
  <c r="D869" i="1"/>
  <c r="A870" i="1"/>
  <c r="B870" i="1"/>
  <c r="C870" i="1"/>
  <c r="D870" i="1"/>
  <c r="A871" i="1"/>
  <c r="B871" i="1"/>
  <c r="C871" i="1"/>
  <c r="D871" i="1"/>
  <c r="A872" i="1"/>
  <c r="B872" i="1"/>
  <c r="C872" i="1"/>
  <c r="D872" i="1"/>
  <c r="A873" i="1"/>
  <c r="B873" i="1"/>
  <c r="C873" i="1"/>
  <c r="D873" i="1"/>
  <c r="A874" i="1"/>
  <c r="B874" i="1"/>
  <c r="C874" i="1"/>
  <c r="D874" i="1"/>
  <c r="A875" i="1"/>
  <c r="B875" i="1"/>
  <c r="C875" i="1"/>
  <c r="D875" i="1"/>
  <c r="A876" i="1"/>
  <c r="B876" i="1"/>
  <c r="C876" i="1"/>
  <c r="D876" i="1"/>
  <c r="A877" i="1"/>
  <c r="B877" i="1"/>
  <c r="C877" i="1"/>
  <c r="D877" i="1"/>
  <c r="A878" i="1"/>
  <c r="B878" i="1"/>
  <c r="C878" i="1"/>
  <c r="D878" i="1"/>
  <c r="A879" i="1"/>
  <c r="B879" i="1"/>
  <c r="C879" i="1"/>
  <c r="D879" i="1"/>
  <c r="A880" i="1"/>
  <c r="B880" i="1"/>
  <c r="C880" i="1"/>
  <c r="D880" i="1"/>
  <c r="A881" i="1"/>
  <c r="B881" i="1"/>
  <c r="C881" i="1"/>
  <c r="D881" i="1"/>
  <c r="A882" i="1"/>
  <c r="B882" i="1"/>
  <c r="C882" i="1"/>
  <c r="D882" i="1"/>
  <c r="A883" i="1"/>
  <c r="B883" i="1"/>
  <c r="C883" i="1"/>
  <c r="D883" i="1"/>
  <c r="A884" i="1"/>
  <c r="B884" i="1"/>
  <c r="C884" i="1"/>
  <c r="D884" i="1"/>
  <c r="A885" i="1"/>
  <c r="B885" i="1"/>
  <c r="C885" i="1"/>
  <c r="D885" i="1"/>
  <c r="A886" i="1"/>
  <c r="B886" i="1"/>
  <c r="C886" i="1"/>
  <c r="D886" i="1"/>
  <c r="A887" i="1"/>
  <c r="B887" i="1"/>
  <c r="C887" i="1"/>
  <c r="D887" i="1"/>
  <c r="A888" i="1"/>
  <c r="B888" i="1"/>
  <c r="C888" i="1"/>
  <c r="D888" i="1"/>
  <c r="A889" i="1"/>
  <c r="B889" i="1"/>
  <c r="C889" i="1"/>
  <c r="D889" i="1"/>
  <c r="A890" i="1"/>
  <c r="B890" i="1"/>
  <c r="C890" i="1"/>
  <c r="D890" i="1"/>
  <c r="A891" i="1"/>
  <c r="B891" i="1"/>
  <c r="C891" i="1"/>
  <c r="D891" i="1"/>
  <c r="A892" i="1"/>
  <c r="B892" i="1"/>
  <c r="C892" i="1"/>
  <c r="D892" i="1"/>
  <c r="A893" i="1"/>
  <c r="B893" i="1"/>
  <c r="C893" i="1"/>
  <c r="D893" i="1"/>
  <c r="A894" i="1"/>
  <c r="B894" i="1"/>
  <c r="C894" i="1"/>
  <c r="D894" i="1"/>
  <c r="A895" i="1"/>
  <c r="B895" i="1"/>
  <c r="C895" i="1"/>
  <c r="D895" i="1"/>
  <c r="A896" i="1"/>
  <c r="B896" i="1"/>
  <c r="C896" i="1"/>
  <c r="D896" i="1"/>
  <c r="A897" i="1"/>
  <c r="B897" i="1"/>
  <c r="C897" i="1"/>
  <c r="D897" i="1"/>
  <c r="A898" i="1"/>
  <c r="B898" i="1"/>
  <c r="C898" i="1"/>
  <c r="D898" i="1"/>
  <c r="A899" i="1"/>
  <c r="B899" i="1"/>
  <c r="C899" i="1"/>
  <c r="D899" i="1"/>
  <c r="A900" i="1"/>
  <c r="B900" i="1"/>
  <c r="C900" i="1"/>
  <c r="D900" i="1"/>
  <c r="A901" i="1"/>
  <c r="B901" i="1"/>
  <c r="C901" i="1"/>
  <c r="D901" i="1"/>
  <c r="A902" i="1"/>
  <c r="B902" i="1"/>
  <c r="C902" i="1"/>
  <c r="D902" i="1"/>
  <c r="A903" i="1"/>
  <c r="B903" i="1"/>
  <c r="C903" i="1"/>
  <c r="D903" i="1"/>
  <c r="A904" i="1"/>
  <c r="B904" i="1"/>
  <c r="C904" i="1"/>
  <c r="D904" i="1"/>
  <c r="A905" i="1"/>
  <c r="B905" i="1"/>
  <c r="C905" i="1"/>
  <c r="D905" i="1"/>
  <c r="A906" i="1"/>
  <c r="B906" i="1"/>
  <c r="C906" i="1"/>
  <c r="D906" i="1"/>
  <c r="A907" i="1"/>
  <c r="B907" i="1"/>
  <c r="C907" i="1"/>
  <c r="D907" i="1"/>
  <c r="A908" i="1"/>
  <c r="B908" i="1"/>
  <c r="C908" i="1"/>
  <c r="D908" i="1"/>
  <c r="A909" i="1"/>
  <c r="B909" i="1"/>
  <c r="C909" i="1"/>
  <c r="D909" i="1"/>
  <c r="A910" i="1"/>
  <c r="B910" i="1"/>
  <c r="C910" i="1"/>
  <c r="D910" i="1"/>
  <c r="A911" i="1"/>
  <c r="B911" i="1"/>
  <c r="C911" i="1"/>
  <c r="D911" i="1"/>
  <c r="A912" i="1"/>
  <c r="B912" i="1"/>
  <c r="C912" i="1"/>
  <c r="D912" i="1"/>
  <c r="A913" i="1"/>
  <c r="B913" i="1"/>
  <c r="C913" i="1"/>
  <c r="D913" i="1"/>
  <c r="A914" i="1"/>
  <c r="B914" i="1"/>
  <c r="C914" i="1"/>
  <c r="D914" i="1"/>
  <c r="A915" i="1"/>
  <c r="B915" i="1"/>
  <c r="C915" i="1"/>
  <c r="D915" i="1"/>
  <c r="A916" i="1"/>
  <c r="B916" i="1"/>
  <c r="C916" i="1"/>
  <c r="D916" i="1"/>
  <c r="A917" i="1"/>
  <c r="B917" i="1"/>
  <c r="C917" i="1"/>
  <c r="D917" i="1"/>
  <c r="A918" i="1"/>
  <c r="B918" i="1"/>
  <c r="C918" i="1"/>
  <c r="D918" i="1"/>
  <c r="A919" i="1"/>
  <c r="B919" i="1"/>
  <c r="C919" i="1"/>
  <c r="D919" i="1"/>
  <c r="A920" i="1"/>
  <c r="B920" i="1"/>
  <c r="C920" i="1"/>
  <c r="D920" i="1"/>
  <c r="A921" i="1"/>
  <c r="B921" i="1"/>
  <c r="C921" i="1"/>
  <c r="D921" i="1"/>
  <c r="A922" i="1"/>
  <c r="B922" i="1"/>
  <c r="C922" i="1"/>
  <c r="D922" i="1"/>
  <c r="A923" i="1"/>
  <c r="B923" i="1"/>
  <c r="C923" i="1"/>
  <c r="D923" i="1"/>
  <c r="A924" i="1"/>
  <c r="B924" i="1"/>
  <c r="C924" i="1"/>
  <c r="D924" i="1"/>
  <c r="A925" i="1"/>
  <c r="B925" i="1"/>
  <c r="C925" i="1"/>
  <c r="D925" i="1"/>
  <c r="A926" i="1"/>
  <c r="B926" i="1"/>
  <c r="C926" i="1"/>
  <c r="D926" i="1"/>
  <c r="A927" i="1"/>
  <c r="B927" i="1"/>
  <c r="C927" i="1"/>
  <c r="D927" i="1"/>
  <c r="A928" i="1"/>
  <c r="B928" i="1"/>
  <c r="C928" i="1"/>
  <c r="D928" i="1"/>
  <c r="A929" i="1"/>
  <c r="B929" i="1"/>
  <c r="C929" i="1"/>
  <c r="D929" i="1"/>
  <c r="A930" i="1"/>
  <c r="B930" i="1"/>
  <c r="C930" i="1"/>
  <c r="D930" i="1"/>
  <c r="A931" i="1"/>
  <c r="B931" i="1"/>
  <c r="C931" i="1"/>
  <c r="D931" i="1"/>
  <c r="A932" i="1"/>
  <c r="B932" i="1"/>
  <c r="C932" i="1"/>
  <c r="D932" i="1"/>
  <c r="A933" i="1"/>
  <c r="B933" i="1"/>
  <c r="C933" i="1"/>
  <c r="D933" i="1"/>
  <c r="A934" i="1"/>
  <c r="B934" i="1"/>
  <c r="C934" i="1"/>
  <c r="D934" i="1"/>
  <c r="A935" i="1"/>
  <c r="B935" i="1"/>
  <c r="C935" i="1"/>
  <c r="D935" i="1"/>
  <c r="A936" i="1"/>
  <c r="B936" i="1"/>
  <c r="C936" i="1"/>
  <c r="D936" i="1"/>
  <c r="A937" i="1"/>
  <c r="B937" i="1"/>
  <c r="C937" i="1"/>
  <c r="D937" i="1"/>
  <c r="A938" i="1"/>
  <c r="B938" i="1"/>
  <c r="C938" i="1"/>
  <c r="D938" i="1"/>
  <c r="A939" i="1"/>
  <c r="B939" i="1"/>
  <c r="C939" i="1"/>
  <c r="D939" i="1"/>
  <c r="A940" i="1"/>
  <c r="B940" i="1"/>
  <c r="C940" i="1"/>
  <c r="D940" i="1"/>
  <c r="A941" i="1"/>
  <c r="B941" i="1"/>
  <c r="C941" i="1"/>
  <c r="D941" i="1"/>
  <c r="A942" i="1"/>
  <c r="B942" i="1"/>
  <c r="C942" i="1"/>
  <c r="D942" i="1"/>
  <c r="A943" i="1"/>
  <c r="B943" i="1"/>
  <c r="C943" i="1"/>
  <c r="D943" i="1"/>
  <c r="A944" i="1"/>
  <c r="B944" i="1"/>
  <c r="C944" i="1"/>
  <c r="D944" i="1"/>
  <c r="A945" i="1"/>
  <c r="B945" i="1"/>
  <c r="C945" i="1"/>
  <c r="D945" i="1"/>
  <c r="A946" i="1"/>
  <c r="B946" i="1"/>
  <c r="C946" i="1"/>
  <c r="D946" i="1"/>
  <c r="A947" i="1"/>
  <c r="B947" i="1"/>
  <c r="C947" i="1"/>
  <c r="D947" i="1"/>
  <c r="A948" i="1"/>
  <c r="B948" i="1"/>
  <c r="C948" i="1"/>
  <c r="D948" i="1"/>
  <c r="A949" i="1"/>
  <c r="B949" i="1"/>
  <c r="C949" i="1"/>
  <c r="D949" i="1"/>
  <c r="A950" i="1"/>
  <c r="B950" i="1"/>
  <c r="C950" i="1"/>
  <c r="D950" i="1"/>
  <c r="A951" i="1"/>
  <c r="B951" i="1"/>
  <c r="C951" i="1"/>
  <c r="D951" i="1"/>
  <c r="A952" i="1"/>
  <c r="B952" i="1"/>
  <c r="C952" i="1"/>
  <c r="D952" i="1"/>
  <c r="A953" i="1"/>
  <c r="B953" i="1"/>
  <c r="C953" i="1"/>
  <c r="D953" i="1"/>
  <c r="A954" i="1"/>
  <c r="B954" i="1"/>
  <c r="C954" i="1"/>
  <c r="D954" i="1"/>
  <c r="A955" i="1"/>
  <c r="B955" i="1"/>
  <c r="C955" i="1"/>
  <c r="D955" i="1"/>
  <c r="A956" i="1"/>
  <c r="B956" i="1"/>
  <c r="C956" i="1"/>
  <c r="D956" i="1"/>
  <c r="A957" i="1"/>
  <c r="B957" i="1"/>
  <c r="C957" i="1"/>
  <c r="D957" i="1"/>
  <c r="A958" i="1"/>
  <c r="B958" i="1"/>
  <c r="C958" i="1"/>
  <c r="D958" i="1"/>
  <c r="A959" i="1"/>
  <c r="B959" i="1"/>
  <c r="C959" i="1"/>
  <c r="D959" i="1"/>
  <c r="A960" i="1"/>
  <c r="B960" i="1"/>
  <c r="C960" i="1"/>
  <c r="D960" i="1"/>
  <c r="A961" i="1"/>
  <c r="B961" i="1"/>
  <c r="C961" i="1"/>
  <c r="D961" i="1"/>
  <c r="A962" i="1"/>
  <c r="B962" i="1"/>
  <c r="C962" i="1"/>
  <c r="D962" i="1"/>
  <c r="A963" i="1"/>
  <c r="B963" i="1"/>
  <c r="C963" i="1"/>
  <c r="D963" i="1"/>
  <c r="A964" i="1"/>
  <c r="B964" i="1"/>
  <c r="C964" i="1"/>
  <c r="D964" i="1"/>
  <c r="A965" i="1"/>
  <c r="B965" i="1"/>
  <c r="C965" i="1"/>
  <c r="D965" i="1"/>
  <c r="A966" i="1"/>
  <c r="B966" i="1"/>
  <c r="C966" i="1"/>
  <c r="D966" i="1"/>
  <c r="A967" i="1"/>
  <c r="B967" i="1"/>
  <c r="C967" i="1"/>
  <c r="D967" i="1"/>
  <c r="A968" i="1"/>
  <c r="B968" i="1"/>
  <c r="C968" i="1"/>
  <c r="D968" i="1"/>
  <c r="A969" i="1"/>
  <c r="B969" i="1"/>
  <c r="C969" i="1"/>
  <c r="D969" i="1"/>
  <c r="A970" i="1"/>
  <c r="B970" i="1"/>
  <c r="C970" i="1"/>
  <c r="D970" i="1"/>
  <c r="A971" i="1"/>
  <c r="B971" i="1"/>
  <c r="C971" i="1"/>
  <c r="D971" i="1"/>
  <c r="A972" i="1"/>
  <c r="B972" i="1"/>
  <c r="C972" i="1"/>
  <c r="D972" i="1"/>
  <c r="A973" i="1"/>
  <c r="B973" i="1"/>
  <c r="C973" i="1"/>
  <c r="D973" i="1"/>
  <c r="A974" i="1"/>
  <c r="B974" i="1"/>
  <c r="C974" i="1"/>
  <c r="D974" i="1"/>
  <c r="A975" i="1"/>
  <c r="B975" i="1"/>
  <c r="C975" i="1"/>
  <c r="D975" i="1"/>
  <c r="A976" i="1"/>
  <c r="B976" i="1"/>
  <c r="C976" i="1"/>
  <c r="D976" i="1"/>
  <c r="A977" i="1"/>
  <c r="B977" i="1"/>
  <c r="C977" i="1"/>
  <c r="D977" i="1"/>
  <c r="A978" i="1"/>
  <c r="B978" i="1"/>
  <c r="C978" i="1"/>
  <c r="D978" i="1"/>
  <c r="A979" i="1"/>
  <c r="B979" i="1"/>
  <c r="C979" i="1"/>
  <c r="D979" i="1"/>
  <c r="A980" i="1"/>
  <c r="B980" i="1"/>
  <c r="C980" i="1"/>
  <c r="D980" i="1"/>
  <c r="A981" i="1"/>
  <c r="B981" i="1"/>
  <c r="C981" i="1"/>
  <c r="D981" i="1"/>
  <c r="A982" i="1"/>
  <c r="B982" i="1"/>
  <c r="C982" i="1"/>
  <c r="D982" i="1"/>
  <c r="A983" i="1"/>
  <c r="B983" i="1"/>
  <c r="C983" i="1"/>
  <c r="D983" i="1"/>
  <c r="A984" i="1"/>
  <c r="B984" i="1"/>
  <c r="C984" i="1"/>
  <c r="D984" i="1"/>
  <c r="A985" i="1"/>
  <c r="B985" i="1"/>
  <c r="C985" i="1"/>
  <c r="D985" i="1"/>
  <c r="A986" i="1"/>
  <c r="B986" i="1"/>
  <c r="C986" i="1"/>
  <c r="D986" i="1"/>
  <c r="A987" i="1"/>
  <c r="B987" i="1"/>
  <c r="C987" i="1"/>
  <c r="D987" i="1"/>
  <c r="A988" i="1"/>
  <c r="B988" i="1"/>
  <c r="C988" i="1"/>
  <c r="D988" i="1"/>
  <c r="A989" i="1"/>
  <c r="B989" i="1"/>
  <c r="C989" i="1"/>
  <c r="D989" i="1"/>
  <c r="A990" i="1"/>
  <c r="B990" i="1"/>
  <c r="C990" i="1"/>
  <c r="D990" i="1"/>
  <c r="A991" i="1"/>
  <c r="B991" i="1"/>
  <c r="C991" i="1"/>
  <c r="D991" i="1"/>
  <c r="A992" i="1"/>
  <c r="B992" i="1"/>
  <c r="C992" i="1"/>
  <c r="D992" i="1"/>
  <c r="A993" i="1"/>
  <c r="B993" i="1"/>
  <c r="C993" i="1"/>
  <c r="D993" i="1"/>
  <c r="A994" i="1"/>
  <c r="B994" i="1"/>
  <c r="C994" i="1"/>
  <c r="D994" i="1"/>
  <c r="A995" i="1"/>
  <c r="B995" i="1"/>
  <c r="C995" i="1"/>
  <c r="D995" i="1"/>
  <c r="A996" i="1"/>
  <c r="B996" i="1"/>
  <c r="C996" i="1"/>
  <c r="D996" i="1"/>
  <c r="A997" i="1"/>
  <c r="B997" i="1"/>
  <c r="C997" i="1"/>
  <c r="D997" i="1"/>
  <c r="A998" i="1"/>
  <c r="B998" i="1"/>
  <c r="C998" i="1"/>
  <c r="D998" i="1"/>
  <c r="A999" i="1"/>
  <c r="B999" i="1"/>
  <c r="C999" i="1"/>
  <c r="D999" i="1"/>
  <c r="A1000" i="1"/>
  <c r="B1000" i="1"/>
  <c r="C1000" i="1"/>
  <c r="D1000" i="1"/>
  <c r="A1001" i="1"/>
  <c r="B1001" i="1"/>
  <c r="C1001" i="1"/>
  <c r="D1001" i="1"/>
  <c r="A1002" i="1"/>
  <c r="B1002" i="1"/>
  <c r="C1002" i="1"/>
  <c r="D1002" i="1"/>
  <c r="A1003" i="1"/>
  <c r="B1003" i="1"/>
  <c r="C1003" i="1"/>
  <c r="D1003" i="1"/>
  <c r="A1004" i="1"/>
  <c r="B1004" i="1"/>
  <c r="C1004" i="1"/>
  <c r="D1004" i="1"/>
  <c r="A1005" i="1"/>
  <c r="B1005" i="1"/>
  <c r="C1005" i="1"/>
  <c r="D1005" i="1"/>
  <c r="A1006" i="1"/>
  <c r="B1006" i="1"/>
  <c r="C1006" i="1"/>
  <c r="D1006" i="1"/>
  <c r="A1007" i="1"/>
  <c r="B1007" i="1"/>
  <c r="C1007" i="1"/>
  <c r="D1007" i="1"/>
  <c r="A1008" i="1"/>
  <c r="B1008" i="1"/>
  <c r="C1008" i="1"/>
  <c r="D1008" i="1"/>
  <c r="A1009" i="1"/>
  <c r="B1009" i="1"/>
  <c r="C1009" i="1"/>
  <c r="D1009" i="1"/>
  <c r="A1010" i="1"/>
  <c r="B1010" i="1"/>
  <c r="C1010" i="1"/>
  <c r="D1010" i="1"/>
  <c r="A1011" i="1"/>
  <c r="B1011" i="1"/>
  <c r="C1011" i="1"/>
  <c r="D1011" i="1"/>
  <c r="A1012" i="1"/>
  <c r="B1012" i="1"/>
  <c r="C1012" i="1"/>
  <c r="D1012" i="1"/>
  <c r="A1013" i="1"/>
  <c r="B1013" i="1"/>
  <c r="C1013" i="1"/>
  <c r="D1013" i="1"/>
  <c r="A1014" i="1"/>
  <c r="B1014" i="1"/>
  <c r="C1014" i="1"/>
  <c r="D1014" i="1"/>
  <c r="A1015" i="1"/>
  <c r="B1015" i="1"/>
  <c r="C1015" i="1"/>
  <c r="D1015" i="1"/>
  <c r="A1016" i="1"/>
  <c r="B1016" i="1"/>
  <c r="C1016" i="1"/>
  <c r="D1016" i="1"/>
  <c r="A1017" i="1"/>
  <c r="B1017" i="1"/>
  <c r="C1017" i="1"/>
  <c r="D1017" i="1"/>
  <c r="A1018" i="1"/>
  <c r="B1018" i="1"/>
  <c r="C1018" i="1"/>
  <c r="D1018" i="1"/>
  <c r="A1019" i="1"/>
  <c r="B1019" i="1"/>
  <c r="C1019" i="1"/>
  <c r="D1019" i="1"/>
  <c r="A1020" i="1"/>
  <c r="B1020" i="1"/>
  <c r="C1020" i="1"/>
  <c r="D1020" i="1"/>
  <c r="A1021" i="1"/>
  <c r="B1021" i="1"/>
  <c r="C1021" i="1"/>
  <c r="D1021" i="1"/>
  <c r="A1022" i="1"/>
  <c r="B1022" i="1"/>
  <c r="C1022" i="1"/>
  <c r="D1022" i="1"/>
  <c r="A1023" i="1"/>
  <c r="B1023" i="1"/>
  <c r="C1023" i="1"/>
  <c r="D1023" i="1"/>
  <c r="A1024" i="1"/>
  <c r="B1024" i="1"/>
  <c r="C1024" i="1"/>
  <c r="D1024" i="1"/>
  <c r="A1025" i="1"/>
  <c r="B1025" i="1"/>
  <c r="C1025" i="1"/>
  <c r="D1025" i="1"/>
  <c r="A1026" i="1"/>
  <c r="B1026" i="1"/>
  <c r="C1026" i="1"/>
  <c r="D1026" i="1"/>
  <c r="A1027" i="1"/>
  <c r="B1027" i="1"/>
  <c r="C1027" i="1"/>
  <c r="D1027" i="1"/>
  <c r="A1028" i="1"/>
  <c r="B1028" i="1"/>
  <c r="C1028" i="1"/>
  <c r="D1028" i="1"/>
  <c r="A1029" i="1"/>
  <c r="B1029" i="1"/>
  <c r="C1029" i="1"/>
  <c r="D1029" i="1"/>
  <c r="A1030" i="1"/>
  <c r="B1030" i="1"/>
  <c r="C1030" i="1"/>
  <c r="D1030" i="1"/>
  <c r="A1031" i="1"/>
  <c r="B1031" i="1"/>
  <c r="C1031" i="1"/>
  <c r="D1031" i="1"/>
  <c r="A1032" i="1"/>
  <c r="B1032" i="1"/>
  <c r="C1032" i="1"/>
  <c r="D1032" i="1"/>
  <c r="A1033" i="1"/>
  <c r="B1033" i="1"/>
  <c r="C1033" i="1"/>
  <c r="D1033" i="1"/>
  <c r="A1034" i="1"/>
  <c r="B1034" i="1"/>
  <c r="C1034" i="1"/>
  <c r="D1034" i="1"/>
  <c r="A1035" i="1"/>
  <c r="B1035" i="1"/>
  <c r="C1035" i="1"/>
  <c r="D1035" i="1"/>
  <c r="A1036" i="1"/>
  <c r="B1036" i="1"/>
  <c r="C1036" i="1"/>
  <c r="D1036" i="1"/>
  <c r="A1037" i="1"/>
  <c r="B1037" i="1"/>
  <c r="C1037" i="1"/>
  <c r="D1037" i="1"/>
  <c r="A1038" i="1"/>
  <c r="B1038" i="1"/>
  <c r="C1038" i="1"/>
  <c r="D1038" i="1"/>
  <c r="A1039" i="1"/>
  <c r="B1039" i="1"/>
  <c r="C1039" i="1"/>
  <c r="D1039" i="1"/>
  <c r="A1040" i="1"/>
  <c r="B1040" i="1"/>
  <c r="C1040" i="1"/>
  <c r="D1040" i="1"/>
  <c r="A1041" i="1"/>
  <c r="B1041" i="1"/>
  <c r="C1041" i="1"/>
  <c r="D1041" i="1"/>
  <c r="A1042" i="1"/>
  <c r="B1042" i="1"/>
  <c r="C1042" i="1"/>
  <c r="D1042" i="1"/>
  <c r="A1043" i="1"/>
  <c r="B1043" i="1"/>
  <c r="C1043" i="1"/>
  <c r="D1043" i="1"/>
  <c r="A1044" i="1"/>
  <c r="B1044" i="1"/>
  <c r="C1044" i="1"/>
  <c r="D1044" i="1"/>
  <c r="A1045" i="1"/>
  <c r="B1045" i="1"/>
  <c r="C1045" i="1"/>
  <c r="D1045" i="1"/>
  <c r="A1046" i="1"/>
  <c r="B1046" i="1"/>
  <c r="C1046" i="1"/>
  <c r="D1046" i="1"/>
  <c r="A1047" i="1"/>
  <c r="B1047" i="1"/>
  <c r="C1047" i="1"/>
  <c r="D1047" i="1"/>
  <c r="A1048" i="1"/>
  <c r="B1048" i="1"/>
  <c r="C1048" i="1"/>
  <c r="D1048" i="1"/>
  <c r="A1049" i="1"/>
  <c r="B1049" i="1"/>
  <c r="C1049" i="1"/>
  <c r="D1049" i="1"/>
  <c r="A1050" i="1"/>
  <c r="B1050" i="1"/>
  <c r="C1050" i="1"/>
  <c r="D1050" i="1"/>
  <c r="A1051" i="1"/>
  <c r="B1051" i="1"/>
  <c r="C1051" i="1"/>
  <c r="D1051" i="1"/>
  <c r="A1052" i="1"/>
  <c r="B1052" i="1"/>
  <c r="C1052" i="1"/>
  <c r="D1052" i="1"/>
  <c r="A1053" i="1"/>
  <c r="B1053" i="1"/>
  <c r="C1053" i="1"/>
  <c r="D1053" i="1"/>
  <c r="A1054" i="1"/>
  <c r="B1054" i="1"/>
  <c r="C1054" i="1"/>
  <c r="D1054" i="1"/>
  <c r="A1055" i="1"/>
  <c r="B1055" i="1"/>
  <c r="C1055" i="1"/>
  <c r="D1055" i="1"/>
  <c r="A1056" i="1"/>
  <c r="B1056" i="1"/>
  <c r="C1056" i="1"/>
  <c r="D1056" i="1"/>
  <c r="A1057" i="1"/>
  <c r="B1057" i="1"/>
  <c r="C1057" i="1"/>
  <c r="D1057" i="1"/>
  <c r="A1058" i="1"/>
  <c r="B1058" i="1"/>
  <c r="C1058" i="1"/>
  <c r="D1058" i="1"/>
  <c r="A1059" i="1"/>
  <c r="B1059" i="1"/>
  <c r="C1059" i="1"/>
  <c r="D1059" i="1"/>
  <c r="A1060" i="1"/>
  <c r="B1060" i="1"/>
  <c r="C1060" i="1"/>
  <c r="D1060" i="1"/>
  <c r="A1061" i="1"/>
  <c r="B1061" i="1"/>
  <c r="C1061" i="1"/>
  <c r="D1061" i="1"/>
  <c r="A1062" i="1"/>
  <c r="B1062" i="1"/>
  <c r="C1062" i="1"/>
  <c r="D1062" i="1"/>
  <c r="A1063" i="1"/>
  <c r="B1063" i="1"/>
  <c r="C1063" i="1"/>
  <c r="D1063" i="1"/>
  <c r="A1064" i="1"/>
  <c r="B1064" i="1"/>
  <c r="C1064" i="1"/>
  <c r="D1064" i="1"/>
  <c r="A1065" i="1"/>
  <c r="B1065" i="1"/>
  <c r="C1065" i="1"/>
  <c r="D1065" i="1"/>
  <c r="A1066" i="1"/>
  <c r="B1066" i="1"/>
  <c r="C1066" i="1"/>
  <c r="D1066" i="1"/>
  <c r="A1067" i="1"/>
  <c r="B1067" i="1"/>
  <c r="C1067" i="1"/>
  <c r="D1067" i="1"/>
  <c r="A1068" i="1"/>
  <c r="B1068" i="1"/>
  <c r="C1068" i="1"/>
  <c r="D1068" i="1"/>
  <c r="A1069" i="1"/>
  <c r="B1069" i="1"/>
  <c r="C1069" i="1"/>
  <c r="D1069" i="1"/>
  <c r="A1070" i="1"/>
  <c r="B1070" i="1"/>
  <c r="C1070" i="1"/>
  <c r="D1070" i="1"/>
  <c r="A1071" i="1"/>
  <c r="B1071" i="1"/>
  <c r="C1071" i="1"/>
  <c r="D1071" i="1"/>
  <c r="A1072" i="1"/>
  <c r="B1072" i="1"/>
  <c r="C1072" i="1"/>
  <c r="D1072" i="1"/>
  <c r="A1073" i="1"/>
  <c r="B1073" i="1"/>
  <c r="C1073" i="1"/>
  <c r="D1073" i="1"/>
  <c r="A1074" i="1"/>
  <c r="B1074" i="1"/>
  <c r="C1074" i="1"/>
  <c r="D1074" i="1"/>
  <c r="A1075" i="1"/>
  <c r="B1075" i="1"/>
  <c r="C1075" i="1"/>
  <c r="D1075" i="1"/>
  <c r="A1076" i="1"/>
  <c r="B1076" i="1"/>
  <c r="C1076" i="1"/>
  <c r="D1076" i="1"/>
  <c r="A1077" i="1"/>
  <c r="B1077" i="1"/>
  <c r="C1077" i="1"/>
  <c r="D1077" i="1"/>
  <c r="A1078" i="1"/>
  <c r="B1078" i="1"/>
  <c r="C1078" i="1"/>
  <c r="D1078" i="1"/>
  <c r="A1079" i="1"/>
  <c r="B1079" i="1"/>
  <c r="C1079" i="1"/>
  <c r="D1079" i="1"/>
  <c r="A1080" i="1"/>
  <c r="B1080" i="1"/>
  <c r="C1080" i="1"/>
  <c r="D1080" i="1"/>
  <c r="A1081" i="1"/>
  <c r="B1081" i="1"/>
  <c r="C1081" i="1"/>
  <c r="D1081" i="1"/>
  <c r="A1082" i="1"/>
  <c r="B1082" i="1"/>
  <c r="C1082" i="1"/>
  <c r="D1082" i="1"/>
  <c r="A1083" i="1"/>
  <c r="B1083" i="1"/>
  <c r="C1083" i="1"/>
  <c r="D1083" i="1"/>
  <c r="A1084" i="1"/>
  <c r="B1084" i="1"/>
  <c r="C1084" i="1"/>
  <c r="D1084" i="1"/>
  <c r="A1085" i="1"/>
  <c r="B1085" i="1"/>
  <c r="C1085" i="1"/>
  <c r="D1085" i="1"/>
  <c r="A1086" i="1"/>
  <c r="B1086" i="1"/>
  <c r="C1086" i="1"/>
  <c r="D1086" i="1"/>
  <c r="A1087" i="1"/>
  <c r="B1087" i="1"/>
  <c r="C1087" i="1"/>
  <c r="D1087" i="1"/>
  <c r="A1088" i="1"/>
  <c r="B1088" i="1"/>
  <c r="C1088" i="1"/>
  <c r="D1088" i="1"/>
  <c r="A1089" i="1"/>
  <c r="B1089" i="1"/>
  <c r="C1089" i="1"/>
  <c r="D1089" i="1"/>
  <c r="A1090" i="1"/>
  <c r="B1090" i="1"/>
  <c r="C1090" i="1"/>
  <c r="D1090" i="1"/>
  <c r="A1091" i="1"/>
  <c r="B1091" i="1"/>
  <c r="C1091" i="1"/>
  <c r="D1091" i="1"/>
  <c r="A1092" i="1"/>
  <c r="B1092" i="1"/>
  <c r="C1092" i="1"/>
  <c r="D1092" i="1"/>
  <c r="A1093" i="1"/>
  <c r="B1093" i="1"/>
  <c r="C1093" i="1"/>
  <c r="D1093" i="1"/>
  <c r="A1094" i="1"/>
  <c r="B1094" i="1"/>
  <c r="C1094" i="1"/>
  <c r="D1094" i="1"/>
  <c r="A1095" i="1"/>
  <c r="B1095" i="1"/>
  <c r="C1095" i="1"/>
  <c r="D1095" i="1"/>
  <c r="A1096" i="1"/>
  <c r="B1096" i="1"/>
  <c r="C1096" i="1"/>
  <c r="D1096" i="1"/>
  <c r="A1097" i="1"/>
  <c r="B1097" i="1"/>
  <c r="C1097" i="1"/>
  <c r="D1097" i="1"/>
  <c r="A1098" i="1"/>
  <c r="B1098" i="1"/>
  <c r="C1098" i="1"/>
  <c r="D1098" i="1"/>
  <c r="A1099" i="1"/>
  <c r="B1099" i="1"/>
  <c r="C1099" i="1"/>
  <c r="D1099" i="1"/>
  <c r="A1100" i="1"/>
  <c r="B1100" i="1"/>
  <c r="C1100" i="1"/>
  <c r="D1100" i="1"/>
  <c r="A1101" i="1"/>
  <c r="B1101" i="1"/>
  <c r="C1101" i="1"/>
  <c r="D1101" i="1"/>
  <c r="A1102" i="1"/>
  <c r="B1102" i="1"/>
  <c r="C1102" i="1"/>
  <c r="D1102" i="1"/>
  <c r="A1103" i="1"/>
  <c r="B1103" i="1"/>
  <c r="C1103" i="1"/>
  <c r="D1103" i="1"/>
  <c r="A1104" i="1"/>
  <c r="B1104" i="1"/>
  <c r="C1104" i="1"/>
  <c r="D1104" i="1"/>
  <c r="A1105" i="1"/>
  <c r="B1105" i="1"/>
  <c r="C1105" i="1"/>
  <c r="D1105" i="1"/>
  <c r="A1106" i="1"/>
  <c r="B1106" i="1"/>
  <c r="C1106" i="1"/>
  <c r="D1106" i="1"/>
  <c r="A1107" i="1"/>
  <c r="B1107" i="1"/>
  <c r="C1107" i="1"/>
  <c r="D1107" i="1"/>
  <c r="A1108" i="1"/>
  <c r="B1108" i="1"/>
  <c r="C1108" i="1"/>
  <c r="D1108" i="1"/>
  <c r="A1109" i="1"/>
  <c r="B1109" i="1"/>
  <c r="C1109" i="1"/>
  <c r="D1109" i="1"/>
  <c r="A1110" i="1"/>
  <c r="B1110" i="1"/>
  <c r="C1110" i="1"/>
  <c r="D1110" i="1"/>
  <c r="A1111" i="1"/>
  <c r="B1111" i="1"/>
  <c r="C1111" i="1"/>
  <c r="D1111" i="1"/>
  <c r="A1112" i="1"/>
  <c r="B1112" i="1"/>
  <c r="C1112" i="1"/>
  <c r="D1112" i="1"/>
  <c r="A1113" i="1"/>
  <c r="B1113" i="1"/>
  <c r="C1113" i="1"/>
  <c r="D1113" i="1"/>
  <c r="A1114" i="1"/>
  <c r="B1114" i="1"/>
  <c r="C1114" i="1"/>
  <c r="D1114" i="1"/>
  <c r="A1115" i="1"/>
  <c r="B1115" i="1"/>
  <c r="C1115" i="1"/>
  <c r="D1115" i="1"/>
  <c r="A1116" i="1"/>
  <c r="B1116" i="1"/>
  <c r="C1116" i="1"/>
  <c r="D1116" i="1"/>
  <c r="A1117" i="1"/>
  <c r="B1117" i="1"/>
  <c r="C1117" i="1"/>
  <c r="D1117" i="1"/>
  <c r="A1118" i="1"/>
  <c r="B1118" i="1"/>
  <c r="C1118" i="1"/>
  <c r="D1118" i="1"/>
  <c r="A1119" i="1"/>
  <c r="B1119" i="1"/>
  <c r="C1119" i="1"/>
  <c r="D1119" i="1"/>
  <c r="A1120" i="1"/>
  <c r="B1120" i="1"/>
  <c r="C1120" i="1"/>
  <c r="D1120" i="1"/>
  <c r="A1121" i="1"/>
  <c r="B1121" i="1"/>
  <c r="C1121" i="1"/>
  <c r="D1121" i="1"/>
  <c r="A1122" i="1"/>
  <c r="B1122" i="1"/>
  <c r="C1122" i="1"/>
  <c r="D1122" i="1"/>
  <c r="A1123" i="1"/>
  <c r="B1123" i="1"/>
  <c r="C1123" i="1"/>
  <c r="D1123" i="1"/>
  <c r="A1124" i="1"/>
  <c r="B1124" i="1"/>
  <c r="C1124" i="1"/>
  <c r="D1124" i="1"/>
  <c r="A1125" i="1"/>
  <c r="B1125" i="1"/>
  <c r="C1125" i="1"/>
  <c r="D1125" i="1"/>
  <c r="A1126" i="1"/>
  <c r="B1126" i="1"/>
  <c r="C1126" i="1"/>
  <c r="D1126" i="1"/>
  <c r="A1127" i="1"/>
  <c r="B1127" i="1"/>
  <c r="C1127" i="1"/>
  <c r="D1127" i="1"/>
  <c r="A1128" i="1"/>
  <c r="B1128" i="1"/>
  <c r="C1128" i="1"/>
  <c r="D1128" i="1"/>
  <c r="A1129" i="1"/>
  <c r="B1129" i="1"/>
  <c r="C1129" i="1"/>
  <c r="D1129" i="1"/>
  <c r="A1130" i="1"/>
  <c r="B1130" i="1"/>
  <c r="C1130" i="1"/>
  <c r="D1130" i="1"/>
  <c r="A1131" i="1"/>
  <c r="B1131" i="1"/>
  <c r="C1131" i="1"/>
  <c r="D1131" i="1"/>
  <c r="A1132" i="1"/>
  <c r="B1132" i="1"/>
  <c r="C1132" i="1"/>
  <c r="D1132" i="1"/>
  <c r="A1133" i="1"/>
  <c r="B1133" i="1"/>
  <c r="C1133" i="1"/>
  <c r="D1133" i="1"/>
  <c r="A1134" i="1"/>
  <c r="B1134" i="1"/>
  <c r="C1134" i="1"/>
  <c r="D1134" i="1"/>
  <c r="A1135" i="1"/>
  <c r="B1135" i="1"/>
  <c r="C1135" i="1"/>
  <c r="D1135" i="1"/>
  <c r="A1136" i="1"/>
  <c r="B1136" i="1"/>
  <c r="C1136" i="1"/>
  <c r="D1136" i="1"/>
  <c r="A1137" i="1"/>
  <c r="B1137" i="1"/>
  <c r="C1137" i="1"/>
  <c r="D1137" i="1"/>
  <c r="A1138" i="1"/>
  <c r="B1138" i="1"/>
  <c r="C1138" i="1"/>
  <c r="D1138" i="1"/>
  <c r="A1139" i="1"/>
  <c r="B1139" i="1"/>
  <c r="C1139" i="1"/>
  <c r="D1139" i="1"/>
  <c r="A1140" i="1"/>
  <c r="B1140" i="1"/>
  <c r="C1140" i="1"/>
  <c r="D1140" i="1"/>
  <c r="A1141" i="1"/>
  <c r="B1141" i="1"/>
  <c r="C1141" i="1"/>
  <c r="D1141" i="1"/>
  <c r="A1142" i="1"/>
  <c r="B1142" i="1"/>
  <c r="C1142" i="1"/>
  <c r="D1142" i="1"/>
  <c r="A1143" i="1"/>
  <c r="B1143" i="1"/>
  <c r="C1143" i="1"/>
  <c r="D1143" i="1"/>
  <c r="A1144" i="1"/>
  <c r="B1144" i="1"/>
  <c r="C1144" i="1"/>
  <c r="D1144" i="1"/>
  <c r="A1145" i="1"/>
  <c r="B1145" i="1"/>
  <c r="C1145" i="1"/>
  <c r="D1145" i="1"/>
  <c r="A1146" i="1"/>
  <c r="B1146" i="1"/>
  <c r="C1146" i="1"/>
  <c r="D1146" i="1"/>
  <c r="A1147" i="1"/>
  <c r="B1147" i="1"/>
  <c r="C1147" i="1"/>
  <c r="D1147" i="1"/>
  <c r="A1148" i="1"/>
  <c r="B1148" i="1"/>
  <c r="C1148" i="1"/>
  <c r="D1148" i="1"/>
  <c r="A1149" i="1"/>
  <c r="B1149" i="1"/>
  <c r="C1149" i="1"/>
  <c r="D1149" i="1"/>
  <c r="A1150" i="1"/>
  <c r="B1150" i="1"/>
  <c r="C1150" i="1"/>
  <c r="D1150" i="1"/>
  <c r="A1151" i="1"/>
  <c r="B1151" i="1"/>
  <c r="C1151" i="1"/>
  <c r="D1151" i="1"/>
  <c r="A1152" i="1"/>
  <c r="B1152" i="1"/>
  <c r="C1152" i="1"/>
  <c r="D1152" i="1"/>
  <c r="A1153" i="1"/>
  <c r="B1153" i="1"/>
  <c r="C1153" i="1"/>
  <c r="D1153" i="1"/>
  <c r="A1154" i="1"/>
  <c r="B1154" i="1"/>
  <c r="C1154" i="1"/>
  <c r="D1154" i="1"/>
  <c r="A1155" i="1"/>
  <c r="B1155" i="1"/>
  <c r="C1155" i="1"/>
  <c r="D1155" i="1"/>
  <c r="A1156" i="1"/>
  <c r="B1156" i="1"/>
  <c r="C1156" i="1"/>
  <c r="D1156" i="1"/>
  <c r="A1157" i="1"/>
  <c r="B1157" i="1"/>
  <c r="C1157" i="1"/>
  <c r="D1157" i="1"/>
  <c r="A1158" i="1"/>
  <c r="B1158" i="1"/>
  <c r="C1158" i="1"/>
  <c r="D1158" i="1"/>
  <c r="A1159" i="1"/>
  <c r="B1159" i="1"/>
  <c r="C1159" i="1"/>
  <c r="D1159" i="1"/>
  <c r="A1160" i="1"/>
  <c r="B1160" i="1"/>
  <c r="C1160" i="1"/>
  <c r="D1160" i="1"/>
  <c r="A1161" i="1"/>
  <c r="B1161" i="1"/>
  <c r="C1161" i="1"/>
  <c r="D1161" i="1"/>
  <c r="A1162" i="1"/>
  <c r="B1162" i="1"/>
  <c r="C1162" i="1"/>
  <c r="D1162" i="1"/>
  <c r="A1163" i="1"/>
  <c r="B1163" i="1"/>
  <c r="C1163" i="1"/>
  <c r="D1163" i="1"/>
  <c r="A1164" i="1"/>
  <c r="B1164" i="1"/>
  <c r="C1164" i="1"/>
  <c r="D1164" i="1"/>
  <c r="A1165" i="1"/>
  <c r="B1165" i="1"/>
  <c r="C1165" i="1"/>
  <c r="D1165" i="1"/>
  <c r="A1166" i="1"/>
  <c r="B1166" i="1"/>
  <c r="C1166" i="1"/>
  <c r="D1166" i="1"/>
  <c r="A1167" i="1"/>
  <c r="B1167" i="1"/>
  <c r="C1167" i="1"/>
  <c r="D1167" i="1"/>
  <c r="A1168" i="1"/>
  <c r="B1168" i="1"/>
  <c r="C1168" i="1"/>
  <c r="D1168" i="1"/>
  <c r="A1169" i="1"/>
  <c r="B1169" i="1"/>
  <c r="C1169" i="1"/>
  <c r="D1169" i="1"/>
  <c r="A1170" i="1"/>
  <c r="B1170" i="1"/>
  <c r="C1170" i="1"/>
  <c r="D1170" i="1"/>
  <c r="A1171" i="1"/>
  <c r="B1171" i="1"/>
  <c r="C1171" i="1"/>
  <c r="D1171" i="1"/>
  <c r="A1172" i="1"/>
  <c r="B1172" i="1"/>
  <c r="C1172" i="1"/>
  <c r="D1172" i="1"/>
  <c r="A1173" i="1"/>
  <c r="B1173" i="1"/>
  <c r="C1173" i="1"/>
  <c r="D1173" i="1"/>
  <c r="A1174" i="1"/>
  <c r="B1174" i="1"/>
  <c r="C1174" i="1"/>
  <c r="D1174" i="1"/>
  <c r="A1175" i="1"/>
  <c r="B1175" i="1"/>
  <c r="C1175" i="1"/>
  <c r="D1175" i="1"/>
  <c r="A1176" i="1"/>
  <c r="B1176" i="1"/>
  <c r="C1176" i="1"/>
  <c r="D1176" i="1"/>
  <c r="A1177" i="1"/>
  <c r="B1177" i="1"/>
  <c r="C1177" i="1"/>
  <c r="D1177" i="1"/>
  <c r="A1178" i="1"/>
  <c r="B1178" i="1"/>
  <c r="C1178" i="1"/>
  <c r="D1178" i="1"/>
  <c r="A1179" i="1"/>
  <c r="B1179" i="1"/>
  <c r="C1179" i="1"/>
  <c r="D1179" i="1"/>
  <c r="A1180" i="1"/>
  <c r="B1180" i="1"/>
  <c r="C1180" i="1"/>
  <c r="D1180" i="1"/>
  <c r="A1181" i="1"/>
  <c r="B1181" i="1"/>
  <c r="C1181" i="1"/>
  <c r="D1181" i="1"/>
  <c r="A1182" i="1"/>
  <c r="B1182" i="1"/>
  <c r="C1182" i="1"/>
  <c r="D1182" i="1"/>
  <c r="A1183" i="1"/>
  <c r="B1183" i="1"/>
  <c r="C1183" i="1"/>
  <c r="D1183" i="1"/>
  <c r="A1184" i="1"/>
  <c r="B1184" i="1"/>
  <c r="C1184" i="1"/>
  <c r="D1184" i="1"/>
  <c r="A1185" i="1"/>
  <c r="B1185" i="1"/>
  <c r="C1185" i="1"/>
  <c r="D1185" i="1"/>
  <c r="A1186" i="1"/>
  <c r="B1186" i="1"/>
  <c r="C1186" i="1"/>
  <c r="D1186" i="1"/>
  <c r="A1187" i="1"/>
  <c r="B1187" i="1"/>
  <c r="C1187" i="1"/>
  <c r="D1187" i="1"/>
  <c r="A1188" i="1"/>
  <c r="B1188" i="1"/>
  <c r="C1188" i="1"/>
  <c r="D1188" i="1"/>
  <c r="A1189" i="1"/>
  <c r="B1189" i="1"/>
  <c r="C1189" i="1"/>
  <c r="D1189" i="1"/>
  <c r="A1190" i="1"/>
  <c r="B1190" i="1"/>
  <c r="C1190" i="1"/>
  <c r="D1190" i="1"/>
  <c r="A1191" i="1"/>
  <c r="B1191" i="1"/>
  <c r="C1191" i="1"/>
  <c r="D1191" i="1"/>
  <c r="A1192" i="1"/>
  <c r="B1192" i="1"/>
  <c r="C1192" i="1"/>
  <c r="D1192" i="1"/>
  <c r="A1193" i="1"/>
  <c r="B1193" i="1"/>
  <c r="C1193" i="1"/>
  <c r="D1193" i="1"/>
  <c r="A1194" i="1"/>
  <c r="B1194" i="1"/>
  <c r="C1194" i="1"/>
  <c r="D1194" i="1"/>
  <c r="A1195" i="1"/>
  <c r="B1195" i="1"/>
  <c r="C1195" i="1"/>
  <c r="D1195" i="1"/>
  <c r="A1196" i="1"/>
  <c r="B1196" i="1"/>
  <c r="C1196" i="1"/>
  <c r="D1196" i="1"/>
  <c r="A1197" i="1"/>
  <c r="B1197" i="1"/>
  <c r="C1197" i="1"/>
  <c r="D1197" i="1"/>
  <c r="A1198" i="1"/>
  <c r="B1198" i="1"/>
  <c r="C1198" i="1"/>
  <c r="D1198" i="1"/>
  <c r="A1199" i="1"/>
  <c r="B1199" i="1"/>
  <c r="C1199" i="1"/>
  <c r="D1199" i="1"/>
  <c r="A1200" i="1"/>
  <c r="B1200" i="1"/>
  <c r="C1200" i="1"/>
  <c r="D1200" i="1"/>
  <c r="A1201" i="1"/>
  <c r="B1201" i="1"/>
  <c r="C1201" i="1"/>
  <c r="D1201" i="1"/>
  <c r="A1202" i="1"/>
  <c r="B1202" i="1"/>
  <c r="C1202" i="1"/>
  <c r="D1202" i="1"/>
  <c r="A1203" i="1"/>
  <c r="B1203" i="1"/>
  <c r="C1203" i="1"/>
  <c r="D1203" i="1"/>
  <c r="A1204" i="1"/>
  <c r="B1204" i="1"/>
  <c r="C1204" i="1"/>
  <c r="D1204" i="1"/>
  <c r="A1205" i="1"/>
  <c r="B1205" i="1"/>
  <c r="C1205" i="1"/>
  <c r="D1205" i="1"/>
  <c r="A1206" i="1"/>
  <c r="B1206" i="1"/>
  <c r="C1206" i="1"/>
  <c r="D1206" i="1"/>
  <c r="A1207" i="1"/>
  <c r="B1207" i="1"/>
  <c r="C1207" i="1"/>
  <c r="D1207" i="1"/>
  <c r="A1208" i="1"/>
  <c r="B1208" i="1"/>
  <c r="C1208" i="1"/>
  <c r="D1208" i="1"/>
  <c r="A1209" i="1"/>
  <c r="B1209" i="1"/>
  <c r="C1209" i="1"/>
  <c r="D1209" i="1"/>
  <c r="A1210" i="1"/>
  <c r="B1210" i="1"/>
  <c r="C1210" i="1"/>
  <c r="D1210" i="1"/>
  <c r="A1211" i="1"/>
  <c r="B1211" i="1"/>
  <c r="C1211" i="1"/>
  <c r="D1211" i="1"/>
  <c r="A1212" i="1"/>
  <c r="B1212" i="1"/>
  <c r="C1212" i="1"/>
  <c r="D1212" i="1"/>
  <c r="A1213" i="1"/>
  <c r="B1213" i="1"/>
  <c r="C1213" i="1"/>
  <c r="D1213" i="1"/>
  <c r="A1214" i="1"/>
  <c r="B1214" i="1"/>
  <c r="C1214" i="1"/>
  <c r="D1214" i="1"/>
  <c r="A1215" i="1"/>
  <c r="B1215" i="1"/>
  <c r="C1215" i="1"/>
  <c r="D1215" i="1"/>
  <c r="A1216" i="1"/>
  <c r="B1216" i="1"/>
  <c r="C1216" i="1"/>
  <c r="D1216" i="1"/>
  <c r="A1217" i="1"/>
  <c r="B1217" i="1"/>
  <c r="C1217" i="1"/>
  <c r="D1217" i="1"/>
  <c r="A1218" i="1"/>
  <c r="B1218" i="1"/>
  <c r="C1218" i="1"/>
  <c r="D1218" i="1"/>
  <c r="A1219" i="1"/>
  <c r="B1219" i="1"/>
  <c r="C1219" i="1"/>
  <c r="D1219" i="1"/>
  <c r="A1220" i="1"/>
  <c r="B1220" i="1"/>
  <c r="C1220" i="1"/>
  <c r="D1220" i="1"/>
  <c r="A1221" i="1"/>
  <c r="B1221" i="1"/>
  <c r="C1221" i="1"/>
  <c r="D1221" i="1"/>
  <c r="A1222" i="1"/>
  <c r="B1222" i="1"/>
  <c r="C1222" i="1"/>
  <c r="D1222" i="1"/>
  <c r="A1223" i="1"/>
  <c r="B1223" i="1"/>
  <c r="C1223" i="1"/>
  <c r="D1223" i="1"/>
  <c r="A1224" i="1"/>
  <c r="B1224" i="1"/>
  <c r="C1224" i="1"/>
  <c r="D1224" i="1"/>
  <c r="A1225" i="1"/>
  <c r="B1225" i="1"/>
  <c r="C1225" i="1"/>
  <c r="D1225" i="1"/>
  <c r="A1226" i="1"/>
  <c r="B1226" i="1"/>
  <c r="C1226" i="1"/>
  <c r="D1226" i="1"/>
  <c r="A1227" i="1"/>
  <c r="B1227" i="1"/>
  <c r="C1227" i="1"/>
  <c r="D1227" i="1"/>
  <c r="A1228" i="1"/>
  <c r="B1228" i="1"/>
  <c r="C1228" i="1"/>
  <c r="D1228" i="1"/>
  <c r="A1229" i="1"/>
  <c r="B1229" i="1"/>
  <c r="C1229" i="1"/>
  <c r="D1229" i="1"/>
  <c r="A1230" i="1"/>
  <c r="B1230" i="1"/>
  <c r="C1230" i="1"/>
  <c r="D1230" i="1"/>
  <c r="A1231" i="1"/>
  <c r="B1231" i="1"/>
  <c r="C1231" i="1"/>
  <c r="D1231" i="1"/>
  <c r="A1232" i="1"/>
  <c r="B1232" i="1"/>
  <c r="C1232" i="1"/>
  <c r="D1232" i="1"/>
  <c r="A1233" i="1"/>
  <c r="B1233" i="1"/>
  <c r="C1233" i="1"/>
  <c r="D1233" i="1"/>
  <c r="A1234" i="1"/>
  <c r="B1234" i="1"/>
  <c r="C1234" i="1"/>
  <c r="D1234" i="1"/>
  <c r="A1235" i="1"/>
  <c r="B1235" i="1"/>
  <c r="C1235" i="1"/>
  <c r="D1235" i="1"/>
  <c r="A1236" i="1"/>
  <c r="B1236" i="1"/>
  <c r="C1236" i="1"/>
  <c r="D1236" i="1"/>
  <c r="A1237" i="1"/>
  <c r="B1237" i="1"/>
  <c r="C1237" i="1"/>
  <c r="D1237" i="1"/>
  <c r="A1238" i="1"/>
  <c r="B1238" i="1"/>
  <c r="C1238" i="1"/>
  <c r="D1238" i="1"/>
  <c r="A1239" i="1"/>
  <c r="B1239" i="1"/>
  <c r="C1239" i="1"/>
  <c r="D1239" i="1"/>
  <c r="A1240" i="1"/>
  <c r="B1240" i="1"/>
  <c r="C1240" i="1"/>
  <c r="D1240" i="1"/>
  <c r="A1241" i="1"/>
  <c r="B1241" i="1"/>
  <c r="C1241" i="1"/>
  <c r="D1241" i="1"/>
  <c r="A1242" i="1"/>
  <c r="B1242" i="1"/>
  <c r="C1242" i="1"/>
  <c r="D1242" i="1"/>
  <c r="A1243" i="1"/>
  <c r="B1243" i="1"/>
  <c r="C1243" i="1"/>
  <c r="D1243" i="1"/>
  <c r="A1244" i="1"/>
  <c r="B1244" i="1"/>
  <c r="C1244" i="1"/>
  <c r="D1244" i="1"/>
  <c r="A1245" i="1"/>
  <c r="B1245" i="1"/>
  <c r="C1245" i="1"/>
  <c r="D1245" i="1"/>
  <c r="A1246" i="1"/>
  <c r="B1246" i="1"/>
  <c r="C1246" i="1"/>
  <c r="D1246" i="1"/>
  <c r="A1247" i="1"/>
  <c r="B1247" i="1"/>
  <c r="C1247" i="1"/>
  <c r="D1247" i="1"/>
  <c r="A1248" i="1"/>
  <c r="B1248" i="1"/>
  <c r="C1248" i="1"/>
  <c r="D1248" i="1"/>
  <c r="A1249" i="1"/>
  <c r="B1249" i="1"/>
  <c r="C1249" i="1"/>
  <c r="D1249" i="1"/>
  <c r="A1250" i="1"/>
  <c r="B1250" i="1"/>
  <c r="C1250" i="1"/>
  <c r="D1250" i="1"/>
  <c r="A1251" i="1"/>
  <c r="B1251" i="1"/>
  <c r="C1251" i="1"/>
  <c r="D1251" i="1"/>
  <c r="A1252" i="1"/>
  <c r="B1252" i="1"/>
  <c r="C1252" i="1"/>
  <c r="D1252" i="1"/>
  <c r="A1253" i="1"/>
  <c r="B1253" i="1"/>
  <c r="C1253" i="1"/>
  <c r="D1253" i="1"/>
  <c r="A1254" i="1"/>
  <c r="B1254" i="1"/>
  <c r="C1254" i="1"/>
  <c r="D1254" i="1"/>
  <c r="A1255" i="1"/>
  <c r="B1255" i="1"/>
  <c r="C1255" i="1"/>
  <c r="D1255" i="1"/>
  <c r="A1256" i="1"/>
  <c r="B1256" i="1"/>
  <c r="C1256" i="1"/>
  <c r="D1256" i="1"/>
  <c r="A1257" i="1"/>
  <c r="B1257" i="1"/>
  <c r="C1257" i="1"/>
  <c r="D1257" i="1"/>
  <c r="A1258" i="1"/>
  <c r="B1258" i="1"/>
  <c r="C1258" i="1"/>
  <c r="D1258" i="1"/>
  <c r="A1259" i="1"/>
  <c r="B1259" i="1"/>
  <c r="C1259" i="1"/>
  <c r="D1259" i="1"/>
  <c r="A1260" i="1"/>
  <c r="B1260" i="1"/>
  <c r="C1260" i="1"/>
  <c r="D1260" i="1"/>
  <c r="A1261" i="1"/>
  <c r="B1261" i="1"/>
  <c r="C1261" i="1"/>
  <c r="D1261" i="1"/>
  <c r="A1262" i="1"/>
  <c r="B1262" i="1"/>
  <c r="C1262" i="1"/>
  <c r="D1262" i="1"/>
  <c r="A1263" i="1"/>
  <c r="B1263" i="1"/>
  <c r="C1263" i="1"/>
  <c r="D1263" i="1"/>
  <c r="A1264" i="1"/>
  <c r="B1264" i="1"/>
  <c r="C1264" i="1"/>
  <c r="D1264" i="1"/>
  <c r="A1265" i="1"/>
  <c r="B1265" i="1"/>
  <c r="C1265" i="1"/>
  <c r="D1265" i="1"/>
  <c r="A1266" i="1"/>
  <c r="B1266" i="1"/>
  <c r="C1266" i="1"/>
  <c r="D1266" i="1"/>
  <c r="A1267" i="1"/>
  <c r="B1267" i="1"/>
  <c r="C1267" i="1"/>
  <c r="D1267" i="1"/>
  <c r="A1268" i="1"/>
  <c r="B1268" i="1"/>
  <c r="C1268" i="1"/>
  <c r="D1268" i="1"/>
  <c r="A1269" i="1"/>
  <c r="B1269" i="1"/>
  <c r="C1269" i="1"/>
  <c r="D1269" i="1"/>
  <c r="A1270" i="1"/>
  <c r="B1270" i="1"/>
  <c r="C1270" i="1"/>
  <c r="D1270" i="1"/>
  <c r="A1271" i="1"/>
  <c r="B1271" i="1"/>
  <c r="C1271" i="1"/>
  <c r="D1271" i="1"/>
  <c r="A1272" i="1"/>
  <c r="B1272" i="1"/>
  <c r="C1272" i="1"/>
  <c r="D1272" i="1"/>
  <c r="A1273" i="1"/>
  <c r="B1273" i="1"/>
  <c r="C1273" i="1"/>
  <c r="D1273" i="1"/>
  <c r="A1274" i="1"/>
  <c r="B1274" i="1"/>
  <c r="C1274" i="1"/>
  <c r="D1274" i="1"/>
  <c r="A1275" i="1"/>
  <c r="B1275" i="1"/>
  <c r="C1275" i="1"/>
  <c r="D1275" i="1"/>
  <c r="A1276" i="1"/>
  <c r="B1276" i="1"/>
  <c r="C1276" i="1"/>
  <c r="D1276" i="1"/>
  <c r="A1277" i="1"/>
  <c r="B1277" i="1"/>
  <c r="C1277" i="1"/>
  <c r="D1277" i="1"/>
  <c r="A1278" i="1"/>
  <c r="B1278" i="1"/>
  <c r="C1278" i="1"/>
  <c r="D1278" i="1"/>
  <c r="A1279" i="1"/>
  <c r="B1279" i="1"/>
  <c r="C1279" i="1"/>
  <c r="D1279" i="1"/>
  <c r="A1280" i="1"/>
  <c r="B1280" i="1"/>
  <c r="C1280" i="1"/>
  <c r="D1280" i="1"/>
  <c r="A1281" i="1"/>
  <c r="B1281" i="1"/>
  <c r="C1281" i="1"/>
  <c r="D1281" i="1"/>
  <c r="A1282" i="1"/>
  <c r="B1282" i="1"/>
  <c r="C1282" i="1"/>
  <c r="D1282" i="1"/>
  <c r="A1283" i="1"/>
  <c r="B1283" i="1"/>
  <c r="C1283" i="1"/>
  <c r="D1283" i="1"/>
  <c r="A1284" i="1"/>
  <c r="B1284" i="1"/>
  <c r="C1284" i="1"/>
  <c r="D1284" i="1"/>
  <c r="A1285" i="1"/>
  <c r="B1285" i="1"/>
  <c r="C1285" i="1"/>
  <c r="D1285" i="1"/>
  <c r="A1286" i="1"/>
  <c r="B1286" i="1"/>
  <c r="C1286" i="1"/>
  <c r="D1286" i="1"/>
  <c r="A1287" i="1"/>
  <c r="B1287" i="1"/>
  <c r="C1287" i="1"/>
  <c r="D1287" i="1"/>
  <c r="A1288" i="1"/>
  <c r="B1288" i="1"/>
  <c r="C1288" i="1"/>
  <c r="D1288" i="1"/>
  <c r="A1289" i="1"/>
  <c r="B1289" i="1"/>
  <c r="C1289" i="1"/>
  <c r="D1289" i="1"/>
  <c r="A1290" i="1"/>
  <c r="B1290" i="1"/>
  <c r="C1290" i="1"/>
  <c r="D1290" i="1"/>
  <c r="A1291" i="1"/>
  <c r="B1291" i="1"/>
  <c r="C1291" i="1"/>
  <c r="D1291" i="1"/>
  <c r="A1292" i="1"/>
  <c r="B1292" i="1"/>
  <c r="C1292" i="1"/>
  <c r="D1292" i="1"/>
  <c r="A1293" i="1"/>
  <c r="B1293" i="1"/>
  <c r="C1293" i="1"/>
  <c r="D1293" i="1"/>
  <c r="A1294" i="1"/>
  <c r="B1294" i="1"/>
  <c r="C1294" i="1"/>
  <c r="D1294" i="1"/>
  <c r="A1295" i="1"/>
  <c r="B1295" i="1"/>
  <c r="C1295" i="1"/>
  <c r="D1295" i="1"/>
  <c r="A1296" i="1"/>
  <c r="B1296" i="1"/>
  <c r="C1296" i="1"/>
  <c r="D1296" i="1"/>
  <c r="A1297" i="1"/>
  <c r="B1297" i="1"/>
  <c r="C1297" i="1"/>
  <c r="D1297" i="1"/>
  <c r="A1298" i="1"/>
  <c r="B1298" i="1"/>
  <c r="C1298" i="1"/>
  <c r="D1298" i="1"/>
  <c r="A1299" i="1"/>
  <c r="B1299" i="1"/>
  <c r="C1299" i="1"/>
  <c r="D1299" i="1"/>
  <c r="A1300" i="1"/>
  <c r="B1300" i="1"/>
  <c r="C1300" i="1"/>
  <c r="D1300" i="1"/>
  <c r="A1301" i="1"/>
  <c r="B1301" i="1"/>
  <c r="C1301" i="1"/>
  <c r="D1301" i="1"/>
  <c r="A1302" i="1"/>
  <c r="B1302" i="1"/>
  <c r="C1302" i="1"/>
  <c r="D1302" i="1"/>
  <c r="A1303" i="1"/>
  <c r="B1303" i="1"/>
  <c r="C1303" i="1"/>
  <c r="D1303" i="1"/>
  <c r="A1304" i="1"/>
  <c r="B1304" i="1"/>
  <c r="C1304" i="1"/>
  <c r="D1304" i="1"/>
  <c r="A1305" i="1"/>
  <c r="B1305" i="1"/>
  <c r="C1305" i="1"/>
  <c r="D1305" i="1"/>
  <c r="A1306" i="1"/>
  <c r="B1306" i="1"/>
  <c r="C1306" i="1"/>
  <c r="D1306" i="1"/>
  <c r="A1307" i="1"/>
  <c r="B1307" i="1"/>
  <c r="C1307" i="1"/>
  <c r="D1307" i="1"/>
  <c r="A1308" i="1"/>
  <c r="B1308" i="1"/>
  <c r="C1308" i="1"/>
  <c r="D1308" i="1"/>
  <c r="A1309" i="1"/>
  <c r="B1309" i="1"/>
  <c r="C1309" i="1"/>
  <c r="D1309" i="1"/>
  <c r="A1310" i="1"/>
  <c r="B1310" i="1"/>
  <c r="C1310" i="1"/>
  <c r="D1310" i="1"/>
  <c r="A1311" i="1"/>
  <c r="B1311" i="1"/>
  <c r="C1311" i="1"/>
  <c r="D1311" i="1"/>
  <c r="A1312" i="1"/>
  <c r="B1312" i="1"/>
  <c r="C1312" i="1"/>
  <c r="D1312" i="1"/>
  <c r="A1313" i="1"/>
  <c r="B1313" i="1"/>
  <c r="C1313" i="1"/>
  <c r="D1313" i="1"/>
  <c r="A1314" i="1"/>
  <c r="B1314" i="1"/>
  <c r="C1314" i="1"/>
  <c r="D1314" i="1"/>
  <c r="A1315" i="1"/>
  <c r="B1315" i="1"/>
  <c r="C1315" i="1"/>
  <c r="D1315" i="1"/>
  <c r="A1316" i="1"/>
  <c r="B1316" i="1"/>
  <c r="C1316" i="1"/>
  <c r="D1316" i="1"/>
  <c r="A1317" i="1"/>
  <c r="B1317" i="1"/>
  <c r="C1317" i="1"/>
  <c r="D1317" i="1"/>
  <c r="A1318" i="1"/>
  <c r="B1318" i="1"/>
  <c r="C1318" i="1"/>
  <c r="D1318" i="1"/>
  <c r="A1319" i="1"/>
  <c r="B1319" i="1"/>
  <c r="C1319" i="1"/>
  <c r="D1319" i="1"/>
  <c r="A1320" i="1"/>
  <c r="B1320" i="1"/>
  <c r="C1320" i="1"/>
  <c r="D1320" i="1"/>
  <c r="A1321" i="1"/>
  <c r="B1321" i="1"/>
  <c r="C1321" i="1"/>
  <c r="D1321" i="1"/>
  <c r="A1322" i="1"/>
  <c r="B1322" i="1"/>
  <c r="C1322" i="1"/>
  <c r="D1322" i="1"/>
  <c r="A1323" i="1"/>
  <c r="B1323" i="1"/>
  <c r="C1323" i="1"/>
  <c r="D1323" i="1"/>
  <c r="A1324" i="1"/>
  <c r="B1324" i="1"/>
  <c r="C1324" i="1"/>
  <c r="D1324" i="1"/>
  <c r="A1325" i="1"/>
  <c r="B1325" i="1"/>
  <c r="C1325" i="1"/>
  <c r="D1325" i="1"/>
  <c r="A1326" i="1"/>
  <c r="B1326" i="1"/>
  <c r="C1326" i="1"/>
  <c r="D1326" i="1"/>
  <c r="A1327" i="1"/>
  <c r="B1327" i="1"/>
  <c r="C1327" i="1"/>
  <c r="D1327" i="1"/>
  <c r="A1328" i="1"/>
  <c r="B1328" i="1"/>
  <c r="C1328" i="1"/>
  <c r="D1328" i="1"/>
  <c r="A1329" i="1"/>
  <c r="B1329" i="1"/>
  <c r="C1329" i="1"/>
  <c r="D1329" i="1"/>
  <c r="A1330" i="1"/>
  <c r="B1330" i="1"/>
  <c r="C1330" i="1"/>
  <c r="D1330" i="1"/>
  <c r="A1331" i="1"/>
  <c r="B1331" i="1"/>
  <c r="C1331" i="1"/>
  <c r="D1331" i="1"/>
  <c r="A1332" i="1"/>
  <c r="B1332" i="1"/>
  <c r="C1332" i="1"/>
  <c r="D1332" i="1"/>
  <c r="A1333" i="1"/>
  <c r="B1333" i="1"/>
  <c r="C1333" i="1"/>
  <c r="D1333" i="1"/>
  <c r="A1334" i="1"/>
  <c r="B1334" i="1"/>
  <c r="C1334" i="1"/>
  <c r="D1334" i="1"/>
  <c r="A1335" i="1"/>
  <c r="B1335" i="1"/>
  <c r="C1335" i="1"/>
  <c r="D1335" i="1"/>
  <c r="A1336" i="1"/>
  <c r="B1336" i="1"/>
  <c r="C1336" i="1"/>
  <c r="D1336" i="1"/>
  <c r="A1337" i="1"/>
  <c r="B1337" i="1"/>
  <c r="C1337" i="1"/>
  <c r="D1337" i="1"/>
  <c r="A1338" i="1"/>
  <c r="B1338" i="1"/>
  <c r="C1338" i="1"/>
  <c r="D1338" i="1"/>
  <c r="A1339" i="1"/>
  <c r="B1339" i="1"/>
  <c r="C1339" i="1"/>
  <c r="D1339" i="1"/>
  <c r="A1340" i="1"/>
  <c r="B1340" i="1"/>
  <c r="C1340" i="1"/>
  <c r="D1340" i="1"/>
  <c r="A1341" i="1"/>
  <c r="B1341" i="1"/>
  <c r="C1341" i="1"/>
  <c r="D1341" i="1"/>
  <c r="A1342" i="1"/>
  <c r="B1342" i="1"/>
  <c r="C1342" i="1"/>
  <c r="D1342" i="1"/>
  <c r="A1343" i="1"/>
  <c r="B1343" i="1"/>
  <c r="C1343" i="1"/>
  <c r="D1343" i="1"/>
  <c r="A1344" i="1"/>
  <c r="B1344" i="1"/>
  <c r="C1344" i="1"/>
  <c r="D1344" i="1"/>
  <c r="A1345" i="1"/>
  <c r="B1345" i="1"/>
  <c r="C1345" i="1"/>
  <c r="D1345" i="1"/>
  <c r="A1346" i="1"/>
  <c r="B1346" i="1"/>
  <c r="C1346" i="1"/>
  <c r="D1346" i="1"/>
  <c r="A1347" i="1"/>
  <c r="B1347" i="1"/>
  <c r="C1347" i="1"/>
  <c r="D1347" i="1"/>
  <c r="A1348" i="1"/>
  <c r="B1348" i="1"/>
  <c r="C1348" i="1"/>
  <c r="D1348" i="1"/>
  <c r="A1349" i="1"/>
  <c r="B1349" i="1"/>
  <c r="C1349" i="1"/>
  <c r="D1349" i="1"/>
  <c r="A1350" i="1"/>
  <c r="B1350" i="1"/>
  <c r="C1350" i="1"/>
  <c r="D1350" i="1"/>
  <c r="A1351" i="1"/>
  <c r="B1351" i="1"/>
  <c r="C1351" i="1"/>
  <c r="D1351" i="1"/>
  <c r="A1352" i="1"/>
  <c r="B1352" i="1"/>
  <c r="C1352" i="1"/>
  <c r="D1352" i="1"/>
  <c r="A1353" i="1"/>
  <c r="B1353" i="1"/>
  <c r="C1353" i="1"/>
  <c r="D1353" i="1"/>
  <c r="A1354" i="1"/>
  <c r="B1354" i="1"/>
  <c r="C1354" i="1"/>
  <c r="D1354" i="1"/>
  <c r="A1355" i="1"/>
  <c r="B1355" i="1"/>
  <c r="C1355" i="1"/>
  <c r="D1355" i="1"/>
  <c r="A1356" i="1"/>
  <c r="B1356" i="1"/>
  <c r="C1356" i="1"/>
  <c r="D1356" i="1"/>
  <c r="A1357" i="1"/>
  <c r="B1357" i="1"/>
  <c r="C1357" i="1"/>
  <c r="D1357" i="1"/>
  <c r="A1358" i="1"/>
  <c r="B1358" i="1"/>
  <c r="C1358" i="1"/>
  <c r="D1358" i="1"/>
  <c r="A1359" i="1"/>
  <c r="B1359" i="1"/>
  <c r="C1359" i="1"/>
  <c r="D1359" i="1"/>
  <c r="A1360" i="1"/>
  <c r="B1360" i="1"/>
  <c r="C1360" i="1"/>
  <c r="D1360" i="1"/>
  <c r="A1361" i="1"/>
  <c r="B1361" i="1"/>
  <c r="C1361" i="1"/>
  <c r="D1361" i="1"/>
  <c r="A1362" i="1"/>
  <c r="B1362" i="1"/>
  <c r="C1362" i="1"/>
  <c r="D1362" i="1"/>
  <c r="A1363" i="1"/>
  <c r="B1363" i="1"/>
  <c r="C1363" i="1"/>
  <c r="D1363" i="1"/>
  <c r="A1364" i="1"/>
  <c r="B1364" i="1"/>
  <c r="C1364" i="1"/>
  <c r="D1364" i="1"/>
  <c r="A1365" i="1"/>
  <c r="B1365" i="1"/>
  <c r="C1365" i="1"/>
  <c r="D1365" i="1"/>
  <c r="A1366" i="1"/>
  <c r="B1366" i="1"/>
  <c r="C1366" i="1"/>
  <c r="D1366" i="1"/>
  <c r="A1367" i="1"/>
  <c r="B1367" i="1"/>
  <c r="C1367" i="1"/>
  <c r="D1367" i="1"/>
  <c r="A1368" i="1"/>
  <c r="B1368" i="1"/>
  <c r="C1368" i="1"/>
  <c r="D1368" i="1"/>
  <c r="A1369" i="1"/>
  <c r="B1369" i="1"/>
  <c r="C1369" i="1"/>
  <c r="D1369" i="1"/>
  <c r="A1370" i="1"/>
  <c r="B1370" i="1"/>
  <c r="C1370" i="1"/>
  <c r="D1370" i="1"/>
  <c r="A1371" i="1"/>
  <c r="B1371" i="1"/>
  <c r="C1371" i="1"/>
  <c r="D1371" i="1"/>
  <c r="A1372" i="1"/>
  <c r="B1372" i="1"/>
  <c r="C1372" i="1"/>
  <c r="D1372" i="1"/>
  <c r="A1373" i="1"/>
  <c r="B1373" i="1"/>
  <c r="C1373" i="1"/>
  <c r="D1373" i="1"/>
  <c r="A1374" i="1"/>
  <c r="B1374" i="1"/>
  <c r="C1374" i="1"/>
  <c r="D1374" i="1"/>
  <c r="A1375" i="1"/>
  <c r="B1375" i="1"/>
  <c r="C1375" i="1"/>
  <c r="D1375" i="1"/>
  <c r="A1376" i="1"/>
  <c r="B1376" i="1"/>
  <c r="C1376" i="1"/>
  <c r="D1376" i="1"/>
  <c r="A1377" i="1"/>
  <c r="B1377" i="1"/>
  <c r="C1377" i="1"/>
  <c r="D1377" i="1"/>
  <c r="A1378" i="1"/>
  <c r="B1378" i="1"/>
  <c r="C1378" i="1"/>
  <c r="D1378" i="1"/>
  <c r="A1379" i="1"/>
  <c r="B1379" i="1"/>
  <c r="C1379" i="1"/>
  <c r="D1379" i="1"/>
  <c r="A1380" i="1"/>
  <c r="B1380" i="1"/>
  <c r="C1380" i="1"/>
  <c r="D1380" i="1"/>
  <c r="A1381" i="1"/>
  <c r="B1381" i="1"/>
  <c r="C1381" i="1"/>
  <c r="D1381" i="1"/>
  <c r="A1382" i="1"/>
  <c r="B1382" i="1"/>
  <c r="C1382" i="1"/>
  <c r="D1382" i="1"/>
  <c r="A1383" i="1"/>
  <c r="B1383" i="1"/>
  <c r="C1383" i="1"/>
  <c r="D1383" i="1"/>
  <c r="A1384" i="1"/>
  <c r="B1384" i="1"/>
  <c r="C1384" i="1"/>
  <c r="D1384" i="1"/>
  <c r="A1385" i="1"/>
  <c r="B1385" i="1"/>
  <c r="C1385" i="1"/>
  <c r="D1385" i="1"/>
  <c r="A1386" i="1"/>
  <c r="B1386" i="1"/>
  <c r="C1386" i="1"/>
  <c r="D1386" i="1"/>
  <c r="A1387" i="1"/>
  <c r="B1387" i="1"/>
  <c r="C1387" i="1"/>
  <c r="D1387" i="1"/>
  <c r="A1388" i="1"/>
  <c r="B1388" i="1"/>
  <c r="C1388" i="1"/>
  <c r="D1388" i="1"/>
  <c r="A1389" i="1"/>
  <c r="B1389" i="1"/>
  <c r="C1389" i="1"/>
  <c r="D1389" i="1"/>
  <c r="A1390" i="1"/>
  <c r="B1390" i="1"/>
  <c r="C1390" i="1"/>
  <c r="D1390" i="1"/>
  <c r="A1391" i="1"/>
  <c r="B1391" i="1"/>
  <c r="C1391" i="1"/>
  <c r="D1391" i="1"/>
  <c r="A1392" i="1"/>
  <c r="B1392" i="1"/>
  <c r="C1392" i="1"/>
  <c r="D1392" i="1"/>
  <c r="A1393" i="1"/>
  <c r="B1393" i="1"/>
  <c r="C1393" i="1"/>
  <c r="D1393" i="1"/>
  <c r="A1394" i="1"/>
  <c r="B1394" i="1"/>
  <c r="C1394" i="1"/>
  <c r="D1394" i="1"/>
  <c r="A1395" i="1"/>
  <c r="B1395" i="1"/>
  <c r="C1395" i="1"/>
  <c r="D1395" i="1"/>
  <c r="A1396" i="1"/>
  <c r="B1396" i="1"/>
  <c r="C1396" i="1"/>
  <c r="D1396" i="1"/>
  <c r="A1397" i="1"/>
  <c r="B1397" i="1"/>
  <c r="C1397" i="1"/>
  <c r="D1397" i="1"/>
  <c r="A1398" i="1"/>
  <c r="B1398" i="1"/>
  <c r="C1398" i="1"/>
  <c r="D1398" i="1"/>
  <c r="A1399" i="1"/>
  <c r="B1399" i="1"/>
  <c r="C1399" i="1"/>
  <c r="D1399" i="1"/>
  <c r="A1400" i="1"/>
  <c r="B1400" i="1"/>
  <c r="C1400" i="1"/>
  <c r="D1400" i="1"/>
  <c r="A1401" i="1"/>
  <c r="B1401" i="1"/>
  <c r="C1401" i="1"/>
  <c r="D1401" i="1"/>
  <c r="A1402" i="1"/>
  <c r="B1402" i="1"/>
  <c r="C1402" i="1"/>
  <c r="D1402" i="1"/>
  <c r="A1403" i="1"/>
  <c r="B1403" i="1"/>
  <c r="C1403" i="1"/>
  <c r="D1403" i="1"/>
  <c r="A1404" i="1"/>
  <c r="B1404" i="1"/>
  <c r="C1404" i="1"/>
  <c r="D1404" i="1"/>
  <c r="A1405" i="1"/>
  <c r="B1405" i="1"/>
  <c r="C1405" i="1"/>
  <c r="D1405" i="1"/>
  <c r="A1406" i="1"/>
  <c r="B1406" i="1"/>
  <c r="C1406" i="1"/>
  <c r="D1406" i="1"/>
  <c r="A1407" i="1"/>
  <c r="B1407" i="1"/>
  <c r="C1407" i="1"/>
  <c r="D1407" i="1"/>
  <c r="A1408" i="1"/>
  <c r="B1408" i="1"/>
  <c r="C1408" i="1"/>
  <c r="D1408" i="1"/>
  <c r="A1409" i="1"/>
  <c r="B1409" i="1"/>
  <c r="C1409" i="1"/>
  <c r="D1409" i="1"/>
  <c r="A1410" i="1"/>
  <c r="B1410" i="1"/>
  <c r="C1410" i="1"/>
  <c r="D1410" i="1"/>
  <c r="A1411" i="1"/>
  <c r="B1411" i="1"/>
  <c r="C1411" i="1"/>
  <c r="D1411" i="1"/>
  <c r="A1412" i="1"/>
  <c r="B1412" i="1"/>
  <c r="C1412" i="1"/>
  <c r="D1412" i="1"/>
  <c r="A1413" i="1"/>
  <c r="B1413" i="1"/>
  <c r="C1413" i="1"/>
  <c r="D1413" i="1"/>
  <c r="A1414" i="1"/>
  <c r="B1414" i="1"/>
  <c r="C1414" i="1"/>
  <c r="D1414" i="1"/>
  <c r="A1415" i="1"/>
  <c r="B1415" i="1"/>
  <c r="C1415" i="1"/>
  <c r="D1415" i="1"/>
  <c r="A1416" i="1"/>
  <c r="B1416" i="1"/>
  <c r="C1416" i="1"/>
  <c r="D1416" i="1"/>
  <c r="A1417" i="1"/>
  <c r="B1417" i="1"/>
  <c r="C1417" i="1"/>
  <c r="D1417" i="1"/>
  <c r="A1418" i="1"/>
  <c r="B1418" i="1"/>
  <c r="C1418" i="1"/>
  <c r="D1418" i="1"/>
  <c r="A1419" i="1"/>
  <c r="B1419" i="1"/>
  <c r="C1419" i="1"/>
  <c r="D1419" i="1"/>
  <c r="A1420" i="1"/>
  <c r="B1420" i="1"/>
  <c r="C1420" i="1"/>
  <c r="D1420" i="1"/>
  <c r="A1421" i="1"/>
  <c r="B1421" i="1"/>
  <c r="C1421" i="1"/>
  <c r="D1421" i="1"/>
  <c r="A1422" i="1"/>
  <c r="B1422" i="1"/>
  <c r="C1422" i="1"/>
  <c r="D1422" i="1"/>
  <c r="A1423" i="1"/>
  <c r="B1423" i="1"/>
  <c r="C1423" i="1"/>
  <c r="D1423" i="1"/>
  <c r="A1424" i="1"/>
  <c r="B1424" i="1"/>
  <c r="C1424" i="1"/>
  <c r="D1424" i="1"/>
  <c r="A1425" i="1"/>
  <c r="B1425" i="1"/>
  <c r="C1425" i="1"/>
  <c r="D1425" i="1"/>
  <c r="A1426" i="1"/>
  <c r="B1426" i="1"/>
  <c r="C1426" i="1"/>
  <c r="D1426" i="1"/>
  <c r="A1427" i="1"/>
  <c r="B1427" i="1"/>
  <c r="C1427" i="1"/>
  <c r="D1427" i="1"/>
  <c r="A1428" i="1"/>
  <c r="B1428" i="1"/>
  <c r="C1428" i="1"/>
  <c r="D1428" i="1"/>
  <c r="A1429" i="1"/>
  <c r="B1429" i="1"/>
  <c r="C1429" i="1"/>
  <c r="D1429" i="1"/>
  <c r="A1430" i="1"/>
  <c r="B1430" i="1"/>
  <c r="C1430" i="1"/>
  <c r="D1430" i="1"/>
  <c r="A1431" i="1"/>
  <c r="B1431" i="1"/>
  <c r="C1431" i="1"/>
  <c r="D1431" i="1"/>
  <c r="A1432" i="1"/>
  <c r="B1432" i="1"/>
  <c r="C1432" i="1"/>
  <c r="D1432" i="1"/>
  <c r="A1433" i="1"/>
  <c r="B1433" i="1"/>
  <c r="C1433" i="1"/>
  <c r="D1433" i="1"/>
  <c r="A1434" i="1"/>
  <c r="B1434" i="1"/>
  <c r="C1434" i="1"/>
  <c r="D1434" i="1"/>
  <c r="A1435" i="1"/>
  <c r="B1435" i="1"/>
  <c r="C1435" i="1"/>
  <c r="D1435" i="1"/>
  <c r="A1436" i="1"/>
  <c r="B1436" i="1"/>
  <c r="C1436" i="1"/>
  <c r="D1436" i="1"/>
  <c r="A1437" i="1"/>
  <c r="B1437" i="1"/>
  <c r="C1437" i="1"/>
  <c r="D1437" i="1"/>
  <c r="A1438" i="1"/>
  <c r="B1438" i="1"/>
  <c r="C1438" i="1"/>
  <c r="D1438" i="1"/>
  <c r="A1439" i="1"/>
  <c r="B1439" i="1"/>
  <c r="C1439" i="1"/>
  <c r="D1439" i="1"/>
  <c r="A1440" i="1"/>
  <c r="B1440" i="1"/>
  <c r="C1440" i="1"/>
  <c r="D1440" i="1"/>
  <c r="A1441" i="1"/>
  <c r="B1441" i="1"/>
  <c r="C1441" i="1"/>
  <c r="D1441" i="1"/>
  <c r="A1442" i="1"/>
  <c r="B1442" i="1"/>
  <c r="C1442" i="1"/>
  <c r="D1442" i="1"/>
  <c r="A1443" i="1"/>
  <c r="B1443" i="1"/>
  <c r="C1443" i="1"/>
  <c r="D1443" i="1"/>
  <c r="A1444" i="1"/>
  <c r="B1444" i="1"/>
  <c r="C1444" i="1"/>
  <c r="D1444" i="1"/>
  <c r="A1445" i="1"/>
  <c r="B1445" i="1"/>
  <c r="C1445" i="1"/>
  <c r="D1445" i="1"/>
  <c r="A1446" i="1"/>
  <c r="B1446" i="1"/>
  <c r="C1446" i="1"/>
  <c r="D1446" i="1"/>
  <c r="A1447" i="1"/>
  <c r="B1447" i="1"/>
  <c r="C1447" i="1"/>
  <c r="D1447" i="1"/>
  <c r="A1448" i="1"/>
  <c r="B1448" i="1"/>
  <c r="C1448" i="1"/>
  <c r="D1448" i="1"/>
  <c r="A1449" i="1"/>
  <c r="B1449" i="1"/>
  <c r="C1449" i="1"/>
  <c r="D1449" i="1"/>
  <c r="A1450" i="1"/>
  <c r="B1450" i="1"/>
  <c r="C1450" i="1"/>
  <c r="D1450" i="1"/>
  <c r="A1451" i="1"/>
  <c r="B1451" i="1"/>
  <c r="C1451" i="1"/>
  <c r="D1451" i="1"/>
  <c r="A1452" i="1"/>
  <c r="B1452" i="1"/>
  <c r="C1452" i="1"/>
  <c r="D1452" i="1"/>
  <c r="A1453" i="1"/>
  <c r="B1453" i="1"/>
  <c r="C1453" i="1"/>
  <c r="D1453" i="1"/>
  <c r="A1454" i="1"/>
  <c r="B1454" i="1"/>
  <c r="C1454" i="1"/>
  <c r="D1454" i="1"/>
  <c r="A1455" i="1"/>
  <c r="B1455" i="1"/>
  <c r="C1455" i="1"/>
  <c r="D1455" i="1"/>
  <c r="A1456" i="1"/>
  <c r="B1456" i="1"/>
  <c r="C1456" i="1"/>
  <c r="D1456" i="1"/>
  <c r="A1457" i="1"/>
  <c r="B1457" i="1"/>
  <c r="C1457" i="1"/>
  <c r="D1457" i="1"/>
  <c r="A1458" i="1"/>
  <c r="B1458" i="1"/>
  <c r="C1458" i="1"/>
  <c r="D1458" i="1"/>
  <c r="A1459" i="1"/>
  <c r="B1459" i="1"/>
  <c r="C1459" i="1"/>
  <c r="D1459" i="1"/>
  <c r="A1460" i="1"/>
  <c r="B1460" i="1"/>
  <c r="C1460" i="1"/>
  <c r="D1460" i="1"/>
  <c r="A1461" i="1"/>
  <c r="B1461" i="1"/>
  <c r="C1461" i="1"/>
  <c r="D1461" i="1"/>
  <c r="A1462" i="1"/>
  <c r="B1462" i="1"/>
  <c r="C1462" i="1"/>
  <c r="D1462" i="1"/>
  <c r="A1463" i="1"/>
  <c r="B1463" i="1"/>
  <c r="C1463" i="1"/>
  <c r="D1463" i="1"/>
  <c r="A1464" i="1"/>
  <c r="B1464" i="1"/>
  <c r="C1464" i="1"/>
  <c r="D1464" i="1"/>
  <c r="A1465" i="1"/>
  <c r="B1465" i="1"/>
  <c r="C1465" i="1"/>
  <c r="D1465" i="1"/>
  <c r="A1466" i="1"/>
  <c r="B1466" i="1"/>
  <c r="C1466" i="1"/>
  <c r="D1466" i="1"/>
  <c r="A1467" i="1"/>
  <c r="B1467" i="1"/>
  <c r="C1467" i="1"/>
  <c r="D1467" i="1"/>
  <c r="A1468" i="1"/>
  <c r="B1468" i="1"/>
  <c r="C1468" i="1"/>
  <c r="D1468" i="1"/>
  <c r="A1469" i="1"/>
  <c r="B1469" i="1"/>
  <c r="C1469" i="1"/>
  <c r="D1469" i="1"/>
  <c r="A1470" i="1"/>
  <c r="B1470" i="1"/>
  <c r="C1470" i="1"/>
  <c r="D1470" i="1"/>
  <c r="A1471" i="1"/>
  <c r="B1471" i="1"/>
  <c r="C1471" i="1"/>
  <c r="D1471" i="1"/>
  <c r="A1472" i="1"/>
  <c r="B1472" i="1"/>
  <c r="C1472" i="1"/>
  <c r="D1472" i="1"/>
  <c r="A1473" i="1"/>
  <c r="B1473" i="1"/>
  <c r="C1473" i="1"/>
  <c r="D1473" i="1"/>
  <c r="A1474" i="1"/>
  <c r="B1474" i="1"/>
  <c r="C1474" i="1"/>
  <c r="D1474" i="1"/>
  <c r="A1475" i="1"/>
  <c r="B1475" i="1"/>
  <c r="C1475" i="1"/>
  <c r="D1475" i="1"/>
  <c r="A1476" i="1"/>
  <c r="B1476" i="1"/>
  <c r="C1476" i="1"/>
  <c r="D1476" i="1"/>
  <c r="A1477" i="1"/>
  <c r="B1477" i="1"/>
  <c r="C1477" i="1"/>
  <c r="D1477" i="1"/>
  <c r="A1478" i="1"/>
  <c r="B1478" i="1"/>
  <c r="C1478" i="1"/>
  <c r="D1478" i="1"/>
  <c r="A1479" i="1"/>
  <c r="B1479" i="1"/>
  <c r="C1479" i="1"/>
  <c r="D1479" i="1"/>
  <c r="A1480" i="1"/>
  <c r="B1480" i="1"/>
  <c r="C1480" i="1"/>
  <c r="D1480" i="1"/>
  <c r="A1481" i="1"/>
  <c r="B1481" i="1"/>
  <c r="C1481" i="1"/>
  <c r="D1481" i="1"/>
  <c r="A1482" i="1"/>
  <c r="B1482" i="1"/>
  <c r="C1482" i="1"/>
  <c r="D1482" i="1"/>
  <c r="A1483" i="1"/>
  <c r="B1483" i="1"/>
  <c r="C1483" i="1"/>
  <c r="D1483" i="1"/>
  <c r="A1484" i="1"/>
  <c r="B1484" i="1"/>
  <c r="C1484" i="1"/>
  <c r="D1484" i="1"/>
  <c r="A1485" i="1"/>
  <c r="B1485" i="1"/>
  <c r="C1485" i="1"/>
  <c r="D1485" i="1"/>
  <c r="A1486" i="1"/>
  <c r="B1486" i="1"/>
  <c r="C1486" i="1"/>
  <c r="D1486" i="1"/>
  <c r="A1487" i="1"/>
  <c r="B1487" i="1"/>
  <c r="C1487" i="1"/>
  <c r="D1487" i="1"/>
  <c r="A1488" i="1"/>
  <c r="B1488" i="1"/>
  <c r="C1488" i="1"/>
  <c r="D1488" i="1"/>
  <c r="A1489" i="1"/>
  <c r="B1489" i="1"/>
  <c r="C1489" i="1"/>
  <c r="D1489" i="1"/>
  <c r="A1490" i="1"/>
  <c r="B1490" i="1"/>
  <c r="C1490" i="1"/>
  <c r="D1490" i="1"/>
  <c r="A1491" i="1"/>
  <c r="B1491" i="1"/>
  <c r="C1491" i="1"/>
  <c r="D1491" i="1"/>
  <c r="A1492" i="1"/>
  <c r="B1492" i="1"/>
  <c r="C1492" i="1"/>
  <c r="D1492" i="1"/>
  <c r="A1493" i="1"/>
  <c r="B1493" i="1"/>
  <c r="C1493" i="1"/>
  <c r="D1493" i="1"/>
  <c r="A1494" i="1"/>
  <c r="B1494" i="1"/>
  <c r="C1494" i="1"/>
  <c r="D1494" i="1"/>
  <c r="A1495" i="1"/>
  <c r="B1495" i="1"/>
  <c r="C1495" i="1"/>
  <c r="D1495" i="1"/>
  <c r="A1496" i="1"/>
  <c r="B1496" i="1"/>
  <c r="C1496" i="1"/>
  <c r="D1496" i="1"/>
  <c r="A1497" i="1"/>
  <c r="B1497" i="1"/>
  <c r="C1497" i="1"/>
  <c r="D1497" i="1"/>
  <c r="A1498" i="1"/>
  <c r="B1498" i="1"/>
  <c r="C1498" i="1"/>
  <c r="D1498" i="1"/>
  <c r="A1499" i="1"/>
  <c r="B1499" i="1"/>
  <c r="C1499" i="1"/>
  <c r="D1499" i="1"/>
  <c r="A1500" i="1"/>
  <c r="B1500" i="1"/>
  <c r="C1500" i="1"/>
  <c r="D1500" i="1"/>
  <c r="A1501" i="1"/>
  <c r="B1501" i="1"/>
  <c r="C1501" i="1"/>
  <c r="D1501" i="1"/>
  <c r="A1502" i="1"/>
  <c r="B1502" i="1"/>
  <c r="C1502" i="1"/>
  <c r="D1502" i="1"/>
  <c r="A1503" i="1"/>
  <c r="B1503" i="1"/>
  <c r="C1503" i="1"/>
  <c r="D1503" i="1"/>
  <c r="A1504" i="1"/>
  <c r="B1504" i="1"/>
  <c r="C1504" i="1"/>
  <c r="D1504" i="1"/>
  <c r="A1505" i="1"/>
  <c r="B1505" i="1"/>
  <c r="C1505" i="1"/>
  <c r="D1505" i="1"/>
  <c r="A1506" i="1"/>
  <c r="B1506" i="1"/>
  <c r="C1506" i="1"/>
  <c r="D1506" i="1"/>
  <c r="A1507" i="1"/>
  <c r="B1507" i="1"/>
  <c r="C1507" i="1"/>
  <c r="D1507" i="1"/>
  <c r="A1508" i="1"/>
  <c r="B1508" i="1"/>
  <c r="C1508" i="1"/>
  <c r="D1508" i="1"/>
  <c r="A1509" i="1"/>
  <c r="B1509" i="1"/>
  <c r="C1509" i="1"/>
  <c r="D1509" i="1"/>
  <c r="A1510" i="1"/>
  <c r="B1510" i="1"/>
  <c r="C1510" i="1"/>
  <c r="D1510" i="1"/>
  <c r="A1511" i="1"/>
  <c r="B1511" i="1"/>
  <c r="C1511" i="1"/>
  <c r="D1511" i="1"/>
  <c r="A1512" i="1"/>
  <c r="B1512" i="1"/>
  <c r="C1512" i="1"/>
  <c r="D1512" i="1"/>
  <c r="A1513" i="1"/>
  <c r="B1513" i="1"/>
  <c r="C1513" i="1"/>
  <c r="D1513" i="1"/>
  <c r="A1514" i="1"/>
  <c r="B1514" i="1"/>
  <c r="C1514" i="1"/>
  <c r="D1514" i="1"/>
  <c r="A1515" i="1"/>
  <c r="B1515" i="1"/>
  <c r="C1515" i="1"/>
  <c r="D1515" i="1"/>
  <c r="A1516" i="1"/>
  <c r="B1516" i="1"/>
  <c r="C1516" i="1"/>
  <c r="D1516" i="1"/>
  <c r="A1517" i="1"/>
  <c r="B1517" i="1"/>
  <c r="C1517" i="1"/>
  <c r="D1517" i="1"/>
  <c r="A1518" i="1"/>
  <c r="B1518" i="1"/>
  <c r="C1518" i="1"/>
  <c r="D1518" i="1"/>
  <c r="A1519" i="1"/>
  <c r="B1519" i="1"/>
  <c r="C1519" i="1"/>
  <c r="D1519" i="1"/>
  <c r="A1520" i="1"/>
  <c r="B1520" i="1"/>
  <c r="C1520" i="1"/>
  <c r="D1520" i="1"/>
  <c r="A1521" i="1"/>
  <c r="B1521" i="1"/>
  <c r="C1521" i="1"/>
  <c r="D1521" i="1"/>
  <c r="A1522" i="1"/>
  <c r="B1522" i="1"/>
  <c r="C1522" i="1"/>
  <c r="D1522" i="1"/>
  <c r="A1523" i="1"/>
  <c r="B1523" i="1"/>
  <c r="C1523" i="1"/>
  <c r="D1523" i="1"/>
  <c r="A1524" i="1"/>
  <c r="B1524" i="1"/>
  <c r="C1524" i="1"/>
  <c r="D1524" i="1"/>
  <c r="A1525" i="1"/>
  <c r="B1525" i="1"/>
  <c r="C1525" i="1"/>
  <c r="D1525" i="1"/>
  <c r="A1526" i="1"/>
  <c r="B1526" i="1"/>
  <c r="C1526" i="1"/>
  <c r="D1526" i="1"/>
  <c r="A1527" i="1"/>
  <c r="B1527" i="1"/>
  <c r="C1527" i="1"/>
  <c r="D1527" i="1"/>
  <c r="A1528" i="1"/>
  <c r="B1528" i="1"/>
  <c r="C1528" i="1"/>
  <c r="D1528" i="1"/>
  <c r="A1529" i="1"/>
  <c r="B1529" i="1"/>
  <c r="C1529" i="1"/>
  <c r="D1529" i="1"/>
  <c r="A1530" i="1"/>
  <c r="B1530" i="1"/>
  <c r="C1530" i="1"/>
  <c r="D1530" i="1"/>
  <c r="A1531" i="1"/>
  <c r="B1531" i="1"/>
  <c r="C1531" i="1"/>
  <c r="D1531" i="1"/>
  <c r="A1532" i="1"/>
  <c r="B1532" i="1"/>
  <c r="C1532" i="1"/>
  <c r="D1532" i="1"/>
  <c r="A1533" i="1"/>
  <c r="B1533" i="1"/>
  <c r="C1533" i="1"/>
  <c r="D1533" i="1"/>
  <c r="A1534" i="1"/>
  <c r="B1534" i="1"/>
  <c r="C1534" i="1"/>
  <c r="D1534" i="1"/>
  <c r="A1535" i="1"/>
  <c r="B1535" i="1"/>
  <c r="C1535" i="1"/>
  <c r="D1535" i="1"/>
  <c r="A1536" i="1"/>
  <c r="B1536" i="1"/>
  <c r="C1536" i="1"/>
  <c r="D1536" i="1"/>
  <c r="A1537" i="1"/>
  <c r="B1537" i="1"/>
  <c r="C1537" i="1"/>
  <c r="D1537" i="1"/>
  <c r="A1538" i="1"/>
  <c r="B1538" i="1"/>
  <c r="C1538" i="1"/>
  <c r="D1538" i="1"/>
  <c r="A1539" i="1"/>
  <c r="B1539" i="1"/>
  <c r="C1539" i="1"/>
  <c r="D1539" i="1"/>
  <c r="A1540" i="1"/>
  <c r="B1540" i="1"/>
  <c r="C1540" i="1"/>
  <c r="D1540" i="1"/>
  <c r="A1541" i="1"/>
  <c r="B1541" i="1"/>
  <c r="C1541" i="1"/>
  <c r="D1541" i="1"/>
  <c r="A1542" i="1"/>
  <c r="B1542" i="1"/>
  <c r="C1542" i="1"/>
  <c r="D1542" i="1"/>
  <c r="A1543" i="1"/>
  <c r="B1543" i="1"/>
  <c r="C1543" i="1"/>
  <c r="D1543" i="1"/>
  <c r="A1544" i="1"/>
  <c r="B1544" i="1"/>
  <c r="C1544" i="1"/>
  <c r="D1544" i="1"/>
  <c r="A1545" i="1"/>
  <c r="B1545" i="1"/>
  <c r="C1545" i="1"/>
  <c r="D1545" i="1"/>
  <c r="A1546" i="1"/>
  <c r="B1546" i="1"/>
  <c r="C1546" i="1"/>
  <c r="D1546" i="1"/>
  <c r="A1547" i="1"/>
  <c r="B1547" i="1"/>
  <c r="C1547" i="1"/>
  <c r="D1547" i="1"/>
  <c r="A1548" i="1"/>
  <c r="B1548" i="1"/>
  <c r="C1548" i="1"/>
  <c r="D1548" i="1"/>
  <c r="A1549" i="1"/>
  <c r="B1549" i="1"/>
  <c r="C1549" i="1"/>
  <c r="D1549" i="1"/>
  <c r="A1550" i="1"/>
  <c r="B1550" i="1"/>
  <c r="C1550" i="1"/>
  <c r="D1550" i="1"/>
  <c r="A1551" i="1"/>
  <c r="B1551" i="1"/>
  <c r="C1551" i="1"/>
  <c r="D1551" i="1"/>
  <c r="A1552" i="1"/>
  <c r="B1552" i="1"/>
  <c r="C1552" i="1"/>
  <c r="D1552" i="1"/>
  <c r="A1553" i="1"/>
  <c r="B1553" i="1"/>
  <c r="C1553" i="1"/>
  <c r="D1553" i="1"/>
  <c r="A1554" i="1"/>
  <c r="B1554" i="1"/>
  <c r="C1554" i="1"/>
  <c r="D1554" i="1"/>
  <c r="A1555" i="1"/>
  <c r="B1555" i="1"/>
  <c r="C1555" i="1"/>
  <c r="D1555" i="1"/>
  <c r="A1556" i="1"/>
  <c r="B1556" i="1"/>
  <c r="C1556" i="1"/>
  <c r="D1556" i="1"/>
  <c r="A1557" i="1"/>
  <c r="B1557" i="1"/>
  <c r="C1557" i="1"/>
  <c r="D1557" i="1"/>
  <c r="A1558" i="1"/>
  <c r="B1558" i="1"/>
  <c r="C1558" i="1"/>
  <c r="D1558" i="1"/>
  <c r="A1559" i="1"/>
  <c r="B1559" i="1"/>
  <c r="C1559" i="1"/>
  <c r="D1559" i="1"/>
  <c r="A1560" i="1"/>
  <c r="B1560" i="1"/>
  <c r="C1560" i="1"/>
  <c r="D1560" i="1"/>
  <c r="A1561" i="1"/>
  <c r="B1561" i="1"/>
  <c r="C1561" i="1"/>
  <c r="D1561" i="1"/>
  <c r="A1562" i="1"/>
  <c r="B1562" i="1"/>
  <c r="C1562" i="1"/>
  <c r="D1562" i="1"/>
  <c r="A1563" i="1"/>
  <c r="B1563" i="1"/>
  <c r="C1563" i="1"/>
  <c r="D1563" i="1"/>
  <c r="A1564" i="1"/>
  <c r="B1564" i="1"/>
  <c r="C1564" i="1"/>
  <c r="D1564" i="1"/>
  <c r="A1565" i="1"/>
  <c r="B1565" i="1"/>
  <c r="C1565" i="1"/>
  <c r="D1565" i="1"/>
  <c r="A1566" i="1"/>
  <c r="B1566" i="1"/>
  <c r="C1566" i="1"/>
  <c r="D1566" i="1"/>
  <c r="A1567" i="1"/>
  <c r="B1567" i="1"/>
  <c r="C1567" i="1"/>
  <c r="D1567" i="1"/>
  <c r="A1568" i="1"/>
  <c r="B1568" i="1"/>
  <c r="C1568" i="1"/>
  <c r="D1568" i="1"/>
  <c r="A1569" i="1"/>
  <c r="B1569" i="1"/>
  <c r="C1569" i="1"/>
  <c r="D1569" i="1"/>
  <c r="A1570" i="1"/>
  <c r="B1570" i="1"/>
  <c r="C1570" i="1"/>
  <c r="D1570" i="1"/>
  <c r="A1571" i="1"/>
  <c r="B1571" i="1"/>
  <c r="C1571" i="1"/>
  <c r="D1571" i="1"/>
  <c r="A1572" i="1"/>
  <c r="B1572" i="1"/>
  <c r="C1572" i="1"/>
  <c r="D1572" i="1"/>
  <c r="A1573" i="1"/>
  <c r="B1573" i="1"/>
  <c r="C1573" i="1"/>
  <c r="D1573" i="1"/>
  <c r="A1574" i="1"/>
  <c r="B1574" i="1"/>
  <c r="C1574" i="1"/>
  <c r="D1574" i="1"/>
  <c r="A1575" i="1"/>
  <c r="B1575" i="1"/>
  <c r="C1575" i="1"/>
  <c r="D1575" i="1"/>
  <c r="A1576" i="1"/>
  <c r="B1576" i="1"/>
  <c r="C1576" i="1"/>
  <c r="D1576" i="1"/>
  <c r="A1577" i="1"/>
  <c r="B1577" i="1"/>
  <c r="C1577" i="1"/>
  <c r="D1577" i="1"/>
  <c r="A1578" i="1"/>
  <c r="B1578" i="1"/>
  <c r="C1578" i="1"/>
  <c r="D1578" i="1"/>
  <c r="A1579" i="1"/>
  <c r="B1579" i="1"/>
  <c r="C1579" i="1"/>
  <c r="D1579" i="1"/>
  <c r="A1580" i="1"/>
  <c r="B1580" i="1"/>
  <c r="C1580" i="1"/>
  <c r="D1580" i="1"/>
  <c r="A1581" i="1"/>
  <c r="B1581" i="1"/>
  <c r="C1581" i="1"/>
  <c r="D1581" i="1"/>
  <c r="A1582" i="1"/>
  <c r="B1582" i="1"/>
  <c r="C1582" i="1"/>
  <c r="D1582" i="1"/>
  <c r="A1583" i="1"/>
  <c r="B1583" i="1"/>
  <c r="C1583" i="1"/>
  <c r="D1583" i="1"/>
  <c r="A1584" i="1"/>
  <c r="B1584" i="1"/>
  <c r="C1584" i="1"/>
  <c r="D1584" i="1"/>
  <c r="A1585" i="1"/>
  <c r="B1585" i="1"/>
  <c r="C1585" i="1"/>
  <c r="D1585" i="1"/>
  <c r="A1586" i="1"/>
  <c r="B1586" i="1"/>
  <c r="C1586" i="1"/>
  <c r="D1586" i="1"/>
  <c r="A1587" i="1"/>
  <c r="B1587" i="1"/>
  <c r="C1587" i="1"/>
  <c r="D1587" i="1"/>
  <c r="A1588" i="1"/>
  <c r="B1588" i="1"/>
  <c r="C1588" i="1"/>
  <c r="D1588" i="1"/>
  <c r="A1589" i="1"/>
  <c r="B1589" i="1"/>
  <c r="C1589" i="1"/>
  <c r="D1589" i="1"/>
  <c r="A1590" i="1"/>
  <c r="B1590" i="1"/>
  <c r="C1590" i="1"/>
  <c r="D1590" i="1"/>
  <c r="A1591" i="1"/>
  <c r="B1591" i="1"/>
  <c r="C1591" i="1"/>
  <c r="D1591" i="1"/>
  <c r="A1592" i="1"/>
  <c r="B1592" i="1"/>
  <c r="C1592" i="1"/>
  <c r="D1592" i="1"/>
  <c r="A1593" i="1"/>
  <c r="B1593" i="1"/>
  <c r="C1593" i="1"/>
  <c r="D1593" i="1"/>
  <c r="A1594" i="1"/>
  <c r="B1594" i="1"/>
  <c r="C1594" i="1"/>
  <c r="D1594" i="1"/>
  <c r="A1595" i="1"/>
  <c r="B1595" i="1"/>
  <c r="C1595" i="1"/>
  <c r="D1595" i="1"/>
  <c r="A1596" i="1"/>
  <c r="B1596" i="1"/>
  <c r="C1596" i="1"/>
  <c r="D1596" i="1"/>
  <c r="A1597" i="1"/>
  <c r="B1597" i="1"/>
  <c r="C1597" i="1"/>
  <c r="D1597" i="1"/>
  <c r="A1598" i="1"/>
  <c r="B1598" i="1"/>
  <c r="C1598" i="1"/>
  <c r="D1598" i="1"/>
  <c r="A1599" i="1"/>
  <c r="B1599" i="1"/>
  <c r="C1599" i="1"/>
  <c r="D1599" i="1"/>
  <c r="A1600" i="1"/>
  <c r="B1600" i="1"/>
  <c r="C1600" i="1"/>
  <c r="D1600" i="1"/>
  <c r="A1601" i="1"/>
  <c r="B1601" i="1"/>
  <c r="C1601" i="1"/>
  <c r="D1601" i="1"/>
  <c r="A1602" i="1"/>
  <c r="B1602" i="1"/>
  <c r="C1602" i="1"/>
  <c r="D1602" i="1"/>
  <c r="A1603" i="1"/>
  <c r="B1603" i="1"/>
  <c r="C1603" i="1"/>
  <c r="D1603" i="1"/>
  <c r="A1604" i="1"/>
  <c r="B1604" i="1"/>
  <c r="C1604" i="1"/>
  <c r="D1604" i="1"/>
  <c r="A1605" i="1"/>
  <c r="B1605" i="1"/>
  <c r="C1605" i="1"/>
  <c r="D1605" i="1"/>
  <c r="A1606" i="1"/>
  <c r="B1606" i="1"/>
  <c r="C1606" i="1"/>
  <c r="D1606" i="1"/>
  <c r="A1607" i="1"/>
  <c r="B1607" i="1"/>
  <c r="C1607" i="1"/>
  <c r="D1607" i="1"/>
  <c r="A1608" i="1"/>
  <c r="B1608" i="1"/>
  <c r="C1608" i="1"/>
  <c r="D1608" i="1"/>
  <c r="A1609" i="1"/>
  <c r="B1609" i="1"/>
  <c r="C1609" i="1"/>
  <c r="D1609" i="1"/>
  <c r="A1610" i="1"/>
  <c r="B1610" i="1"/>
  <c r="C1610" i="1"/>
  <c r="D1610" i="1"/>
  <c r="A1611" i="1"/>
  <c r="B1611" i="1"/>
  <c r="C1611" i="1"/>
  <c r="D1611" i="1"/>
  <c r="A1612" i="1"/>
  <c r="B1612" i="1"/>
  <c r="C1612" i="1"/>
  <c r="D1612" i="1"/>
  <c r="A1613" i="1"/>
  <c r="B1613" i="1"/>
  <c r="C1613" i="1"/>
  <c r="D1613" i="1"/>
  <c r="A1614" i="1"/>
  <c r="B1614" i="1"/>
  <c r="C1614" i="1"/>
  <c r="D1614" i="1"/>
  <c r="A1615" i="1"/>
  <c r="B1615" i="1"/>
  <c r="C1615" i="1"/>
  <c r="D1615" i="1"/>
  <c r="A1616" i="1"/>
  <c r="B1616" i="1"/>
  <c r="C1616" i="1"/>
  <c r="D1616" i="1"/>
  <c r="A1617" i="1"/>
  <c r="B1617" i="1"/>
  <c r="C1617" i="1"/>
  <c r="D1617" i="1"/>
  <c r="A1618" i="1"/>
  <c r="B1618" i="1"/>
  <c r="C1618" i="1"/>
  <c r="D1618" i="1"/>
  <c r="A1619" i="1"/>
  <c r="B1619" i="1"/>
  <c r="C1619" i="1"/>
  <c r="D1619" i="1"/>
  <c r="A1620" i="1"/>
  <c r="B1620" i="1"/>
  <c r="C1620" i="1"/>
  <c r="D1620" i="1"/>
  <c r="A1621" i="1"/>
  <c r="B1621" i="1"/>
  <c r="C1621" i="1"/>
  <c r="D1621" i="1"/>
  <c r="A1622" i="1"/>
  <c r="B1622" i="1"/>
  <c r="C1622" i="1"/>
  <c r="D1622" i="1"/>
  <c r="A1623" i="1"/>
  <c r="B1623" i="1"/>
  <c r="C1623" i="1"/>
  <c r="D1623" i="1"/>
  <c r="A1624" i="1"/>
  <c r="B1624" i="1"/>
  <c r="C1624" i="1"/>
  <c r="D1624" i="1"/>
  <c r="A1625" i="1"/>
  <c r="B1625" i="1"/>
  <c r="C1625" i="1"/>
  <c r="D1625" i="1"/>
  <c r="A1626" i="1"/>
  <c r="B1626" i="1"/>
  <c r="C1626" i="1"/>
  <c r="D1626" i="1"/>
  <c r="A1627" i="1"/>
  <c r="B1627" i="1"/>
  <c r="C1627" i="1"/>
  <c r="D1627" i="1"/>
  <c r="A1628" i="1"/>
  <c r="B1628" i="1"/>
  <c r="C1628" i="1"/>
  <c r="D1628" i="1"/>
  <c r="A1629" i="1"/>
  <c r="B1629" i="1"/>
  <c r="C1629" i="1"/>
  <c r="D1629" i="1"/>
  <c r="A1630" i="1"/>
  <c r="B1630" i="1"/>
  <c r="C1630" i="1"/>
  <c r="D1630" i="1"/>
  <c r="A1631" i="1"/>
  <c r="B1631" i="1"/>
  <c r="C1631" i="1"/>
  <c r="D1631" i="1"/>
  <c r="A1632" i="1"/>
  <c r="B1632" i="1"/>
  <c r="C1632" i="1"/>
  <c r="D1632" i="1"/>
  <c r="A1633" i="1"/>
  <c r="B1633" i="1"/>
  <c r="C1633" i="1"/>
  <c r="D1633" i="1"/>
  <c r="A1634" i="1"/>
  <c r="B1634" i="1"/>
  <c r="C1634" i="1"/>
  <c r="D1634" i="1"/>
  <c r="A1635" i="1"/>
  <c r="B1635" i="1"/>
  <c r="C1635" i="1"/>
  <c r="D1635" i="1"/>
  <c r="A1636" i="1"/>
  <c r="B1636" i="1"/>
  <c r="C1636" i="1"/>
  <c r="D1636" i="1"/>
  <c r="A1637" i="1"/>
  <c r="B1637" i="1"/>
  <c r="C1637" i="1"/>
  <c r="D1637" i="1"/>
  <c r="A1638" i="1"/>
  <c r="B1638" i="1"/>
  <c r="C1638" i="1"/>
  <c r="D1638" i="1"/>
  <c r="A1639" i="1"/>
  <c r="B1639" i="1"/>
  <c r="C1639" i="1"/>
  <c r="D1639" i="1"/>
  <c r="A1640" i="1"/>
  <c r="B1640" i="1"/>
  <c r="C1640" i="1"/>
  <c r="D1640" i="1"/>
  <c r="A1641" i="1"/>
  <c r="B1641" i="1"/>
  <c r="C1641" i="1"/>
  <c r="D1641" i="1"/>
  <c r="A1642" i="1"/>
  <c r="B1642" i="1"/>
  <c r="C1642" i="1"/>
  <c r="D1642" i="1"/>
  <c r="A1643" i="1"/>
  <c r="B1643" i="1"/>
  <c r="C1643" i="1"/>
  <c r="D1643" i="1"/>
  <c r="A1644" i="1"/>
  <c r="B1644" i="1"/>
  <c r="C1644" i="1"/>
  <c r="D1644" i="1"/>
  <c r="A1645" i="1"/>
  <c r="B1645" i="1"/>
  <c r="C1645" i="1"/>
  <c r="D1645" i="1"/>
  <c r="A1646" i="1"/>
  <c r="B1646" i="1"/>
  <c r="C1646" i="1"/>
  <c r="D1646" i="1"/>
  <c r="A1647" i="1"/>
  <c r="B1647" i="1"/>
  <c r="C1647" i="1"/>
  <c r="D1647" i="1"/>
  <c r="A1648" i="1"/>
  <c r="B1648" i="1"/>
  <c r="C1648" i="1"/>
  <c r="D1648" i="1"/>
  <c r="A1649" i="1"/>
  <c r="B1649" i="1"/>
  <c r="C1649" i="1"/>
  <c r="D1649" i="1"/>
  <c r="A1650" i="1"/>
  <c r="B1650" i="1"/>
  <c r="C1650" i="1"/>
  <c r="D1650" i="1"/>
  <c r="A1651" i="1"/>
  <c r="B1651" i="1"/>
  <c r="C1651" i="1"/>
  <c r="D1651" i="1"/>
  <c r="A1652" i="1"/>
  <c r="B1652" i="1"/>
  <c r="C1652" i="1"/>
  <c r="D1652" i="1"/>
  <c r="A1653" i="1"/>
  <c r="B1653" i="1"/>
  <c r="C1653" i="1"/>
  <c r="D1653" i="1"/>
  <c r="A1654" i="1"/>
  <c r="B1654" i="1"/>
  <c r="C1654" i="1"/>
  <c r="D1654" i="1"/>
  <c r="A1655" i="1"/>
  <c r="B1655" i="1"/>
  <c r="C1655" i="1"/>
  <c r="D1655" i="1"/>
  <c r="A1656" i="1"/>
  <c r="B1656" i="1"/>
  <c r="C1656" i="1"/>
  <c r="D1656" i="1"/>
  <c r="A1657" i="1"/>
  <c r="B1657" i="1"/>
  <c r="C1657" i="1"/>
  <c r="D1657" i="1"/>
  <c r="A1658" i="1"/>
  <c r="B1658" i="1"/>
  <c r="C1658" i="1"/>
  <c r="D1658" i="1"/>
  <c r="A1659" i="1"/>
  <c r="B1659" i="1"/>
  <c r="C1659" i="1"/>
  <c r="D1659" i="1"/>
  <c r="A1660" i="1"/>
  <c r="B1660" i="1"/>
  <c r="C1660" i="1"/>
  <c r="D1660" i="1"/>
  <c r="A1661" i="1"/>
  <c r="B1661" i="1"/>
  <c r="C1661" i="1"/>
  <c r="D1661" i="1"/>
  <c r="A1662" i="1"/>
  <c r="B1662" i="1"/>
  <c r="C1662" i="1"/>
  <c r="D1662" i="1"/>
  <c r="A1663" i="1"/>
  <c r="B1663" i="1"/>
  <c r="C1663" i="1"/>
  <c r="D1663" i="1"/>
  <c r="A1664" i="1"/>
  <c r="B1664" i="1"/>
  <c r="C1664" i="1"/>
  <c r="D1664" i="1"/>
  <c r="A1665" i="1"/>
  <c r="B1665" i="1"/>
  <c r="C1665" i="1"/>
  <c r="D1665" i="1"/>
  <c r="A1666" i="1"/>
  <c r="B1666" i="1"/>
  <c r="C1666" i="1"/>
  <c r="D1666" i="1"/>
  <c r="A1667" i="1"/>
  <c r="B1667" i="1"/>
  <c r="C1667" i="1"/>
  <c r="D1667" i="1"/>
  <c r="A1668" i="1"/>
  <c r="B1668" i="1"/>
  <c r="C1668" i="1"/>
  <c r="D1668" i="1"/>
  <c r="A1669" i="1"/>
  <c r="B1669" i="1"/>
  <c r="C1669" i="1"/>
  <c r="D1669" i="1"/>
  <c r="A1670" i="1"/>
  <c r="B1670" i="1"/>
  <c r="C1670" i="1"/>
  <c r="D1670" i="1"/>
  <c r="A1671" i="1"/>
  <c r="B1671" i="1"/>
  <c r="C1671" i="1"/>
  <c r="D1671" i="1"/>
  <c r="A1672" i="1"/>
  <c r="B1672" i="1"/>
  <c r="C1672" i="1"/>
  <c r="D1672" i="1"/>
  <c r="A1673" i="1"/>
  <c r="B1673" i="1"/>
  <c r="C1673" i="1"/>
  <c r="D1673" i="1"/>
  <c r="A1674" i="1"/>
  <c r="B1674" i="1"/>
  <c r="C1674" i="1"/>
  <c r="D1674" i="1"/>
  <c r="A1675" i="1"/>
  <c r="B1675" i="1"/>
  <c r="C1675" i="1"/>
  <c r="D1675" i="1"/>
  <c r="A1676" i="1"/>
  <c r="B1676" i="1"/>
  <c r="C1676" i="1"/>
  <c r="D1676" i="1"/>
  <c r="A1677" i="1"/>
  <c r="B1677" i="1"/>
  <c r="C1677" i="1"/>
  <c r="D1677" i="1"/>
  <c r="A1678" i="1"/>
  <c r="B1678" i="1"/>
  <c r="C1678" i="1"/>
  <c r="D1678" i="1"/>
  <c r="A1679" i="1"/>
  <c r="B1679" i="1"/>
  <c r="C1679" i="1"/>
  <c r="D1679" i="1"/>
  <c r="A1680" i="1"/>
  <c r="B1680" i="1"/>
  <c r="C1680" i="1"/>
  <c r="D1680" i="1"/>
  <c r="A1681" i="1"/>
  <c r="B1681" i="1"/>
  <c r="C1681" i="1"/>
  <c r="D1681" i="1"/>
  <c r="A1682" i="1"/>
  <c r="B1682" i="1"/>
  <c r="C1682" i="1"/>
  <c r="D1682" i="1"/>
  <c r="A1683" i="1"/>
  <c r="B1683" i="1"/>
  <c r="C1683" i="1"/>
  <c r="D1683" i="1"/>
  <c r="A1684" i="1"/>
  <c r="B1684" i="1"/>
  <c r="C1684" i="1"/>
  <c r="D1684" i="1"/>
  <c r="A1685" i="1"/>
  <c r="B1685" i="1"/>
  <c r="C1685" i="1"/>
  <c r="D1685" i="1"/>
  <c r="A1686" i="1"/>
  <c r="B1686" i="1"/>
  <c r="C1686" i="1"/>
  <c r="D1686" i="1"/>
  <c r="A1687" i="1"/>
  <c r="B1687" i="1"/>
  <c r="C1687" i="1"/>
  <c r="D1687" i="1"/>
  <c r="A1688" i="1"/>
  <c r="B1688" i="1"/>
  <c r="C1688" i="1"/>
  <c r="D1688" i="1"/>
  <c r="A1689" i="1"/>
  <c r="B1689" i="1"/>
  <c r="C1689" i="1"/>
  <c r="D1689" i="1"/>
  <c r="A1690" i="1"/>
  <c r="B1690" i="1"/>
  <c r="C1690" i="1"/>
  <c r="D1690" i="1"/>
  <c r="A1691" i="1"/>
  <c r="B1691" i="1"/>
  <c r="C1691" i="1"/>
  <c r="D1691" i="1"/>
  <c r="A1692" i="1"/>
  <c r="B1692" i="1"/>
  <c r="C1692" i="1"/>
  <c r="D1692" i="1"/>
  <c r="A1693" i="1"/>
  <c r="B1693" i="1"/>
  <c r="C1693" i="1"/>
  <c r="D1693" i="1"/>
  <c r="A1694" i="1"/>
  <c r="B1694" i="1"/>
  <c r="C1694" i="1"/>
  <c r="D1694" i="1"/>
  <c r="A1695" i="1"/>
  <c r="B1695" i="1"/>
  <c r="C1695" i="1"/>
  <c r="D1695" i="1"/>
  <c r="A1696" i="1"/>
  <c r="B1696" i="1"/>
  <c r="C1696" i="1"/>
  <c r="D1696" i="1"/>
  <c r="A1697" i="1"/>
  <c r="B1697" i="1"/>
  <c r="C1697" i="1"/>
  <c r="D1697" i="1"/>
  <c r="A1698" i="1"/>
  <c r="B1698" i="1"/>
  <c r="C1698" i="1"/>
  <c r="D1698" i="1"/>
  <c r="A1699" i="1"/>
  <c r="B1699" i="1"/>
  <c r="C1699" i="1"/>
  <c r="D1699" i="1"/>
  <c r="A1700" i="1"/>
  <c r="B1700" i="1"/>
  <c r="C1700" i="1"/>
  <c r="D1700" i="1"/>
  <c r="A1701" i="1"/>
  <c r="B1701" i="1"/>
  <c r="C1701" i="1"/>
  <c r="D1701" i="1"/>
  <c r="A1702" i="1"/>
  <c r="B1702" i="1"/>
  <c r="C1702" i="1"/>
  <c r="D1702" i="1"/>
  <c r="A1703" i="1"/>
  <c r="B1703" i="1"/>
  <c r="C1703" i="1"/>
  <c r="D1703" i="1"/>
  <c r="A1704" i="1"/>
  <c r="B1704" i="1"/>
  <c r="C1704" i="1"/>
  <c r="D1704" i="1"/>
  <c r="A1705" i="1"/>
  <c r="B1705" i="1"/>
  <c r="C1705" i="1"/>
  <c r="D1705" i="1"/>
  <c r="A1706" i="1"/>
  <c r="B1706" i="1"/>
  <c r="C1706" i="1"/>
  <c r="D1706" i="1"/>
  <c r="A1707" i="1"/>
  <c r="B1707" i="1"/>
  <c r="C1707" i="1"/>
  <c r="D1707" i="1"/>
  <c r="A1708" i="1"/>
  <c r="B1708" i="1"/>
  <c r="C1708" i="1"/>
  <c r="D1708" i="1"/>
  <c r="A1709" i="1"/>
  <c r="B1709" i="1"/>
  <c r="C1709" i="1"/>
  <c r="D1709" i="1"/>
  <c r="A1710" i="1"/>
  <c r="B1710" i="1"/>
  <c r="C1710" i="1"/>
  <c r="D1710" i="1"/>
  <c r="A1711" i="1"/>
  <c r="B1711" i="1"/>
  <c r="C1711" i="1"/>
  <c r="D1711" i="1"/>
  <c r="A1712" i="1"/>
  <c r="B1712" i="1"/>
  <c r="C1712" i="1"/>
  <c r="D1712" i="1"/>
  <c r="A1713" i="1"/>
  <c r="B1713" i="1"/>
  <c r="C1713" i="1"/>
  <c r="D1713" i="1"/>
  <c r="A1714" i="1"/>
  <c r="B1714" i="1"/>
  <c r="C1714" i="1"/>
  <c r="D1714" i="1"/>
  <c r="A1715" i="1"/>
  <c r="B1715" i="1"/>
  <c r="C1715" i="1"/>
  <c r="D1715" i="1"/>
  <c r="A1716" i="1"/>
  <c r="B1716" i="1"/>
  <c r="C1716" i="1"/>
  <c r="D1716" i="1"/>
  <c r="A1717" i="1"/>
  <c r="B1717" i="1"/>
  <c r="C1717" i="1"/>
  <c r="D1717" i="1"/>
  <c r="A1718" i="1"/>
  <c r="B1718" i="1"/>
  <c r="C1718" i="1"/>
  <c r="D1718" i="1"/>
  <c r="A1719" i="1"/>
  <c r="B1719" i="1"/>
  <c r="C1719" i="1"/>
  <c r="D1719" i="1"/>
  <c r="A1720" i="1"/>
  <c r="B1720" i="1"/>
  <c r="C1720" i="1"/>
  <c r="D1720" i="1"/>
  <c r="A1721" i="1"/>
  <c r="B1721" i="1"/>
  <c r="C1721" i="1"/>
  <c r="D1721" i="1"/>
  <c r="A1722" i="1"/>
  <c r="B1722" i="1"/>
  <c r="C1722" i="1"/>
  <c r="D1722" i="1"/>
  <c r="A1723" i="1"/>
  <c r="B1723" i="1"/>
  <c r="C1723" i="1"/>
  <c r="D1723" i="1"/>
  <c r="A1724" i="1"/>
  <c r="B1724" i="1"/>
  <c r="C1724" i="1"/>
  <c r="D1724" i="1"/>
  <c r="A1725" i="1"/>
  <c r="B1725" i="1"/>
  <c r="C1725" i="1"/>
  <c r="D1725" i="1"/>
  <c r="A1726" i="1"/>
  <c r="B1726" i="1"/>
  <c r="C1726" i="1"/>
  <c r="D1726" i="1"/>
  <c r="A1727" i="1"/>
  <c r="B1727" i="1"/>
  <c r="C1727" i="1"/>
  <c r="D1727" i="1"/>
  <c r="A1728" i="1"/>
  <c r="B1728" i="1"/>
  <c r="C1728" i="1"/>
  <c r="D1728" i="1"/>
  <c r="A1729" i="1"/>
  <c r="B1729" i="1"/>
  <c r="C1729" i="1"/>
  <c r="D1729" i="1"/>
  <c r="A1730" i="1"/>
  <c r="B1730" i="1"/>
  <c r="C1730" i="1"/>
  <c r="D1730" i="1"/>
  <c r="A1731" i="1"/>
  <c r="B1731" i="1"/>
  <c r="C1731" i="1"/>
  <c r="D1731" i="1"/>
  <c r="A1732" i="1"/>
  <c r="B1732" i="1"/>
  <c r="C1732" i="1"/>
  <c r="D1732" i="1"/>
  <c r="A1733" i="1"/>
  <c r="B1733" i="1"/>
  <c r="C1733" i="1"/>
  <c r="D1733" i="1"/>
  <c r="A1734" i="1"/>
  <c r="B1734" i="1"/>
  <c r="C1734" i="1"/>
  <c r="D1734" i="1"/>
  <c r="A1735" i="1"/>
  <c r="B1735" i="1"/>
  <c r="C1735" i="1"/>
  <c r="D1735" i="1"/>
  <c r="A1736" i="1"/>
  <c r="B1736" i="1"/>
  <c r="C1736" i="1"/>
  <c r="D1736" i="1"/>
  <c r="A1737" i="1"/>
  <c r="B1737" i="1"/>
  <c r="C1737" i="1"/>
  <c r="D1737" i="1"/>
  <c r="A1738" i="1"/>
  <c r="B1738" i="1"/>
  <c r="C1738" i="1"/>
  <c r="D1738" i="1"/>
  <c r="A1739" i="1"/>
  <c r="B1739" i="1"/>
  <c r="C1739" i="1"/>
  <c r="D1739" i="1"/>
  <c r="A1740" i="1"/>
  <c r="B1740" i="1"/>
  <c r="C1740" i="1"/>
  <c r="D1740" i="1"/>
  <c r="A1741" i="1"/>
  <c r="B1741" i="1"/>
  <c r="C1741" i="1"/>
  <c r="D1741" i="1"/>
  <c r="A1742" i="1"/>
  <c r="B1742" i="1"/>
  <c r="C1742" i="1"/>
  <c r="D1742" i="1"/>
  <c r="A1743" i="1"/>
  <c r="B1743" i="1"/>
  <c r="C1743" i="1"/>
  <c r="D1743" i="1"/>
  <c r="A1744" i="1"/>
  <c r="B1744" i="1"/>
  <c r="C1744" i="1"/>
  <c r="D1744" i="1"/>
  <c r="A1745" i="1"/>
  <c r="B1745" i="1"/>
  <c r="C1745" i="1"/>
  <c r="D1745" i="1"/>
  <c r="A1746" i="1"/>
  <c r="B1746" i="1"/>
  <c r="C1746" i="1"/>
  <c r="D1746" i="1"/>
  <c r="A1747" i="1"/>
  <c r="B1747" i="1"/>
  <c r="C1747" i="1"/>
  <c r="D1747" i="1"/>
  <c r="A1748" i="1"/>
  <c r="B1748" i="1"/>
  <c r="C1748" i="1"/>
  <c r="D1748" i="1"/>
  <c r="A1749" i="1"/>
  <c r="B1749" i="1"/>
  <c r="C1749" i="1"/>
  <c r="D1749" i="1"/>
  <c r="A1750" i="1"/>
  <c r="B1750" i="1"/>
  <c r="C1750" i="1"/>
  <c r="D1750" i="1"/>
  <c r="A1751" i="1"/>
  <c r="B1751" i="1"/>
  <c r="C1751" i="1"/>
  <c r="D1751" i="1"/>
  <c r="A1752" i="1"/>
  <c r="B1752" i="1"/>
  <c r="C1752" i="1"/>
  <c r="D1752" i="1"/>
  <c r="A1753" i="1"/>
  <c r="B1753" i="1"/>
  <c r="C1753" i="1"/>
  <c r="D1753" i="1"/>
  <c r="A1754" i="1"/>
  <c r="B1754" i="1"/>
  <c r="C1754" i="1"/>
  <c r="D1754" i="1"/>
  <c r="A1755" i="1"/>
  <c r="B1755" i="1"/>
  <c r="C1755" i="1"/>
  <c r="D1755" i="1"/>
  <c r="A1756" i="1"/>
  <c r="B1756" i="1"/>
  <c r="C1756" i="1"/>
  <c r="D1756" i="1"/>
  <c r="A1757" i="1"/>
  <c r="B1757" i="1"/>
  <c r="C1757" i="1"/>
  <c r="D1757" i="1"/>
  <c r="A1758" i="1"/>
  <c r="B1758" i="1"/>
  <c r="C1758" i="1"/>
  <c r="D1758" i="1"/>
  <c r="A1759" i="1"/>
  <c r="B1759" i="1"/>
  <c r="C1759" i="1"/>
  <c r="D1759" i="1"/>
  <c r="A1760" i="1"/>
  <c r="B1760" i="1"/>
  <c r="C1760" i="1"/>
  <c r="D1760" i="1"/>
  <c r="A1761" i="1"/>
  <c r="B1761" i="1"/>
  <c r="C1761" i="1"/>
  <c r="D1761" i="1"/>
  <c r="A1762" i="1"/>
  <c r="B1762" i="1"/>
  <c r="C1762" i="1"/>
  <c r="D1762" i="1"/>
  <c r="A1763" i="1"/>
  <c r="B1763" i="1"/>
  <c r="C1763" i="1"/>
  <c r="D1763" i="1"/>
  <c r="A1764" i="1"/>
  <c r="B1764" i="1"/>
  <c r="C1764" i="1"/>
  <c r="D1764" i="1"/>
  <c r="A1765" i="1"/>
  <c r="B1765" i="1"/>
  <c r="C1765" i="1"/>
  <c r="D1765" i="1"/>
  <c r="A1766" i="1"/>
  <c r="B1766" i="1"/>
  <c r="C1766" i="1"/>
  <c r="D1766" i="1"/>
  <c r="A1767" i="1"/>
  <c r="B1767" i="1"/>
  <c r="C1767" i="1"/>
  <c r="D1767" i="1"/>
  <c r="A1768" i="1"/>
  <c r="B1768" i="1"/>
  <c r="C1768" i="1"/>
  <c r="D1768" i="1"/>
  <c r="A1769" i="1"/>
  <c r="B1769" i="1"/>
  <c r="C1769" i="1"/>
  <c r="D1769" i="1"/>
  <c r="A1770" i="1"/>
  <c r="B1770" i="1"/>
  <c r="C1770" i="1"/>
  <c r="D1770" i="1"/>
  <c r="A1771" i="1"/>
  <c r="B1771" i="1"/>
  <c r="C1771" i="1"/>
  <c r="D1771" i="1"/>
  <c r="A1772" i="1"/>
  <c r="B1772" i="1"/>
  <c r="C1772" i="1"/>
  <c r="D1772" i="1"/>
  <c r="A1773" i="1"/>
  <c r="B1773" i="1"/>
  <c r="C1773" i="1"/>
  <c r="D1773" i="1"/>
  <c r="A1774" i="1"/>
  <c r="B1774" i="1"/>
  <c r="C1774" i="1"/>
  <c r="D1774" i="1"/>
  <c r="A1775" i="1"/>
  <c r="B1775" i="1"/>
  <c r="C1775" i="1"/>
  <c r="D1775" i="1"/>
  <c r="A1776" i="1"/>
  <c r="B1776" i="1"/>
  <c r="C1776" i="1"/>
  <c r="D1776" i="1"/>
  <c r="A1777" i="1"/>
  <c r="B1777" i="1"/>
  <c r="C1777" i="1"/>
  <c r="D1777" i="1"/>
  <c r="A1778" i="1"/>
  <c r="B1778" i="1"/>
  <c r="C1778" i="1"/>
  <c r="D1778" i="1"/>
  <c r="A1779" i="1"/>
  <c r="B1779" i="1"/>
  <c r="C1779" i="1"/>
  <c r="D1779" i="1"/>
  <c r="A1780" i="1"/>
  <c r="B1780" i="1"/>
  <c r="C1780" i="1"/>
  <c r="D1780" i="1"/>
  <c r="A1781" i="1"/>
  <c r="B1781" i="1"/>
  <c r="C1781" i="1"/>
  <c r="D1781" i="1"/>
  <c r="A1782" i="1"/>
  <c r="B1782" i="1"/>
  <c r="C1782" i="1"/>
  <c r="D1782" i="1"/>
  <c r="A1783" i="1"/>
  <c r="B1783" i="1"/>
  <c r="C1783" i="1"/>
  <c r="D1783" i="1"/>
  <c r="A1784" i="1"/>
  <c r="B1784" i="1"/>
  <c r="C1784" i="1"/>
  <c r="D1784" i="1"/>
  <c r="A1785" i="1"/>
  <c r="B1785" i="1"/>
  <c r="C1785" i="1"/>
  <c r="D1785" i="1"/>
  <c r="A1786" i="1"/>
  <c r="B1786" i="1"/>
  <c r="C1786" i="1"/>
  <c r="D1786" i="1"/>
  <c r="A1787" i="1"/>
  <c r="B1787" i="1"/>
  <c r="C1787" i="1"/>
  <c r="D1787" i="1"/>
  <c r="A1788" i="1"/>
  <c r="B1788" i="1"/>
  <c r="C1788" i="1"/>
  <c r="D1788" i="1"/>
  <c r="A1789" i="1"/>
  <c r="B1789" i="1"/>
  <c r="C1789" i="1"/>
  <c r="D1789" i="1"/>
  <c r="A1790" i="1"/>
  <c r="B1790" i="1"/>
  <c r="C1790" i="1"/>
  <c r="D1790" i="1"/>
  <c r="A1791" i="1"/>
  <c r="B1791" i="1"/>
  <c r="C1791" i="1"/>
  <c r="D1791" i="1"/>
  <c r="A1792" i="1"/>
  <c r="B1792" i="1"/>
  <c r="C1792" i="1"/>
  <c r="D1792" i="1"/>
  <c r="A1793" i="1"/>
  <c r="B1793" i="1"/>
  <c r="C1793" i="1"/>
  <c r="D1793" i="1"/>
  <c r="A1794" i="1"/>
  <c r="B1794" i="1"/>
  <c r="C1794" i="1"/>
  <c r="D1794" i="1"/>
  <c r="A1795" i="1"/>
  <c r="B1795" i="1"/>
  <c r="C1795" i="1"/>
  <c r="D1795" i="1"/>
  <c r="A1796" i="1"/>
  <c r="B1796" i="1"/>
  <c r="C1796" i="1"/>
  <c r="D1796" i="1"/>
  <c r="A1797" i="1"/>
  <c r="B1797" i="1"/>
  <c r="C1797" i="1"/>
  <c r="D1797" i="1"/>
  <c r="A1798" i="1"/>
  <c r="B1798" i="1"/>
  <c r="C1798" i="1"/>
  <c r="D1798" i="1"/>
  <c r="A1799" i="1"/>
  <c r="B1799" i="1"/>
  <c r="C1799" i="1"/>
  <c r="D1799" i="1"/>
  <c r="A1800" i="1"/>
  <c r="B1800" i="1"/>
  <c r="C1800" i="1"/>
  <c r="D1800" i="1"/>
  <c r="A1801" i="1"/>
  <c r="B1801" i="1"/>
  <c r="C1801" i="1"/>
  <c r="D1801" i="1"/>
  <c r="A1802" i="1"/>
  <c r="B1802" i="1"/>
  <c r="C1802" i="1"/>
  <c r="D1802" i="1"/>
  <c r="A1803" i="1"/>
  <c r="B1803" i="1"/>
  <c r="C1803" i="1"/>
  <c r="D1803" i="1"/>
  <c r="A1804" i="1"/>
  <c r="B1804" i="1"/>
  <c r="C1804" i="1"/>
  <c r="D1804" i="1"/>
  <c r="A1805" i="1"/>
  <c r="B1805" i="1"/>
  <c r="C1805" i="1"/>
  <c r="D1805" i="1"/>
  <c r="A1806" i="1"/>
  <c r="B1806" i="1"/>
  <c r="C1806" i="1"/>
  <c r="D1806" i="1"/>
  <c r="A1807" i="1"/>
  <c r="B1807" i="1"/>
  <c r="C1807" i="1"/>
  <c r="D1807" i="1"/>
  <c r="A1808" i="1"/>
  <c r="B1808" i="1"/>
  <c r="C1808" i="1"/>
  <c r="D1808" i="1"/>
  <c r="A1809" i="1"/>
  <c r="B1809" i="1"/>
  <c r="C1809" i="1"/>
  <c r="D1809" i="1"/>
  <c r="A1810" i="1"/>
  <c r="B1810" i="1"/>
  <c r="C1810" i="1"/>
  <c r="D1810" i="1"/>
  <c r="A1811" i="1"/>
  <c r="B1811" i="1"/>
  <c r="C1811" i="1"/>
  <c r="D1811" i="1"/>
  <c r="A1812" i="1"/>
  <c r="B1812" i="1"/>
  <c r="C1812" i="1"/>
  <c r="D1812" i="1"/>
  <c r="A1813" i="1"/>
  <c r="B1813" i="1"/>
  <c r="C1813" i="1"/>
  <c r="D1813" i="1"/>
  <c r="A1814" i="1"/>
  <c r="B1814" i="1"/>
  <c r="C1814" i="1"/>
  <c r="D1814" i="1"/>
  <c r="A1815" i="1"/>
  <c r="B1815" i="1"/>
  <c r="C1815" i="1"/>
  <c r="D1815" i="1"/>
  <c r="A1816" i="1"/>
  <c r="B1816" i="1"/>
  <c r="C1816" i="1"/>
  <c r="D1816" i="1"/>
  <c r="A1817" i="1"/>
  <c r="B1817" i="1"/>
  <c r="C1817" i="1"/>
  <c r="D1817" i="1"/>
  <c r="A1818" i="1"/>
  <c r="B1818" i="1"/>
  <c r="C1818" i="1"/>
  <c r="D1818" i="1"/>
  <c r="A1819" i="1"/>
  <c r="B1819" i="1"/>
  <c r="C1819" i="1"/>
  <c r="D1819" i="1"/>
  <c r="A1820" i="1"/>
  <c r="B1820" i="1"/>
  <c r="C1820" i="1"/>
  <c r="D1820" i="1"/>
  <c r="A1821" i="1"/>
  <c r="B1821" i="1"/>
  <c r="C1821" i="1"/>
  <c r="D1821" i="1"/>
  <c r="A1822" i="1"/>
  <c r="B1822" i="1"/>
  <c r="C1822" i="1"/>
  <c r="D1822" i="1"/>
  <c r="A1823" i="1"/>
  <c r="B1823" i="1"/>
  <c r="C1823" i="1"/>
  <c r="D1823" i="1"/>
  <c r="A1824" i="1"/>
  <c r="B1824" i="1"/>
  <c r="C1824" i="1"/>
  <c r="D1824" i="1"/>
  <c r="A1825" i="1"/>
  <c r="B1825" i="1"/>
  <c r="C1825" i="1"/>
  <c r="D1825" i="1"/>
  <c r="A1826" i="1"/>
  <c r="B1826" i="1"/>
  <c r="C1826" i="1"/>
  <c r="D1826" i="1"/>
  <c r="A1827" i="1"/>
  <c r="B1827" i="1"/>
  <c r="C1827" i="1"/>
  <c r="D1827" i="1"/>
  <c r="A1828" i="1"/>
  <c r="B1828" i="1"/>
  <c r="C1828" i="1"/>
  <c r="D1828" i="1"/>
  <c r="A1829" i="1"/>
  <c r="B1829" i="1"/>
  <c r="C1829" i="1"/>
  <c r="D1829" i="1"/>
  <c r="A1830" i="1"/>
  <c r="B1830" i="1"/>
  <c r="C1830" i="1"/>
  <c r="D1830" i="1"/>
  <c r="A1831" i="1"/>
  <c r="B1831" i="1"/>
  <c r="C1831" i="1"/>
  <c r="D1831" i="1"/>
  <c r="A1832" i="1"/>
  <c r="B1832" i="1"/>
  <c r="C1832" i="1"/>
  <c r="D1832" i="1"/>
  <c r="A1833" i="1"/>
  <c r="B1833" i="1"/>
  <c r="C1833" i="1"/>
  <c r="D1833" i="1"/>
  <c r="A1834" i="1"/>
  <c r="B1834" i="1"/>
  <c r="C1834" i="1"/>
  <c r="D1834" i="1"/>
  <c r="A1835" i="1"/>
  <c r="B1835" i="1"/>
  <c r="C1835" i="1"/>
  <c r="D1835" i="1"/>
  <c r="A1836" i="1"/>
  <c r="B1836" i="1"/>
  <c r="C1836" i="1"/>
  <c r="D1836" i="1"/>
  <c r="A1837" i="1"/>
  <c r="B1837" i="1"/>
  <c r="C1837" i="1"/>
  <c r="D1837" i="1"/>
  <c r="A1838" i="1"/>
  <c r="B1838" i="1"/>
  <c r="C1838" i="1"/>
  <c r="D1838" i="1"/>
  <c r="A1839" i="1"/>
  <c r="B1839" i="1"/>
  <c r="C1839" i="1"/>
  <c r="D1839" i="1"/>
  <c r="A1840" i="1"/>
  <c r="B1840" i="1"/>
  <c r="C1840" i="1"/>
  <c r="D1840" i="1"/>
  <c r="A1841" i="1"/>
  <c r="B1841" i="1"/>
  <c r="C1841" i="1"/>
  <c r="D1841" i="1"/>
  <c r="A1842" i="1"/>
  <c r="B1842" i="1"/>
  <c r="C1842" i="1"/>
  <c r="D1842" i="1"/>
  <c r="A1843" i="1"/>
  <c r="B1843" i="1"/>
  <c r="C1843" i="1"/>
  <c r="D1843" i="1"/>
  <c r="A1844" i="1"/>
  <c r="B1844" i="1"/>
  <c r="C1844" i="1"/>
  <c r="D1844" i="1"/>
  <c r="A1845" i="1"/>
  <c r="B1845" i="1"/>
  <c r="C1845" i="1"/>
  <c r="D1845" i="1"/>
  <c r="A1846" i="1"/>
  <c r="B1846" i="1"/>
  <c r="C1846" i="1"/>
  <c r="D1846" i="1"/>
  <c r="A1847" i="1"/>
  <c r="B1847" i="1"/>
  <c r="C1847" i="1"/>
  <c r="D1847" i="1"/>
  <c r="A1848" i="1"/>
  <c r="B1848" i="1"/>
  <c r="C1848" i="1"/>
  <c r="D1848" i="1"/>
  <c r="A1849" i="1"/>
  <c r="B1849" i="1"/>
  <c r="C1849" i="1"/>
  <c r="D1849" i="1"/>
  <c r="A1850" i="1"/>
  <c r="B1850" i="1"/>
  <c r="C1850" i="1"/>
  <c r="D1850" i="1"/>
  <c r="A1851" i="1"/>
  <c r="B1851" i="1"/>
  <c r="C1851" i="1"/>
  <c r="D1851" i="1"/>
  <c r="A1852" i="1"/>
  <c r="B1852" i="1"/>
  <c r="C1852" i="1"/>
  <c r="D1852" i="1"/>
  <c r="A1853" i="1"/>
  <c r="B1853" i="1"/>
  <c r="C1853" i="1"/>
  <c r="D1853" i="1"/>
  <c r="A1854" i="1"/>
  <c r="B1854" i="1"/>
  <c r="C1854" i="1"/>
  <c r="D1854" i="1"/>
  <c r="A1855" i="1"/>
  <c r="B1855" i="1"/>
  <c r="C1855" i="1"/>
  <c r="D1855" i="1"/>
  <c r="A1856" i="1"/>
  <c r="B1856" i="1"/>
  <c r="C1856" i="1"/>
  <c r="D1856" i="1"/>
  <c r="A1857" i="1"/>
  <c r="B1857" i="1"/>
  <c r="C1857" i="1"/>
  <c r="D1857" i="1"/>
  <c r="A1858" i="1"/>
  <c r="B1858" i="1"/>
  <c r="C1858" i="1"/>
  <c r="D1858" i="1"/>
  <c r="A1859" i="1"/>
  <c r="B1859" i="1"/>
  <c r="C1859" i="1"/>
  <c r="D1859" i="1"/>
  <c r="A1860" i="1"/>
  <c r="B1860" i="1"/>
  <c r="C1860" i="1"/>
  <c r="D1860" i="1"/>
  <c r="A1861" i="1"/>
  <c r="B1861" i="1"/>
  <c r="C1861" i="1"/>
  <c r="D1861" i="1"/>
  <c r="A1862" i="1"/>
  <c r="B1862" i="1"/>
  <c r="C1862" i="1"/>
  <c r="D1862" i="1"/>
  <c r="A1863" i="1"/>
  <c r="B1863" i="1"/>
  <c r="C1863" i="1"/>
  <c r="D1863" i="1"/>
  <c r="A1864" i="1"/>
  <c r="B1864" i="1"/>
  <c r="C1864" i="1"/>
  <c r="D1864" i="1"/>
  <c r="A1865" i="1"/>
  <c r="B1865" i="1"/>
  <c r="C1865" i="1"/>
  <c r="D1865" i="1"/>
  <c r="A1866" i="1"/>
  <c r="B1866" i="1"/>
  <c r="C1866" i="1"/>
  <c r="D1866" i="1"/>
  <c r="A1867" i="1"/>
  <c r="B1867" i="1"/>
  <c r="C1867" i="1"/>
  <c r="D1867" i="1"/>
  <c r="A1868" i="1"/>
  <c r="B1868" i="1"/>
  <c r="C1868" i="1"/>
  <c r="D1868" i="1"/>
  <c r="A1869" i="1"/>
  <c r="B1869" i="1"/>
  <c r="C1869" i="1"/>
  <c r="D1869" i="1"/>
  <c r="A1870" i="1"/>
  <c r="B1870" i="1"/>
  <c r="C1870" i="1"/>
  <c r="D1870" i="1"/>
  <c r="A1871" i="1"/>
  <c r="B1871" i="1"/>
  <c r="C1871" i="1"/>
  <c r="D1871" i="1"/>
  <c r="A1872" i="1"/>
  <c r="B1872" i="1"/>
  <c r="C1872" i="1"/>
  <c r="D1872" i="1"/>
  <c r="A1873" i="1"/>
  <c r="B1873" i="1"/>
  <c r="C1873" i="1"/>
  <c r="D1873" i="1"/>
  <c r="A1874" i="1"/>
  <c r="B1874" i="1"/>
  <c r="C1874" i="1"/>
  <c r="D1874" i="1"/>
  <c r="A1875" i="1"/>
  <c r="B1875" i="1"/>
  <c r="C1875" i="1"/>
  <c r="D1875" i="1"/>
  <c r="A1876" i="1"/>
  <c r="B1876" i="1"/>
  <c r="C1876" i="1"/>
  <c r="D1876" i="1"/>
  <c r="A1877" i="1"/>
  <c r="B1877" i="1"/>
  <c r="C1877" i="1"/>
  <c r="D1877" i="1"/>
  <c r="A1878" i="1"/>
  <c r="B1878" i="1"/>
  <c r="C1878" i="1"/>
  <c r="D1878" i="1"/>
  <c r="A1879" i="1"/>
  <c r="B1879" i="1"/>
  <c r="C1879" i="1"/>
  <c r="D1879" i="1"/>
  <c r="A1880" i="1"/>
  <c r="B1880" i="1"/>
  <c r="C1880" i="1"/>
  <c r="D1880" i="1"/>
  <c r="A1881" i="1"/>
  <c r="B1881" i="1"/>
  <c r="C1881" i="1"/>
  <c r="D1881" i="1"/>
  <c r="A1882" i="1"/>
  <c r="B1882" i="1"/>
  <c r="C1882" i="1"/>
  <c r="D1882" i="1"/>
  <c r="A1883" i="1"/>
  <c r="B1883" i="1"/>
  <c r="C1883" i="1"/>
  <c r="D1883" i="1"/>
  <c r="A1884" i="1"/>
  <c r="B1884" i="1"/>
  <c r="C1884" i="1"/>
  <c r="D1884" i="1"/>
  <c r="A1885" i="1"/>
  <c r="B1885" i="1"/>
  <c r="C1885" i="1"/>
  <c r="D1885" i="1"/>
  <c r="A1886" i="1"/>
  <c r="B1886" i="1"/>
  <c r="C1886" i="1"/>
  <c r="D1886" i="1"/>
  <c r="A1887" i="1"/>
  <c r="B1887" i="1"/>
  <c r="C1887" i="1"/>
  <c r="D1887" i="1"/>
  <c r="A1888" i="1"/>
  <c r="B1888" i="1"/>
  <c r="C1888" i="1"/>
  <c r="D1888" i="1"/>
  <c r="A1889" i="1"/>
  <c r="B1889" i="1"/>
  <c r="C1889" i="1"/>
  <c r="D1889" i="1"/>
  <c r="A1890" i="1"/>
  <c r="B1890" i="1"/>
  <c r="C1890" i="1"/>
  <c r="D1890" i="1"/>
  <c r="A1891" i="1"/>
  <c r="B1891" i="1"/>
  <c r="C1891" i="1"/>
  <c r="D1891" i="1"/>
  <c r="A1892" i="1"/>
  <c r="B1892" i="1"/>
  <c r="C1892" i="1"/>
  <c r="D1892" i="1"/>
  <c r="A1893" i="1"/>
  <c r="B1893" i="1"/>
  <c r="C1893" i="1"/>
  <c r="D1893" i="1"/>
  <c r="A1894" i="1"/>
  <c r="B1894" i="1"/>
  <c r="C1894" i="1"/>
  <c r="D1894" i="1"/>
  <c r="A1895" i="1"/>
  <c r="B1895" i="1"/>
  <c r="C1895" i="1"/>
  <c r="D1895" i="1"/>
  <c r="A1896" i="1"/>
  <c r="B1896" i="1"/>
  <c r="C1896" i="1"/>
  <c r="D1896" i="1"/>
  <c r="A1897" i="1"/>
  <c r="B1897" i="1"/>
  <c r="C1897" i="1"/>
  <c r="D1897" i="1"/>
  <c r="A1898" i="1"/>
  <c r="B1898" i="1"/>
  <c r="C1898" i="1"/>
  <c r="D1898" i="1"/>
  <c r="A1899" i="1"/>
  <c r="B1899" i="1"/>
  <c r="C1899" i="1"/>
  <c r="D1899" i="1"/>
  <c r="A1900" i="1"/>
  <c r="B1900" i="1"/>
  <c r="C1900" i="1"/>
  <c r="D1900" i="1"/>
  <c r="A1901" i="1"/>
  <c r="B1901" i="1"/>
  <c r="C1901" i="1"/>
  <c r="D1901" i="1"/>
  <c r="A1902" i="1"/>
  <c r="B1902" i="1"/>
  <c r="C1902" i="1"/>
  <c r="D1902" i="1"/>
  <c r="A1903" i="1"/>
  <c r="B1903" i="1"/>
  <c r="C1903" i="1"/>
  <c r="D1903" i="1"/>
  <c r="A1904" i="1"/>
  <c r="B1904" i="1"/>
  <c r="C1904" i="1"/>
  <c r="D1904" i="1"/>
  <c r="A1905" i="1"/>
  <c r="B1905" i="1"/>
  <c r="C1905" i="1"/>
  <c r="D1905" i="1"/>
  <c r="A1906" i="1"/>
  <c r="B1906" i="1"/>
  <c r="C1906" i="1"/>
  <c r="D1906" i="1"/>
  <c r="A1907" i="1"/>
  <c r="B1907" i="1"/>
  <c r="C1907" i="1"/>
  <c r="D1907" i="1"/>
  <c r="A1908" i="1"/>
  <c r="B1908" i="1"/>
  <c r="C1908" i="1"/>
  <c r="D1908" i="1"/>
  <c r="A1909" i="1"/>
  <c r="B1909" i="1"/>
  <c r="C1909" i="1"/>
  <c r="D1909" i="1"/>
  <c r="A1910" i="1"/>
  <c r="B1910" i="1"/>
  <c r="C1910" i="1"/>
  <c r="D1910" i="1"/>
  <c r="A1911" i="1"/>
  <c r="B1911" i="1"/>
  <c r="C1911" i="1"/>
  <c r="D1911" i="1"/>
  <c r="A1912" i="1"/>
  <c r="B1912" i="1"/>
  <c r="C1912" i="1"/>
  <c r="D1912" i="1"/>
  <c r="A1913" i="1"/>
  <c r="B1913" i="1"/>
  <c r="C1913" i="1"/>
  <c r="D1913" i="1"/>
  <c r="A1914" i="1"/>
  <c r="B1914" i="1"/>
  <c r="C1914" i="1"/>
  <c r="D1914" i="1"/>
  <c r="A1915" i="1"/>
  <c r="B1915" i="1"/>
  <c r="C1915" i="1"/>
  <c r="D1915" i="1"/>
  <c r="A1916" i="1"/>
  <c r="B1916" i="1"/>
  <c r="C1916" i="1"/>
  <c r="D1916" i="1"/>
  <c r="A1917" i="1"/>
  <c r="B1917" i="1"/>
  <c r="C1917" i="1"/>
  <c r="D1917" i="1"/>
  <c r="A1918" i="1"/>
  <c r="B1918" i="1"/>
  <c r="C1918" i="1"/>
  <c r="D1918" i="1"/>
  <c r="A1919" i="1"/>
  <c r="B1919" i="1"/>
  <c r="C1919" i="1"/>
  <c r="D1919" i="1"/>
  <c r="A1920" i="1"/>
  <c r="B1920" i="1"/>
  <c r="C1920" i="1"/>
  <c r="D1920" i="1"/>
  <c r="A1921" i="1"/>
  <c r="B1921" i="1"/>
  <c r="C1921" i="1"/>
  <c r="D1921" i="1"/>
  <c r="A1922" i="1"/>
  <c r="B1922" i="1"/>
  <c r="C1922" i="1"/>
  <c r="D1922" i="1"/>
  <c r="A1923" i="1"/>
  <c r="B1923" i="1"/>
  <c r="C1923" i="1"/>
  <c r="D1923" i="1"/>
  <c r="A1924" i="1"/>
  <c r="B1924" i="1"/>
  <c r="C1924" i="1"/>
  <c r="D1924" i="1"/>
  <c r="A1925" i="1"/>
  <c r="B1925" i="1"/>
  <c r="C1925" i="1"/>
  <c r="D1925" i="1"/>
  <c r="A1926" i="1"/>
  <c r="B1926" i="1"/>
  <c r="C1926" i="1"/>
  <c r="D1926" i="1"/>
  <c r="A1927" i="1"/>
  <c r="B1927" i="1"/>
  <c r="C1927" i="1"/>
  <c r="D1927" i="1"/>
  <c r="A1928" i="1"/>
  <c r="B1928" i="1"/>
  <c r="C1928" i="1"/>
  <c r="D1928" i="1"/>
  <c r="A1929" i="1"/>
  <c r="B1929" i="1"/>
  <c r="C1929" i="1"/>
  <c r="D1929" i="1"/>
  <c r="A1930" i="1"/>
  <c r="B1930" i="1"/>
  <c r="C1930" i="1"/>
  <c r="D1930" i="1"/>
  <c r="A1931" i="1"/>
  <c r="B1931" i="1"/>
  <c r="C1931" i="1"/>
  <c r="D1931" i="1"/>
  <c r="A1932" i="1"/>
  <c r="B1932" i="1"/>
  <c r="C1932" i="1"/>
  <c r="D1932" i="1"/>
  <c r="A1933" i="1"/>
  <c r="B1933" i="1"/>
  <c r="C1933" i="1"/>
  <c r="D1933" i="1"/>
  <c r="A1934" i="1"/>
  <c r="B1934" i="1"/>
  <c r="C1934" i="1"/>
  <c r="D1934" i="1"/>
  <c r="A1935" i="1"/>
  <c r="B1935" i="1"/>
  <c r="C1935" i="1"/>
  <c r="D1935" i="1"/>
  <c r="A1936" i="1"/>
  <c r="B1936" i="1"/>
  <c r="C1936" i="1"/>
  <c r="D1936" i="1"/>
  <c r="A1937" i="1"/>
  <c r="B1937" i="1"/>
  <c r="C1937" i="1"/>
  <c r="D1937" i="1"/>
  <c r="A1938" i="1"/>
  <c r="B1938" i="1"/>
  <c r="C1938" i="1"/>
  <c r="D1938" i="1"/>
  <c r="A1939" i="1"/>
  <c r="B1939" i="1"/>
  <c r="C1939" i="1"/>
  <c r="D1939" i="1"/>
  <c r="A1940" i="1"/>
  <c r="B1940" i="1"/>
  <c r="C1940" i="1"/>
  <c r="D1940" i="1"/>
  <c r="A1941" i="1"/>
  <c r="B1941" i="1"/>
  <c r="C1941" i="1"/>
  <c r="D1941" i="1"/>
  <c r="A1942" i="1"/>
  <c r="B1942" i="1"/>
  <c r="C1942" i="1"/>
  <c r="D1942" i="1"/>
  <c r="A1943" i="1"/>
  <c r="B1943" i="1"/>
  <c r="C1943" i="1"/>
  <c r="D1943" i="1"/>
  <c r="A1944" i="1"/>
  <c r="B1944" i="1"/>
  <c r="C1944" i="1"/>
  <c r="D1944" i="1"/>
  <c r="A1945" i="1"/>
  <c r="B1945" i="1"/>
  <c r="C1945" i="1"/>
  <c r="D1945" i="1"/>
  <c r="A1946" i="1"/>
  <c r="B1946" i="1"/>
  <c r="C1946" i="1"/>
  <c r="D1946" i="1"/>
  <c r="A1947" i="1"/>
  <c r="B1947" i="1"/>
  <c r="C1947" i="1"/>
  <c r="D1947" i="1"/>
  <c r="A1948" i="1"/>
  <c r="B1948" i="1"/>
  <c r="C1948" i="1"/>
  <c r="D1948" i="1"/>
  <c r="A1949" i="1"/>
  <c r="B1949" i="1"/>
  <c r="C1949" i="1"/>
  <c r="D1949" i="1"/>
  <c r="A1950" i="1"/>
  <c r="B1950" i="1"/>
  <c r="C1950" i="1"/>
  <c r="D1950" i="1"/>
  <c r="A1951" i="1"/>
  <c r="B1951" i="1"/>
  <c r="C1951" i="1"/>
  <c r="D1951" i="1"/>
  <c r="A1952" i="1"/>
  <c r="B1952" i="1"/>
  <c r="C1952" i="1"/>
  <c r="D1952" i="1"/>
  <c r="A1953" i="1"/>
  <c r="B1953" i="1"/>
  <c r="C1953" i="1"/>
  <c r="D1953" i="1"/>
  <c r="A1954" i="1"/>
  <c r="B1954" i="1"/>
  <c r="C1954" i="1"/>
  <c r="D1954" i="1"/>
  <c r="A1955" i="1"/>
  <c r="B1955" i="1"/>
  <c r="C1955" i="1"/>
  <c r="D1955" i="1"/>
  <c r="A1956" i="1"/>
  <c r="B1956" i="1"/>
  <c r="C1956" i="1"/>
  <c r="D1956" i="1"/>
  <c r="A1957" i="1"/>
  <c r="B1957" i="1"/>
  <c r="C1957" i="1"/>
  <c r="D1957" i="1"/>
  <c r="A1958" i="1"/>
  <c r="B1958" i="1"/>
  <c r="C1958" i="1"/>
  <c r="D1958" i="1"/>
  <c r="A1959" i="1"/>
  <c r="B1959" i="1"/>
  <c r="C1959" i="1"/>
  <c r="D1959" i="1"/>
  <c r="A1960" i="1"/>
  <c r="B1960" i="1"/>
  <c r="C1960" i="1"/>
  <c r="D1960" i="1"/>
  <c r="A1961" i="1"/>
  <c r="B1961" i="1"/>
  <c r="C1961" i="1"/>
  <c r="D1961" i="1"/>
  <c r="A1962" i="1"/>
  <c r="B1962" i="1"/>
  <c r="C1962" i="1"/>
  <c r="D1962" i="1"/>
  <c r="A1963" i="1"/>
  <c r="B1963" i="1"/>
  <c r="C1963" i="1"/>
  <c r="D1963" i="1"/>
  <c r="A1964" i="1"/>
  <c r="B1964" i="1"/>
  <c r="C1964" i="1"/>
  <c r="D1964" i="1"/>
  <c r="A1965" i="1"/>
  <c r="B1965" i="1"/>
  <c r="C1965" i="1"/>
  <c r="D1965" i="1"/>
  <c r="A1966" i="1"/>
  <c r="B1966" i="1"/>
  <c r="C1966" i="1"/>
  <c r="D1966" i="1"/>
  <c r="A1967" i="1"/>
  <c r="B1967" i="1"/>
  <c r="C1967" i="1"/>
  <c r="D1967" i="1"/>
  <c r="A1968" i="1"/>
  <c r="B1968" i="1"/>
  <c r="C1968" i="1"/>
  <c r="D1968" i="1"/>
  <c r="A1969" i="1"/>
  <c r="B1969" i="1"/>
  <c r="C1969" i="1"/>
  <c r="D1969" i="1"/>
  <c r="A1970" i="1"/>
  <c r="B1970" i="1"/>
  <c r="C1970" i="1"/>
  <c r="D1970" i="1"/>
  <c r="A1971" i="1"/>
  <c r="B1971" i="1"/>
  <c r="C1971" i="1"/>
  <c r="D1971" i="1"/>
  <c r="A1972" i="1"/>
  <c r="B1972" i="1"/>
  <c r="C1972" i="1"/>
  <c r="D1972" i="1"/>
  <c r="A1973" i="1"/>
  <c r="B1973" i="1"/>
  <c r="C1973" i="1"/>
  <c r="D1973" i="1"/>
  <c r="A1974" i="1"/>
  <c r="B1974" i="1"/>
  <c r="C1974" i="1"/>
  <c r="D1974" i="1"/>
  <c r="A1975" i="1"/>
  <c r="B1975" i="1"/>
  <c r="C1975" i="1"/>
  <c r="D1975" i="1"/>
  <c r="A1976" i="1"/>
  <c r="B1976" i="1"/>
  <c r="C1976" i="1"/>
  <c r="D1976" i="1"/>
  <c r="A1977" i="1"/>
  <c r="B1977" i="1"/>
  <c r="C1977" i="1"/>
  <c r="D1977" i="1"/>
  <c r="A1978" i="1"/>
  <c r="B1978" i="1"/>
  <c r="C1978" i="1"/>
  <c r="D1978" i="1"/>
  <c r="A1979" i="1"/>
  <c r="B1979" i="1"/>
  <c r="C1979" i="1"/>
  <c r="D1979" i="1"/>
  <c r="A1980" i="1"/>
  <c r="B1980" i="1"/>
  <c r="C1980" i="1"/>
  <c r="D1980" i="1"/>
  <c r="A1981" i="1"/>
  <c r="B1981" i="1"/>
  <c r="C1981" i="1"/>
  <c r="D1981" i="1"/>
  <c r="A1982" i="1"/>
  <c r="B1982" i="1"/>
  <c r="C1982" i="1"/>
  <c r="D1982" i="1"/>
  <c r="A1983" i="1"/>
  <c r="B1983" i="1"/>
  <c r="C1983" i="1"/>
  <c r="D1983" i="1"/>
  <c r="A1984" i="1"/>
  <c r="B1984" i="1"/>
  <c r="C1984" i="1"/>
  <c r="D1984" i="1"/>
  <c r="A1985" i="1"/>
  <c r="B1985" i="1"/>
  <c r="C1985" i="1"/>
  <c r="D1985" i="1"/>
  <c r="A1986" i="1"/>
  <c r="B1986" i="1"/>
  <c r="C1986" i="1"/>
  <c r="D1986" i="1"/>
  <c r="A1987" i="1"/>
  <c r="B1987" i="1"/>
  <c r="C1987" i="1"/>
  <c r="D1987" i="1"/>
  <c r="A1988" i="1"/>
  <c r="B1988" i="1"/>
  <c r="C1988" i="1"/>
  <c r="D1988" i="1"/>
  <c r="A1989" i="1"/>
  <c r="B1989" i="1"/>
  <c r="C1989" i="1"/>
  <c r="D1989" i="1"/>
  <c r="A1990" i="1"/>
  <c r="B1990" i="1"/>
  <c r="C1990" i="1"/>
  <c r="D1990" i="1"/>
  <c r="A1991" i="1"/>
  <c r="B1991" i="1"/>
  <c r="C1991" i="1"/>
  <c r="D1991" i="1"/>
  <c r="A1992" i="1"/>
  <c r="B1992" i="1"/>
  <c r="C1992" i="1"/>
  <c r="D1992" i="1"/>
  <c r="A1993" i="1"/>
  <c r="B1993" i="1"/>
  <c r="C1993" i="1"/>
  <c r="D1993" i="1"/>
  <c r="A1994" i="1"/>
  <c r="B1994" i="1"/>
  <c r="C1994" i="1"/>
  <c r="D1994" i="1"/>
  <c r="A1995" i="1"/>
  <c r="B1995" i="1"/>
  <c r="C1995" i="1"/>
  <c r="D1995" i="1"/>
  <c r="A1996" i="1"/>
  <c r="B1996" i="1"/>
  <c r="C1996" i="1"/>
  <c r="D1996" i="1"/>
  <c r="A1997" i="1"/>
  <c r="B1997" i="1"/>
  <c r="C1997" i="1"/>
  <c r="D1997" i="1"/>
  <c r="A1998" i="1"/>
  <c r="B1998" i="1"/>
  <c r="C1998" i="1"/>
  <c r="D1998" i="1"/>
  <c r="A1999" i="1"/>
  <c r="B1999" i="1"/>
  <c r="C1999" i="1"/>
  <c r="D1999" i="1"/>
  <c r="A2000" i="1"/>
  <c r="B2000" i="1"/>
  <c r="C2000" i="1"/>
  <c r="D2000" i="1"/>
  <c r="A2001" i="1"/>
  <c r="B2001" i="1"/>
  <c r="C2001" i="1"/>
  <c r="D2001" i="1"/>
  <c r="A2002" i="1"/>
  <c r="B2002" i="1"/>
  <c r="C2002" i="1"/>
  <c r="D2002" i="1"/>
  <c r="A2003" i="1"/>
  <c r="B2003" i="1"/>
  <c r="C2003" i="1"/>
  <c r="D2003" i="1"/>
  <c r="A2004" i="1"/>
  <c r="B2004" i="1"/>
  <c r="C2004" i="1"/>
  <c r="D2004" i="1"/>
  <c r="A2005" i="1"/>
  <c r="B2005" i="1"/>
  <c r="C2005" i="1"/>
  <c r="D2005" i="1"/>
  <c r="A2006" i="1"/>
  <c r="B2006" i="1"/>
  <c r="C2006" i="1"/>
  <c r="D2006" i="1"/>
  <c r="A2007" i="1"/>
  <c r="B2007" i="1"/>
  <c r="C2007" i="1"/>
  <c r="D2007" i="1"/>
  <c r="A2008" i="1"/>
  <c r="B2008" i="1"/>
  <c r="C2008" i="1"/>
  <c r="D2008" i="1"/>
  <c r="A2009" i="1"/>
  <c r="B2009" i="1"/>
  <c r="C2009" i="1"/>
  <c r="D2009" i="1"/>
  <c r="A2010" i="1"/>
  <c r="B2010" i="1"/>
  <c r="C2010" i="1"/>
  <c r="D2010" i="1"/>
  <c r="A2011" i="1"/>
  <c r="B2011" i="1"/>
  <c r="C2011" i="1"/>
  <c r="D2011" i="1"/>
  <c r="A2012" i="1"/>
  <c r="B2012" i="1"/>
  <c r="C2012" i="1"/>
  <c r="D2012" i="1"/>
  <c r="A2013" i="1"/>
  <c r="B2013" i="1"/>
  <c r="C2013" i="1"/>
  <c r="D2013" i="1"/>
  <c r="A2014" i="1"/>
  <c r="B2014" i="1"/>
  <c r="C2014" i="1"/>
  <c r="D2014" i="1"/>
  <c r="A2015" i="1"/>
  <c r="B2015" i="1"/>
  <c r="C2015" i="1"/>
  <c r="D2015" i="1"/>
  <c r="A2016" i="1"/>
  <c r="B2016" i="1"/>
  <c r="C2016" i="1"/>
  <c r="D2016" i="1"/>
  <c r="A2017" i="1"/>
  <c r="B2017" i="1"/>
  <c r="C2017" i="1"/>
  <c r="D2017" i="1"/>
  <c r="A2018" i="1"/>
  <c r="B2018" i="1"/>
  <c r="C2018" i="1"/>
  <c r="D2018" i="1"/>
  <c r="A2019" i="1"/>
  <c r="B2019" i="1"/>
  <c r="C2019" i="1"/>
  <c r="D2019" i="1"/>
  <c r="A2020" i="1"/>
  <c r="B2020" i="1"/>
  <c r="C2020" i="1"/>
  <c r="D2020" i="1"/>
  <c r="A2021" i="1"/>
  <c r="B2021" i="1"/>
  <c r="C2021" i="1"/>
  <c r="D2021" i="1"/>
  <c r="A2022" i="1"/>
  <c r="B2022" i="1"/>
  <c r="C2022" i="1"/>
  <c r="D2022" i="1"/>
  <c r="A2023" i="1"/>
  <c r="B2023" i="1"/>
  <c r="C2023" i="1"/>
  <c r="D2023" i="1"/>
  <c r="A2024" i="1"/>
  <c r="B2024" i="1"/>
  <c r="C2024" i="1"/>
  <c r="D2024" i="1"/>
  <c r="A2025" i="1"/>
  <c r="B2025" i="1"/>
  <c r="C2025" i="1"/>
  <c r="D2025" i="1"/>
  <c r="A2026" i="1"/>
  <c r="B2026" i="1"/>
  <c r="C2026" i="1"/>
  <c r="D2026" i="1"/>
  <c r="A2027" i="1"/>
  <c r="B2027" i="1"/>
  <c r="C2027" i="1"/>
  <c r="D2027" i="1"/>
  <c r="A2028" i="1"/>
  <c r="B2028" i="1"/>
  <c r="C2028" i="1"/>
  <c r="D2028" i="1"/>
  <c r="A2029" i="1"/>
  <c r="B2029" i="1"/>
  <c r="C2029" i="1"/>
  <c r="D2029" i="1"/>
  <c r="A2030" i="1"/>
  <c r="B2030" i="1"/>
  <c r="C2030" i="1"/>
  <c r="D2030" i="1"/>
  <c r="A2031" i="1"/>
  <c r="B2031" i="1"/>
  <c r="C2031" i="1"/>
  <c r="D2031" i="1"/>
  <c r="A2032" i="1"/>
  <c r="B2032" i="1"/>
  <c r="C2032" i="1"/>
  <c r="D2032" i="1"/>
  <c r="A2033" i="1"/>
  <c r="B2033" i="1"/>
  <c r="C2033" i="1"/>
  <c r="D2033" i="1"/>
  <c r="A2034" i="1"/>
  <c r="B2034" i="1"/>
  <c r="C2034" i="1"/>
  <c r="D2034" i="1"/>
  <c r="A2035" i="1"/>
  <c r="B2035" i="1"/>
  <c r="C2035" i="1"/>
  <c r="D2035" i="1"/>
  <c r="A2036" i="1"/>
  <c r="B2036" i="1"/>
  <c r="C2036" i="1"/>
  <c r="D2036" i="1"/>
  <c r="A2037" i="1"/>
  <c r="B2037" i="1"/>
  <c r="C2037" i="1"/>
  <c r="D2037" i="1"/>
  <c r="A2038" i="1"/>
  <c r="B2038" i="1"/>
  <c r="C2038" i="1"/>
  <c r="D2038" i="1"/>
  <c r="A2039" i="1"/>
  <c r="B2039" i="1"/>
  <c r="C2039" i="1"/>
  <c r="D2039" i="1"/>
  <c r="A2040" i="1"/>
  <c r="B2040" i="1"/>
  <c r="C2040" i="1"/>
  <c r="D2040" i="1"/>
  <c r="A2041" i="1"/>
  <c r="B2041" i="1"/>
  <c r="C2041" i="1"/>
  <c r="D2041" i="1"/>
  <c r="A2042" i="1"/>
  <c r="B2042" i="1"/>
  <c r="C2042" i="1"/>
  <c r="D2042" i="1"/>
  <c r="A2043" i="1"/>
  <c r="B2043" i="1"/>
  <c r="C2043" i="1"/>
  <c r="D2043" i="1"/>
  <c r="A2044" i="1"/>
  <c r="B2044" i="1"/>
  <c r="C2044" i="1"/>
  <c r="D2044" i="1"/>
  <c r="A2045" i="1"/>
  <c r="B2045" i="1"/>
  <c r="C2045" i="1"/>
  <c r="D2045" i="1"/>
  <c r="A2046" i="1"/>
  <c r="B2046" i="1"/>
  <c r="C2046" i="1"/>
  <c r="D2046" i="1"/>
  <c r="A2047" i="1"/>
  <c r="B2047" i="1"/>
  <c r="C2047" i="1"/>
  <c r="D2047" i="1"/>
  <c r="A2048" i="1"/>
  <c r="B2048" i="1"/>
  <c r="C2048" i="1"/>
  <c r="D2048" i="1"/>
  <c r="A2049" i="1"/>
  <c r="B2049" i="1"/>
  <c r="C2049" i="1"/>
  <c r="D2049" i="1"/>
  <c r="A2050" i="1"/>
  <c r="B2050" i="1"/>
  <c r="C2050" i="1"/>
  <c r="D2050" i="1"/>
  <c r="A2051" i="1"/>
  <c r="B2051" i="1"/>
  <c r="C2051" i="1"/>
  <c r="D2051" i="1"/>
  <c r="A2052" i="1"/>
  <c r="B2052" i="1"/>
  <c r="C2052" i="1"/>
  <c r="D2052" i="1"/>
  <c r="A2053" i="1"/>
  <c r="B2053" i="1"/>
  <c r="C2053" i="1"/>
  <c r="D2053" i="1"/>
  <c r="A2054" i="1"/>
  <c r="B2054" i="1"/>
  <c r="C2054" i="1"/>
  <c r="D2054" i="1"/>
  <c r="A2055" i="1"/>
  <c r="B2055" i="1"/>
  <c r="C2055" i="1"/>
  <c r="D2055" i="1"/>
  <c r="A2056" i="1"/>
  <c r="B2056" i="1"/>
  <c r="C2056" i="1"/>
  <c r="D2056" i="1"/>
  <c r="A2057" i="1"/>
  <c r="B2057" i="1"/>
  <c r="C2057" i="1"/>
  <c r="D2057" i="1"/>
  <c r="A2058" i="1"/>
  <c r="B2058" i="1"/>
  <c r="C2058" i="1"/>
  <c r="D2058" i="1"/>
  <c r="A2059" i="1"/>
  <c r="B2059" i="1"/>
  <c r="C2059" i="1"/>
  <c r="D2059" i="1"/>
  <c r="A2060" i="1"/>
  <c r="B2060" i="1"/>
  <c r="C2060" i="1"/>
  <c r="D2060" i="1"/>
  <c r="A2061" i="1"/>
  <c r="B2061" i="1"/>
  <c r="C2061" i="1"/>
  <c r="D2061" i="1"/>
  <c r="A2062" i="1"/>
  <c r="B2062" i="1"/>
  <c r="C2062" i="1"/>
  <c r="D2062" i="1"/>
  <c r="A2063" i="1"/>
  <c r="B2063" i="1"/>
  <c r="C2063" i="1"/>
  <c r="D2063" i="1"/>
  <c r="A2064" i="1"/>
  <c r="B2064" i="1"/>
  <c r="C2064" i="1"/>
  <c r="D2064" i="1"/>
  <c r="A2065" i="1"/>
  <c r="B2065" i="1"/>
  <c r="C2065" i="1"/>
  <c r="D2065" i="1"/>
  <c r="A2066" i="1"/>
  <c r="B2066" i="1"/>
  <c r="C2066" i="1"/>
  <c r="D2066" i="1"/>
  <c r="A2067" i="1"/>
  <c r="B2067" i="1"/>
  <c r="C2067" i="1"/>
  <c r="D2067" i="1"/>
  <c r="A2068" i="1"/>
  <c r="B2068" i="1"/>
  <c r="C2068" i="1"/>
  <c r="D2068" i="1"/>
  <c r="A2069" i="1"/>
  <c r="B2069" i="1"/>
  <c r="C2069" i="1"/>
  <c r="D2069" i="1"/>
  <c r="A2070" i="1"/>
  <c r="B2070" i="1"/>
  <c r="C2070" i="1"/>
  <c r="D2070" i="1"/>
  <c r="A2071" i="1"/>
  <c r="B2071" i="1"/>
  <c r="C2071" i="1"/>
  <c r="D2071" i="1"/>
  <c r="A2072" i="1"/>
  <c r="B2072" i="1"/>
  <c r="C2072" i="1"/>
  <c r="D2072" i="1"/>
  <c r="A2073" i="1"/>
  <c r="B2073" i="1"/>
  <c r="C2073" i="1"/>
  <c r="D2073" i="1"/>
  <c r="A2074" i="1"/>
  <c r="B2074" i="1"/>
  <c r="C2074" i="1"/>
  <c r="D2074" i="1"/>
  <c r="A2075" i="1"/>
  <c r="B2075" i="1"/>
  <c r="C2075" i="1"/>
  <c r="D2075" i="1"/>
  <c r="A2076" i="1"/>
  <c r="B2076" i="1"/>
  <c r="C2076" i="1"/>
  <c r="D2076" i="1"/>
  <c r="A2077" i="1"/>
  <c r="B2077" i="1"/>
  <c r="C2077" i="1"/>
  <c r="D2077" i="1"/>
  <c r="A2078" i="1"/>
  <c r="B2078" i="1"/>
  <c r="C2078" i="1"/>
  <c r="D2078" i="1"/>
  <c r="A2079" i="1"/>
  <c r="B2079" i="1"/>
  <c r="C2079" i="1"/>
  <c r="D2079" i="1"/>
  <c r="A2080" i="1"/>
  <c r="B2080" i="1"/>
  <c r="C2080" i="1"/>
  <c r="D2080" i="1"/>
  <c r="A2081" i="1"/>
  <c r="B2081" i="1"/>
  <c r="C2081" i="1"/>
  <c r="D2081" i="1"/>
  <c r="A2082" i="1"/>
  <c r="B2082" i="1"/>
  <c r="C2082" i="1"/>
  <c r="D2082" i="1"/>
  <c r="A2083" i="1"/>
  <c r="B2083" i="1"/>
  <c r="C2083" i="1"/>
  <c r="D2083" i="1"/>
  <c r="A2084" i="1"/>
  <c r="B2084" i="1"/>
  <c r="C2084" i="1"/>
  <c r="D2084" i="1"/>
  <c r="A2085" i="1"/>
  <c r="B2085" i="1"/>
  <c r="C2085" i="1"/>
  <c r="D2085" i="1"/>
  <c r="A2086" i="1"/>
  <c r="B2086" i="1"/>
  <c r="C2086" i="1"/>
  <c r="D2086" i="1"/>
  <c r="A2087" i="1"/>
  <c r="B2087" i="1"/>
  <c r="C2087" i="1"/>
  <c r="D2087" i="1"/>
  <c r="A2088" i="1"/>
  <c r="B2088" i="1"/>
  <c r="C2088" i="1"/>
  <c r="D2088" i="1"/>
  <c r="A2089" i="1"/>
  <c r="B2089" i="1"/>
  <c r="C2089" i="1"/>
  <c r="D2089" i="1"/>
  <c r="A2090" i="1"/>
  <c r="B2090" i="1"/>
  <c r="C2090" i="1"/>
  <c r="D2090" i="1"/>
  <c r="A2091" i="1"/>
  <c r="B2091" i="1"/>
  <c r="C2091" i="1"/>
  <c r="D2091" i="1"/>
  <c r="A2092" i="1"/>
  <c r="B2092" i="1"/>
  <c r="C2092" i="1"/>
  <c r="D2092" i="1"/>
  <c r="A2093" i="1"/>
  <c r="B2093" i="1"/>
  <c r="C2093" i="1"/>
  <c r="D2093" i="1"/>
  <c r="A2094" i="1"/>
  <c r="B2094" i="1"/>
  <c r="C2094" i="1"/>
  <c r="D2094" i="1"/>
  <c r="A2095" i="1"/>
  <c r="B2095" i="1"/>
  <c r="C2095" i="1"/>
  <c r="D2095" i="1"/>
  <c r="A2096" i="1"/>
  <c r="B2096" i="1"/>
  <c r="C2096" i="1"/>
  <c r="D2096" i="1"/>
  <c r="A2097" i="1"/>
  <c r="B2097" i="1"/>
  <c r="C2097" i="1"/>
  <c r="D2097" i="1"/>
  <c r="A2098" i="1"/>
  <c r="B2098" i="1"/>
  <c r="C2098" i="1"/>
  <c r="D2098" i="1"/>
  <c r="A2099" i="1"/>
  <c r="B2099" i="1"/>
  <c r="C2099" i="1"/>
  <c r="D2099" i="1"/>
  <c r="A2100" i="1"/>
  <c r="B2100" i="1"/>
  <c r="C2100" i="1"/>
  <c r="D2100" i="1"/>
  <c r="A2101" i="1"/>
  <c r="B2101" i="1"/>
  <c r="C2101" i="1"/>
  <c r="D2101" i="1"/>
  <c r="A2102" i="1"/>
  <c r="B2102" i="1"/>
  <c r="C2102" i="1"/>
  <c r="D2102" i="1"/>
  <c r="A2103" i="1"/>
  <c r="B2103" i="1"/>
  <c r="C2103" i="1"/>
  <c r="D2103" i="1"/>
  <c r="A2104" i="1"/>
  <c r="B2104" i="1"/>
  <c r="C2104" i="1"/>
  <c r="D2104" i="1"/>
  <c r="A2105" i="1"/>
  <c r="B2105" i="1"/>
  <c r="C2105" i="1"/>
  <c r="D2105" i="1"/>
  <c r="A2106" i="1"/>
  <c r="B2106" i="1"/>
  <c r="C2106" i="1"/>
  <c r="D2106" i="1"/>
  <c r="A2107" i="1"/>
  <c r="B2107" i="1"/>
  <c r="C2107" i="1"/>
  <c r="D2107" i="1"/>
  <c r="A2108" i="1"/>
  <c r="B2108" i="1"/>
  <c r="C2108" i="1"/>
  <c r="D2108" i="1"/>
  <c r="A2109" i="1"/>
  <c r="B2109" i="1"/>
  <c r="C2109" i="1"/>
  <c r="D2109" i="1"/>
  <c r="A2110" i="1"/>
  <c r="B2110" i="1"/>
  <c r="C2110" i="1"/>
  <c r="D2110" i="1"/>
  <c r="A2111" i="1"/>
  <c r="B2111" i="1"/>
  <c r="C2111" i="1"/>
  <c r="D2111" i="1"/>
  <c r="A2112" i="1"/>
  <c r="B2112" i="1"/>
  <c r="C2112" i="1"/>
  <c r="D2112" i="1"/>
  <c r="A2113" i="1"/>
  <c r="B2113" i="1"/>
  <c r="C2113" i="1"/>
  <c r="D2113" i="1"/>
  <c r="A2114" i="1"/>
  <c r="B2114" i="1"/>
  <c r="C2114" i="1"/>
  <c r="D2114" i="1"/>
  <c r="A2115" i="1"/>
  <c r="B2115" i="1"/>
  <c r="C2115" i="1"/>
  <c r="D2115" i="1"/>
  <c r="A2116" i="1"/>
  <c r="B2116" i="1"/>
  <c r="C2116" i="1"/>
  <c r="D2116" i="1"/>
  <c r="A2117" i="1"/>
  <c r="B2117" i="1"/>
  <c r="C2117" i="1"/>
  <c r="D2117" i="1"/>
  <c r="A2118" i="1"/>
  <c r="B2118" i="1"/>
  <c r="C2118" i="1"/>
  <c r="D2118" i="1"/>
  <c r="A2119" i="1"/>
  <c r="B2119" i="1"/>
  <c r="C2119" i="1"/>
  <c r="D2119" i="1"/>
  <c r="A2120" i="1"/>
  <c r="B2120" i="1"/>
  <c r="C2120" i="1"/>
  <c r="D2120" i="1"/>
  <c r="A2121" i="1"/>
  <c r="B2121" i="1"/>
  <c r="C2121" i="1"/>
  <c r="D2121" i="1"/>
  <c r="A2122" i="1"/>
  <c r="B2122" i="1"/>
  <c r="C2122" i="1"/>
  <c r="D2122" i="1"/>
  <c r="A2123" i="1"/>
  <c r="B2123" i="1"/>
  <c r="C2123" i="1"/>
  <c r="D2123" i="1"/>
  <c r="A2124" i="1"/>
  <c r="B2124" i="1"/>
  <c r="C2124" i="1"/>
  <c r="D2124" i="1"/>
  <c r="A2125" i="1"/>
  <c r="B2125" i="1"/>
  <c r="C2125" i="1"/>
  <c r="D2125" i="1"/>
  <c r="A2126" i="1"/>
  <c r="B2126" i="1"/>
  <c r="C2126" i="1"/>
  <c r="D2126" i="1"/>
  <c r="A2127" i="1"/>
  <c r="B2127" i="1"/>
  <c r="C2127" i="1"/>
  <c r="D2127" i="1"/>
  <c r="A2128" i="1"/>
  <c r="B2128" i="1"/>
  <c r="C2128" i="1"/>
  <c r="D2128" i="1"/>
  <c r="A2129" i="1"/>
  <c r="B2129" i="1"/>
  <c r="C2129" i="1"/>
  <c r="D2129" i="1"/>
  <c r="A2130" i="1"/>
  <c r="B2130" i="1"/>
  <c r="C2130" i="1"/>
  <c r="D2130" i="1"/>
  <c r="A2131" i="1"/>
  <c r="B2131" i="1"/>
  <c r="C2131" i="1"/>
  <c r="D2131" i="1"/>
  <c r="A2132" i="1"/>
  <c r="B2132" i="1"/>
  <c r="C2132" i="1"/>
  <c r="D2132" i="1"/>
  <c r="A2133" i="1"/>
  <c r="B2133" i="1"/>
  <c r="C2133" i="1"/>
  <c r="D2133" i="1"/>
  <c r="A2134" i="1"/>
  <c r="B2134" i="1"/>
  <c r="C2134" i="1"/>
  <c r="D2134" i="1"/>
  <c r="A2135" i="1"/>
  <c r="B2135" i="1"/>
  <c r="C2135" i="1"/>
  <c r="D2135" i="1"/>
  <c r="A2136" i="1"/>
  <c r="B2136" i="1"/>
  <c r="C2136" i="1"/>
  <c r="D2136" i="1"/>
  <c r="A2137" i="1"/>
  <c r="B2137" i="1"/>
  <c r="C2137" i="1"/>
  <c r="D2137" i="1"/>
  <c r="A2138" i="1"/>
  <c r="B2138" i="1"/>
  <c r="C2138" i="1"/>
  <c r="D2138" i="1"/>
  <c r="A2139" i="1"/>
  <c r="B2139" i="1"/>
  <c r="C2139" i="1"/>
  <c r="D2139" i="1"/>
  <c r="A2140" i="1"/>
  <c r="B2140" i="1"/>
  <c r="C2140" i="1"/>
  <c r="D2140" i="1"/>
  <c r="A2141" i="1"/>
  <c r="B2141" i="1"/>
  <c r="C2141" i="1"/>
  <c r="D2141" i="1"/>
  <c r="A2142" i="1"/>
  <c r="B2142" i="1"/>
  <c r="C2142" i="1"/>
  <c r="D2142" i="1"/>
  <c r="A2143" i="1"/>
  <c r="B2143" i="1"/>
  <c r="C2143" i="1"/>
  <c r="D2143" i="1"/>
  <c r="A2144" i="1"/>
  <c r="B2144" i="1"/>
  <c r="C2144" i="1"/>
  <c r="D2144" i="1"/>
  <c r="A2145" i="1"/>
  <c r="B2145" i="1"/>
  <c r="C2145" i="1"/>
  <c r="D2145" i="1"/>
  <c r="A2146" i="1"/>
  <c r="B2146" i="1"/>
  <c r="C2146" i="1"/>
  <c r="D2146" i="1"/>
  <c r="A2147" i="1"/>
  <c r="B2147" i="1"/>
  <c r="C2147" i="1"/>
  <c r="D2147" i="1"/>
  <c r="A2148" i="1"/>
  <c r="B2148" i="1"/>
  <c r="C2148" i="1"/>
  <c r="D2148" i="1"/>
  <c r="A2149" i="1"/>
  <c r="B2149" i="1"/>
  <c r="C2149" i="1"/>
  <c r="D2149" i="1"/>
  <c r="A2150" i="1"/>
  <c r="B2150" i="1"/>
  <c r="C2150" i="1"/>
  <c r="D2150" i="1"/>
  <c r="A2151" i="1"/>
  <c r="B2151" i="1"/>
  <c r="C2151" i="1"/>
  <c r="D2151" i="1"/>
  <c r="A2152" i="1"/>
  <c r="B2152" i="1"/>
  <c r="C2152" i="1"/>
  <c r="D2152" i="1"/>
  <c r="A2153" i="1"/>
  <c r="B2153" i="1"/>
  <c r="C2153" i="1"/>
  <c r="D2153" i="1"/>
  <c r="A2154" i="1"/>
  <c r="B2154" i="1"/>
  <c r="C2154" i="1"/>
  <c r="D2154" i="1"/>
  <c r="A2155" i="1"/>
  <c r="B2155" i="1"/>
  <c r="C2155" i="1"/>
  <c r="D2155" i="1"/>
  <c r="A2156" i="1"/>
  <c r="B2156" i="1"/>
  <c r="C2156" i="1"/>
  <c r="D2156" i="1"/>
  <c r="A2157" i="1"/>
  <c r="B2157" i="1"/>
  <c r="C2157" i="1"/>
  <c r="D2157" i="1"/>
  <c r="A2158" i="1"/>
  <c r="B2158" i="1"/>
  <c r="C2158" i="1"/>
  <c r="D2158" i="1"/>
  <c r="A2159" i="1"/>
  <c r="B2159" i="1"/>
  <c r="C2159" i="1"/>
  <c r="D2159" i="1"/>
  <c r="A2160" i="1"/>
  <c r="B2160" i="1"/>
  <c r="C2160" i="1"/>
  <c r="D2160" i="1"/>
  <c r="A2161" i="1"/>
  <c r="B2161" i="1"/>
  <c r="C2161" i="1"/>
  <c r="D2161" i="1"/>
  <c r="A2162" i="1"/>
  <c r="B2162" i="1"/>
  <c r="C2162" i="1"/>
  <c r="D2162" i="1"/>
  <c r="A2163" i="1"/>
  <c r="B2163" i="1"/>
  <c r="C2163" i="1"/>
  <c r="D2163" i="1"/>
  <c r="A2164" i="1"/>
  <c r="B2164" i="1"/>
  <c r="C2164" i="1"/>
  <c r="D2164" i="1"/>
  <c r="A2165" i="1"/>
  <c r="B2165" i="1"/>
  <c r="C2165" i="1"/>
  <c r="D2165" i="1"/>
  <c r="A2166" i="1"/>
  <c r="B2166" i="1"/>
  <c r="C2166" i="1"/>
  <c r="D2166" i="1"/>
  <c r="A2167" i="1"/>
  <c r="B2167" i="1"/>
  <c r="C2167" i="1"/>
  <c r="D2167" i="1"/>
  <c r="A2168" i="1"/>
  <c r="B2168" i="1"/>
  <c r="C2168" i="1"/>
  <c r="D2168" i="1"/>
  <c r="A2169" i="1"/>
  <c r="B2169" i="1"/>
  <c r="C2169" i="1"/>
  <c r="D2169" i="1"/>
  <c r="A2170" i="1"/>
  <c r="B2170" i="1"/>
  <c r="C2170" i="1"/>
  <c r="D2170" i="1"/>
  <c r="A2171" i="1"/>
  <c r="B2171" i="1"/>
  <c r="C2171" i="1"/>
  <c r="D2171" i="1"/>
  <c r="A2172" i="1"/>
  <c r="B2172" i="1"/>
  <c r="C2172" i="1"/>
  <c r="D2172" i="1"/>
  <c r="A2173" i="1"/>
  <c r="B2173" i="1"/>
  <c r="C2173" i="1"/>
  <c r="D2173" i="1"/>
  <c r="A2174" i="1"/>
  <c r="B2174" i="1"/>
  <c r="C2174" i="1"/>
  <c r="D2174" i="1"/>
  <c r="A2175" i="1"/>
  <c r="B2175" i="1"/>
  <c r="C2175" i="1"/>
  <c r="D2175" i="1"/>
  <c r="A2176" i="1"/>
  <c r="B2176" i="1"/>
  <c r="C2176" i="1"/>
  <c r="D2176" i="1"/>
  <c r="A2177" i="1"/>
  <c r="B2177" i="1"/>
  <c r="C2177" i="1"/>
  <c r="D2177" i="1"/>
  <c r="A2178" i="1"/>
  <c r="B2178" i="1"/>
  <c r="C2178" i="1"/>
  <c r="D2178" i="1"/>
  <c r="A2179" i="1"/>
  <c r="B2179" i="1"/>
  <c r="C2179" i="1"/>
  <c r="D2179" i="1"/>
  <c r="A2180" i="1"/>
  <c r="B2180" i="1"/>
  <c r="C2180" i="1"/>
  <c r="D2180" i="1"/>
  <c r="A2181" i="1"/>
  <c r="B2181" i="1"/>
  <c r="C2181" i="1"/>
  <c r="D2181" i="1"/>
  <c r="A2182" i="1"/>
  <c r="B2182" i="1"/>
  <c r="C2182" i="1"/>
  <c r="D2182" i="1"/>
  <c r="A2183" i="1"/>
  <c r="B2183" i="1"/>
  <c r="C2183" i="1"/>
  <c r="D2183" i="1"/>
  <c r="A2184" i="1"/>
  <c r="B2184" i="1"/>
  <c r="C2184" i="1"/>
  <c r="D2184" i="1"/>
  <c r="A2185" i="1"/>
  <c r="B2185" i="1"/>
  <c r="C2185" i="1"/>
  <c r="D2185" i="1"/>
  <c r="A2186" i="1"/>
  <c r="B2186" i="1"/>
  <c r="C2186" i="1"/>
  <c r="D2186" i="1"/>
  <c r="A2187" i="1"/>
  <c r="B2187" i="1"/>
  <c r="C2187" i="1"/>
  <c r="D2187" i="1"/>
  <c r="A2188" i="1"/>
  <c r="B2188" i="1"/>
  <c r="C2188" i="1"/>
  <c r="D2188" i="1"/>
  <c r="A2189" i="1"/>
  <c r="B2189" i="1"/>
  <c r="C2189" i="1"/>
  <c r="D2189" i="1"/>
  <c r="A2190" i="1"/>
  <c r="B2190" i="1"/>
  <c r="C2190" i="1"/>
  <c r="D2190" i="1"/>
  <c r="A2191" i="1"/>
  <c r="B2191" i="1"/>
  <c r="C2191" i="1"/>
  <c r="D2191" i="1"/>
  <c r="A2192" i="1"/>
  <c r="B2192" i="1"/>
  <c r="C2192" i="1"/>
  <c r="D2192" i="1"/>
  <c r="A2193" i="1"/>
  <c r="B2193" i="1"/>
  <c r="C2193" i="1"/>
  <c r="D2193" i="1"/>
  <c r="A2194" i="1"/>
  <c r="B2194" i="1"/>
  <c r="C2194" i="1"/>
  <c r="D2194" i="1"/>
  <c r="A2195" i="1"/>
  <c r="B2195" i="1"/>
  <c r="C2195" i="1"/>
  <c r="D2195" i="1"/>
  <c r="A2196" i="1"/>
  <c r="B2196" i="1"/>
  <c r="C2196" i="1"/>
  <c r="D2196" i="1"/>
  <c r="A2197" i="1"/>
  <c r="B2197" i="1"/>
  <c r="C2197" i="1"/>
  <c r="D2197" i="1"/>
  <c r="A2198" i="1"/>
  <c r="B2198" i="1"/>
  <c r="C2198" i="1"/>
  <c r="D2198" i="1"/>
  <c r="A2199" i="1"/>
  <c r="B2199" i="1"/>
  <c r="C2199" i="1"/>
  <c r="D2199" i="1"/>
  <c r="A2200" i="1"/>
  <c r="B2200" i="1"/>
  <c r="C2200" i="1"/>
  <c r="D2200" i="1"/>
  <c r="A2201" i="1"/>
  <c r="B2201" i="1"/>
  <c r="C2201" i="1"/>
  <c r="D2201" i="1"/>
  <c r="A2202" i="1"/>
  <c r="B2202" i="1"/>
  <c r="C2202" i="1"/>
  <c r="D2202" i="1"/>
  <c r="A2203" i="1"/>
  <c r="B2203" i="1"/>
  <c r="C2203" i="1"/>
  <c r="D2203" i="1"/>
  <c r="A2204" i="1"/>
  <c r="B2204" i="1"/>
  <c r="C2204" i="1"/>
  <c r="D2204" i="1"/>
  <c r="A2205" i="1"/>
  <c r="B2205" i="1"/>
  <c r="C2205" i="1"/>
  <c r="D2205" i="1"/>
  <c r="A2206" i="1"/>
  <c r="B2206" i="1"/>
  <c r="C2206" i="1"/>
  <c r="D2206" i="1"/>
  <c r="A2207" i="1"/>
  <c r="B2207" i="1"/>
  <c r="C2207" i="1"/>
  <c r="D2207" i="1"/>
  <c r="A2208" i="1"/>
  <c r="B2208" i="1"/>
  <c r="C2208" i="1"/>
  <c r="D2208" i="1"/>
  <c r="A2209" i="1"/>
  <c r="B2209" i="1"/>
  <c r="C2209" i="1"/>
  <c r="D2209" i="1"/>
  <c r="A2210" i="1"/>
  <c r="B2210" i="1"/>
  <c r="C2210" i="1"/>
  <c r="D2210" i="1"/>
  <c r="A2211" i="1"/>
  <c r="B2211" i="1"/>
  <c r="C2211" i="1"/>
  <c r="D2211" i="1"/>
  <c r="A2212" i="1"/>
  <c r="B2212" i="1"/>
  <c r="C2212" i="1"/>
  <c r="D2212" i="1"/>
  <c r="A2213" i="1"/>
  <c r="B2213" i="1"/>
  <c r="C2213" i="1"/>
  <c r="D2213" i="1"/>
  <c r="A2214" i="1"/>
  <c r="B2214" i="1"/>
  <c r="C2214" i="1"/>
  <c r="D2214" i="1"/>
  <c r="A2215" i="1"/>
  <c r="B2215" i="1"/>
  <c r="C2215" i="1"/>
  <c r="D2215" i="1"/>
  <c r="A2216" i="1"/>
  <c r="B2216" i="1"/>
  <c r="C2216" i="1"/>
  <c r="D2216" i="1"/>
  <c r="A2217" i="1"/>
  <c r="B2217" i="1"/>
  <c r="C2217" i="1"/>
  <c r="D2217" i="1"/>
  <c r="A2218" i="1"/>
  <c r="B2218" i="1"/>
  <c r="C2218" i="1"/>
  <c r="D2218" i="1"/>
  <c r="A2219" i="1"/>
  <c r="B2219" i="1"/>
  <c r="C2219" i="1"/>
  <c r="D2219" i="1"/>
  <c r="A2220" i="1"/>
  <c r="B2220" i="1"/>
  <c r="C2220" i="1"/>
  <c r="D2220" i="1"/>
  <c r="A2221" i="1"/>
  <c r="B2221" i="1"/>
  <c r="C2221" i="1"/>
  <c r="D2221" i="1"/>
  <c r="A2222" i="1"/>
  <c r="B2222" i="1"/>
  <c r="C2222" i="1"/>
  <c r="D2222" i="1"/>
  <c r="A2223" i="1"/>
  <c r="B2223" i="1"/>
  <c r="C2223" i="1"/>
  <c r="D2223" i="1"/>
  <c r="A2224" i="1"/>
  <c r="B2224" i="1"/>
  <c r="C2224" i="1"/>
  <c r="D2224" i="1"/>
  <c r="A2225" i="1"/>
  <c r="B2225" i="1"/>
  <c r="C2225" i="1"/>
  <c r="D2225" i="1"/>
  <c r="A2226" i="1"/>
  <c r="B2226" i="1"/>
  <c r="C2226" i="1"/>
  <c r="D2226" i="1"/>
  <c r="A2227" i="1"/>
  <c r="B2227" i="1"/>
  <c r="C2227" i="1"/>
  <c r="D2227" i="1"/>
  <c r="A2228" i="1"/>
  <c r="B2228" i="1"/>
  <c r="C2228" i="1"/>
  <c r="D2228" i="1"/>
  <c r="A2229" i="1"/>
  <c r="B2229" i="1"/>
  <c r="C2229" i="1"/>
  <c r="D2229" i="1"/>
  <c r="A2230" i="1"/>
  <c r="B2230" i="1"/>
  <c r="C2230" i="1"/>
  <c r="D2230" i="1"/>
  <c r="A2231" i="1"/>
  <c r="B2231" i="1"/>
  <c r="C2231" i="1"/>
  <c r="D2231" i="1"/>
  <c r="A2232" i="1"/>
  <c r="B2232" i="1"/>
  <c r="C2232" i="1"/>
  <c r="D2232" i="1"/>
  <c r="A2233" i="1"/>
  <c r="B2233" i="1"/>
  <c r="C2233" i="1"/>
  <c r="D2233" i="1"/>
  <c r="A2234" i="1"/>
  <c r="B2234" i="1"/>
  <c r="C2234" i="1"/>
  <c r="D2234" i="1"/>
  <c r="A2235" i="1"/>
  <c r="B2235" i="1"/>
  <c r="C2235" i="1"/>
  <c r="D2235" i="1"/>
  <c r="A2236" i="1"/>
  <c r="B2236" i="1"/>
  <c r="C2236" i="1"/>
  <c r="D2236" i="1"/>
  <c r="A2237" i="1"/>
  <c r="B2237" i="1"/>
  <c r="C2237" i="1"/>
  <c r="D2237" i="1"/>
  <c r="A2238" i="1"/>
  <c r="B2238" i="1"/>
  <c r="C2238" i="1"/>
  <c r="D2238" i="1"/>
  <c r="A2239" i="1"/>
  <c r="B2239" i="1"/>
  <c r="C2239" i="1"/>
  <c r="D2239" i="1"/>
  <c r="A2240" i="1"/>
  <c r="B2240" i="1"/>
  <c r="C2240" i="1"/>
  <c r="D2240" i="1"/>
  <c r="A2241" i="1"/>
  <c r="B2241" i="1"/>
  <c r="C2241" i="1"/>
  <c r="D2241" i="1"/>
  <c r="A2242" i="1"/>
  <c r="B2242" i="1"/>
  <c r="C2242" i="1"/>
  <c r="D2242" i="1"/>
  <c r="A2243" i="1"/>
  <c r="B2243" i="1"/>
  <c r="C2243" i="1"/>
  <c r="D2243" i="1"/>
  <c r="A2244" i="1"/>
  <c r="B2244" i="1"/>
  <c r="C2244" i="1"/>
  <c r="D2244" i="1"/>
  <c r="A2245" i="1"/>
  <c r="B2245" i="1"/>
  <c r="C2245" i="1"/>
  <c r="D2245" i="1"/>
  <c r="A2246" i="1"/>
  <c r="B2246" i="1"/>
  <c r="C2246" i="1"/>
  <c r="D2246" i="1"/>
  <c r="A2247" i="1"/>
  <c r="B2247" i="1"/>
  <c r="C2247" i="1"/>
  <c r="D2247" i="1"/>
  <c r="A2248" i="1"/>
  <c r="B2248" i="1"/>
  <c r="C2248" i="1"/>
  <c r="D2248" i="1"/>
  <c r="A2249" i="1"/>
  <c r="B2249" i="1"/>
  <c r="C2249" i="1"/>
  <c r="D2249" i="1"/>
  <c r="A2250" i="1"/>
  <c r="B2250" i="1"/>
  <c r="C2250" i="1"/>
  <c r="D2250" i="1"/>
  <c r="A2251" i="1"/>
  <c r="B2251" i="1"/>
  <c r="C2251" i="1"/>
  <c r="D2251" i="1"/>
  <c r="A2252" i="1"/>
  <c r="B2252" i="1"/>
  <c r="C2252" i="1"/>
  <c r="D2252" i="1"/>
  <c r="A2253" i="1"/>
  <c r="B2253" i="1"/>
  <c r="C2253" i="1"/>
  <c r="D2253" i="1"/>
  <c r="A2254" i="1"/>
  <c r="B2254" i="1"/>
  <c r="C2254" i="1"/>
  <c r="D2254" i="1"/>
  <c r="A2255" i="1"/>
  <c r="B2255" i="1"/>
  <c r="C2255" i="1"/>
  <c r="D2255" i="1"/>
  <c r="A2256" i="1"/>
  <c r="B2256" i="1"/>
  <c r="C2256" i="1"/>
  <c r="D2256" i="1"/>
  <c r="A2257" i="1"/>
  <c r="B2257" i="1"/>
  <c r="C2257" i="1"/>
  <c r="D2257" i="1"/>
  <c r="A2258" i="1"/>
  <c r="B2258" i="1"/>
  <c r="C2258" i="1"/>
  <c r="D2258" i="1"/>
  <c r="A2259" i="1"/>
  <c r="B2259" i="1"/>
  <c r="C2259" i="1"/>
  <c r="D2259" i="1"/>
  <c r="A2260" i="1"/>
  <c r="B2260" i="1"/>
  <c r="C2260" i="1"/>
  <c r="D2260" i="1"/>
  <c r="A2261" i="1"/>
  <c r="B2261" i="1"/>
  <c r="C2261" i="1"/>
  <c r="D2261" i="1"/>
  <c r="A2262" i="1"/>
  <c r="B2262" i="1"/>
  <c r="C2262" i="1"/>
  <c r="D2262" i="1"/>
  <c r="A2263" i="1"/>
  <c r="B2263" i="1"/>
  <c r="C2263" i="1"/>
  <c r="D2263" i="1"/>
  <c r="A2264" i="1"/>
  <c r="B2264" i="1"/>
  <c r="C2264" i="1"/>
  <c r="D2264" i="1"/>
  <c r="A2265" i="1"/>
  <c r="B2265" i="1"/>
  <c r="C2265" i="1"/>
  <c r="D2265" i="1"/>
  <c r="A2266" i="1"/>
  <c r="B2266" i="1"/>
  <c r="C2266" i="1"/>
  <c r="D2266" i="1"/>
  <c r="A2267" i="1"/>
  <c r="B2267" i="1"/>
  <c r="C2267" i="1"/>
  <c r="D2267" i="1"/>
  <c r="A2268" i="1"/>
  <c r="B2268" i="1"/>
  <c r="C2268" i="1"/>
  <c r="D2268" i="1"/>
  <c r="A2269" i="1"/>
  <c r="B2269" i="1"/>
  <c r="C2269" i="1"/>
  <c r="D2269" i="1"/>
  <c r="A2270" i="1"/>
  <c r="B2270" i="1"/>
  <c r="C2270" i="1"/>
  <c r="D2270" i="1"/>
  <c r="A2271" i="1"/>
  <c r="B2271" i="1"/>
  <c r="C2271" i="1"/>
  <c r="D2271" i="1"/>
  <c r="A2272" i="1"/>
  <c r="B2272" i="1"/>
  <c r="C2272" i="1"/>
  <c r="D2272" i="1"/>
  <c r="A2273" i="1"/>
  <c r="B2273" i="1"/>
  <c r="C2273" i="1"/>
  <c r="D2273" i="1"/>
  <c r="A2274" i="1"/>
  <c r="B2274" i="1"/>
  <c r="C2274" i="1"/>
  <c r="D2274" i="1"/>
  <c r="A2275" i="1"/>
  <c r="B2275" i="1"/>
  <c r="C2275" i="1"/>
  <c r="D2275" i="1"/>
  <c r="A2276" i="1"/>
  <c r="B2276" i="1"/>
  <c r="C2276" i="1"/>
  <c r="D2276" i="1"/>
  <c r="A2277" i="1"/>
  <c r="B2277" i="1"/>
  <c r="C2277" i="1"/>
  <c r="D2277" i="1"/>
  <c r="A2278" i="1"/>
  <c r="B2278" i="1"/>
  <c r="C2278" i="1"/>
  <c r="D2278" i="1"/>
  <c r="A2279" i="1"/>
  <c r="B2279" i="1"/>
  <c r="C2279" i="1"/>
  <c r="D2279" i="1"/>
  <c r="A2280" i="1"/>
  <c r="B2280" i="1"/>
  <c r="C2280" i="1"/>
  <c r="D2280" i="1"/>
  <c r="A2281" i="1"/>
  <c r="B2281" i="1"/>
  <c r="C2281" i="1"/>
  <c r="D2281" i="1"/>
  <c r="A2282" i="1"/>
  <c r="B2282" i="1"/>
  <c r="C2282" i="1"/>
  <c r="D2282" i="1"/>
  <c r="A2283" i="1"/>
  <c r="B2283" i="1"/>
  <c r="C2283" i="1"/>
  <c r="D2283" i="1"/>
  <c r="A2284" i="1"/>
  <c r="B2284" i="1"/>
  <c r="C2284" i="1"/>
  <c r="D2284" i="1"/>
  <c r="A2285" i="1"/>
  <c r="B2285" i="1"/>
  <c r="C2285" i="1"/>
  <c r="D2285" i="1"/>
  <c r="A2286" i="1"/>
  <c r="B2286" i="1"/>
  <c r="C2286" i="1"/>
  <c r="D2286" i="1"/>
  <c r="A2287" i="1"/>
  <c r="B2287" i="1"/>
  <c r="C2287" i="1"/>
  <c r="D2287" i="1"/>
  <c r="A2288" i="1"/>
  <c r="B2288" i="1"/>
  <c r="C2288" i="1"/>
  <c r="D2288" i="1"/>
  <c r="A2289" i="1"/>
  <c r="B2289" i="1"/>
  <c r="C2289" i="1"/>
  <c r="D2289" i="1"/>
  <c r="A2290" i="1"/>
  <c r="B2290" i="1"/>
  <c r="C2290" i="1"/>
  <c r="D2290" i="1"/>
  <c r="A2291" i="1"/>
  <c r="B2291" i="1"/>
  <c r="C2291" i="1"/>
  <c r="D2291" i="1"/>
  <c r="A2292" i="1"/>
  <c r="B2292" i="1"/>
  <c r="C2292" i="1"/>
  <c r="D2292" i="1"/>
  <c r="A2293" i="1"/>
  <c r="B2293" i="1"/>
  <c r="C2293" i="1"/>
  <c r="D2293" i="1"/>
  <c r="A2294" i="1"/>
  <c r="B2294" i="1"/>
  <c r="C2294" i="1"/>
  <c r="D2294" i="1"/>
  <c r="A2295" i="1"/>
  <c r="B2295" i="1"/>
  <c r="C2295" i="1"/>
  <c r="D2295" i="1"/>
  <c r="A2296" i="1"/>
  <c r="B2296" i="1"/>
  <c r="C2296" i="1"/>
  <c r="D2296" i="1"/>
  <c r="A2297" i="1"/>
  <c r="B2297" i="1"/>
  <c r="C2297" i="1"/>
  <c r="D2297" i="1"/>
  <c r="A2298" i="1"/>
  <c r="B2298" i="1"/>
  <c r="C2298" i="1"/>
  <c r="D2298" i="1"/>
  <c r="A2299" i="1"/>
  <c r="B2299" i="1"/>
  <c r="C2299" i="1"/>
  <c r="D2299" i="1"/>
  <c r="A2300" i="1"/>
  <c r="B2300" i="1"/>
  <c r="C2300" i="1"/>
  <c r="D2300" i="1"/>
  <c r="A2301" i="1"/>
  <c r="B2301" i="1"/>
  <c r="C2301" i="1"/>
  <c r="D2301" i="1"/>
  <c r="A2302" i="1"/>
  <c r="B2302" i="1"/>
  <c r="C2302" i="1"/>
  <c r="D2302" i="1"/>
  <c r="A2303" i="1"/>
  <c r="B2303" i="1"/>
  <c r="C2303" i="1"/>
  <c r="D2303" i="1"/>
  <c r="A2304" i="1"/>
  <c r="B2304" i="1"/>
  <c r="C2304" i="1"/>
  <c r="D2304" i="1"/>
  <c r="A2305" i="1"/>
  <c r="B2305" i="1"/>
  <c r="C2305" i="1"/>
  <c r="D2305" i="1"/>
  <c r="A2306" i="1"/>
  <c r="B2306" i="1"/>
  <c r="C2306" i="1"/>
  <c r="D2306" i="1"/>
  <c r="A2307" i="1"/>
  <c r="B2307" i="1"/>
  <c r="C2307" i="1"/>
  <c r="D2307" i="1"/>
  <c r="A2308" i="1"/>
  <c r="B2308" i="1"/>
  <c r="C2308" i="1"/>
  <c r="D2308" i="1"/>
  <c r="A2309" i="1"/>
  <c r="B2309" i="1"/>
  <c r="C2309" i="1"/>
  <c r="D2309" i="1"/>
  <c r="A2310" i="1"/>
  <c r="B2310" i="1"/>
  <c r="C2310" i="1"/>
  <c r="D2310" i="1"/>
  <c r="A2311" i="1"/>
  <c r="B2311" i="1"/>
  <c r="C2311" i="1"/>
  <c r="D2311" i="1"/>
  <c r="A2312" i="1"/>
  <c r="B2312" i="1"/>
  <c r="C2312" i="1"/>
  <c r="D2312" i="1"/>
  <c r="A2313" i="1"/>
  <c r="B2313" i="1"/>
  <c r="C2313" i="1"/>
  <c r="D2313" i="1"/>
  <c r="A2314" i="1"/>
  <c r="B2314" i="1"/>
  <c r="C2314" i="1"/>
  <c r="D2314" i="1"/>
  <c r="A2315" i="1"/>
  <c r="B2315" i="1"/>
  <c r="C2315" i="1"/>
  <c r="D2315" i="1"/>
  <c r="A2316" i="1"/>
  <c r="B2316" i="1"/>
  <c r="C2316" i="1"/>
  <c r="D2316" i="1"/>
  <c r="A2317" i="1"/>
  <c r="B2317" i="1"/>
  <c r="C2317" i="1"/>
  <c r="D2317" i="1"/>
  <c r="A2318" i="1"/>
  <c r="B2318" i="1"/>
  <c r="C2318" i="1"/>
  <c r="D2318" i="1"/>
  <c r="A2319" i="1"/>
  <c r="B2319" i="1"/>
  <c r="C2319" i="1"/>
  <c r="D2319" i="1"/>
  <c r="A2320" i="1"/>
  <c r="B2320" i="1"/>
  <c r="C2320" i="1"/>
  <c r="D2320" i="1"/>
  <c r="A2321" i="1"/>
  <c r="B2321" i="1"/>
  <c r="C2321" i="1"/>
  <c r="D2321" i="1"/>
  <c r="A2322" i="1"/>
  <c r="B2322" i="1"/>
  <c r="C2322" i="1"/>
  <c r="D2322" i="1"/>
  <c r="A2323" i="1"/>
  <c r="B2323" i="1"/>
  <c r="C2323" i="1"/>
  <c r="D2323" i="1"/>
  <c r="A2324" i="1"/>
  <c r="B2324" i="1"/>
  <c r="C2324" i="1"/>
  <c r="D2324" i="1"/>
  <c r="A2325" i="1"/>
  <c r="B2325" i="1"/>
  <c r="C2325" i="1"/>
  <c r="D2325" i="1"/>
  <c r="A2326" i="1"/>
  <c r="B2326" i="1"/>
  <c r="C2326" i="1"/>
  <c r="D2326" i="1"/>
  <c r="A2327" i="1"/>
  <c r="B2327" i="1"/>
  <c r="C2327" i="1"/>
  <c r="D2327" i="1"/>
  <c r="A2328" i="1"/>
  <c r="B2328" i="1"/>
  <c r="C2328" i="1"/>
  <c r="D2328" i="1"/>
  <c r="A2329" i="1"/>
  <c r="B2329" i="1"/>
  <c r="C2329" i="1"/>
  <c r="D2329" i="1"/>
  <c r="A2330" i="1"/>
  <c r="B2330" i="1"/>
  <c r="C2330" i="1"/>
  <c r="D2330" i="1"/>
  <c r="A2331" i="1"/>
  <c r="B2331" i="1"/>
  <c r="C2331" i="1"/>
  <c r="D2331" i="1"/>
  <c r="A2332" i="1"/>
  <c r="B2332" i="1"/>
  <c r="C2332" i="1"/>
  <c r="D2332" i="1"/>
  <c r="A2333" i="1"/>
  <c r="B2333" i="1"/>
  <c r="C2333" i="1"/>
  <c r="D2333" i="1"/>
  <c r="A2334" i="1"/>
  <c r="B2334" i="1"/>
  <c r="C2334" i="1"/>
  <c r="D2334" i="1"/>
  <c r="A2335" i="1"/>
  <c r="B2335" i="1"/>
  <c r="C2335" i="1"/>
  <c r="D2335" i="1"/>
  <c r="A2336" i="1"/>
  <c r="B2336" i="1"/>
  <c r="C2336" i="1"/>
  <c r="D2336" i="1"/>
  <c r="A2337" i="1"/>
  <c r="B2337" i="1"/>
  <c r="C2337" i="1"/>
  <c r="D2337" i="1"/>
  <c r="A2338" i="1"/>
  <c r="B2338" i="1"/>
  <c r="C2338" i="1"/>
  <c r="D2338" i="1"/>
  <c r="A2339" i="1"/>
  <c r="B2339" i="1"/>
  <c r="C2339" i="1"/>
  <c r="D2339" i="1"/>
  <c r="A2340" i="1"/>
  <c r="B2340" i="1"/>
  <c r="C2340" i="1"/>
  <c r="D2340" i="1"/>
  <c r="A2341" i="1"/>
  <c r="B2341" i="1"/>
  <c r="C2341" i="1"/>
  <c r="D2341" i="1"/>
  <c r="A2342" i="1"/>
  <c r="B2342" i="1"/>
  <c r="C2342" i="1"/>
  <c r="D2342" i="1"/>
  <c r="A2343" i="1"/>
  <c r="B2343" i="1"/>
  <c r="C2343" i="1"/>
  <c r="D2343" i="1"/>
  <c r="A2344" i="1"/>
  <c r="B2344" i="1"/>
  <c r="C2344" i="1"/>
  <c r="D2344" i="1"/>
  <c r="A2345" i="1"/>
  <c r="B2345" i="1"/>
  <c r="C2345" i="1"/>
  <c r="D2345" i="1"/>
  <c r="A2346" i="1"/>
  <c r="B2346" i="1"/>
  <c r="C2346" i="1"/>
  <c r="D2346" i="1"/>
  <c r="A2347" i="1"/>
  <c r="B2347" i="1"/>
  <c r="C2347" i="1"/>
  <c r="D2347" i="1"/>
  <c r="A2348" i="1"/>
  <c r="B2348" i="1"/>
  <c r="C2348" i="1"/>
  <c r="D2348" i="1"/>
  <c r="A2349" i="1"/>
  <c r="B2349" i="1"/>
  <c r="C2349" i="1"/>
  <c r="D2349" i="1"/>
  <c r="A2350" i="1"/>
  <c r="B2350" i="1"/>
  <c r="C2350" i="1"/>
  <c r="D2350" i="1"/>
  <c r="A2351" i="1"/>
  <c r="B2351" i="1"/>
  <c r="C2351" i="1"/>
  <c r="D2351" i="1"/>
  <c r="A2352" i="1"/>
  <c r="B2352" i="1"/>
  <c r="C2352" i="1"/>
  <c r="D2352" i="1"/>
  <c r="A2353" i="1"/>
  <c r="B2353" i="1"/>
  <c r="C2353" i="1"/>
  <c r="D2353" i="1"/>
  <c r="A2354" i="1"/>
  <c r="B2354" i="1"/>
  <c r="C2354" i="1"/>
  <c r="D2354" i="1"/>
  <c r="A2355" i="1"/>
  <c r="B2355" i="1"/>
  <c r="C2355" i="1"/>
  <c r="D2355" i="1"/>
  <c r="A2356" i="1"/>
  <c r="B2356" i="1"/>
  <c r="C2356" i="1"/>
  <c r="D2356" i="1"/>
  <c r="A2357" i="1"/>
  <c r="B2357" i="1"/>
  <c r="C2357" i="1"/>
  <c r="D2357" i="1"/>
  <c r="A2358" i="1"/>
  <c r="B2358" i="1"/>
  <c r="C2358" i="1"/>
  <c r="D2358" i="1"/>
  <c r="A2359" i="1"/>
  <c r="B2359" i="1"/>
  <c r="C2359" i="1"/>
  <c r="D2359" i="1"/>
  <c r="A2360" i="1"/>
  <c r="B2360" i="1"/>
  <c r="C2360" i="1"/>
  <c r="D2360" i="1"/>
  <c r="A2361" i="1"/>
  <c r="B2361" i="1"/>
  <c r="C2361" i="1"/>
  <c r="D2361" i="1"/>
  <c r="A2362" i="1"/>
  <c r="B2362" i="1"/>
  <c r="C2362" i="1"/>
  <c r="D2362" i="1"/>
  <c r="A2363" i="1"/>
  <c r="B2363" i="1"/>
  <c r="C2363" i="1"/>
  <c r="D2363" i="1"/>
  <c r="A2364" i="1"/>
  <c r="B2364" i="1"/>
  <c r="C2364" i="1"/>
  <c r="D2364" i="1"/>
  <c r="A2365" i="1"/>
  <c r="B2365" i="1"/>
  <c r="C2365" i="1"/>
  <c r="D2365" i="1"/>
  <c r="A2366" i="1"/>
  <c r="B2366" i="1"/>
  <c r="C2366" i="1"/>
  <c r="D2366" i="1"/>
  <c r="A2367" i="1"/>
  <c r="B2367" i="1"/>
  <c r="C2367" i="1"/>
  <c r="D2367" i="1"/>
  <c r="A2368" i="1"/>
  <c r="B2368" i="1"/>
  <c r="C2368" i="1"/>
  <c r="D2368" i="1"/>
  <c r="A2369" i="1"/>
  <c r="B2369" i="1"/>
  <c r="C2369" i="1"/>
  <c r="D2369" i="1"/>
  <c r="A2370" i="1"/>
  <c r="B2370" i="1"/>
  <c r="C2370" i="1"/>
  <c r="D2370" i="1"/>
  <c r="A2371" i="1"/>
  <c r="B2371" i="1"/>
  <c r="C2371" i="1"/>
  <c r="D2371" i="1"/>
  <c r="A2372" i="1"/>
  <c r="B2372" i="1"/>
  <c r="C2372" i="1"/>
  <c r="D2372" i="1"/>
  <c r="A2373" i="1"/>
  <c r="B2373" i="1"/>
  <c r="C2373" i="1"/>
  <c r="D2373" i="1"/>
  <c r="A2374" i="1"/>
  <c r="B2374" i="1"/>
  <c r="C2374" i="1"/>
  <c r="D2374" i="1"/>
  <c r="A2375" i="1"/>
  <c r="B2375" i="1"/>
  <c r="C2375" i="1"/>
  <c r="D2375" i="1"/>
  <c r="A2376" i="1"/>
  <c r="B2376" i="1"/>
  <c r="C2376" i="1"/>
  <c r="D2376" i="1"/>
  <c r="A2377" i="1"/>
  <c r="B2377" i="1"/>
  <c r="C2377" i="1"/>
  <c r="D2377" i="1"/>
  <c r="A2378" i="1"/>
  <c r="B2378" i="1"/>
  <c r="C2378" i="1"/>
  <c r="D2378" i="1"/>
  <c r="A2379" i="1"/>
  <c r="B2379" i="1"/>
  <c r="C2379" i="1"/>
  <c r="D2379" i="1"/>
  <c r="A2380" i="1"/>
  <c r="B2380" i="1"/>
  <c r="C2380" i="1"/>
  <c r="D2380" i="1"/>
  <c r="A2381" i="1"/>
  <c r="B2381" i="1"/>
  <c r="C2381" i="1"/>
  <c r="D2381" i="1"/>
  <c r="A2382" i="1"/>
  <c r="B2382" i="1"/>
  <c r="C2382" i="1"/>
  <c r="D2382" i="1"/>
  <c r="A2383" i="1"/>
  <c r="B2383" i="1"/>
  <c r="C2383" i="1"/>
  <c r="D2383" i="1"/>
  <c r="A2384" i="1"/>
  <c r="B2384" i="1"/>
  <c r="C2384" i="1"/>
  <c r="D2384" i="1"/>
  <c r="A2385" i="1"/>
  <c r="B2385" i="1"/>
  <c r="C2385" i="1"/>
  <c r="D2385" i="1"/>
  <c r="A2386" i="1"/>
  <c r="B2386" i="1"/>
  <c r="C2386" i="1"/>
  <c r="D2386" i="1"/>
  <c r="A2387" i="1"/>
  <c r="B2387" i="1"/>
  <c r="C2387" i="1"/>
  <c r="D2387" i="1"/>
  <c r="A2388" i="1"/>
  <c r="B2388" i="1"/>
  <c r="C2388" i="1"/>
  <c r="D2388" i="1"/>
  <c r="A2389" i="1"/>
  <c r="B2389" i="1"/>
  <c r="C2389" i="1"/>
  <c r="D2389" i="1"/>
  <c r="A2390" i="1"/>
  <c r="B2390" i="1"/>
  <c r="C2390" i="1"/>
  <c r="D2390" i="1"/>
  <c r="A2391" i="1"/>
  <c r="B2391" i="1"/>
  <c r="C2391" i="1"/>
  <c r="D2391" i="1"/>
  <c r="A2392" i="1"/>
  <c r="B2392" i="1"/>
  <c r="C2392" i="1"/>
  <c r="D2392" i="1"/>
  <c r="A2393" i="1"/>
  <c r="B2393" i="1"/>
  <c r="C2393" i="1"/>
  <c r="D2393" i="1"/>
  <c r="A2394" i="1"/>
  <c r="B2394" i="1"/>
  <c r="C2394" i="1"/>
  <c r="D2394" i="1"/>
  <c r="A2395" i="1"/>
  <c r="B2395" i="1"/>
  <c r="C2395" i="1"/>
  <c r="D2395" i="1"/>
  <c r="A2396" i="1"/>
  <c r="B2396" i="1"/>
  <c r="C2396" i="1"/>
  <c r="D2396" i="1"/>
  <c r="A2397" i="1"/>
  <c r="B2397" i="1"/>
  <c r="C2397" i="1"/>
  <c r="D2397" i="1"/>
  <c r="A2398" i="1"/>
  <c r="B2398" i="1"/>
  <c r="C2398" i="1"/>
  <c r="D2398" i="1"/>
  <c r="A2399" i="1"/>
  <c r="B2399" i="1"/>
  <c r="C2399" i="1"/>
  <c r="D2399" i="1"/>
  <c r="A2400" i="1"/>
  <c r="B2400" i="1"/>
  <c r="C2400" i="1"/>
  <c r="D2400" i="1"/>
  <c r="A2401" i="1"/>
  <c r="B2401" i="1"/>
  <c r="C2401" i="1"/>
  <c r="D2401" i="1"/>
  <c r="A2402" i="1"/>
  <c r="B2402" i="1"/>
  <c r="C2402" i="1"/>
  <c r="D2402" i="1"/>
  <c r="A2403" i="1"/>
  <c r="B2403" i="1"/>
  <c r="C2403" i="1"/>
  <c r="D2403" i="1"/>
  <c r="A2404" i="1"/>
  <c r="B2404" i="1"/>
  <c r="C2404" i="1"/>
  <c r="D2404" i="1"/>
  <c r="A2405" i="1"/>
  <c r="B2405" i="1"/>
  <c r="C2405" i="1"/>
  <c r="D2405" i="1"/>
  <c r="A2406" i="1"/>
  <c r="B2406" i="1"/>
  <c r="C2406" i="1"/>
  <c r="D2406" i="1"/>
  <c r="A2407" i="1"/>
  <c r="B2407" i="1"/>
  <c r="C2407" i="1"/>
  <c r="D2407" i="1"/>
  <c r="A2408" i="1"/>
  <c r="B2408" i="1"/>
  <c r="C2408" i="1"/>
  <c r="D2408" i="1"/>
  <c r="A2409" i="1"/>
  <c r="B2409" i="1"/>
  <c r="C2409" i="1"/>
  <c r="D2409" i="1"/>
  <c r="A2410" i="1"/>
  <c r="B2410" i="1"/>
  <c r="C2410" i="1"/>
  <c r="D2410" i="1"/>
  <c r="A2411" i="1"/>
  <c r="B2411" i="1"/>
  <c r="C2411" i="1"/>
  <c r="D2411" i="1"/>
  <c r="A2412" i="1"/>
  <c r="B2412" i="1"/>
  <c r="C2412" i="1"/>
  <c r="D2412" i="1"/>
  <c r="A2413" i="1"/>
  <c r="B2413" i="1"/>
  <c r="C2413" i="1"/>
  <c r="D2413" i="1"/>
  <c r="A2414" i="1"/>
  <c r="B2414" i="1"/>
  <c r="C2414" i="1"/>
  <c r="D2414" i="1"/>
  <c r="A2415" i="1"/>
  <c r="B2415" i="1"/>
  <c r="C2415" i="1"/>
  <c r="D2415" i="1"/>
  <c r="A2416" i="1"/>
  <c r="B2416" i="1"/>
  <c r="C2416" i="1"/>
  <c r="D2416" i="1"/>
  <c r="A2417" i="1"/>
  <c r="B2417" i="1"/>
  <c r="C2417" i="1"/>
  <c r="D2417" i="1"/>
  <c r="A2418" i="1"/>
  <c r="B2418" i="1"/>
  <c r="C2418" i="1"/>
  <c r="D2418" i="1"/>
  <c r="A2419" i="1"/>
  <c r="B2419" i="1"/>
  <c r="C2419" i="1"/>
  <c r="D2419" i="1"/>
  <c r="A2420" i="1"/>
  <c r="B2420" i="1"/>
  <c r="C2420" i="1"/>
  <c r="D2420" i="1"/>
  <c r="A2421" i="1"/>
  <c r="B2421" i="1"/>
  <c r="C2421" i="1"/>
  <c r="D2421" i="1"/>
  <c r="A2422" i="1"/>
  <c r="B2422" i="1"/>
  <c r="C2422" i="1"/>
  <c r="D2422" i="1"/>
  <c r="A2423" i="1"/>
  <c r="B2423" i="1"/>
  <c r="C2423" i="1"/>
  <c r="D2423" i="1"/>
  <c r="A2424" i="1"/>
  <c r="B2424" i="1"/>
  <c r="C2424" i="1"/>
  <c r="D2424" i="1"/>
  <c r="A2425" i="1"/>
  <c r="B2425" i="1"/>
  <c r="C2425" i="1"/>
  <c r="D2425" i="1"/>
  <c r="A2426" i="1"/>
  <c r="B2426" i="1"/>
  <c r="C2426" i="1"/>
  <c r="D2426" i="1"/>
  <c r="A2427" i="1"/>
  <c r="B2427" i="1"/>
  <c r="C2427" i="1"/>
  <c r="D2427" i="1"/>
  <c r="A2428" i="1"/>
  <c r="B2428" i="1"/>
  <c r="C2428" i="1"/>
  <c r="D2428" i="1"/>
  <c r="A2429" i="1"/>
  <c r="B2429" i="1"/>
  <c r="C2429" i="1"/>
  <c r="D2429" i="1"/>
  <c r="A2430" i="1"/>
  <c r="B2430" i="1"/>
  <c r="C2430" i="1"/>
  <c r="D2430" i="1"/>
  <c r="A2431" i="1"/>
  <c r="B2431" i="1"/>
  <c r="C2431" i="1"/>
  <c r="D2431" i="1"/>
  <c r="A2432" i="1"/>
  <c r="B2432" i="1"/>
  <c r="C2432" i="1"/>
  <c r="D2432" i="1"/>
  <c r="A2433" i="1"/>
  <c r="B2433" i="1"/>
  <c r="C2433" i="1"/>
  <c r="D2433" i="1"/>
  <c r="A2434" i="1"/>
  <c r="B2434" i="1"/>
  <c r="C2434" i="1"/>
  <c r="D2434" i="1"/>
  <c r="A2435" i="1"/>
  <c r="B2435" i="1"/>
  <c r="C2435" i="1"/>
  <c r="D2435" i="1"/>
  <c r="A2436" i="1"/>
  <c r="B2436" i="1"/>
  <c r="C2436" i="1"/>
  <c r="D2436" i="1"/>
  <c r="A2437" i="1"/>
  <c r="B2437" i="1"/>
  <c r="C2437" i="1"/>
  <c r="D2437" i="1"/>
  <c r="A2438" i="1"/>
  <c r="B2438" i="1"/>
  <c r="C2438" i="1"/>
  <c r="D2438" i="1"/>
  <c r="A2439" i="1"/>
  <c r="B2439" i="1"/>
  <c r="C2439" i="1"/>
  <c r="D2439" i="1"/>
  <c r="A2440" i="1"/>
  <c r="B2440" i="1"/>
  <c r="C2440" i="1"/>
  <c r="D2440" i="1"/>
  <c r="A2441" i="1"/>
  <c r="B2441" i="1"/>
  <c r="C2441" i="1"/>
  <c r="D2441" i="1"/>
  <c r="A2442" i="1"/>
  <c r="B2442" i="1"/>
  <c r="C2442" i="1"/>
  <c r="D2442" i="1"/>
  <c r="A2443" i="1"/>
  <c r="B2443" i="1"/>
  <c r="C2443" i="1"/>
  <c r="D2443" i="1"/>
  <c r="A2444" i="1"/>
  <c r="B2444" i="1"/>
  <c r="C2444" i="1"/>
  <c r="D2444" i="1"/>
  <c r="A2445" i="1"/>
  <c r="B2445" i="1"/>
  <c r="C2445" i="1"/>
  <c r="D2445" i="1"/>
  <c r="A2446" i="1"/>
  <c r="B2446" i="1"/>
  <c r="C2446" i="1"/>
  <c r="D2446" i="1"/>
  <c r="A2447" i="1"/>
  <c r="B2447" i="1"/>
  <c r="C2447" i="1"/>
  <c r="D2447" i="1"/>
  <c r="A2448" i="1"/>
  <c r="B2448" i="1"/>
  <c r="C2448" i="1"/>
  <c r="D2448" i="1"/>
  <c r="A2449" i="1"/>
  <c r="B2449" i="1"/>
  <c r="C2449" i="1"/>
  <c r="D2449" i="1"/>
  <c r="A2450" i="1"/>
  <c r="B2450" i="1"/>
  <c r="C2450" i="1"/>
  <c r="D2450" i="1"/>
  <c r="A2451" i="1"/>
  <c r="B2451" i="1"/>
  <c r="C2451" i="1"/>
  <c r="D2451" i="1"/>
  <c r="A2452" i="1"/>
  <c r="B2452" i="1"/>
  <c r="C2452" i="1"/>
  <c r="D2452" i="1"/>
  <c r="A2453" i="1"/>
  <c r="B2453" i="1"/>
  <c r="C2453" i="1"/>
  <c r="D2453" i="1"/>
  <c r="A2454" i="1"/>
  <c r="B2454" i="1"/>
  <c r="C2454" i="1"/>
  <c r="D2454" i="1"/>
  <c r="A2455" i="1"/>
  <c r="B2455" i="1"/>
  <c r="C2455" i="1"/>
  <c r="D2455" i="1"/>
  <c r="A2456" i="1"/>
  <c r="B2456" i="1"/>
  <c r="C2456" i="1"/>
  <c r="D2456" i="1"/>
  <c r="A2457" i="1"/>
  <c r="B2457" i="1"/>
  <c r="C2457" i="1"/>
  <c r="D2457" i="1"/>
  <c r="A2458" i="1"/>
  <c r="B2458" i="1"/>
  <c r="C2458" i="1"/>
  <c r="D2458" i="1"/>
  <c r="A2459" i="1"/>
  <c r="B2459" i="1"/>
  <c r="C2459" i="1"/>
  <c r="D2459" i="1"/>
  <c r="A2460" i="1"/>
  <c r="B2460" i="1"/>
  <c r="C2460" i="1"/>
  <c r="D2460" i="1"/>
  <c r="A2461" i="1"/>
  <c r="B2461" i="1"/>
  <c r="C2461" i="1"/>
  <c r="D2461" i="1"/>
  <c r="A2462" i="1"/>
  <c r="B2462" i="1"/>
  <c r="C2462" i="1"/>
  <c r="D2462" i="1"/>
  <c r="A2463" i="1"/>
  <c r="B2463" i="1"/>
  <c r="C2463" i="1"/>
  <c r="D2463" i="1"/>
  <c r="A2464" i="1"/>
  <c r="B2464" i="1"/>
  <c r="C2464" i="1"/>
  <c r="D2464" i="1"/>
  <c r="A2465" i="1"/>
  <c r="B2465" i="1"/>
  <c r="C2465" i="1"/>
  <c r="D2465" i="1"/>
  <c r="A2466" i="1"/>
  <c r="B2466" i="1"/>
  <c r="C2466" i="1"/>
  <c r="D2466" i="1"/>
  <c r="A2467" i="1"/>
  <c r="B2467" i="1"/>
  <c r="C2467" i="1"/>
  <c r="D2467" i="1"/>
  <c r="A2468" i="1"/>
  <c r="B2468" i="1"/>
  <c r="C2468" i="1"/>
  <c r="D2468" i="1"/>
  <c r="A2469" i="1"/>
  <c r="B2469" i="1"/>
  <c r="C2469" i="1"/>
  <c r="D2469" i="1"/>
  <c r="A2470" i="1"/>
  <c r="B2470" i="1"/>
  <c r="C2470" i="1"/>
  <c r="D2470" i="1"/>
  <c r="A2471" i="1"/>
  <c r="B2471" i="1"/>
  <c r="C2471" i="1"/>
  <c r="D2471" i="1"/>
  <c r="A2472" i="1"/>
  <c r="B2472" i="1"/>
  <c r="C2472" i="1"/>
  <c r="D2472" i="1"/>
  <c r="A2473" i="1"/>
  <c r="B2473" i="1"/>
  <c r="C2473" i="1"/>
  <c r="D2473" i="1"/>
  <c r="A2474" i="1"/>
  <c r="B2474" i="1"/>
  <c r="C2474" i="1"/>
  <c r="D2474" i="1"/>
  <c r="A2475" i="1"/>
  <c r="B2475" i="1"/>
  <c r="C2475" i="1"/>
  <c r="D2475" i="1"/>
  <c r="A2476" i="1"/>
  <c r="B2476" i="1"/>
  <c r="C2476" i="1"/>
  <c r="D2476" i="1"/>
  <c r="A2477" i="1"/>
  <c r="B2477" i="1"/>
  <c r="C2477" i="1"/>
  <c r="D2477" i="1"/>
  <c r="A2478" i="1"/>
  <c r="B2478" i="1"/>
  <c r="C2478" i="1"/>
  <c r="D2478" i="1"/>
  <c r="A2479" i="1"/>
  <c r="B2479" i="1"/>
  <c r="C2479" i="1"/>
  <c r="D2479" i="1"/>
  <c r="A2480" i="1"/>
  <c r="B2480" i="1"/>
  <c r="C2480" i="1"/>
  <c r="D2480" i="1"/>
  <c r="A2481" i="1"/>
  <c r="B2481" i="1"/>
  <c r="C2481" i="1"/>
  <c r="D2481" i="1"/>
  <c r="A2482" i="1"/>
  <c r="B2482" i="1"/>
  <c r="C2482" i="1"/>
  <c r="D2482" i="1"/>
  <c r="A2483" i="1"/>
  <c r="B2483" i="1"/>
  <c r="C2483" i="1"/>
  <c r="D2483" i="1"/>
  <c r="A2484" i="1"/>
  <c r="B2484" i="1"/>
  <c r="C2484" i="1"/>
  <c r="D2484" i="1"/>
  <c r="A2485" i="1"/>
  <c r="B2485" i="1"/>
  <c r="C2485" i="1"/>
  <c r="D2485" i="1"/>
  <c r="A2486" i="1"/>
  <c r="B2486" i="1"/>
  <c r="C2486" i="1"/>
  <c r="D2486" i="1"/>
  <c r="A2487" i="1"/>
  <c r="B2487" i="1"/>
  <c r="C2487" i="1"/>
  <c r="D2487" i="1"/>
  <c r="A2488" i="1"/>
  <c r="B2488" i="1"/>
  <c r="C2488" i="1"/>
  <c r="D2488" i="1"/>
  <c r="A2489" i="1"/>
  <c r="B2489" i="1"/>
  <c r="C2489" i="1"/>
  <c r="D2489" i="1"/>
  <c r="A2490" i="1"/>
  <c r="B2490" i="1"/>
  <c r="C2490" i="1"/>
  <c r="D2490" i="1"/>
  <c r="A2491" i="1"/>
  <c r="B2491" i="1"/>
  <c r="C2491" i="1"/>
  <c r="D2491" i="1"/>
  <c r="A2492" i="1"/>
  <c r="B2492" i="1"/>
  <c r="C2492" i="1"/>
  <c r="D2492" i="1"/>
  <c r="A2493" i="1"/>
  <c r="B2493" i="1"/>
  <c r="C2493" i="1"/>
  <c r="D2493" i="1"/>
  <c r="A2494" i="1"/>
  <c r="B2494" i="1"/>
  <c r="C2494" i="1"/>
  <c r="D2494" i="1"/>
  <c r="A2495" i="1"/>
  <c r="B2495" i="1"/>
  <c r="C2495" i="1"/>
  <c r="D2495" i="1"/>
  <c r="A2496" i="1"/>
  <c r="B2496" i="1"/>
  <c r="C2496" i="1"/>
  <c r="D2496" i="1"/>
  <c r="A2497" i="1"/>
  <c r="B2497" i="1"/>
  <c r="C2497" i="1"/>
  <c r="D2497" i="1"/>
  <c r="A2498" i="1"/>
  <c r="B2498" i="1"/>
  <c r="C2498" i="1"/>
  <c r="D2498" i="1"/>
  <c r="A2499" i="1"/>
  <c r="B2499" i="1"/>
  <c r="C2499" i="1"/>
  <c r="D2499" i="1"/>
  <c r="A2500" i="1"/>
  <c r="B2500" i="1"/>
  <c r="C2500" i="1"/>
  <c r="D2500" i="1"/>
  <c r="A2501" i="1"/>
  <c r="B2501" i="1"/>
  <c r="C2501" i="1"/>
  <c r="D2501" i="1"/>
  <c r="A2502" i="1"/>
  <c r="B2502" i="1"/>
  <c r="C2502" i="1"/>
  <c r="D2502" i="1"/>
  <c r="A2503" i="1"/>
  <c r="B2503" i="1"/>
  <c r="C2503" i="1"/>
  <c r="D2503" i="1"/>
  <c r="A2504" i="1"/>
  <c r="B2504" i="1"/>
  <c r="C2504" i="1"/>
  <c r="D2504" i="1"/>
  <c r="A2505" i="1"/>
  <c r="B2505" i="1"/>
  <c r="C2505" i="1"/>
  <c r="D2505" i="1"/>
  <c r="A2506" i="1"/>
  <c r="B2506" i="1"/>
  <c r="C2506" i="1"/>
  <c r="D2506" i="1"/>
  <c r="A2507" i="1"/>
  <c r="B2507" i="1"/>
  <c r="C2507" i="1"/>
  <c r="D2507" i="1"/>
  <c r="A2508" i="1"/>
  <c r="B2508" i="1"/>
  <c r="C2508" i="1"/>
  <c r="D2508" i="1"/>
  <c r="A2509" i="1"/>
  <c r="B2509" i="1"/>
  <c r="C2509" i="1"/>
  <c r="D2509" i="1"/>
  <c r="A2510" i="1"/>
  <c r="B2510" i="1"/>
  <c r="C2510" i="1"/>
  <c r="D2510" i="1"/>
  <c r="A2511" i="1"/>
  <c r="B2511" i="1"/>
  <c r="C2511" i="1"/>
  <c r="D2511" i="1"/>
  <c r="A2512" i="1"/>
  <c r="B2512" i="1"/>
  <c r="C2512" i="1"/>
  <c r="D2512" i="1"/>
  <c r="A2513" i="1"/>
  <c r="B2513" i="1"/>
  <c r="C2513" i="1"/>
  <c r="D2513" i="1"/>
  <c r="A2514" i="1"/>
  <c r="B2514" i="1"/>
  <c r="C2514" i="1"/>
  <c r="D2514" i="1"/>
  <c r="A2515" i="1"/>
  <c r="B2515" i="1"/>
  <c r="C2515" i="1"/>
  <c r="D2515" i="1"/>
  <c r="A2516" i="1"/>
  <c r="B2516" i="1"/>
  <c r="C2516" i="1"/>
  <c r="D2516" i="1"/>
  <c r="A2517" i="1"/>
  <c r="B2517" i="1"/>
  <c r="C2517" i="1"/>
  <c r="D2517" i="1"/>
  <c r="A2518" i="1"/>
  <c r="B2518" i="1"/>
  <c r="C2518" i="1"/>
  <c r="D2518" i="1"/>
  <c r="A2519" i="1"/>
  <c r="B2519" i="1"/>
  <c r="C2519" i="1"/>
  <c r="D2519" i="1"/>
  <c r="A2520" i="1"/>
  <c r="B2520" i="1"/>
  <c r="C2520" i="1"/>
  <c r="D2520" i="1"/>
  <c r="A2521" i="1"/>
  <c r="B2521" i="1"/>
  <c r="C2521" i="1"/>
  <c r="D2521" i="1"/>
  <c r="A2522" i="1"/>
  <c r="B2522" i="1"/>
  <c r="C2522" i="1"/>
  <c r="D2522" i="1"/>
  <c r="A2523" i="1"/>
  <c r="B2523" i="1"/>
  <c r="C2523" i="1"/>
  <c r="D2523" i="1"/>
  <c r="A2524" i="1"/>
  <c r="B2524" i="1"/>
  <c r="C2524" i="1"/>
  <c r="D2524" i="1"/>
  <c r="A2525" i="1"/>
  <c r="B2525" i="1"/>
  <c r="C2525" i="1"/>
  <c r="D2525" i="1"/>
  <c r="A2526" i="1"/>
  <c r="B2526" i="1"/>
  <c r="C2526" i="1"/>
  <c r="D2526" i="1"/>
  <c r="A2527" i="1"/>
  <c r="B2527" i="1"/>
  <c r="C2527" i="1"/>
  <c r="D2527" i="1"/>
  <c r="A2528" i="1"/>
  <c r="B2528" i="1"/>
  <c r="C2528" i="1"/>
  <c r="D2528" i="1"/>
  <c r="A2529" i="1"/>
  <c r="B2529" i="1"/>
  <c r="C2529" i="1"/>
  <c r="D2529" i="1"/>
  <c r="A2530" i="1"/>
  <c r="B2530" i="1"/>
  <c r="C2530" i="1"/>
  <c r="D2530" i="1"/>
  <c r="A2531" i="1"/>
  <c r="B2531" i="1"/>
  <c r="C2531" i="1"/>
  <c r="D2531" i="1"/>
  <c r="A2532" i="1"/>
  <c r="B2532" i="1"/>
  <c r="C2532" i="1"/>
  <c r="D2532" i="1"/>
  <c r="A2533" i="1"/>
  <c r="B2533" i="1"/>
  <c r="C2533" i="1"/>
  <c r="D2533" i="1"/>
  <c r="A2534" i="1"/>
  <c r="B2534" i="1"/>
  <c r="C2534" i="1"/>
  <c r="D2534" i="1"/>
  <c r="A2535" i="1"/>
  <c r="B2535" i="1"/>
  <c r="C2535" i="1"/>
  <c r="D2535" i="1"/>
  <c r="A2536" i="1"/>
  <c r="B2536" i="1"/>
  <c r="C2536" i="1"/>
  <c r="D2536" i="1"/>
  <c r="A2537" i="1"/>
  <c r="B2537" i="1"/>
  <c r="C2537" i="1"/>
  <c r="D2537" i="1"/>
  <c r="A2538" i="1"/>
  <c r="B2538" i="1"/>
  <c r="C2538" i="1"/>
  <c r="D2538" i="1"/>
  <c r="A2539" i="1"/>
  <c r="B2539" i="1"/>
  <c r="C2539" i="1"/>
  <c r="D2539" i="1"/>
  <c r="A2540" i="1"/>
  <c r="B2540" i="1"/>
  <c r="C2540" i="1"/>
  <c r="D2540" i="1"/>
  <c r="A2541" i="1"/>
  <c r="B2541" i="1"/>
  <c r="C2541" i="1"/>
  <c r="D2541" i="1"/>
  <c r="A2542" i="1"/>
  <c r="B2542" i="1"/>
  <c r="C2542" i="1"/>
  <c r="D2542" i="1"/>
  <c r="A2543" i="1"/>
  <c r="B2543" i="1"/>
  <c r="C2543" i="1"/>
  <c r="D2543" i="1"/>
  <c r="A2544" i="1"/>
  <c r="B2544" i="1"/>
  <c r="C2544" i="1"/>
  <c r="D2544" i="1"/>
  <c r="A2545" i="1"/>
  <c r="B2545" i="1"/>
  <c r="C2545" i="1"/>
  <c r="D2545" i="1"/>
  <c r="A2546" i="1"/>
  <c r="B2546" i="1"/>
  <c r="C2546" i="1"/>
  <c r="D2546" i="1"/>
  <c r="A2547" i="1"/>
  <c r="B2547" i="1"/>
  <c r="C2547" i="1"/>
  <c r="D2547" i="1"/>
  <c r="A2548" i="1"/>
  <c r="B2548" i="1"/>
  <c r="C2548" i="1"/>
  <c r="D2548" i="1"/>
  <c r="A2549" i="1"/>
  <c r="B2549" i="1"/>
  <c r="C2549" i="1"/>
  <c r="D2549" i="1"/>
  <c r="A2550" i="1"/>
  <c r="B2550" i="1"/>
  <c r="C2550" i="1"/>
  <c r="D2550" i="1"/>
  <c r="A2551" i="1"/>
  <c r="B2551" i="1"/>
  <c r="C2551" i="1"/>
  <c r="D2551" i="1"/>
  <c r="A2552" i="1"/>
  <c r="B2552" i="1"/>
  <c r="C2552" i="1"/>
  <c r="D2552" i="1"/>
  <c r="A2553" i="1"/>
  <c r="B2553" i="1"/>
  <c r="C2553" i="1"/>
  <c r="D2553" i="1"/>
  <c r="A2554" i="1"/>
  <c r="B2554" i="1"/>
  <c r="C2554" i="1"/>
  <c r="D2554" i="1"/>
  <c r="A2555" i="1"/>
  <c r="B2555" i="1"/>
  <c r="C2555" i="1"/>
  <c r="D2555" i="1"/>
  <c r="A2556" i="1"/>
  <c r="B2556" i="1"/>
  <c r="C2556" i="1"/>
  <c r="D2556" i="1"/>
  <c r="A2557" i="1"/>
  <c r="B2557" i="1"/>
  <c r="C2557" i="1"/>
  <c r="D2557" i="1"/>
  <c r="A2558" i="1"/>
  <c r="B2558" i="1"/>
  <c r="C2558" i="1"/>
  <c r="D2558" i="1"/>
  <c r="A2559" i="1"/>
  <c r="B2559" i="1"/>
  <c r="C2559" i="1"/>
  <c r="D2559" i="1"/>
  <c r="A2560" i="1"/>
  <c r="B2560" i="1"/>
  <c r="C2560" i="1"/>
  <c r="D2560" i="1"/>
  <c r="A2561" i="1"/>
  <c r="B2561" i="1"/>
  <c r="C2561" i="1"/>
  <c r="D2561" i="1"/>
  <c r="A2562" i="1"/>
  <c r="B2562" i="1"/>
  <c r="C2562" i="1"/>
  <c r="D2562" i="1"/>
  <c r="A2563" i="1"/>
  <c r="B2563" i="1"/>
  <c r="C2563" i="1"/>
  <c r="D2563" i="1"/>
  <c r="A2564" i="1"/>
  <c r="B2564" i="1"/>
  <c r="C2564" i="1"/>
  <c r="D2564" i="1"/>
  <c r="A2565" i="1"/>
  <c r="B2565" i="1"/>
  <c r="C2565" i="1"/>
  <c r="D2565" i="1"/>
  <c r="A2566" i="1"/>
  <c r="B2566" i="1"/>
  <c r="C2566" i="1"/>
  <c r="D2566" i="1"/>
  <c r="A2567" i="1"/>
  <c r="B2567" i="1"/>
  <c r="C2567" i="1"/>
  <c r="D2567" i="1"/>
  <c r="A2568" i="1"/>
  <c r="B2568" i="1"/>
  <c r="C2568" i="1"/>
  <c r="D2568" i="1"/>
  <c r="A2569" i="1"/>
  <c r="B2569" i="1"/>
  <c r="C2569" i="1"/>
  <c r="D2569" i="1"/>
  <c r="A2570" i="1"/>
  <c r="B2570" i="1"/>
  <c r="C2570" i="1"/>
  <c r="D2570" i="1"/>
  <c r="A2571" i="1"/>
  <c r="B2571" i="1"/>
  <c r="C2571" i="1"/>
  <c r="D2571" i="1"/>
  <c r="A2572" i="1"/>
  <c r="B2572" i="1"/>
  <c r="C2572" i="1"/>
  <c r="D2572" i="1"/>
  <c r="A2573" i="1"/>
  <c r="B2573" i="1"/>
  <c r="C2573" i="1"/>
  <c r="D2573" i="1"/>
  <c r="A2574" i="1"/>
  <c r="B2574" i="1"/>
  <c r="C2574" i="1"/>
  <c r="D2574" i="1"/>
  <c r="A2575" i="1"/>
  <c r="B2575" i="1"/>
  <c r="C2575" i="1"/>
  <c r="D2575" i="1"/>
  <c r="A2576" i="1"/>
  <c r="B2576" i="1"/>
  <c r="C2576" i="1"/>
  <c r="D2576" i="1"/>
  <c r="A2577" i="1"/>
  <c r="B2577" i="1"/>
  <c r="C2577" i="1"/>
  <c r="D2577" i="1"/>
  <c r="A2578" i="1"/>
  <c r="B2578" i="1"/>
  <c r="C2578" i="1"/>
  <c r="D2578" i="1"/>
  <c r="A2579" i="1"/>
  <c r="B2579" i="1"/>
  <c r="C2579" i="1"/>
  <c r="D2579" i="1"/>
  <c r="A2580" i="1"/>
  <c r="B2580" i="1"/>
  <c r="C2580" i="1"/>
  <c r="D2580" i="1"/>
  <c r="A2581" i="1"/>
  <c r="B2581" i="1"/>
  <c r="C2581" i="1"/>
  <c r="D2581" i="1"/>
  <c r="A2582" i="1"/>
  <c r="B2582" i="1"/>
  <c r="C2582" i="1"/>
  <c r="D2582" i="1"/>
  <c r="A2583" i="1"/>
  <c r="B2583" i="1"/>
  <c r="C2583" i="1"/>
  <c r="D2583" i="1"/>
  <c r="A2584" i="1"/>
  <c r="B2584" i="1"/>
  <c r="C2584" i="1"/>
  <c r="D2584" i="1"/>
  <c r="A2585" i="1"/>
  <c r="B2585" i="1"/>
  <c r="C2585" i="1"/>
  <c r="D2585" i="1"/>
  <c r="A2586" i="1"/>
  <c r="B2586" i="1"/>
  <c r="C2586" i="1"/>
  <c r="D2586" i="1"/>
  <c r="A2587" i="1"/>
  <c r="B2587" i="1"/>
  <c r="C2587" i="1"/>
  <c r="D2587" i="1"/>
  <c r="A2588" i="1"/>
  <c r="B2588" i="1"/>
  <c r="C2588" i="1"/>
  <c r="D2588" i="1"/>
  <c r="A2589" i="1"/>
  <c r="B2589" i="1"/>
  <c r="C2589" i="1"/>
  <c r="D2589" i="1"/>
  <c r="A2590" i="1"/>
  <c r="B2590" i="1"/>
  <c r="C2590" i="1"/>
  <c r="D2590" i="1"/>
  <c r="A2591" i="1"/>
  <c r="B2591" i="1"/>
  <c r="C2591" i="1"/>
  <c r="D2591" i="1"/>
  <c r="A2592" i="1"/>
  <c r="B2592" i="1"/>
  <c r="C2592" i="1"/>
  <c r="D2592" i="1"/>
  <c r="A2593" i="1"/>
  <c r="B2593" i="1"/>
  <c r="C2593" i="1"/>
  <c r="D2593" i="1"/>
  <c r="A2594" i="1"/>
  <c r="B2594" i="1"/>
  <c r="C2594" i="1"/>
  <c r="D2594" i="1"/>
  <c r="A2595" i="1"/>
  <c r="B2595" i="1"/>
  <c r="C2595" i="1"/>
  <c r="D2595" i="1"/>
  <c r="A2596" i="1"/>
  <c r="B2596" i="1"/>
  <c r="C2596" i="1"/>
  <c r="D2596" i="1"/>
  <c r="A2597" i="1"/>
  <c r="B2597" i="1"/>
  <c r="C2597" i="1"/>
  <c r="D2597" i="1"/>
  <c r="A2598" i="1"/>
  <c r="B2598" i="1"/>
  <c r="C2598" i="1"/>
  <c r="D2598" i="1"/>
  <c r="A2599" i="1"/>
  <c r="B2599" i="1"/>
  <c r="C2599" i="1"/>
  <c r="D2599" i="1"/>
  <c r="A2600" i="1"/>
  <c r="B2600" i="1"/>
  <c r="C2600" i="1"/>
  <c r="D2600" i="1"/>
  <c r="A2601" i="1"/>
  <c r="B2601" i="1"/>
  <c r="C2601" i="1"/>
  <c r="D2601" i="1"/>
  <c r="A2602" i="1"/>
  <c r="B2602" i="1"/>
  <c r="C2602" i="1"/>
  <c r="D2602" i="1"/>
  <c r="A2603" i="1"/>
  <c r="B2603" i="1"/>
  <c r="C2603" i="1"/>
  <c r="D2603" i="1"/>
  <c r="A2604" i="1"/>
  <c r="B2604" i="1"/>
  <c r="C2604" i="1"/>
  <c r="D2604" i="1"/>
  <c r="A2605" i="1"/>
  <c r="B2605" i="1"/>
  <c r="C2605" i="1"/>
  <c r="D2605" i="1"/>
  <c r="A2606" i="1"/>
  <c r="B2606" i="1"/>
  <c r="C2606" i="1"/>
  <c r="D2606" i="1"/>
  <c r="A2607" i="1"/>
  <c r="B2607" i="1"/>
  <c r="C2607" i="1"/>
  <c r="D2607" i="1"/>
  <c r="A2608" i="1"/>
  <c r="B2608" i="1"/>
  <c r="C2608" i="1"/>
  <c r="D2608" i="1"/>
  <c r="A2609" i="1"/>
  <c r="B2609" i="1"/>
  <c r="C2609" i="1"/>
  <c r="D2609" i="1"/>
  <c r="A2610" i="1"/>
  <c r="B2610" i="1"/>
  <c r="C2610" i="1"/>
  <c r="D2610" i="1"/>
  <c r="A2611" i="1"/>
  <c r="B2611" i="1"/>
  <c r="C2611" i="1"/>
  <c r="D2611" i="1"/>
  <c r="A2612" i="1"/>
  <c r="B2612" i="1"/>
  <c r="C2612" i="1"/>
  <c r="D2612" i="1"/>
  <c r="A2613" i="1"/>
  <c r="B2613" i="1"/>
  <c r="C2613" i="1"/>
  <c r="D2613" i="1"/>
  <c r="A2614" i="1"/>
  <c r="B2614" i="1"/>
  <c r="C2614" i="1"/>
  <c r="D2614" i="1"/>
  <c r="A2615" i="1"/>
  <c r="B2615" i="1"/>
  <c r="C2615" i="1"/>
  <c r="D2615" i="1"/>
  <c r="A2616" i="1"/>
  <c r="B2616" i="1"/>
  <c r="C2616" i="1"/>
  <c r="D2616" i="1"/>
  <c r="A2617" i="1"/>
  <c r="B2617" i="1"/>
  <c r="C2617" i="1"/>
  <c r="D2617" i="1"/>
  <c r="A2618" i="1"/>
  <c r="B2618" i="1"/>
  <c r="C2618" i="1"/>
  <c r="D2618" i="1"/>
  <c r="A2619" i="1"/>
  <c r="B2619" i="1"/>
  <c r="C2619" i="1"/>
  <c r="D2619" i="1"/>
  <c r="A2620" i="1"/>
  <c r="B2620" i="1"/>
  <c r="C2620" i="1"/>
  <c r="D2620" i="1"/>
  <c r="A2621" i="1"/>
  <c r="B2621" i="1"/>
  <c r="C2621" i="1"/>
  <c r="D2621" i="1"/>
  <c r="A2622" i="1"/>
  <c r="B2622" i="1"/>
  <c r="C2622" i="1"/>
  <c r="D2622" i="1"/>
  <c r="A2623" i="1"/>
  <c r="B2623" i="1"/>
  <c r="C2623" i="1"/>
  <c r="D2623" i="1"/>
  <c r="A2624" i="1"/>
  <c r="B2624" i="1"/>
  <c r="C2624" i="1"/>
  <c r="D2624" i="1"/>
  <c r="A2625" i="1"/>
  <c r="B2625" i="1"/>
  <c r="C2625" i="1"/>
  <c r="D2625" i="1"/>
  <c r="A2626" i="1"/>
  <c r="B2626" i="1"/>
  <c r="C2626" i="1"/>
  <c r="D2626" i="1"/>
  <c r="A2627" i="1"/>
  <c r="B2627" i="1"/>
  <c r="C2627" i="1"/>
  <c r="D2627" i="1"/>
  <c r="A2628" i="1"/>
  <c r="B2628" i="1"/>
  <c r="C2628" i="1"/>
  <c r="D2628" i="1"/>
  <c r="A2629" i="1"/>
  <c r="B2629" i="1"/>
  <c r="C2629" i="1"/>
  <c r="D2629" i="1"/>
  <c r="A2630" i="1"/>
  <c r="B2630" i="1"/>
  <c r="C2630" i="1"/>
  <c r="D2630" i="1"/>
  <c r="A2631" i="1"/>
  <c r="B2631" i="1"/>
  <c r="C2631" i="1"/>
  <c r="D2631" i="1"/>
  <c r="A2632" i="1"/>
  <c r="B2632" i="1"/>
  <c r="C2632" i="1"/>
  <c r="D2632" i="1"/>
  <c r="A2633" i="1"/>
  <c r="B2633" i="1"/>
  <c r="C2633" i="1"/>
  <c r="D2633" i="1"/>
  <c r="A2634" i="1"/>
  <c r="B2634" i="1"/>
  <c r="C2634" i="1"/>
  <c r="D2634" i="1"/>
  <c r="A2635" i="1"/>
  <c r="B2635" i="1"/>
  <c r="C2635" i="1"/>
  <c r="D2635" i="1"/>
  <c r="A2636" i="1"/>
  <c r="B2636" i="1"/>
  <c r="C2636" i="1"/>
  <c r="D2636" i="1"/>
  <c r="A2637" i="1"/>
  <c r="B2637" i="1"/>
  <c r="C2637" i="1"/>
  <c r="D2637" i="1"/>
  <c r="A2638" i="1"/>
  <c r="B2638" i="1"/>
  <c r="C2638" i="1"/>
  <c r="D2638" i="1"/>
  <c r="A2639" i="1"/>
  <c r="B2639" i="1"/>
  <c r="C2639" i="1"/>
  <c r="D2639" i="1"/>
  <c r="A2640" i="1"/>
  <c r="B2640" i="1"/>
  <c r="C2640" i="1"/>
  <c r="D2640" i="1"/>
  <c r="A2641" i="1"/>
  <c r="B2641" i="1"/>
  <c r="C2641" i="1"/>
  <c r="D2641" i="1"/>
  <c r="A2642" i="1"/>
  <c r="B2642" i="1"/>
  <c r="C2642" i="1"/>
  <c r="D2642" i="1"/>
  <c r="A2643" i="1"/>
  <c r="B2643" i="1"/>
  <c r="C2643" i="1"/>
  <c r="D2643" i="1"/>
  <c r="A2644" i="1"/>
  <c r="B2644" i="1"/>
  <c r="C2644" i="1"/>
  <c r="D2644" i="1"/>
  <c r="A2645" i="1"/>
  <c r="B2645" i="1"/>
  <c r="C2645" i="1"/>
  <c r="D2645" i="1"/>
  <c r="A2646" i="1"/>
  <c r="B2646" i="1"/>
  <c r="C2646" i="1"/>
  <c r="D2646" i="1"/>
  <c r="A2647" i="1"/>
  <c r="B2647" i="1"/>
  <c r="C2647" i="1"/>
  <c r="D2647" i="1"/>
  <c r="A2648" i="1"/>
  <c r="B2648" i="1"/>
  <c r="C2648" i="1"/>
  <c r="D2648" i="1"/>
  <c r="A2649" i="1"/>
  <c r="B2649" i="1"/>
  <c r="C2649" i="1"/>
  <c r="D2649" i="1"/>
  <c r="A2650" i="1"/>
  <c r="B2650" i="1"/>
  <c r="C2650" i="1"/>
  <c r="D2650" i="1"/>
  <c r="A2651" i="1"/>
  <c r="B2651" i="1"/>
  <c r="C2651" i="1"/>
  <c r="D2651" i="1"/>
  <c r="A2652" i="1"/>
  <c r="B2652" i="1"/>
  <c r="C2652" i="1"/>
  <c r="D2652" i="1"/>
  <c r="A2653" i="1"/>
  <c r="B2653" i="1"/>
  <c r="C2653" i="1"/>
  <c r="D2653" i="1"/>
  <c r="A2654" i="1"/>
  <c r="B2654" i="1"/>
  <c r="C2654" i="1"/>
  <c r="D2654" i="1"/>
  <c r="A2655" i="1"/>
  <c r="B2655" i="1"/>
  <c r="C2655" i="1"/>
  <c r="D2655" i="1"/>
  <c r="A2656" i="1"/>
  <c r="B2656" i="1"/>
  <c r="C2656" i="1"/>
  <c r="D2656" i="1"/>
  <c r="A2657" i="1"/>
  <c r="B2657" i="1"/>
  <c r="C2657" i="1"/>
  <c r="D2657" i="1"/>
  <c r="A2658" i="1"/>
  <c r="B2658" i="1"/>
  <c r="C2658" i="1"/>
  <c r="D2658" i="1"/>
  <c r="A2659" i="1"/>
  <c r="B2659" i="1"/>
  <c r="C2659" i="1"/>
  <c r="D2659" i="1"/>
  <c r="A2660" i="1"/>
  <c r="B2660" i="1"/>
  <c r="C2660" i="1"/>
  <c r="D2660" i="1"/>
  <c r="A2661" i="1"/>
  <c r="B2661" i="1"/>
  <c r="C2661" i="1"/>
  <c r="D2661" i="1"/>
  <c r="A2662" i="1"/>
  <c r="B2662" i="1"/>
  <c r="C2662" i="1"/>
  <c r="D2662" i="1"/>
  <c r="A2663" i="1"/>
  <c r="B2663" i="1"/>
  <c r="C2663" i="1"/>
  <c r="D2663" i="1"/>
  <c r="A2664" i="1"/>
  <c r="B2664" i="1"/>
  <c r="C2664" i="1"/>
  <c r="D2664" i="1"/>
  <c r="A2665" i="1"/>
  <c r="B2665" i="1"/>
  <c r="C2665" i="1"/>
  <c r="D2665" i="1"/>
  <c r="A2666" i="1"/>
  <c r="B2666" i="1"/>
  <c r="C2666" i="1"/>
  <c r="D2666" i="1"/>
  <c r="A2667" i="1"/>
  <c r="B2667" i="1"/>
  <c r="C2667" i="1"/>
  <c r="D2667" i="1"/>
  <c r="A2668" i="1"/>
  <c r="B2668" i="1"/>
  <c r="C2668" i="1"/>
  <c r="D2668" i="1"/>
  <c r="A2669" i="1"/>
  <c r="B2669" i="1"/>
  <c r="C2669" i="1"/>
  <c r="D2669" i="1"/>
  <c r="A2670" i="1"/>
  <c r="B2670" i="1"/>
  <c r="C2670" i="1"/>
  <c r="D2670" i="1"/>
  <c r="A2671" i="1"/>
  <c r="B2671" i="1"/>
  <c r="C2671" i="1"/>
  <c r="D2671" i="1"/>
  <c r="A2672" i="1"/>
  <c r="B2672" i="1"/>
  <c r="C2672" i="1"/>
  <c r="D2672" i="1"/>
  <c r="A2673" i="1"/>
  <c r="B2673" i="1"/>
  <c r="C2673" i="1"/>
  <c r="D2673" i="1"/>
  <c r="A2674" i="1"/>
  <c r="B2674" i="1"/>
  <c r="C2674" i="1"/>
  <c r="D2674" i="1"/>
  <c r="A2675" i="1"/>
  <c r="B2675" i="1"/>
  <c r="C2675" i="1"/>
  <c r="D2675" i="1"/>
  <c r="A2676" i="1"/>
  <c r="B2676" i="1"/>
  <c r="C2676" i="1"/>
  <c r="D2676" i="1"/>
  <c r="A2677" i="1"/>
  <c r="B2677" i="1"/>
  <c r="C2677" i="1"/>
  <c r="D2677" i="1"/>
  <c r="A2678" i="1"/>
  <c r="B2678" i="1"/>
  <c r="C2678" i="1"/>
  <c r="D2678" i="1"/>
  <c r="A2679" i="1"/>
  <c r="B2679" i="1"/>
  <c r="C2679" i="1"/>
  <c r="D2679" i="1"/>
  <c r="A2680" i="1"/>
  <c r="B2680" i="1"/>
  <c r="C2680" i="1"/>
  <c r="D2680" i="1"/>
  <c r="A2681" i="1"/>
  <c r="B2681" i="1"/>
  <c r="C2681" i="1"/>
  <c r="D2681" i="1"/>
  <c r="A2682" i="1"/>
  <c r="B2682" i="1"/>
  <c r="C2682" i="1"/>
  <c r="D2682" i="1"/>
  <c r="A2683" i="1"/>
  <c r="B2683" i="1"/>
  <c r="C2683" i="1"/>
  <c r="D2683" i="1"/>
  <c r="A2684" i="1"/>
  <c r="B2684" i="1"/>
  <c r="C2684" i="1"/>
  <c r="D2684" i="1"/>
  <c r="A2685" i="1"/>
  <c r="B2685" i="1"/>
  <c r="C2685" i="1"/>
  <c r="D2685" i="1"/>
  <c r="A2686" i="1"/>
  <c r="B2686" i="1"/>
  <c r="C2686" i="1"/>
  <c r="D2686" i="1"/>
  <c r="A2687" i="1"/>
  <c r="B2687" i="1"/>
  <c r="C2687" i="1"/>
  <c r="D2687" i="1"/>
  <c r="A2688" i="1"/>
  <c r="B2688" i="1"/>
  <c r="C2688" i="1"/>
  <c r="D2688" i="1"/>
  <c r="A2689" i="1"/>
  <c r="B2689" i="1"/>
  <c r="C2689" i="1"/>
  <c r="D2689" i="1"/>
  <c r="A2690" i="1"/>
  <c r="B2690" i="1"/>
  <c r="C2690" i="1"/>
  <c r="D2690" i="1"/>
  <c r="A2691" i="1"/>
  <c r="B2691" i="1"/>
  <c r="C2691" i="1"/>
  <c r="D2691" i="1"/>
  <c r="A2692" i="1"/>
  <c r="B2692" i="1"/>
  <c r="C2692" i="1"/>
  <c r="D2692" i="1"/>
  <c r="A2693" i="1"/>
  <c r="B2693" i="1"/>
  <c r="C2693" i="1"/>
  <c r="D2693" i="1"/>
  <c r="A2694" i="1"/>
  <c r="B2694" i="1"/>
  <c r="C2694" i="1"/>
  <c r="D2694" i="1"/>
  <c r="A2695" i="1"/>
  <c r="B2695" i="1"/>
  <c r="C2695" i="1"/>
  <c r="D2695" i="1"/>
  <c r="A2696" i="1"/>
  <c r="B2696" i="1"/>
  <c r="C2696" i="1"/>
  <c r="D2696" i="1"/>
  <c r="A2697" i="1"/>
  <c r="B2697" i="1"/>
  <c r="C2697" i="1"/>
  <c r="D2697" i="1"/>
  <c r="A2698" i="1"/>
  <c r="B2698" i="1"/>
  <c r="C2698" i="1"/>
  <c r="D2698" i="1"/>
  <c r="A2699" i="1"/>
  <c r="B2699" i="1"/>
  <c r="C2699" i="1"/>
  <c r="D2699" i="1"/>
  <c r="A2700" i="1"/>
  <c r="B2700" i="1"/>
  <c r="C2700" i="1"/>
  <c r="D2700" i="1"/>
  <c r="A2701" i="1"/>
  <c r="B2701" i="1"/>
  <c r="C2701" i="1"/>
  <c r="D2701" i="1"/>
  <c r="A2702" i="1"/>
  <c r="B2702" i="1"/>
  <c r="C2702" i="1"/>
  <c r="D2702" i="1"/>
  <c r="A2703" i="1"/>
  <c r="B2703" i="1"/>
  <c r="C2703" i="1"/>
  <c r="D2703" i="1"/>
  <c r="A2704" i="1"/>
  <c r="B2704" i="1"/>
  <c r="C2704" i="1"/>
  <c r="D2704" i="1"/>
  <c r="A2705" i="1"/>
  <c r="B2705" i="1"/>
  <c r="C2705" i="1"/>
  <c r="D2705" i="1"/>
  <c r="A2706" i="1"/>
  <c r="B2706" i="1"/>
  <c r="C2706" i="1"/>
  <c r="D2706" i="1"/>
  <c r="A2707" i="1"/>
  <c r="B2707" i="1"/>
  <c r="C2707" i="1"/>
  <c r="D2707" i="1"/>
  <c r="A2708" i="1"/>
  <c r="B2708" i="1"/>
  <c r="C2708" i="1"/>
  <c r="D2708" i="1"/>
  <c r="A2709" i="1"/>
  <c r="B2709" i="1"/>
  <c r="C2709" i="1"/>
  <c r="D2709" i="1"/>
  <c r="A2710" i="1"/>
  <c r="B2710" i="1"/>
  <c r="C2710" i="1"/>
  <c r="D2710" i="1"/>
  <c r="A2711" i="1"/>
  <c r="B2711" i="1"/>
  <c r="C2711" i="1"/>
  <c r="D2711" i="1"/>
  <c r="A2712" i="1"/>
  <c r="B2712" i="1"/>
  <c r="C2712" i="1"/>
  <c r="D2712" i="1"/>
  <c r="A2713" i="1"/>
  <c r="B2713" i="1"/>
  <c r="C2713" i="1"/>
  <c r="D2713" i="1"/>
  <c r="A2714" i="1"/>
  <c r="B2714" i="1"/>
  <c r="C2714" i="1"/>
  <c r="D2714" i="1"/>
  <c r="A2715" i="1"/>
  <c r="B2715" i="1"/>
  <c r="C2715" i="1"/>
  <c r="D2715" i="1"/>
  <c r="A2716" i="1"/>
  <c r="B2716" i="1"/>
  <c r="C2716" i="1"/>
  <c r="D2716" i="1"/>
  <c r="A2717" i="1"/>
  <c r="B2717" i="1"/>
  <c r="C2717" i="1"/>
  <c r="D2717" i="1"/>
  <c r="A2718" i="1"/>
  <c r="B2718" i="1"/>
  <c r="C2718" i="1"/>
  <c r="D2718" i="1"/>
  <c r="A2719" i="1"/>
  <c r="B2719" i="1"/>
  <c r="C2719" i="1"/>
  <c r="D2719" i="1"/>
  <c r="A2720" i="1"/>
  <c r="B2720" i="1"/>
  <c r="C2720" i="1"/>
  <c r="D2720" i="1"/>
  <c r="A2721" i="1"/>
  <c r="B2721" i="1"/>
  <c r="C2721" i="1"/>
  <c r="D2721" i="1"/>
  <c r="A2722" i="1"/>
  <c r="B2722" i="1"/>
  <c r="C2722" i="1"/>
  <c r="D2722" i="1"/>
  <c r="A2723" i="1"/>
  <c r="B2723" i="1"/>
  <c r="C2723" i="1"/>
  <c r="D2723" i="1"/>
  <c r="A2724" i="1"/>
  <c r="B2724" i="1"/>
  <c r="C2724" i="1"/>
  <c r="D2724" i="1"/>
  <c r="A2725" i="1"/>
  <c r="B2725" i="1"/>
  <c r="C2725" i="1"/>
  <c r="D2725" i="1"/>
  <c r="A2726" i="1"/>
  <c r="B2726" i="1"/>
  <c r="C2726" i="1"/>
  <c r="D2726" i="1"/>
  <c r="A2727" i="1"/>
  <c r="B2727" i="1"/>
  <c r="C2727" i="1"/>
  <c r="D2727" i="1"/>
  <c r="A2728" i="1"/>
  <c r="B2728" i="1"/>
  <c r="C2728" i="1"/>
  <c r="D2728" i="1"/>
  <c r="A2729" i="1"/>
  <c r="B2729" i="1"/>
  <c r="C2729" i="1"/>
  <c r="D2729" i="1"/>
  <c r="A2730" i="1"/>
  <c r="B2730" i="1"/>
  <c r="C2730" i="1"/>
  <c r="D2730" i="1"/>
  <c r="A2731" i="1"/>
  <c r="B2731" i="1"/>
  <c r="C2731" i="1"/>
  <c r="D2731" i="1"/>
  <c r="A2732" i="1"/>
  <c r="B2732" i="1"/>
  <c r="C2732" i="1"/>
  <c r="D2732" i="1"/>
  <c r="A2733" i="1"/>
  <c r="B2733" i="1"/>
  <c r="C2733" i="1"/>
  <c r="D2733" i="1"/>
  <c r="A2734" i="1"/>
  <c r="B2734" i="1"/>
  <c r="C2734" i="1"/>
  <c r="D2734" i="1"/>
  <c r="A2735" i="1"/>
  <c r="B2735" i="1"/>
  <c r="C2735" i="1"/>
  <c r="D2735" i="1"/>
  <c r="A2736" i="1"/>
  <c r="B2736" i="1"/>
  <c r="C2736" i="1"/>
  <c r="D2736" i="1"/>
  <c r="A2737" i="1"/>
  <c r="B2737" i="1"/>
  <c r="C2737" i="1"/>
  <c r="D2737" i="1"/>
  <c r="A2738" i="1"/>
  <c r="B2738" i="1"/>
  <c r="C2738" i="1"/>
  <c r="D2738" i="1"/>
  <c r="A2739" i="1"/>
  <c r="B2739" i="1"/>
  <c r="C2739" i="1"/>
  <c r="D2739" i="1"/>
  <c r="A2740" i="1"/>
  <c r="B2740" i="1"/>
  <c r="C2740" i="1"/>
  <c r="D2740" i="1"/>
  <c r="A2741" i="1"/>
  <c r="B2741" i="1"/>
  <c r="C2741" i="1"/>
  <c r="D2741" i="1"/>
  <c r="A2742" i="1"/>
  <c r="B2742" i="1"/>
  <c r="C2742" i="1"/>
  <c r="D2742" i="1"/>
  <c r="A2743" i="1"/>
  <c r="B2743" i="1"/>
  <c r="C2743" i="1"/>
  <c r="D2743" i="1"/>
  <c r="A2744" i="1"/>
  <c r="B2744" i="1"/>
  <c r="C2744" i="1"/>
  <c r="D2744" i="1"/>
  <c r="A2745" i="1"/>
  <c r="B2745" i="1"/>
  <c r="C2745" i="1"/>
  <c r="D2745" i="1"/>
  <c r="A2746" i="1"/>
  <c r="B2746" i="1"/>
  <c r="C2746" i="1"/>
  <c r="D2746" i="1"/>
  <c r="A2747" i="1"/>
  <c r="B2747" i="1"/>
  <c r="C2747" i="1"/>
  <c r="D2747" i="1"/>
  <c r="A2748" i="1"/>
  <c r="B2748" i="1"/>
  <c r="C2748" i="1"/>
  <c r="D2748" i="1"/>
  <c r="A2749" i="1"/>
  <c r="B2749" i="1"/>
  <c r="C2749" i="1"/>
  <c r="D2749" i="1"/>
  <c r="A2750" i="1"/>
  <c r="B2750" i="1"/>
  <c r="C2750" i="1"/>
  <c r="D2750" i="1"/>
  <c r="A2751" i="1"/>
  <c r="B2751" i="1"/>
  <c r="C2751" i="1"/>
  <c r="D2751" i="1"/>
  <c r="A2752" i="1"/>
  <c r="B2752" i="1"/>
  <c r="C2752" i="1"/>
  <c r="D2752" i="1"/>
  <c r="A2753" i="1"/>
  <c r="B2753" i="1"/>
  <c r="C2753" i="1"/>
  <c r="D2753" i="1"/>
  <c r="A2754" i="1"/>
  <c r="B2754" i="1"/>
  <c r="C2754" i="1"/>
  <c r="D2754" i="1"/>
  <c r="A2755" i="1"/>
  <c r="B2755" i="1"/>
  <c r="C2755" i="1"/>
  <c r="D2755" i="1"/>
  <c r="A2756" i="1"/>
  <c r="B2756" i="1"/>
  <c r="C2756" i="1"/>
  <c r="D2756" i="1"/>
  <c r="A2757" i="1"/>
  <c r="B2757" i="1"/>
  <c r="C2757" i="1"/>
  <c r="D2757" i="1"/>
  <c r="A2758" i="1"/>
  <c r="B2758" i="1"/>
  <c r="C2758" i="1"/>
  <c r="D2758" i="1"/>
  <c r="A2759" i="1"/>
  <c r="B2759" i="1"/>
  <c r="C2759" i="1"/>
  <c r="D2759" i="1"/>
  <c r="A2760" i="1"/>
  <c r="B2760" i="1"/>
  <c r="C2760" i="1"/>
  <c r="D2760" i="1"/>
  <c r="A2761" i="1"/>
  <c r="B2761" i="1"/>
  <c r="C2761" i="1"/>
  <c r="D2761" i="1"/>
  <c r="A2762" i="1"/>
  <c r="B2762" i="1"/>
  <c r="C2762" i="1"/>
  <c r="D2762" i="1"/>
  <c r="A2763" i="1"/>
  <c r="B2763" i="1"/>
  <c r="C2763" i="1"/>
  <c r="D2763" i="1"/>
  <c r="A2764" i="1"/>
  <c r="B2764" i="1"/>
  <c r="C2764" i="1"/>
  <c r="D2764" i="1"/>
  <c r="A2765" i="1"/>
  <c r="B2765" i="1"/>
  <c r="C2765" i="1"/>
  <c r="D2765" i="1"/>
  <c r="A2766" i="1"/>
  <c r="B2766" i="1"/>
  <c r="C2766" i="1"/>
  <c r="D2766" i="1"/>
  <c r="A2767" i="1"/>
  <c r="B2767" i="1"/>
  <c r="C2767" i="1"/>
  <c r="D2767" i="1"/>
  <c r="A2768" i="1"/>
  <c r="B2768" i="1"/>
  <c r="C2768" i="1"/>
  <c r="D2768" i="1"/>
  <c r="A2769" i="1"/>
  <c r="B2769" i="1"/>
  <c r="C2769" i="1"/>
  <c r="D2769" i="1"/>
  <c r="A2770" i="1"/>
  <c r="B2770" i="1"/>
  <c r="C2770" i="1"/>
  <c r="D2770" i="1"/>
  <c r="A2771" i="1"/>
  <c r="B2771" i="1"/>
  <c r="C2771" i="1"/>
  <c r="D2771" i="1"/>
  <c r="A2772" i="1"/>
  <c r="B2772" i="1"/>
  <c r="C2772" i="1"/>
  <c r="D2772" i="1"/>
  <c r="A2773" i="1"/>
  <c r="B2773" i="1"/>
  <c r="C2773" i="1"/>
  <c r="D2773" i="1"/>
  <c r="A2774" i="1"/>
  <c r="B2774" i="1"/>
  <c r="C2774" i="1"/>
  <c r="D2774" i="1"/>
  <c r="A2775" i="1"/>
  <c r="B2775" i="1"/>
  <c r="C2775" i="1"/>
  <c r="D2775" i="1"/>
  <c r="A2776" i="1"/>
  <c r="B2776" i="1"/>
  <c r="C2776" i="1"/>
  <c r="D2776" i="1"/>
  <c r="A2777" i="1"/>
  <c r="B2777" i="1"/>
  <c r="C2777" i="1"/>
  <c r="D2777" i="1"/>
  <c r="A2778" i="1"/>
  <c r="B2778" i="1"/>
  <c r="C2778" i="1"/>
  <c r="D2778" i="1"/>
  <c r="A2779" i="1"/>
  <c r="B2779" i="1"/>
  <c r="C2779" i="1"/>
  <c r="D2779" i="1"/>
  <c r="A2780" i="1"/>
  <c r="B2780" i="1"/>
  <c r="C2780" i="1"/>
  <c r="D2780" i="1"/>
  <c r="A2781" i="1"/>
  <c r="B2781" i="1"/>
  <c r="C2781" i="1"/>
  <c r="D2781" i="1"/>
  <c r="A2782" i="1"/>
  <c r="B2782" i="1"/>
  <c r="C2782" i="1"/>
  <c r="D2782" i="1"/>
  <c r="A2783" i="1"/>
  <c r="B2783" i="1"/>
  <c r="C2783" i="1"/>
  <c r="D2783" i="1"/>
  <c r="A2784" i="1"/>
  <c r="B2784" i="1"/>
  <c r="C2784" i="1"/>
  <c r="D2784" i="1"/>
  <c r="A2785" i="1"/>
  <c r="B2785" i="1"/>
  <c r="C2785" i="1"/>
  <c r="D2785" i="1"/>
  <c r="A2786" i="1"/>
  <c r="B2786" i="1"/>
  <c r="C2786" i="1"/>
  <c r="D2786" i="1"/>
  <c r="A2787" i="1"/>
  <c r="B2787" i="1"/>
  <c r="C2787" i="1"/>
  <c r="D2787" i="1"/>
  <c r="A2788" i="1"/>
  <c r="B2788" i="1"/>
  <c r="C2788" i="1"/>
  <c r="D2788" i="1"/>
  <c r="A2789" i="1"/>
  <c r="B2789" i="1"/>
  <c r="C2789" i="1"/>
  <c r="D2789" i="1"/>
  <c r="A2790" i="1"/>
  <c r="B2790" i="1"/>
  <c r="C2790" i="1"/>
  <c r="D2790" i="1"/>
  <c r="A2791" i="1"/>
  <c r="B2791" i="1"/>
  <c r="C2791" i="1"/>
  <c r="D2791" i="1"/>
  <c r="A2792" i="1"/>
  <c r="B2792" i="1"/>
  <c r="C2792" i="1"/>
  <c r="D2792" i="1"/>
  <c r="A2793" i="1"/>
  <c r="B2793" i="1"/>
  <c r="C2793" i="1"/>
  <c r="D2793" i="1"/>
  <c r="A2794" i="1"/>
  <c r="B2794" i="1"/>
  <c r="C2794" i="1"/>
  <c r="D2794" i="1"/>
  <c r="A2795" i="1"/>
  <c r="B2795" i="1"/>
  <c r="C2795" i="1"/>
  <c r="D2795" i="1"/>
  <c r="A2796" i="1"/>
  <c r="B2796" i="1"/>
  <c r="C2796" i="1"/>
  <c r="D2796" i="1"/>
  <c r="A2797" i="1"/>
  <c r="B2797" i="1"/>
  <c r="C2797" i="1"/>
  <c r="D2797" i="1"/>
  <c r="A2798" i="1"/>
  <c r="B2798" i="1"/>
  <c r="C2798" i="1"/>
  <c r="D2798" i="1"/>
  <c r="A2799" i="1"/>
  <c r="B2799" i="1"/>
  <c r="C2799" i="1"/>
  <c r="D2799" i="1"/>
  <c r="A2800" i="1"/>
  <c r="B2800" i="1"/>
  <c r="C2800" i="1"/>
  <c r="D2800" i="1"/>
  <c r="A2801" i="1"/>
  <c r="B2801" i="1"/>
  <c r="C2801" i="1"/>
  <c r="D2801" i="1"/>
  <c r="A2802" i="1"/>
  <c r="B2802" i="1"/>
  <c r="C2802" i="1"/>
  <c r="D2802" i="1"/>
  <c r="A2803" i="1"/>
  <c r="B2803" i="1"/>
  <c r="C2803" i="1"/>
  <c r="D2803" i="1"/>
  <c r="A2804" i="1"/>
  <c r="B2804" i="1"/>
  <c r="C2804" i="1"/>
  <c r="D2804" i="1"/>
  <c r="A2805" i="1"/>
  <c r="B2805" i="1"/>
  <c r="C2805" i="1"/>
  <c r="D2805" i="1"/>
  <c r="A2806" i="1"/>
  <c r="B2806" i="1"/>
  <c r="C2806" i="1"/>
  <c r="D2806" i="1"/>
  <c r="A2807" i="1"/>
  <c r="B2807" i="1"/>
  <c r="C2807" i="1"/>
  <c r="D2807" i="1"/>
  <c r="A2808" i="1"/>
  <c r="B2808" i="1"/>
  <c r="C2808" i="1"/>
  <c r="D2808" i="1"/>
  <c r="A2809" i="1"/>
  <c r="B2809" i="1"/>
  <c r="C2809" i="1"/>
  <c r="D2809" i="1"/>
  <c r="A2810" i="1"/>
  <c r="B2810" i="1"/>
  <c r="C2810" i="1"/>
  <c r="D2810" i="1"/>
  <c r="A2811" i="1"/>
  <c r="B2811" i="1"/>
  <c r="C2811" i="1"/>
  <c r="D2811" i="1"/>
  <c r="A2812" i="1"/>
  <c r="B2812" i="1"/>
  <c r="C2812" i="1"/>
  <c r="D2812" i="1"/>
  <c r="A2813" i="1"/>
  <c r="B2813" i="1"/>
  <c r="C2813" i="1"/>
  <c r="D2813" i="1"/>
  <c r="A2814" i="1"/>
  <c r="B2814" i="1"/>
  <c r="C2814" i="1"/>
  <c r="D2814" i="1"/>
  <c r="A2815" i="1"/>
  <c r="B2815" i="1"/>
  <c r="C2815" i="1"/>
  <c r="D2815" i="1"/>
  <c r="A2816" i="1"/>
  <c r="B2816" i="1"/>
  <c r="C2816" i="1"/>
  <c r="D2816" i="1"/>
  <c r="A2817" i="1"/>
  <c r="B2817" i="1"/>
  <c r="C2817" i="1"/>
  <c r="D2817" i="1"/>
  <c r="A2818" i="1"/>
  <c r="B2818" i="1"/>
  <c r="C2818" i="1"/>
  <c r="D2818" i="1"/>
  <c r="A2819" i="1"/>
  <c r="B2819" i="1"/>
  <c r="C2819" i="1"/>
  <c r="D2819" i="1"/>
  <c r="A2820" i="1"/>
  <c r="B2820" i="1"/>
  <c r="C2820" i="1"/>
  <c r="D2820" i="1"/>
  <c r="A2821" i="1"/>
  <c r="B2821" i="1"/>
  <c r="C2821" i="1"/>
  <c r="D2821" i="1"/>
  <c r="A2822" i="1"/>
  <c r="B2822" i="1"/>
  <c r="C2822" i="1"/>
  <c r="D2822" i="1"/>
  <c r="A2823" i="1"/>
  <c r="B2823" i="1"/>
  <c r="C2823" i="1"/>
  <c r="D2823" i="1"/>
  <c r="A2824" i="1"/>
  <c r="B2824" i="1"/>
  <c r="C2824" i="1"/>
  <c r="D2824" i="1"/>
  <c r="A2825" i="1"/>
  <c r="B2825" i="1"/>
  <c r="C2825" i="1"/>
  <c r="D2825" i="1"/>
  <c r="A2826" i="1"/>
  <c r="B2826" i="1"/>
  <c r="C2826" i="1"/>
  <c r="D2826" i="1"/>
  <c r="A2827" i="1"/>
  <c r="B2827" i="1"/>
  <c r="C2827" i="1"/>
  <c r="D2827" i="1"/>
  <c r="A2828" i="1"/>
  <c r="B2828" i="1"/>
  <c r="C2828" i="1"/>
  <c r="D2828" i="1"/>
  <c r="A2829" i="1"/>
  <c r="B2829" i="1"/>
  <c r="C2829" i="1"/>
  <c r="D2829" i="1"/>
  <c r="A2830" i="1"/>
  <c r="B2830" i="1"/>
  <c r="C2830" i="1"/>
  <c r="D2830" i="1"/>
  <c r="A2831" i="1"/>
  <c r="B2831" i="1"/>
  <c r="C2831" i="1"/>
  <c r="D2831" i="1"/>
  <c r="A2832" i="1"/>
  <c r="B2832" i="1"/>
  <c r="C2832" i="1"/>
  <c r="D2832" i="1"/>
  <c r="A2833" i="1"/>
  <c r="B2833" i="1"/>
  <c r="C2833" i="1"/>
  <c r="D2833" i="1"/>
  <c r="A2834" i="1"/>
  <c r="B2834" i="1"/>
  <c r="C2834" i="1"/>
  <c r="D2834" i="1"/>
  <c r="A2835" i="1"/>
  <c r="B2835" i="1"/>
  <c r="C2835" i="1"/>
  <c r="D2835" i="1"/>
  <c r="A2836" i="1"/>
  <c r="B2836" i="1"/>
  <c r="C2836" i="1"/>
  <c r="D2836" i="1"/>
  <c r="A2837" i="1"/>
  <c r="B2837" i="1"/>
  <c r="C2837" i="1"/>
  <c r="D2837" i="1"/>
  <c r="A2838" i="1"/>
  <c r="B2838" i="1"/>
  <c r="C2838" i="1"/>
  <c r="D2838" i="1"/>
  <c r="A2839" i="1"/>
  <c r="B2839" i="1"/>
  <c r="C2839" i="1"/>
  <c r="D2839" i="1"/>
  <c r="A2840" i="1"/>
  <c r="B2840" i="1"/>
  <c r="C2840" i="1"/>
  <c r="D2840" i="1"/>
  <c r="A2841" i="1"/>
  <c r="B2841" i="1"/>
  <c r="C2841" i="1"/>
  <c r="D2841" i="1"/>
  <c r="A2842" i="1"/>
  <c r="B2842" i="1"/>
  <c r="C2842" i="1"/>
  <c r="D2842" i="1"/>
  <c r="A2843" i="1"/>
  <c r="B2843" i="1"/>
  <c r="C2843" i="1"/>
  <c r="D2843" i="1"/>
  <c r="A2844" i="1"/>
  <c r="B2844" i="1"/>
  <c r="C2844" i="1"/>
  <c r="D2844" i="1"/>
  <c r="A2845" i="1"/>
  <c r="B2845" i="1"/>
  <c r="C2845" i="1"/>
  <c r="D2845" i="1"/>
  <c r="A2846" i="1"/>
  <c r="B2846" i="1"/>
  <c r="C2846" i="1"/>
  <c r="D2846" i="1"/>
  <c r="A2847" i="1"/>
  <c r="B2847" i="1"/>
  <c r="C2847" i="1"/>
  <c r="D2847" i="1"/>
  <c r="A2848" i="1"/>
  <c r="B2848" i="1"/>
  <c r="C2848" i="1"/>
  <c r="D2848" i="1"/>
  <c r="A2849" i="1"/>
  <c r="B2849" i="1"/>
  <c r="C2849" i="1"/>
  <c r="D2849" i="1"/>
  <c r="A2850" i="1"/>
  <c r="B2850" i="1"/>
  <c r="C2850" i="1"/>
  <c r="D2850" i="1"/>
  <c r="A2851" i="1"/>
  <c r="B2851" i="1"/>
  <c r="C2851" i="1"/>
  <c r="D2851" i="1"/>
  <c r="A2852" i="1"/>
  <c r="B2852" i="1"/>
  <c r="C2852" i="1"/>
  <c r="D2852" i="1"/>
  <c r="A2853" i="1"/>
  <c r="B2853" i="1"/>
  <c r="C2853" i="1"/>
  <c r="D2853" i="1"/>
  <c r="A2854" i="1"/>
  <c r="B2854" i="1"/>
  <c r="C2854" i="1"/>
  <c r="D2854" i="1"/>
  <c r="A2855" i="1"/>
  <c r="B2855" i="1"/>
  <c r="C2855" i="1"/>
  <c r="D2855" i="1"/>
  <c r="A2856" i="1"/>
  <c r="B2856" i="1"/>
  <c r="C2856" i="1"/>
  <c r="D2856" i="1"/>
  <c r="A2857" i="1"/>
  <c r="B2857" i="1"/>
  <c r="C2857" i="1"/>
  <c r="D2857" i="1"/>
  <c r="A2858" i="1"/>
  <c r="B2858" i="1"/>
  <c r="C2858" i="1"/>
  <c r="D2858" i="1"/>
  <c r="A2859" i="1"/>
  <c r="B2859" i="1"/>
  <c r="C2859" i="1"/>
  <c r="D2859" i="1"/>
  <c r="A2860" i="1"/>
  <c r="B2860" i="1"/>
  <c r="C2860" i="1"/>
  <c r="D2860" i="1"/>
  <c r="A2861" i="1"/>
  <c r="B2861" i="1"/>
  <c r="C2861" i="1"/>
  <c r="D2861" i="1"/>
  <c r="A2862" i="1"/>
  <c r="B2862" i="1"/>
  <c r="C2862" i="1"/>
  <c r="D2862" i="1"/>
  <c r="A2863" i="1"/>
  <c r="B2863" i="1"/>
  <c r="C2863" i="1"/>
  <c r="D2863" i="1"/>
  <c r="A2864" i="1"/>
  <c r="B2864" i="1"/>
  <c r="C2864" i="1"/>
  <c r="D2864" i="1"/>
  <c r="A2865" i="1"/>
  <c r="B2865" i="1"/>
  <c r="C2865" i="1"/>
  <c r="D2865" i="1"/>
  <c r="A2866" i="1"/>
  <c r="B2866" i="1"/>
  <c r="C2866" i="1"/>
  <c r="D2866" i="1"/>
  <c r="A2867" i="1"/>
  <c r="B2867" i="1"/>
  <c r="C2867" i="1"/>
  <c r="D2867" i="1"/>
  <c r="A2868" i="1"/>
  <c r="B2868" i="1"/>
  <c r="C2868" i="1"/>
  <c r="D2868" i="1"/>
  <c r="A2869" i="1"/>
  <c r="B2869" i="1"/>
  <c r="C2869" i="1"/>
  <c r="D2869" i="1"/>
  <c r="A2870" i="1"/>
  <c r="B2870" i="1"/>
  <c r="C2870" i="1"/>
  <c r="D2870" i="1"/>
  <c r="A2871" i="1"/>
  <c r="B2871" i="1"/>
  <c r="C2871" i="1"/>
  <c r="D2871" i="1"/>
  <c r="A2872" i="1"/>
  <c r="B2872" i="1"/>
  <c r="C2872" i="1"/>
  <c r="D2872" i="1"/>
  <c r="A2873" i="1"/>
  <c r="B2873" i="1"/>
  <c r="C2873" i="1"/>
  <c r="D2873" i="1"/>
  <c r="A2874" i="1"/>
  <c r="B2874" i="1"/>
  <c r="C2874" i="1"/>
  <c r="D2874" i="1"/>
  <c r="A2875" i="1"/>
  <c r="B2875" i="1"/>
  <c r="C2875" i="1"/>
  <c r="D2875" i="1"/>
  <c r="A2876" i="1"/>
  <c r="B2876" i="1"/>
  <c r="C2876" i="1"/>
  <c r="D2876" i="1"/>
  <c r="A2877" i="1"/>
  <c r="B2877" i="1"/>
  <c r="C2877" i="1"/>
  <c r="D2877" i="1"/>
  <c r="A2878" i="1"/>
  <c r="B2878" i="1"/>
  <c r="C2878" i="1"/>
  <c r="D2878" i="1"/>
  <c r="A2879" i="1"/>
  <c r="B2879" i="1"/>
  <c r="C2879" i="1"/>
  <c r="D2879" i="1"/>
  <c r="A2880" i="1"/>
  <c r="B2880" i="1"/>
  <c r="C2880" i="1"/>
  <c r="D2880" i="1"/>
  <c r="A2881" i="1"/>
  <c r="B2881" i="1"/>
  <c r="C2881" i="1"/>
  <c r="D2881" i="1"/>
  <c r="A2882" i="1"/>
  <c r="B2882" i="1"/>
  <c r="C2882" i="1"/>
  <c r="D2882" i="1"/>
  <c r="A2883" i="1"/>
  <c r="B2883" i="1"/>
  <c r="C2883" i="1"/>
  <c r="D2883" i="1"/>
  <c r="A2884" i="1"/>
  <c r="B2884" i="1"/>
  <c r="C2884" i="1"/>
  <c r="D2884" i="1"/>
  <c r="A2885" i="1"/>
  <c r="B2885" i="1"/>
  <c r="C2885" i="1"/>
  <c r="D2885" i="1"/>
  <c r="A2886" i="1"/>
  <c r="B2886" i="1"/>
  <c r="C2886" i="1"/>
  <c r="D2886" i="1"/>
  <c r="A2887" i="1"/>
  <c r="B2887" i="1"/>
  <c r="C2887" i="1"/>
  <c r="D2887" i="1"/>
  <c r="A2888" i="1"/>
  <c r="B2888" i="1"/>
  <c r="C2888" i="1"/>
  <c r="D2888" i="1"/>
  <c r="A2889" i="1"/>
  <c r="B2889" i="1"/>
  <c r="C2889" i="1"/>
  <c r="D2889" i="1"/>
  <c r="A2890" i="1"/>
  <c r="B2890" i="1"/>
  <c r="C2890" i="1"/>
  <c r="D2890" i="1"/>
  <c r="A2891" i="1"/>
  <c r="B2891" i="1"/>
  <c r="C2891" i="1"/>
  <c r="D2891" i="1"/>
  <c r="A2892" i="1"/>
  <c r="B2892" i="1"/>
  <c r="C2892" i="1"/>
  <c r="D2892" i="1"/>
  <c r="A2893" i="1"/>
  <c r="B2893" i="1"/>
  <c r="C2893" i="1"/>
  <c r="D2893" i="1"/>
  <c r="A2894" i="1"/>
  <c r="B2894" i="1"/>
  <c r="C2894" i="1"/>
  <c r="D2894" i="1"/>
  <c r="A2895" i="1"/>
  <c r="B2895" i="1"/>
  <c r="C2895" i="1"/>
  <c r="D2895" i="1"/>
  <c r="A2896" i="1"/>
  <c r="B2896" i="1"/>
  <c r="C2896" i="1"/>
  <c r="D2896" i="1"/>
  <c r="A2897" i="1"/>
  <c r="B2897" i="1"/>
  <c r="C2897" i="1"/>
  <c r="D2897" i="1"/>
  <c r="A2898" i="1"/>
  <c r="B2898" i="1"/>
  <c r="C2898" i="1"/>
  <c r="D2898" i="1"/>
  <c r="A2899" i="1"/>
  <c r="B2899" i="1"/>
  <c r="C2899" i="1"/>
  <c r="D2899" i="1"/>
  <c r="A2900" i="1"/>
  <c r="B2900" i="1"/>
  <c r="C2900" i="1"/>
  <c r="D2900" i="1"/>
  <c r="A2901" i="1"/>
  <c r="B2901" i="1"/>
  <c r="C2901" i="1"/>
  <c r="D2901" i="1"/>
  <c r="A2902" i="1"/>
  <c r="B2902" i="1"/>
  <c r="C2902" i="1"/>
  <c r="D2902" i="1"/>
  <c r="A2903" i="1"/>
  <c r="B2903" i="1"/>
  <c r="C2903" i="1"/>
  <c r="D2903" i="1"/>
  <c r="A2904" i="1"/>
  <c r="B2904" i="1"/>
  <c r="C2904" i="1"/>
  <c r="D2904" i="1"/>
  <c r="A2905" i="1"/>
  <c r="B2905" i="1"/>
  <c r="C2905" i="1"/>
  <c r="D2905" i="1"/>
  <c r="A2906" i="1"/>
  <c r="B2906" i="1"/>
  <c r="C2906" i="1"/>
  <c r="D2906" i="1"/>
  <c r="A2907" i="1"/>
  <c r="B2907" i="1"/>
  <c r="C2907" i="1"/>
  <c r="D2907" i="1"/>
  <c r="A2908" i="1"/>
  <c r="B2908" i="1"/>
  <c r="C2908" i="1"/>
  <c r="D2908" i="1"/>
  <c r="A2909" i="1"/>
  <c r="B2909" i="1"/>
  <c r="C2909" i="1"/>
  <c r="D2909" i="1"/>
  <c r="A2910" i="1"/>
  <c r="B2910" i="1"/>
  <c r="C2910" i="1"/>
  <c r="D2910" i="1"/>
  <c r="A2911" i="1"/>
  <c r="B2911" i="1"/>
  <c r="C2911" i="1"/>
  <c r="D2911" i="1"/>
  <c r="A2912" i="1"/>
  <c r="B2912" i="1"/>
  <c r="C2912" i="1"/>
  <c r="D2912" i="1"/>
  <c r="A2913" i="1"/>
  <c r="B2913" i="1"/>
  <c r="C2913" i="1"/>
  <c r="D2913" i="1"/>
  <c r="A2914" i="1"/>
  <c r="B2914" i="1"/>
  <c r="C2914" i="1"/>
  <c r="D2914" i="1"/>
  <c r="A2915" i="1"/>
  <c r="B2915" i="1"/>
  <c r="C2915" i="1"/>
  <c r="D2915" i="1"/>
  <c r="A2916" i="1"/>
  <c r="B2916" i="1"/>
  <c r="C2916" i="1"/>
  <c r="D2916" i="1"/>
  <c r="A2917" i="1"/>
  <c r="B2917" i="1"/>
  <c r="C2917" i="1"/>
  <c r="D2917" i="1"/>
  <c r="A2918" i="1"/>
  <c r="B2918" i="1"/>
  <c r="C2918" i="1"/>
  <c r="D2918" i="1"/>
  <c r="A2919" i="1"/>
  <c r="B2919" i="1"/>
  <c r="C2919" i="1"/>
  <c r="D2919" i="1"/>
  <c r="A2920" i="1"/>
  <c r="B2920" i="1"/>
  <c r="C2920" i="1"/>
  <c r="D2920" i="1"/>
  <c r="A2921" i="1"/>
  <c r="B2921" i="1"/>
  <c r="C2921" i="1"/>
  <c r="D2921" i="1"/>
  <c r="A2922" i="1"/>
  <c r="B2922" i="1"/>
  <c r="C2922" i="1"/>
  <c r="D2922" i="1"/>
  <c r="A2923" i="1"/>
  <c r="B2923" i="1"/>
  <c r="C2923" i="1"/>
  <c r="D2923" i="1"/>
  <c r="A2924" i="1"/>
  <c r="B2924" i="1"/>
  <c r="C2924" i="1"/>
  <c r="D2924" i="1"/>
  <c r="A2925" i="1"/>
  <c r="B2925" i="1"/>
  <c r="C2925" i="1"/>
  <c r="D2925" i="1"/>
  <c r="A2926" i="1"/>
  <c r="B2926" i="1"/>
  <c r="C2926" i="1"/>
  <c r="D2926" i="1"/>
  <c r="A2927" i="1"/>
  <c r="B2927" i="1"/>
  <c r="C2927" i="1"/>
  <c r="D2927" i="1"/>
  <c r="A2928" i="1"/>
  <c r="B2928" i="1"/>
  <c r="C2928" i="1"/>
  <c r="D2928" i="1"/>
  <c r="A2929" i="1"/>
  <c r="B2929" i="1"/>
  <c r="C2929" i="1"/>
  <c r="D2929" i="1"/>
  <c r="A2930" i="1"/>
  <c r="B2930" i="1"/>
  <c r="C2930" i="1"/>
  <c r="D2930" i="1"/>
  <c r="A2931" i="1"/>
  <c r="B2931" i="1"/>
  <c r="C2931" i="1"/>
  <c r="D2931" i="1"/>
  <c r="A2932" i="1"/>
  <c r="B2932" i="1"/>
  <c r="C2932" i="1"/>
  <c r="D2932" i="1"/>
  <c r="A2933" i="1"/>
  <c r="B2933" i="1"/>
  <c r="C2933" i="1"/>
  <c r="D2933" i="1"/>
  <c r="A2934" i="1"/>
  <c r="B2934" i="1"/>
  <c r="C2934" i="1"/>
  <c r="D2934" i="1"/>
  <c r="A2935" i="1"/>
  <c r="B2935" i="1"/>
  <c r="C2935" i="1"/>
  <c r="D2935" i="1"/>
  <c r="A2936" i="1"/>
  <c r="B2936" i="1"/>
  <c r="C2936" i="1"/>
  <c r="D2936" i="1"/>
  <c r="A2937" i="1"/>
  <c r="B2937" i="1"/>
  <c r="C2937" i="1"/>
  <c r="D2937" i="1"/>
  <c r="A2938" i="1"/>
  <c r="B2938" i="1"/>
  <c r="C2938" i="1"/>
  <c r="D2938" i="1"/>
  <c r="A2939" i="1"/>
  <c r="B2939" i="1"/>
  <c r="C2939" i="1"/>
  <c r="D2939" i="1"/>
  <c r="A2940" i="1"/>
  <c r="B2940" i="1"/>
  <c r="C2940" i="1"/>
  <c r="D2940" i="1"/>
  <c r="A2941" i="1"/>
  <c r="B2941" i="1"/>
  <c r="C2941" i="1"/>
  <c r="D2941" i="1"/>
  <c r="A2942" i="1"/>
  <c r="B2942" i="1"/>
  <c r="C2942" i="1"/>
  <c r="D2942" i="1"/>
  <c r="A2943" i="1"/>
  <c r="B2943" i="1"/>
  <c r="C2943" i="1"/>
  <c r="D2943" i="1"/>
  <c r="A2944" i="1"/>
  <c r="B2944" i="1"/>
  <c r="C2944" i="1"/>
  <c r="D2944" i="1"/>
  <c r="A2945" i="1"/>
  <c r="B2945" i="1"/>
  <c r="C2945" i="1"/>
  <c r="D2945" i="1"/>
  <c r="A2946" i="1"/>
  <c r="B2946" i="1"/>
  <c r="C2946" i="1"/>
  <c r="D2946" i="1"/>
  <c r="A2947" i="1"/>
  <c r="B2947" i="1"/>
  <c r="C2947" i="1"/>
  <c r="D2947" i="1"/>
  <c r="A2948" i="1"/>
  <c r="B2948" i="1"/>
  <c r="C2948" i="1"/>
  <c r="D2948" i="1"/>
  <c r="A2949" i="1"/>
  <c r="B2949" i="1"/>
  <c r="C2949" i="1"/>
  <c r="D2949" i="1"/>
  <c r="A2950" i="1"/>
  <c r="B2950" i="1"/>
  <c r="C2950" i="1"/>
  <c r="D2950" i="1"/>
  <c r="A2951" i="1"/>
  <c r="B2951" i="1"/>
  <c r="C2951" i="1"/>
  <c r="D2951" i="1"/>
  <c r="A2952" i="1"/>
  <c r="B2952" i="1"/>
  <c r="C2952" i="1"/>
  <c r="D2952" i="1"/>
  <c r="A2953" i="1"/>
  <c r="B2953" i="1"/>
  <c r="C2953" i="1"/>
  <c r="D2953" i="1"/>
  <c r="A2954" i="1"/>
  <c r="B2954" i="1"/>
  <c r="C2954" i="1"/>
  <c r="D2954" i="1"/>
  <c r="A2955" i="1"/>
  <c r="B2955" i="1"/>
  <c r="C2955" i="1"/>
  <c r="D2955" i="1"/>
  <c r="A2956" i="1"/>
  <c r="B2956" i="1"/>
  <c r="C2956" i="1"/>
  <c r="D2956" i="1"/>
  <c r="A2957" i="1"/>
  <c r="B2957" i="1"/>
  <c r="C2957" i="1"/>
  <c r="D2957" i="1"/>
  <c r="A2958" i="1"/>
  <c r="B2958" i="1"/>
  <c r="C2958" i="1"/>
  <c r="D2958" i="1"/>
  <c r="A2959" i="1"/>
  <c r="B2959" i="1"/>
  <c r="C2959" i="1"/>
  <c r="D2959" i="1"/>
  <c r="A2960" i="1"/>
  <c r="B2960" i="1"/>
  <c r="C2960" i="1"/>
  <c r="D2960" i="1"/>
  <c r="A2961" i="1"/>
  <c r="B2961" i="1"/>
  <c r="C2961" i="1"/>
  <c r="D2961" i="1"/>
  <c r="A2962" i="1"/>
  <c r="B2962" i="1"/>
  <c r="C2962" i="1"/>
  <c r="D2962" i="1"/>
  <c r="A2963" i="1"/>
  <c r="B2963" i="1"/>
  <c r="C2963" i="1"/>
  <c r="D2963" i="1"/>
  <c r="A2964" i="1"/>
  <c r="B2964" i="1"/>
  <c r="C2964" i="1"/>
  <c r="D2964" i="1"/>
  <c r="A2965" i="1"/>
  <c r="B2965" i="1"/>
  <c r="C2965" i="1"/>
  <c r="D2965" i="1"/>
  <c r="A2966" i="1"/>
  <c r="B2966" i="1"/>
  <c r="C2966" i="1"/>
  <c r="D2966" i="1"/>
  <c r="A2967" i="1"/>
  <c r="B2967" i="1"/>
  <c r="C2967" i="1"/>
  <c r="D2967" i="1"/>
  <c r="A2968" i="1"/>
  <c r="B2968" i="1"/>
  <c r="C2968" i="1"/>
  <c r="D2968" i="1"/>
  <c r="A2969" i="1"/>
  <c r="B2969" i="1"/>
  <c r="C2969" i="1"/>
  <c r="D2969" i="1"/>
  <c r="A2970" i="1"/>
  <c r="B2970" i="1"/>
  <c r="C2970" i="1"/>
  <c r="D2970" i="1"/>
  <c r="A2971" i="1"/>
  <c r="B2971" i="1"/>
  <c r="C2971" i="1"/>
  <c r="D2971" i="1"/>
  <c r="A2972" i="1"/>
  <c r="B2972" i="1"/>
  <c r="C2972" i="1"/>
  <c r="D2972" i="1"/>
  <c r="A2973" i="1"/>
  <c r="B2973" i="1"/>
  <c r="C2973" i="1"/>
  <c r="D2973" i="1"/>
  <c r="A2974" i="1"/>
  <c r="B2974" i="1"/>
  <c r="C2974" i="1"/>
  <c r="D2974" i="1"/>
  <c r="A2975" i="1"/>
  <c r="B2975" i="1"/>
  <c r="C2975" i="1"/>
  <c r="D2975" i="1"/>
  <c r="A2976" i="1"/>
  <c r="B2976" i="1"/>
  <c r="C2976" i="1"/>
  <c r="D2976" i="1"/>
  <c r="A2977" i="1"/>
  <c r="B2977" i="1"/>
  <c r="C2977" i="1"/>
  <c r="D2977" i="1"/>
  <c r="A2978" i="1"/>
  <c r="B2978" i="1"/>
  <c r="C2978" i="1"/>
  <c r="D2978" i="1"/>
  <c r="A2979" i="1"/>
  <c r="B2979" i="1"/>
  <c r="C2979" i="1"/>
  <c r="D2979" i="1"/>
  <c r="A2980" i="1"/>
  <c r="B2980" i="1"/>
  <c r="C2980" i="1"/>
  <c r="D2980" i="1"/>
  <c r="A2981" i="1"/>
  <c r="B2981" i="1"/>
  <c r="C2981" i="1"/>
  <c r="D2981" i="1"/>
  <c r="A2982" i="1"/>
  <c r="B2982" i="1"/>
  <c r="C2982" i="1"/>
  <c r="D2982" i="1"/>
  <c r="A2983" i="1"/>
  <c r="B2983" i="1"/>
  <c r="C2983" i="1"/>
  <c r="D2983" i="1"/>
  <c r="A2984" i="1"/>
  <c r="B2984" i="1"/>
  <c r="C2984" i="1"/>
  <c r="D2984" i="1"/>
  <c r="A2985" i="1"/>
  <c r="B2985" i="1"/>
  <c r="C2985" i="1"/>
  <c r="D2985" i="1"/>
  <c r="A2986" i="1"/>
  <c r="B2986" i="1"/>
  <c r="C2986" i="1"/>
  <c r="D2986" i="1"/>
  <c r="A2987" i="1"/>
  <c r="B2987" i="1"/>
  <c r="C2987" i="1"/>
  <c r="D2987" i="1"/>
  <c r="A2988" i="1"/>
  <c r="B2988" i="1"/>
  <c r="C2988" i="1"/>
  <c r="D2988" i="1"/>
  <c r="A2989" i="1"/>
  <c r="B2989" i="1"/>
  <c r="C2989" i="1"/>
  <c r="D2989" i="1"/>
  <c r="A2990" i="1"/>
  <c r="B2990" i="1"/>
  <c r="C2990" i="1"/>
  <c r="D2990" i="1"/>
  <c r="A2991" i="1"/>
  <c r="B2991" i="1"/>
  <c r="C2991" i="1"/>
  <c r="D2991" i="1"/>
  <c r="A2992" i="1"/>
  <c r="B2992" i="1"/>
  <c r="C2992" i="1"/>
  <c r="D2992" i="1"/>
  <c r="A2993" i="1"/>
  <c r="B2993" i="1"/>
  <c r="C2993" i="1"/>
  <c r="D2993" i="1"/>
  <c r="A2994" i="1"/>
  <c r="B2994" i="1"/>
  <c r="C2994" i="1"/>
  <c r="D2994" i="1"/>
  <c r="A2995" i="1"/>
  <c r="B2995" i="1"/>
  <c r="C2995" i="1"/>
  <c r="D2995" i="1"/>
  <c r="A2996" i="1"/>
  <c r="B2996" i="1"/>
  <c r="C2996" i="1"/>
  <c r="D2996" i="1"/>
  <c r="A2997" i="1"/>
  <c r="B2997" i="1"/>
  <c r="C2997" i="1"/>
  <c r="D2997" i="1"/>
  <c r="A2998" i="1"/>
  <c r="B2998" i="1"/>
  <c r="C2998" i="1"/>
  <c r="D2998" i="1"/>
  <c r="A2999" i="1"/>
  <c r="B2999" i="1"/>
  <c r="C2999" i="1"/>
  <c r="D2999" i="1"/>
  <c r="A3000" i="1"/>
  <c r="B3000" i="1"/>
  <c r="C3000" i="1"/>
  <c r="D3000" i="1"/>
  <c r="A3001" i="1"/>
  <c r="B3001" i="1"/>
  <c r="C3001" i="1"/>
  <c r="D3001" i="1"/>
  <c r="A3002" i="1"/>
  <c r="B3002" i="1"/>
  <c r="C3002" i="1"/>
  <c r="D3002" i="1"/>
  <c r="A3003" i="1"/>
  <c r="B3003" i="1"/>
  <c r="C3003" i="1"/>
  <c r="D3003" i="1"/>
  <c r="A3004" i="1"/>
  <c r="B3004" i="1"/>
  <c r="C3004" i="1"/>
  <c r="D3004" i="1"/>
  <c r="A3005" i="1"/>
  <c r="B3005" i="1"/>
  <c r="C3005" i="1"/>
  <c r="D3005" i="1"/>
  <c r="A3006" i="1"/>
  <c r="B3006" i="1"/>
  <c r="C3006" i="1"/>
  <c r="D3006" i="1"/>
  <c r="A3007" i="1"/>
  <c r="B3007" i="1"/>
  <c r="C3007" i="1"/>
  <c r="D3007" i="1"/>
  <c r="A3008" i="1"/>
  <c r="B3008" i="1"/>
  <c r="C3008" i="1"/>
  <c r="D3008" i="1"/>
  <c r="A3009" i="1"/>
  <c r="B3009" i="1"/>
  <c r="C3009" i="1"/>
  <c r="D3009" i="1"/>
  <c r="A3010" i="1"/>
  <c r="B3010" i="1"/>
  <c r="C3010" i="1"/>
  <c r="D3010" i="1"/>
  <c r="A3011" i="1"/>
  <c r="B3011" i="1"/>
  <c r="C3011" i="1"/>
  <c r="D3011" i="1"/>
  <c r="A3012" i="1"/>
  <c r="B3012" i="1"/>
  <c r="C3012" i="1"/>
  <c r="D3012" i="1"/>
  <c r="A3013" i="1"/>
  <c r="B3013" i="1"/>
  <c r="C3013" i="1"/>
  <c r="D3013" i="1"/>
  <c r="A3014" i="1"/>
  <c r="B3014" i="1"/>
  <c r="C3014" i="1"/>
  <c r="D3014" i="1"/>
  <c r="A3015" i="1"/>
  <c r="B3015" i="1"/>
  <c r="C3015" i="1"/>
  <c r="D3015" i="1"/>
  <c r="A3016" i="1"/>
  <c r="B3016" i="1"/>
  <c r="C3016" i="1"/>
  <c r="D3016" i="1"/>
  <c r="A3017" i="1"/>
  <c r="B3017" i="1"/>
  <c r="C3017" i="1"/>
  <c r="D3017" i="1"/>
  <c r="A3018" i="1"/>
  <c r="B3018" i="1"/>
  <c r="C3018" i="1"/>
  <c r="D3018" i="1"/>
  <c r="A3019" i="1"/>
  <c r="B3019" i="1"/>
  <c r="C3019" i="1"/>
  <c r="D3019" i="1"/>
  <c r="A3020" i="1"/>
  <c r="B3020" i="1"/>
  <c r="C3020" i="1"/>
  <c r="D3020" i="1"/>
  <c r="A3021" i="1"/>
  <c r="B3021" i="1"/>
  <c r="C3021" i="1"/>
  <c r="D3021" i="1"/>
  <c r="A3022" i="1"/>
  <c r="B3022" i="1"/>
  <c r="C3022" i="1"/>
  <c r="D3022" i="1"/>
  <c r="A3023" i="1"/>
  <c r="B3023" i="1"/>
  <c r="C3023" i="1"/>
  <c r="D3023" i="1"/>
  <c r="A3024" i="1"/>
  <c r="B3024" i="1"/>
  <c r="C3024" i="1"/>
  <c r="D3024" i="1"/>
  <c r="A3025" i="1"/>
  <c r="B3025" i="1"/>
  <c r="C3025" i="1"/>
  <c r="D3025" i="1"/>
  <c r="A3026" i="1"/>
  <c r="B3026" i="1"/>
  <c r="C3026" i="1"/>
  <c r="D3026" i="1"/>
  <c r="A3027" i="1"/>
  <c r="B3027" i="1"/>
  <c r="C3027" i="1"/>
  <c r="D3027" i="1"/>
  <c r="A3028" i="1"/>
  <c r="B3028" i="1"/>
  <c r="C3028" i="1"/>
  <c r="D3028" i="1"/>
  <c r="A3029" i="1"/>
  <c r="B3029" i="1"/>
  <c r="C3029" i="1"/>
  <c r="D3029" i="1"/>
  <c r="A3030" i="1"/>
  <c r="B3030" i="1"/>
  <c r="C3030" i="1"/>
  <c r="D3030" i="1"/>
  <c r="A3031" i="1"/>
  <c r="B3031" i="1"/>
  <c r="C3031" i="1"/>
  <c r="D3031" i="1"/>
  <c r="A3032" i="1"/>
  <c r="B3032" i="1"/>
  <c r="C3032" i="1"/>
  <c r="D3032" i="1"/>
  <c r="A3033" i="1"/>
  <c r="B3033" i="1"/>
  <c r="C3033" i="1"/>
  <c r="D3033" i="1"/>
  <c r="A3034" i="1"/>
  <c r="B3034" i="1"/>
  <c r="C3034" i="1"/>
  <c r="D3034" i="1"/>
  <c r="A3035" i="1"/>
  <c r="B3035" i="1"/>
  <c r="C3035" i="1"/>
  <c r="D3035" i="1"/>
  <c r="A3036" i="1"/>
  <c r="B3036" i="1"/>
  <c r="C3036" i="1"/>
  <c r="D3036" i="1"/>
  <c r="A3037" i="1"/>
  <c r="B3037" i="1"/>
  <c r="C3037" i="1"/>
  <c r="D3037" i="1"/>
  <c r="A3038" i="1"/>
  <c r="B3038" i="1"/>
  <c r="C3038" i="1"/>
  <c r="D3038" i="1"/>
  <c r="A3039" i="1"/>
  <c r="B3039" i="1"/>
  <c r="C3039" i="1"/>
  <c r="D3039" i="1"/>
  <c r="A3040" i="1"/>
  <c r="B3040" i="1"/>
  <c r="C3040" i="1"/>
  <c r="D3040" i="1"/>
  <c r="A3041" i="1"/>
  <c r="B3041" i="1"/>
  <c r="C3041" i="1"/>
  <c r="D3041" i="1"/>
  <c r="A3042" i="1"/>
  <c r="B3042" i="1"/>
  <c r="C3042" i="1"/>
  <c r="D3042" i="1"/>
  <c r="A3043" i="1"/>
  <c r="B3043" i="1"/>
  <c r="C3043" i="1"/>
  <c r="D3043" i="1"/>
  <c r="A3044" i="1"/>
  <c r="B3044" i="1"/>
  <c r="C3044" i="1"/>
  <c r="D3044" i="1"/>
  <c r="A3045" i="1"/>
  <c r="B3045" i="1"/>
  <c r="C3045" i="1"/>
  <c r="D3045" i="1"/>
  <c r="A3046" i="1"/>
  <c r="B3046" i="1"/>
  <c r="C3046" i="1"/>
  <c r="D3046" i="1"/>
  <c r="A3047" i="1"/>
  <c r="B3047" i="1"/>
  <c r="C3047" i="1"/>
  <c r="D3047" i="1"/>
  <c r="A3048" i="1"/>
  <c r="B3048" i="1"/>
  <c r="C3048" i="1"/>
  <c r="D3048" i="1"/>
  <c r="A3049" i="1"/>
  <c r="B3049" i="1"/>
  <c r="C3049" i="1"/>
  <c r="D3049" i="1"/>
  <c r="A3050" i="1"/>
  <c r="B3050" i="1"/>
  <c r="C3050" i="1"/>
  <c r="D3050" i="1"/>
  <c r="A3051" i="1"/>
  <c r="B3051" i="1"/>
  <c r="C3051" i="1"/>
  <c r="D3051" i="1"/>
  <c r="A3052" i="1"/>
  <c r="B3052" i="1"/>
  <c r="C3052" i="1"/>
  <c r="D3052" i="1"/>
  <c r="A3053" i="1"/>
  <c r="B3053" i="1"/>
  <c r="C3053" i="1"/>
  <c r="D3053" i="1"/>
  <c r="A3054" i="1"/>
  <c r="B3054" i="1"/>
  <c r="C3054" i="1"/>
  <c r="D3054" i="1"/>
  <c r="A3055" i="1"/>
  <c r="B3055" i="1"/>
  <c r="C3055" i="1"/>
  <c r="D3055" i="1"/>
  <c r="A3056" i="1"/>
  <c r="B3056" i="1"/>
  <c r="C3056" i="1"/>
  <c r="D3056" i="1"/>
  <c r="A3057" i="1"/>
  <c r="B3057" i="1"/>
  <c r="C3057" i="1"/>
  <c r="D3057" i="1"/>
  <c r="A3058" i="1"/>
  <c r="B3058" i="1"/>
  <c r="C3058" i="1"/>
  <c r="D3058" i="1"/>
  <c r="A3059" i="1"/>
  <c r="B3059" i="1"/>
  <c r="C3059" i="1"/>
  <c r="D3059" i="1"/>
  <c r="A3060" i="1"/>
  <c r="B3060" i="1"/>
  <c r="C3060" i="1"/>
  <c r="D3060" i="1"/>
  <c r="A3061" i="1"/>
  <c r="B3061" i="1"/>
  <c r="C3061" i="1"/>
  <c r="D3061" i="1"/>
  <c r="A3062" i="1"/>
  <c r="B3062" i="1"/>
  <c r="C3062" i="1"/>
  <c r="D3062" i="1"/>
  <c r="A3063" i="1"/>
  <c r="B3063" i="1"/>
  <c r="C3063" i="1"/>
  <c r="D3063" i="1"/>
  <c r="A3064" i="1"/>
  <c r="B3064" i="1"/>
  <c r="C3064" i="1"/>
  <c r="D3064" i="1"/>
  <c r="A3065" i="1"/>
  <c r="B3065" i="1"/>
  <c r="C3065" i="1"/>
  <c r="D3065" i="1"/>
  <c r="A3066" i="1"/>
  <c r="B3066" i="1"/>
  <c r="C3066" i="1"/>
  <c r="D3066" i="1"/>
  <c r="A3067" i="1"/>
  <c r="B3067" i="1"/>
  <c r="C3067" i="1"/>
  <c r="D3067" i="1"/>
  <c r="A3068" i="1"/>
  <c r="B3068" i="1"/>
  <c r="C3068" i="1"/>
  <c r="D3068" i="1"/>
  <c r="A3069" i="1"/>
  <c r="B3069" i="1"/>
  <c r="C3069" i="1"/>
  <c r="D3069" i="1"/>
  <c r="A3070" i="1"/>
  <c r="B3070" i="1"/>
  <c r="C3070" i="1"/>
  <c r="D3070" i="1"/>
  <c r="A3071" i="1"/>
  <c r="B3071" i="1"/>
  <c r="C3071" i="1"/>
  <c r="D3071" i="1"/>
  <c r="A3072" i="1"/>
  <c r="B3072" i="1"/>
  <c r="C3072" i="1"/>
  <c r="D3072" i="1"/>
  <c r="A3073" i="1"/>
  <c r="B3073" i="1"/>
  <c r="C3073" i="1"/>
  <c r="D3073" i="1"/>
  <c r="A3074" i="1"/>
  <c r="B3074" i="1"/>
  <c r="C3074" i="1"/>
  <c r="D3074" i="1"/>
  <c r="A3075" i="1"/>
  <c r="B3075" i="1"/>
  <c r="C3075" i="1"/>
  <c r="D3075" i="1"/>
  <c r="A3076" i="1"/>
  <c r="B3076" i="1"/>
  <c r="C3076" i="1"/>
  <c r="D3076" i="1"/>
  <c r="A3077" i="1"/>
  <c r="B3077" i="1"/>
  <c r="C3077" i="1"/>
  <c r="D3077" i="1"/>
  <c r="A3078" i="1"/>
  <c r="B3078" i="1"/>
  <c r="C3078" i="1"/>
  <c r="D3078" i="1"/>
  <c r="A3079" i="1"/>
  <c r="B3079" i="1"/>
  <c r="C3079" i="1"/>
  <c r="D3079" i="1"/>
  <c r="A3080" i="1"/>
  <c r="B3080" i="1"/>
  <c r="C3080" i="1"/>
  <c r="D3080" i="1"/>
  <c r="A3081" i="1"/>
  <c r="B3081" i="1"/>
  <c r="C3081" i="1"/>
  <c r="D3081" i="1"/>
  <c r="A3082" i="1"/>
  <c r="B3082" i="1"/>
  <c r="C3082" i="1"/>
  <c r="D3082" i="1"/>
  <c r="A3083" i="1"/>
  <c r="B3083" i="1"/>
  <c r="C3083" i="1"/>
  <c r="D3083" i="1"/>
  <c r="A3084" i="1"/>
  <c r="B3084" i="1"/>
  <c r="C3084" i="1"/>
  <c r="D3084" i="1"/>
  <c r="A3085" i="1"/>
  <c r="B3085" i="1"/>
  <c r="C3085" i="1"/>
  <c r="D3085" i="1"/>
  <c r="A3086" i="1"/>
  <c r="B3086" i="1"/>
  <c r="C3086" i="1"/>
  <c r="D3086" i="1"/>
  <c r="A3087" i="1"/>
  <c r="B3087" i="1"/>
  <c r="C3087" i="1"/>
  <c r="D3087" i="1"/>
  <c r="A3088" i="1"/>
  <c r="B3088" i="1"/>
  <c r="C3088" i="1"/>
  <c r="D3088" i="1"/>
  <c r="A3089" i="1"/>
  <c r="B3089" i="1"/>
  <c r="C3089" i="1"/>
  <c r="D3089" i="1"/>
  <c r="A3090" i="1"/>
  <c r="B3090" i="1"/>
  <c r="C3090" i="1"/>
  <c r="D3090" i="1"/>
  <c r="A3091" i="1"/>
  <c r="B3091" i="1"/>
  <c r="C3091" i="1"/>
  <c r="D3091" i="1"/>
  <c r="A3092" i="1"/>
  <c r="B3092" i="1"/>
  <c r="C3092" i="1"/>
  <c r="D3092" i="1"/>
  <c r="A3093" i="1"/>
  <c r="B3093" i="1"/>
  <c r="C3093" i="1"/>
  <c r="D3093" i="1"/>
  <c r="A3094" i="1"/>
  <c r="B3094" i="1"/>
  <c r="C3094" i="1"/>
  <c r="D3094" i="1"/>
  <c r="A3095" i="1"/>
  <c r="B3095" i="1"/>
  <c r="C3095" i="1"/>
  <c r="D3095" i="1"/>
  <c r="A3096" i="1"/>
  <c r="B3096" i="1"/>
  <c r="C3096" i="1"/>
  <c r="D3096" i="1"/>
  <c r="A3097" i="1"/>
  <c r="B3097" i="1"/>
  <c r="C3097" i="1"/>
  <c r="D3097" i="1"/>
  <c r="A3098" i="1"/>
  <c r="B3098" i="1"/>
  <c r="C3098" i="1"/>
  <c r="D3098" i="1"/>
  <c r="A3099" i="1"/>
  <c r="B3099" i="1"/>
  <c r="C3099" i="1"/>
  <c r="D3099" i="1"/>
  <c r="A3100" i="1"/>
  <c r="B3100" i="1"/>
  <c r="C3100" i="1"/>
  <c r="D3100" i="1"/>
  <c r="A3101" i="1"/>
  <c r="B3101" i="1"/>
  <c r="C3101" i="1"/>
  <c r="D3101" i="1"/>
  <c r="A3102" i="1"/>
  <c r="B3102" i="1"/>
  <c r="C3102" i="1"/>
  <c r="D3102" i="1"/>
  <c r="A3103" i="1"/>
  <c r="B3103" i="1"/>
  <c r="C3103" i="1"/>
  <c r="D3103" i="1"/>
  <c r="A3104" i="1"/>
  <c r="B3104" i="1"/>
  <c r="C3104" i="1"/>
  <c r="D3104" i="1"/>
  <c r="A3105" i="1"/>
  <c r="B3105" i="1"/>
  <c r="C3105" i="1"/>
  <c r="D3105" i="1"/>
  <c r="A3106" i="1"/>
  <c r="B3106" i="1"/>
  <c r="C3106" i="1"/>
  <c r="D3106" i="1"/>
  <c r="A3107" i="1"/>
  <c r="B3107" i="1"/>
  <c r="C3107" i="1"/>
  <c r="D3107" i="1"/>
  <c r="A3108" i="1"/>
  <c r="B3108" i="1"/>
  <c r="C3108" i="1"/>
  <c r="D3108" i="1"/>
  <c r="A3109" i="1"/>
  <c r="B3109" i="1"/>
  <c r="C3109" i="1"/>
  <c r="D3109" i="1"/>
  <c r="A3110" i="1"/>
  <c r="B3110" i="1"/>
  <c r="C3110" i="1"/>
  <c r="D3110" i="1"/>
  <c r="A3111" i="1"/>
  <c r="B3111" i="1"/>
  <c r="C3111" i="1"/>
  <c r="D3111" i="1"/>
  <c r="A3112" i="1"/>
  <c r="B3112" i="1"/>
  <c r="C3112" i="1"/>
  <c r="D3112" i="1"/>
  <c r="A3113" i="1"/>
  <c r="B3113" i="1"/>
  <c r="C3113" i="1"/>
  <c r="D3113" i="1"/>
  <c r="A3114" i="1"/>
  <c r="B3114" i="1"/>
  <c r="C3114" i="1"/>
  <c r="D3114" i="1"/>
  <c r="A3115" i="1"/>
  <c r="B3115" i="1"/>
  <c r="C3115" i="1"/>
  <c r="D3115" i="1"/>
  <c r="A3116" i="1"/>
  <c r="B3116" i="1"/>
  <c r="C3116" i="1"/>
  <c r="D3116" i="1"/>
  <c r="A3117" i="1"/>
  <c r="B3117" i="1"/>
  <c r="C3117" i="1"/>
  <c r="D3117" i="1"/>
  <c r="A3118" i="1"/>
  <c r="B3118" i="1"/>
  <c r="C3118" i="1"/>
  <c r="D3118" i="1"/>
  <c r="A3119" i="1"/>
  <c r="B3119" i="1"/>
  <c r="C3119" i="1"/>
  <c r="D3119" i="1"/>
  <c r="A3120" i="1"/>
  <c r="B3120" i="1"/>
  <c r="C3120" i="1"/>
  <c r="D3120" i="1"/>
  <c r="A3121" i="1"/>
  <c r="B3121" i="1"/>
  <c r="C3121" i="1"/>
  <c r="D3121" i="1"/>
  <c r="A3122" i="1"/>
  <c r="B3122" i="1"/>
  <c r="C3122" i="1"/>
  <c r="D3122" i="1"/>
  <c r="A3123" i="1"/>
  <c r="B3123" i="1"/>
  <c r="C3123" i="1"/>
  <c r="D3123" i="1"/>
  <c r="A3124" i="1"/>
  <c r="B3124" i="1"/>
  <c r="C3124" i="1"/>
  <c r="D3124" i="1"/>
  <c r="A3125" i="1"/>
  <c r="B3125" i="1"/>
  <c r="C3125" i="1"/>
  <c r="D3125" i="1"/>
  <c r="A3126" i="1"/>
  <c r="B3126" i="1"/>
  <c r="C3126" i="1"/>
  <c r="D3126" i="1"/>
  <c r="A3127" i="1"/>
  <c r="B3127" i="1"/>
  <c r="C3127" i="1"/>
  <c r="D3127" i="1"/>
  <c r="A3128" i="1"/>
  <c r="B3128" i="1"/>
  <c r="C3128" i="1"/>
  <c r="D3128" i="1"/>
  <c r="A3129" i="1"/>
  <c r="B3129" i="1"/>
  <c r="C3129" i="1"/>
  <c r="D3129" i="1"/>
  <c r="A3130" i="1"/>
  <c r="B3130" i="1"/>
  <c r="C3130" i="1"/>
  <c r="D3130" i="1"/>
  <c r="A3131" i="1"/>
  <c r="B3131" i="1"/>
  <c r="C3131" i="1"/>
  <c r="D3131" i="1"/>
  <c r="A3132" i="1"/>
  <c r="B3132" i="1"/>
  <c r="C3132" i="1"/>
  <c r="D3132" i="1"/>
  <c r="A3133" i="1"/>
  <c r="B3133" i="1"/>
  <c r="C3133" i="1"/>
  <c r="D3133" i="1"/>
  <c r="A3134" i="1"/>
  <c r="B3134" i="1"/>
  <c r="C3134" i="1"/>
  <c r="D3134" i="1"/>
  <c r="A3135" i="1"/>
  <c r="B3135" i="1"/>
  <c r="C3135" i="1"/>
  <c r="D3135" i="1"/>
  <c r="A3136" i="1"/>
  <c r="B3136" i="1"/>
  <c r="C3136" i="1"/>
  <c r="D3136" i="1"/>
  <c r="A3137" i="1"/>
  <c r="B3137" i="1"/>
  <c r="C3137" i="1"/>
  <c r="D3137" i="1"/>
  <c r="A3138" i="1"/>
  <c r="B3138" i="1"/>
  <c r="C3138" i="1"/>
  <c r="D3138" i="1"/>
  <c r="A3139" i="1"/>
  <c r="B3139" i="1"/>
  <c r="C3139" i="1"/>
  <c r="D3139" i="1"/>
  <c r="A3140" i="1"/>
  <c r="B3140" i="1"/>
  <c r="C3140" i="1"/>
  <c r="D3140" i="1"/>
  <c r="A3141" i="1"/>
  <c r="B3141" i="1"/>
  <c r="C3141" i="1"/>
  <c r="D3141" i="1"/>
  <c r="A3142" i="1"/>
  <c r="B3142" i="1"/>
  <c r="C3142" i="1"/>
  <c r="D3142" i="1"/>
  <c r="A3143" i="1"/>
  <c r="B3143" i="1"/>
  <c r="C3143" i="1"/>
  <c r="D3143" i="1"/>
  <c r="A3144" i="1"/>
  <c r="B3144" i="1"/>
  <c r="C3144" i="1"/>
  <c r="D3144" i="1"/>
  <c r="A3145" i="1"/>
  <c r="B3145" i="1"/>
  <c r="C3145" i="1"/>
  <c r="D3145" i="1"/>
  <c r="A3146" i="1"/>
  <c r="B3146" i="1"/>
  <c r="C3146" i="1"/>
  <c r="D3146" i="1"/>
  <c r="A3147" i="1"/>
  <c r="B3147" i="1"/>
  <c r="C3147" i="1"/>
  <c r="D3147" i="1"/>
  <c r="A3148" i="1"/>
  <c r="B3148" i="1"/>
  <c r="C3148" i="1"/>
  <c r="D3148" i="1"/>
  <c r="A3149" i="1"/>
  <c r="B3149" i="1"/>
  <c r="C3149" i="1"/>
  <c r="D3149" i="1"/>
  <c r="A3150" i="1"/>
  <c r="B3150" i="1"/>
  <c r="C3150" i="1"/>
  <c r="D3150" i="1"/>
  <c r="A3151" i="1"/>
  <c r="B3151" i="1"/>
  <c r="C3151" i="1"/>
  <c r="D3151" i="1"/>
  <c r="A3152" i="1"/>
  <c r="B3152" i="1"/>
  <c r="C3152" i="1"/>
  <c r="D3152" i="1"/>
  <c r="A3153" i="1"/>
  <c r="B3153" i="1"/>
  <c r="C3153" i="1"/>
  <c r="D3153" i="1"/>
  <c r="A3154" i="1"/>
  <c r="B3154" i="1"/>
  <c r="C3154" i="1"/>
  <c r="D3154" i="1"/>
  <c r="A3155" i="1"/>
  <c r="B3155" i="1"/>
  <c r="C3155" i="1"/>
  <c r="D3155" i="1"/>
  <c r="A3156" i="1"/>
  <c r="B3156" i="1"/>
  <c r="C3156" i="1"/>
  <c r="D3156" i="1"/>
  <c r="A3157" i="1"/>
  <c r="B3157" i="1"/>
  <c r="C3157" i="1"/>
  <c r="D3157" i="1"/>
  <c r="A3158" i="1"/>
  <c r="B3158" i="1"/>
  <c r="C3158" i="1"/>
  <c r="D3158" i="1"/>
  <c r="A3159" i="1"/>
  <c r="B3159" i="1"/>
  <c r="C3159" i="1"/>
  <c r="D3159" i="1"/>
  <c r="A3160" i="1"/>
  <c r="B3160" i="1"/>
  <c r="C3160" i="1"/>
  <c r="D3160" i="1"/>
  <c r="A3161" i="1"/>
  <c r="B3161" i="1"/>
  <c r="C3161" i="1"/>
  <c r="D3161" i="1"/>
  <c r="A3162" i="1"/>
  <c r="B3162" i="1"/>
  <c r="C3162" i="1"/>
  <c r="D3162" i="1"/>
  <c r="A3163" i="1"/>
  <c r="B3163" i="1"/>
  <c r="C3163" i="1"/>
  <c r="D3163" i="1"/>
  <c r="A3164" i="1"/>
  <c r="B3164" i="1"/>
  <c r="C3164" i="1"/>
  <c r="D3164" i="1"/>
  <c r="A3165" i="1"/>
  <c r="B3165" i="1"/>
  <c r="C3165" i="1"/>
  <c r="D3165" i="1"/>
  <c r="A3166" i="1"/>
  <c r="B3166" i="1"/>
  <c r="C3166" i="1"/>
  <c r="D3166" i="1"/>
  <c r="A3167" i="1"/>
  <c r="B3167" i="1"/>
  <c r="C3167" i="1"/>
  <c r="D3167" i="1"/>
  <c r="A3168" i="1"/>
  <c r="B3168" i="1"/>
  <c r="C3168" i="1"/>
  <c r="D3168" i="1"/>
  <c r="A3169" i="1"/>
  <c r="B3169" i="1"/>
  <c r="C3169" i="1"/>
  <c r="D3169" i="1"/>
  <c r="A3170" i="1"/>
  <c r="B3170" i="1"/>
  <c r="C3170" i="1"/>
  <c r="D3170" i="1"/>
  <c r="A3171" i="1"/>
  <c r="B3171" i="1"/>
  <c r="C3171" i="1"/>
  <c r="D3171" i="1"/>
  <c r="A3172" i="1"/>
  <c r="B3172" i="1"/>
  <c r="C3172" i="1"/>
  <c r="D3172" i="1"/>
  <c r="A3173" i="1"/>
  <c r="B3173" i="1"/>
  <c r="C3173" i="1"/>
  <c r="D3173" i="1"/>
  <c r="A3174" i="1"/>
  <c r="B3174" i="1"/>
  <c r="C3174" i="1"/>
  <c r="D3174" i="1"/>
  <c r="A3175" i="1"/>
  <c r="B3175" i="1"/>
  <c r="C3175" i="1"/>
  <c r="D3175" i="1"/>
  <c r="A3176" i="1"/>
  <c r="B3176" i="1"/>
  <c r="C3176" i="1"/>
  <c r="D3176" i="1"/>
  <c r="A3177" i="1"/>
  <c r="B3177" i="1"/>
  <c r="C3177" i="1"/>
  <c r="D3177" i="1"/>
  <c r="A3178" i="1"/>
  <c r="B3178" i="1"/>
  <c r="C3178" i="1"/>
  <c r="D3178" i="1"/>
  <c r="A3179" i="1"/>
  <c r="B3179" i="1"/>
  <c r="C3179" i="1"/>
  <c r="D3179" i="1"/>
  <c r="A3180" i="1"/>
  <c r="B3180" i="1"/>
  <c r="C3180" i="1"/>
  <c r="D3180" i="1"/>
  <c r="A3181" i="1"/>
  <c r="B3181" i="1"/>
  <c r="C3181" i="1"/>
  <c r="D3181" i="1"/>
  <c r="A3182" i="1"/>
  <c r="B3182" i="1"/>
  <c r="C3182" i="1"/>
  <c r="D3182" i="1"/>
  <c r="A3183" i="1"/>
  <c r="B3183" i="1"/>
  <c r="C3183" i="1"/>
  <c r="D3183" i="1"/>
  <c r="A3184" i="1"/>
  <c r="B3184" i="1"/>
  <c r="C3184" i="1"/>
  <c r="D3184" i="1"/>
  <c r="A3185" i="1"/>
  <c r="B3185" i="1"/>
  <c r="C3185" i="1"/>
  <c r="D3185" i="1"/>
  <c r="A3186" i="1"/>
  <c r="B3186" i="1"/>
  <c r="C3186" i="1"/>
  <c r="D3186" i="1"/>
  <c r="A3187" i="1"/>
  <c r="B3187" i="1"/>
  <c r="C3187" i="1"/>
  <c r="D3187" i="1"/>
  <c r="A3188" i="1"/>
  <c r="B3188" i="1"/>
  <c r="C3188" i="1"/>
  <c r="D3188" i="1"/>
  <c r="A3189" i="1"/>
  <c r="B3189" i="1"/>
  <c r="C3189" i="1"/>
  <c r="D3189" i="1"/>
  <c r="A3190" i="1"/>
  <c r="B3190" i="1"/>
  <c r="C3190" i="1"/>
  <c r="D3190" i="1"/>
  <c r="A3191" i="1"/>
  <c r="B3191" i="1"/>
  <c r="C3191" i="1"/>
  <c r="D3191" i="1"/>
  <c r="A3192" i="1"/>
  <c r="B3192" i="1"/>
  <c r="C3192" i="1"/>
  <c r="D3192" i="1"/>
  <c r="A3193" i="1"/>
  <c r="B3193" i="1"/>
  <c r="C3193" i="1"/>
  <c r="D3193" i="1"/>
  <c r="A3194" i="1"/>
  <c r="B3194" i="1"/>
  <c r="C3194" i="1"/>
  <c r="D3194" i="1"/>
  <c r="A3195" i="1"/>
  <c r="B3195" i="1"/>
  <c r="C3195" i="1"/>
  <c r="D3195" i="1"/>
  <c r="A3196" i="1"/>
  <c r="B3196" i="1"/>
  <c r="C3196" i="1"/>
  <c r="D3196" i="1"/>
  <c r="A3197" i="1"/>
  <c r="B3197" i="1"/>
  <c r="C3197" i="1"/>
  <c r="D3197" i="1"/>
  <c r="A3198" i="1"/>
  <c r="B3198" i="1"/>
  <c r="C3198" i="1"/>
  <c r="D3198" i="1"/>
  <c r="A3199" i="1"/>
  <c r="B3199" i="1"/>
  <c r="C3199" i="1"/>
  <c r="D3199" i="1"/>
  <c r="A3200" i="1"/>
  <c r="B3200" i="1"/>
  <c r="C3200" i="1"/>
  <c r="D3200" i="1"/>
  <c r="A3201" i="1"/>
  <c r="B3201" i="1"/>
  <c r="C3201" i="1"/>
  <c r="D3201" i="1"/>
  <c r="A3202" i="1"/>
  <c r="B3202" i="1"/>
  <c r="C3202" i="1"/>
  <c r="D3202" i="1"/>
  <c r="A3203" i="1"/>
  <c r="B3203" i="1"/>
  <c r="C3203" i="1"/>
  <c r="D3203" i="1"/>
  <c r="A3204" i="1"/>
  <c r="B3204" i="1"/>
  <c r="C3204" i="1"/>
  <c r="D3204" i="1"/>
  <c r="A3205" i="1"/>
  <c r="B3205" i="1"/>
  <c r="C3205" i="1"/>
  <c r="D3205" i="1"/>
  <c r="A3206" i="1"/>
  <c r="B3206" i="1"/>
  <c r="C3206" i="1"/>
  <c r="D3206" i="1"/>
  <c r="A3207" i="1"/>
  <c r="B3207" i="1"/>
  <c r="C3207" i="1"/>
  <c r="D3207" i="1"/>
  <c r="A3208" i="1"/>
  <c r="B3208" i="1"/>
  <c r="C3208" i="1"/>
  <c r="D3208" i="1"/>
  <c r="A3209" i="1"/>
  <c r="B3209" i="1"/>
  <c r="C3209" i="1"/>
  <c r="D3209" i="1"/>
  <c r="A3210" i="1"/>
  <c r="B3210" i="1"/>
  <c r="C3210" i="1"/>
  <c r="D3210" i="1"/>
  <c r="A3211" i="1"/>
  <c r="B3211" i="1"/>
  <c r="C3211" i="1"/>
  <c r="D3211" i="1"/>
  <c r="A3212" i="1"/>
  <c r="B3212" i="1"/>
  <c r="C3212" i="1"/>
  <c r="D3212" i="1"/>
  <c r="A3213" i="1"/>
  <c r="B3213" i="1"/>
  <c r="C3213" i="1"/>
  <c r="D3213" i="1"/>
  <c r="A3214" i="1"/>
  <c r="B3214" i="1"/>
  <c r="C3214" i="1"/>
  <c r="D3214" i="1"/>
  <c r="A3215" i="1"/>
  <c r="B3215" i="1"/>
  <c r="C3215" i="1"/>
  <c r="D3215" i="1"/>
  <c r="A3216" i="1"/>
  <c r="B3216" i="1"/>
  <c r="C3216" i="1"/>
  <c r="D3216" i="1"/>
  <c r="A3217" i="1"/>
  <c r="B3217" i="1"/>
  <c r="C3217" i="1"/>
  <c r="D3217" i="1"/>
  <c r="A3218" i="1"/>
  <c r="B3218" i="1"/>
  <c r="C3218" i="1"/>
  <c r="D3218" i="1"/>
  <c r="A3219" i="1"/>
  <c r="B3219" i="1"/>
  <c r="C3219" i="1"/>
  <c r="D3219" i="1"/>
  <c r="A3220" i="1"/>
  <c r="B3220" i="1"/>
  <c r="C3220" i="1"/>
  <c r="D3220" i="1"/>
  <c r="A3221" i="1"/>
  <c r="B3221" i="1"/>
  <c r="C3221" i="1"/>
  <c r="D3221" i="1"/>
  <c r="A3222" i="1"/>
  <c r="B3222" i="1"/>
  <c r="C3222" i="1"/>
  <c r="D3222" i="1"/>
  <c r="A3223" i="1"/>
  <c r="B3223" i="1"/>
  <c r="C3223" i="1"/>
  <c r="D3223" i="1"/>
  <c r="A3224" i="1"/>
  <c r="B3224" i="1"/>
  <c r="C3224" i="1"/>
  <c r="D3224" i="1"/>
  <c r="A3225" i="1"/>
  <c r="B3225" i="1"/>
  <c r="C3225" i="1"/>
  <c r="D3225" i="1"/>
  <c r="A3226" i="1"/>
  <c r="B3226" i="1"/>
  <c r="C3226" i="1"/>
  <c r="D3226" i="1"/>
  <c r="A3227" i="1"/>
  <c r="B3227" i="1"/>
  <c r="C3227" i="1"/>
  <c r="D3227" i="1"/>
  <c r="A3228" i="1"/>
  <c r="B3228" i="1"/>
  <c r="C3228" i="1"/>
  <c r="D3228" i="1"/>
  <c r="A3229" i="1"/>
  <c r="B3229" i="1"/>
  <c r="C3229" i="1"/>
  <c r="D3229" i="1"/>
  <c r="A3230" i="1"/>
  <c r="B3230" i="1"/>
  <c r="C3230" i="1"/>
  <c r="D3230" i="1"/>
  <c r="A3231" i="1"/>
  <c r="B3231" i="1"/>
  <c r="C3231" i="1"/>
  <c r="D3231" i="1"/>
  <c r="A3232" i="1"/>
  <c r="B3232" i="1"/>
  <c r="C3232" i="1"/>
  <c r="D3232" i="1"/>
  <c r="A3233" i="1"/>
  <c r="B3233" i="1"/>
  <c r="C3233" i="1"/>
  <c r="D3233" i="1"/>
  <c r="A3234" i="1"/>
  <c r="B3234" i="1"/>
  <c r="C3234" i="1"/>
  <c r="D3234" i="1"/>
  <c r="A3235" i="1"/>
  <c r="B3235" i="1"/>
  <c r="C3235" i="1"/>
  <c r="D3235" i="1"/>
  <c r="A3236" i="1"/>
  <c r="B3236" i="1"/>
  <c r="C3236" i="1"/>
  <c r="D3236" i="1"/>
  <c r="A3237" i="1"/>
  <c r="B3237" i="1"/>
  <c r="C3237" i="1"/>
  <c r="D3237" i="1"/>
  <c r="A3238" i="1"/>
  <c r="B3238" i="1"/>
  <c r="C3238" i="1"/>
  <c r="D3238" i="1"/>
  <c r="A3239" i="1"/>
  <c r="B3239" i="1"/>
  <c r="C3239" i="1"/>
  <c r="D3239" i="1"/>
  <c r="A3240" i="1"/>
  <c r="B3240" i="1"/>
  <c r="C3240" i="1"/>
  <c r="D3240" i="1"/>
  <c r="A3241" i="1"/>
  <c r="B3241" i="1"/>
  <c r="C3241" i="1"/>
  <c r="D3241" i="1"/>
  <c r="A3242" i="1"/>
  <c r="B3242" i="1"/>
  <c r="C3242" i="1"/>
  <c r="D3242" i="1"/>
  <c r="A3243" i="1"/>
  <c r="B3243" i="1"/>
  <c r="C3243" i="1"/>
  <c r="D3243" i="1"/>
  <c r="A3244" i="1"/>
  <c r="B3244" i="1"/>
  <c r="C3244" i="1"/>
  <c r="D3244" i="1"/>
  <c r="A3245" i="1"/>
  <c r="B3245" i="1"/>
  <c r="C3245" i="1"/>
  <c r="D3245" i="1"/>
  <c r="A3246" i="1"/>
  <c r="B3246" i="1"/>
  <c r="C3246" i="1"/>
  <c r="D3246" i="1"/>
  <c r="A3247" i="1"/>
  <c r="B3247" i="1"/>
  <c r="C3247" i="1"/>
  <c r="D3247" i="1"/>
  <c r="A3248" i="1"/>
  <c r="B3248" i="1"/>
  <c r="C3248" i="1"/>
  <c r="D3248" i="1"/>
  <c r="A3249" i="1"/>
  <c r="B3249" i="1"/>
  <c r="C3249" i="1"/>
  <c r="D3249" i="1"/>
  <c r="A3250" i="1"/>
  <c r="B3250" i="1"/>
  <c r="C3250" i="1"/>
  <c r="D3250" i="1"/>
  <c r="A3251" i="1"/>
  <c r="B3251" i="1"/>
  <c r="C3251" i="1"/>
  <c r="D3251" i="1"/>
  <c r="A3252" i="1"/>
  <c r="B3252" i="1"/>
  <c r="C3252" i="1"/>
  <c r="D3252" i="1"/>
  <c r="A3253" i="1"/>
  <c r="B3253" i="1"/>
  <c r="C3253" i="1"/>
  <c r="D3253" i="1"/>
  <c r="A3254" i="1"/>
  <c r="B3254" i="1"/>
  <c r="C3254" i="1"/>
  <c r="D3254" i="1"/>
  <c r="A3255" i="1"/>
  <c r="B3255" i="1"/>
  <c r="C3255" i="1"/>
  <c r="D3255" i="1"/>
  <c r="A3256" i="1"/>
  <c r="B3256" i="1"/>
  <c r="C3256" i="1"/>
  <c r="D3256" i="1"/>
  <c r="A3257" i="1"/>
  <c r="B3257" i="1"/>
  <c r="C3257" i="1"/>
  <c r="D3257" i="1"/>
  <c r="A3258" i="1"/>
  <c r="B3258" i="1"/>
  <c r="C3258" i="1"/>
  <c r="D3258" i="1"/>
  <c r="A3259" i="1"/>
  <c r="B3259" i="1"/>
  <c r="C3259" i="1"/>
  <c r="D3259" i="1"/>
  <c r="A3260" i="1"/>
  <c r="B3260" i="1"/>
  <c r="C3260" i="1"/>
  <c r="D3260" i="1"/>
  <c r="A3261" i="1"/>
  <c r="B3261" i="1"/>
  <c r="C3261" i="1"/>
  <c r="D3261" i="1"/>
  <c r="A3262" i="1"/>
  <c r="B3262" i="1"/>
  <c r="C3262" i="1"/>
  <c r="D3262" i="1"/>
  <c r="A3263" i="1"/>
  <c r="B3263" i="1"/>
  <c r="C3263" i="1"/>
  <c r="D3263" i="1"/>
  <c r="A3264" i="1"/>
  <c r="B3264" i="1"/>
  <c r="C3264" i="1"/>
  <c r="D3264" i="1"/>
  <c r="A3265" i="1"/>
  <c r="B3265" i="1"/>
  <c r="C3265" i="1"/>
  <c r="D3265" i="1"/>
  <c r="A3266" i="1"/>
  <c r="B3266" i="1"/>
  <c r="C3266" i="1"/>
  <c r="D3266" i="1"/>
  <c r="A3267" i="1"/>
  <c r="B3267" i="1"/>
  <c r="C3267" i="1"/>
  <c r="D3267" i="1"/>
  <c r="A3268" i="1"/>
  <c r="B3268" i="1"/>
  <c r="C3268" i="1"/>
  <c r="D3268" i="1"/>
  <c r="A3269" i="1"/>
  <c r="B3269" i="1"/>
  <c r="C3269" i="1"/>
  <c r="D3269" i="1"/>
  <c r="A3270" i="1"/>
  <c r="B3270" i="1"/>
  <c r="C3270" i="1"/>
  <c r="D3270" i="1"/>
  <c r="A3271" i="1"/>
  <c r="B3271" i="1"/>
  <c r="C3271" i="1"/>
  <c r="D3271" i="1"/>
  <c r="A3272" i="1"/>
  <c r="B3272" i="1"/>
  <c r="C3272" i="1"/>
  <c r="D3272" i="1"/>
  <c r="A3273" i="1"/>
  <c r="B3273" i="1"/>
  <c r="C3273" i="1"/>
  <c r="D3273" i="1"/>
  <c r="A3274" i="1"/>
  <c r="B3274" i="1"/>
  <c r="C3274" i="1"/>
  <c r="D3274" i="1"/>
  <c r="A3275" i="1"/>
  <c r="B3275" i="1"/>
  <c r="C3275" i="1"/>
  <c r="D3275" i="1"/>
  <c r="A3276" i="1"/>
  <c r="B3276" i="1"/>
  <c r="C3276" i="1"/>
  <c r="D3276" i="1"/>
  <c r="A3277" i="1"/>
  <c r="B3277" i="1"/>
  <c r="C3277" i="1"/>
  <c r="D3277" i="1"/>
  <c r="A3278" i="1"/>
  <c r="B3278" i="1"/>
  <c r="C3278" i="1"/>
  <c r="D3278" i="1"/>
  <c r="A3279" i="1"/>
  <c r="B3279" i="1"/>
  <c r="C3279" i="1"/>
  <c r="D3279" i="1"/>
  <c r="A3280" i="1"/>
  <c r="B3280" i="1"/>
  <c r="C3280" i="1"/>
  <c r="D3280" i="1"/>
  <c r="A3281" i="1"/>
  <c r="B3281" i="1"/>
  <c r="C3281" i="1"/>
  <c r="D3281" i="1"/>
  <c r="A3282" i="1"/>
  <c r="B3282" i="1"/>
  <c r="C3282" i="1"/>
  <c r="D3282" i="1"/>
  <c r="A3283" i="1"/>
  <c r="B3283" i="1"/>
  <c r="C3283" i="1"/>
  <c r="D3283" i="1"/>
  <c r="A3284" i="1"/>
  <c r="B3284" i="1"/>
  <c r="C3284" i="1"/>
  <c r="D3284" i="1"/>
  <c r="A3285" i="1"/>
  <c r="B3285" i="1"/>
  <c r="C3285" i="1"/>
  <c r="D3285" i="1"/>
  <c r="A3286" i="1"/>
  <c r="B3286" i="1"/>
  <c r="C3286" i="1"/>
  <c r="D3286" i="1"/>
  <c r="A3287" i="1"/>
  <c r="B3287" i="1"/>
  <c r="C3287" i="1"/>
  <c r="D3287" i="1"/>
  <c r="A3288" i="1"/>
  <c r="B3288" i="1"/>
  <c r="C3288" i="1"/>
  <c r="D3288" i="1"/>
  <c r="A3289" i="1"/>
  <c r="B3289" i="1"/>
  <c r="C3289" i="1"/>
  <c r="D3289" i="1"/>
  <c r="A3290" i="1"/>
  <c r="B3290" i="1"/>
  <c r="C3290" i="1"/>
  <c r="D3290" i="1"/>
  <c r="A3291" i="1"/>
  <c r="B3291" i="1"/>
  <c r="C3291" i="1"/>
  <c r="D3291" i="1"/>
  <c r="A3292" i="1"/>
  <c r="B3292" i="1"/>
  <c r="C3292" i="1"/>
  <c r="D3292" i="1"/>
  <c r="A3293" i="1"/>
  <c r="B3293" i="1"/>
  <c r="C3293" i="1"/>
  <c r="D3293" i="1"/>
  <c r="A3294" i="1"/>
  <c r="B3294" i="1"/>
  <c r="C3294" i="1"/>
  <c r="D3294" i="1"/>
  <c r="A3295" i="1"/>
  <c r="B3295" i="1"/>
  <c r="C3295" i="1"/>
  <c r="D3295" i="1"/>
  <c r="A3296" i="1"/>
  <c r="B3296" i="1"/>
  <c r="C3296" i="1"/>
  <c r="D3296" i="1"/>
  <c r="A3297" i="1"/>
  <c r="B3297" i="1"/>
  <c r="C3297" i="1"/>
  <c r="D3297" i="1"/>
  <c r="A3298" i="1"/>
  <c r="B3298" i="1"/>
  <c r="C3298" i="1"/>
  <c r="D3298" i="1"/>
  <c r="A3299" i="1"/>
  <c r="B3299" i="1"/>
  <c r="C3299" i="1"/>
  <c r="D3299" i="1"/>
  <c r="A3300" i="1"/>
  <c r="B3300" i="1"/>
  <c r="C3300" i="1"/>
  <c r="D3300" i="1"/>
  <c r="A3301" i="1"/>
  <c r="B3301" i="1"/>
  <c r="C3301" i="1"/>
  <c r="D3301" i="1"/>
  <c r="A3302" i="1"/>
  <c r="B3302" i="1"/>
  <c r="C3302" i="1"/>
  <c r="D3302" i="1"/>
  <c r="A3303" i="1"/>
  <c r="B3303" i="1"/>
  <c r="C3303" i="1"/>
  <c r="D3303" i="1"/>
  <c r="A3304" i="1"/>
  <c r="B3304" i="1"/>
  <c r="C3304" i="1"/>
  <c r="D3304" i="1"/>
  <c r="A3305" i="1"/>
  <c r="B3305" i="1"/>
  <c r="C3305" i="1"/>
  <c r="D3305" i="1"/>
  <c r="A3306" i="1"/>
  <c r="B3306" i="1"/>
  <c r="C3306" i="1"/>
  <c r="D3306" i="1"/>
  <c r="A3307" i="1"/>
  <c r="B3307" i="1"/>
  <c r="C3307" i="1"/>
  <c r="D3307" i="1"/>
  <c r="A3308" i="1"/>
  <c r="B3308" i="1"/>
  <c r="C3308" i="1"/>
  <c r="D3308" i="1"/>
  <c r="A3309" i="1"/>
  <c r="B3309" i="1"/>
  <c r="C3309" i="1"/>
  <c r="D3309" i="1"/>
  <c r="A3310" i="1"/>
  <c r="B3310" i="1"/>
  <c r="C3310" i="1"/>
  <c r="D3310" i="1"/>
  <c r="A3311" i="1"/>
  <c r="B3311" i="1"/>
  <c r="C3311" i="1"/>
  <c r="D3311" i="1"/>
  <c r="A3312" i="1"/>
  <c r="B3312" i="1"/>
  <c r="C3312" i="1"/>
  <c r="D3312" i="1"/>
  <c r="A3313" i="1"/>
  <c r="B3313" i="1"/>
  <c r="C3313" i="1"/>
  <c r="D3313" i="1"/>
  <c r="A3314" i="1"/>
  <c r="B3314" i="1"/>
  <c r="C3314" i="1"/>
  <c r="D3314" i="1"/>
  <c r="A3315" i="1"/>
  <c r="B3315" i="1"/>
  <c r="C3315" i="1"/>
  <c r="D3315" i="1"/>
  <c r="A3316" i="1"/>
  <c r="B3316" i="1"/>
  <c r="C3316" i="1"/>
  <c r="D3316" i="1"/>
  <c r="A3317" i="1"/>
  <c r="B3317" i="1"/>
  <c r="C3317" i="1"/>
  <c r="D3317" i="1"/>
  <c r="A3318" i="1"/>
  <c r="B3318" i="1"/>
  <c r="C3318" i="1"/>
  <c r="D3318" i="1"/>
  <c r="A3319" i="1"/>
  <c r="B3319" i="1"/>
  <c r="C3319" i="1"/>
  <c r="D3319" i="1"/>
  <c r="A3320" i="1"/>
  <c r="B3320" i="1"/>
  <c r="C3320" i="1"/>
  <c r="D3320" i="1"/>
  <c r="A3321" i="1"/>
  <c r="B3321" i="1"/>
  <c r="C3321" i="1"/>
  <c r="D3321" i="1"/>
  <c r="A3322" i="1"/>
  <c r="B3322" i="1"/>
  <c r="C3322" i="1"/>
  <c r="D3322" i="1"/>
  <c r="A3323" i="1"/>
  <c r="B3323" i="1"/>
  <c r="C3323" i="1"/>
  <c r="D3323" i="1"/>
  <c r="A3324" i="1"/>
  <c r="B3324" i="1"/>
  <c r="C3324" i="1"/>
  <c r="D3324" i="1"/>
  <c r="A3325" i="1"/>
  <c r="B3325" i="1"/>
  <c r="C3325" i="1"/>
  <c r="D3325" i="1"/>
  <c r="A3326" i="1"/>
  <c r="B3326" i="1"/>
  <c r="C3326" i="1"/>
  <c r="D3326" i="1"/>
  <c r="A3327" i="1"/>
  <c r="B3327" i="1"/>
  <c r="C3327" i="1"/>
  <c r="D3327" i="1"/>
  <c r="A3328" i="1"/>
  <c r="B3328" i="1"/>
  <c r="C3328" i="1"/>
  <c r="D3328" i="1"/>
  <c r="A3329" i="1"/>
  <c r="B3329" i="1"/>
  <c r="C3329" i="1"/>
  <c r="D3329" i="1"/>
  <c r="A3330" i="1"/>
  <c r="B3330" i="1"/>
  <c r="C3330" i="1"/>
  <c r="D3330" i="1"/>
  <c r="A3331" i="1"/>
  <c r="B3331" i="1"/>
  <c r="C3331" i="1"/>
  <c r="D3331" i="1"/>
  <c r="A3332" i="1"/>
  <c r="B3332" i="1"/>
  <c r="C3332" i="1"/>
  <c r="D3332" i="1"/>
  <c r="A3333" i="1"/>
  <c r="B3333" i="1"/>
  <c r="C3333" i="1"/>
  <c r="D3333" i="1"/>
  <c r="A3334" i="1"/>
  <c r="B3334" i="1"/>
  <c r="C3334" i="1"/>
  <c r="D3334" i="1"/>
  <c r="A3335" i="1"/>
  <c r="B3335" i="1"/>
  <c r="C3335" i="1"/>
  <c r="D3335" i="1"/>
  <c r="A3336" i="1"/>
  <c r="B3336" i="1"/>
  <c r="C3336" i="1"/>
  <c r="D3336" i="1"/>
  <c r="A3337" i="1"/>
  <c r="B3337" i="1"/>
  <c r="C3337" i="1"/>
  <c r="D3337" i="1"/>
  <c r="A3338" i="1"/>
  <c r="B3338" i="1"/>
  <c r="C3338" i="1"/>
  <c r="D3338" i="1"/>
  <c r="A3339" i="1"/>
  <c r="B3339" i="1"/>
  <c r="C3339" i="1"/>
  <c r="D3339" i="1"/>
  <c r="A3340" i="1"/>
  <c r="B3340" i="1"/>
  <c r="C3340" i="1"/>
  <c r="D3340" i="1"/>
  <c r="A3341" i="1"/>
  <c r="B3341" i="1"/>
  <c r="C3341" i="1"/>
  <c r="D3341" i="1"/>
  <c r="A3342" i="1"/>
  <c r="B3342" i="1"/>
  <c r="C3342" i="1"/>
  <c r="D3342" i="1"/>
  <c r="A3343" i="1"/>
  <c r="B3343" i="1"/>
  <c r="C3343" i="1"/>
  <c r="D3343" i="1"/>
  <c r="A3344" i="1"/>
  <c r="B3344" i="1"/>
  <c r="C3344" i="1"/>
  <c r="D3344" i="1"/>
  <c r="A3345" i="1"/>
  <c r="B3345" i="1"/>
  <c r="C3345" i="1"/>
  <c r="D3345" i="1"/>
  <c r="A3346" i="1"/>
  <c r="B3346" i="1"/>
  <c r="C3346" i="1"/>
  <c r="D3346" i="1"/>
  <c r="A3347" i="1"/>
  <c r="B3347" i="1"/>
  <c r="C3347" i="1"/>
  <c r="D3347" i="1"/>
  <c r="A3348" i="1"/>
  <c r="B3348" i="1"/>
  <c r="C3348" i="1"/>
  <c r="D3348" i="1"/>
  <c r="A3349" i="1"/>
  <c r="B3349" i="1"/>
  <c r="C3349" i="1"/>
  <c r="D3349" i="1"/>
  <c r="A3350" i="1"/>
  <c r="B3350" i="1"/>
  <c r="C3350" i="1"/>
  <c r="D3350" i="1"/>
  <c r="A3351" i="1"/>
  <c r="B3351" i="1"/>
  <c r="C3351" i="1"/>
  <c r="D3351" i="1"/>
  <c r="A3352" i="1"/>
  <c r="B3352" i="1"/>
  <c r="C3352" i="1"/>
  <c r="D3352" i="1"/>
  <c r="A3353" i="1"/>
  <c r="B3353" i="1"/>
  <c r="C3353" i="1"/>
  <c r="D3353" i="1"/>
  <c r="A3354" i="1"/>
  <c r="B3354" i="1"/>
  <c r="C3354" i="1"/>
  <c r="D3354" i="1"/>
  <c r="A3355" i="1"/>
  <c r="B3355" i="1"/>
  <c r="C3355" i="1"/>
  <c r="D3355" i="1"/>
  <c r="A3356" i="1"/>
  <c r="B3356" i="1"/>
  <c r="C3356" i="1"/>
  <c r="D3356" i="1"/>
  <c r="A3357" i="1"/>
  <c r="B3357" i="1"/>
  <c r="C3357" i="1"/>
  <c r="D3357" i="1"/>
  <c r="A3358" i="1"/>
  <c r="B3358" i="1"/>
  <c r="C3358" i="1"/>
  <c r="D3358" i="1"/>
  <c r="A3359" i="1"/>
  <c r="B3359" i="1"/>
  <c r="C3359" i="1"/>
  <c r="D3359" i="1"/>
  <c r="A3360" i="1"/>
  <c r="B3360" i="1"/>
  <c r="C3360" i="1"/>
  <c r="D3360" i="1"/>
  <c r="A3361" i="1"/>
  <c r="B3361" i="1"/>
  <c r="C3361" i="1"/>
  <c r="D3361" i="1"/>
  <c r="A3362" i="1"/>
  <c r="B3362" i="1"/>
  <c r="C3362" i="1"/>
  <c r="D3362" i="1"/>
  <c r="A3363" i="1"/>
  <c r="B3363" i="1"/>
  <c r="C3363" i="1"/>
  <c r="D3363" i="1"/>
  <c r="A3364" i="1"/>
  <c r="B3364" i="1"/>
  <c r="C3364" i="1"/>
  <c r="D3364" i="1"/>
  <c r="A3365" i="1"/>
  <c r="B3365" i="1"/>
  <c r="C3365" i="1"/>
  <c r="D3365" i="1"/>
  <c r="A3366" i="1"/>
  <c r="B3366" i="1"/>
  <c r="C3366" i="1"/>
  <c r="D3366" i="1"/>
  <c r="A3367" i="1"/>
  <c r="B3367" i="1"/>
  <c r="C3367" i="1"/>
  <c r="D3367" i="1"/>
  <c r="A3368" i="1"/>
  <c r="B3368" i="1"/>
  <c r="C3368" i="1"/>
  <c r="D3368" i="1"/>
  <c r="A3369" i="1"/>
  <c r="B3369" i="1"/>
  <c r="C3369" i="1"/>
  <c r="D3369" i="1"/>
  <c r="A3370" i="1"/>
  <c r="B3370" i="1"/>
  <c r="C3370" i="1"/>
  <c r="D3370" i="1"/>
  <c r="A3371" i="1"/>
  <c r="B3371" i="1"/>
  <c r="C3371" i="1"/>
  <c r="D3371" i="1"/>
  <c r="A3372" i="1"/>
  <c r="B3372" i="1"/>
  <c r="C3372" i="1"/>
  <c r="D3372" i="1"/>
  <c r="A3373" i="1"/>
  <c r="B3373" i="1"/>
  <c r="C3373" i="1"/>
  <c r="D3373" i="1"/>
  <c r="A3374" i="1"/>
  <c r="B3374" i="1"/>
  <c r="C3374" i="1"/>
  <c r="D3374" i="1"/>
  <c r="A3375" i="1"/>
  <c r="B3375" i="1"/>
  <c r="C3375" i="1"/>
  <c r="D3375" i="1"/>
  <c r="A3376" i="1"/>
  <c r="B3376" i="1"/>
  <c r="C3376" i="1"/>
  <c r="D3376" i="1"/>
  <c r="A3377" i="1"/>
  <c r="B3377" i="1"/>
  <c r="C3377" i="1"/>
  <c r="D3377" i="1"/>
  <c r="A3378" i="1"/>
  <c r="B3378" i="1"/>
  <c r="C3378" i="1"/>
  <c r="D3378" i="1"/>
  <c r="A3379" i="1"/>
  <c r="B3379" i="1"/>
  <c r="C3379" i="1"/>
  <c r="D3379" i="1"/>
  <c r="A3380" i="1"/>
  <c r="B3380" i="1"/>
  <c r="C3380" i="1"/>
  <c r="D3380" i="1"/>
  <c r="A3381" i="1"/>
  <c r="B3381" i="1"/>
  <c r="C3381" i="1"/>
  <c r="D3381" i="1"/>
  <c r="A3382" i="1"/>
  <c r="B3382" i="1"/>
  <c r="C3382" i="1"/>
  <c r="D3382" i="1"/>
  <c r="A3383" i="1"/>
  <c r="B3383" i="1"/>
  <c r="C3383" i="1"/>
  <c r="D3383" i="1"/>
  <c r="A3384" i="1"/>
  <c r="B3384" i="1"/>
  <c r="C3384" i="1"/>
  <c r="D3384" i="1"/>
  <c r="A3385" i="1"/>
  <c r="B3385" i="1"/>
  <c r="C3385" i="1"/>
  <c r="D3385" i="1"/>
  <c r="A3386" i="1"/>
  <c r="B3386" i="1"/>
  <c r="C3386" i="1"/>
  <c r="D3386" i="1"/>
  <c r="A3387" i="1"/>
  <c r="B3387" i="1"/>
  <c r="C3387" i="1"/>
  <c r="D3387" i="1"/>
  <c r="A3388" i="1"/>
  <c r="B3388" i="1"/>
  <c r="C3388" i="1"/>
  <c r="D3388" i="1"/>
  <c r="A3389" i="1"/>
  <c r="B3389" i="1"/>
  <c r="C3389" i="1"/>
  <c r="D3389" i="1"/>
  <c r="A3390" i="1"/>
  <c r="B3390" i="1"/>
  <c r="C3390" i="1"/>
  <c r="D3390" i="1"/>
  <c r="A3391" i="1"/>
  <c r="B3391" i="1"/>
  <c r="C3391" i="1"/>
  <c r="D3391" i="1"/>
  <c r="A3392" i="1"/>
  <c r="B3392" i="1"/>
  <c r="C3392" i="1"/>
  <c r="D3392" i="1"/>
  <c r="A3393" i="1"/>
  <c r="B3393" i="1"/>
  <c r="C3393" i="1"/>
  <c r="D3393" i="1"/>
  <c r="A3394" i="1"/>
  <c r="B3394" i="1"/>
  <c r="C3394" i="1"/>
  <c r="D3394" i="1"/>
  <c r="A3395" i="1"/>
  <c r="B3395" i="1"/>
  <c r="C3395" i="1"/>
  <c r="D3395" i="1"/>
  <c r="A3396" i="1"/>
  <c r="B3396" i="1"/>
  <c r="C3396" i="1"/>
  <c r="D3396" i="1"/>
  <c r="A3397" i="1"/>
  <c r="B3397" i="1"/>
  <c r="C3397" i="1"/>
  <c r="D3397" i="1"/>
  <c r="A3398" i="1"/>
  <c r="B3398" i="1"/>
  <c r="C3398" i="1"/>
  <c r="D3398" i="1"/>
  <c r="A3399" i="1"/>
  <c r="B3399" i="1"/>
  <c r="C3399" i="1"/>
  <c r="D3399" i="1"/>
  <c r="A3400" i="1"/>
  <c r="B3400" i="1"/>
  <c r="C3400" i="1"/>
  <c r="D3400" i="1"/>
  <c r="A3401" i="1"/>
  <c r="B3401" i="1"/>
  <c r="C3401" i="1"/>
  <c r="D3401" i="1"/>
  <c r="A3402" i="1"/>
  <c r="B3402" i="1"/>
  <c r="C3402" i="1"/>
  <c r="D3402" i="1"/>
  <c r="A3403" i="1"/>
  <c r="B3403" i="1"/>
  <c r="C3403" i="1"/>
  <c r="D3403" i="1"/>
  <c r="A3404" i="1"/>
  <c r="B3404" i="1"/>
  <c r="C3404" i="1"/>
  <c r="D3404" i="1"/>
  <c r="A3405" i="1"/>
  <c r="B3405" i="1"/>
  <c r="C3405" i="1"/>
  <c r="D3405" i="1"/>
  <c r="A3406" i="1"/>
  <c r="B3406" i="1"/>
  <c r="C3406" i="1"/>
  <c r="D3406" i="1"/>
  <c r="A3407" i="1"/>
  <c r="B3407" i="1"/>
  <c r="C3407" i="1"/>
  <c r="D3407" i="1"/>
  <c r="A3408" i="1"/>
  <c r="B3408" i="1"/>
  <c r="C3408" i="1"/>
  <c r="D3408" i="1"/>
  <c r="A3409" i="1"/>
  <c r="B3409" i="1"/>
  <c r="C3409" i="1"/>
  <c r="D3409" i="1"/>
  <c r="A3410" i="1"/>
  <c r="B3410" i="1"/>
  <c r="C3410" i="1"/>
  <c r="D3410" i="1"/>
  <c r="A3411" i="1"/>
  <c r="B3411" i="1"/>
  <c r="C3411" i="1"/>
  <c r="D3411" i="1"/>
  <c r="A3412" i="1"/>
  <c r="B3412" i="1"/>
  <c r="C3412" i="1"/>
  <c r="D3412" i="1"/>
  <c r="A3413" i="1"/>
  <c r="B3413" i="1"/>
  <c r="C3413" i="1"/>
  <c r="D3413" i="1"/>
  <c r="A3414" i="1"/>
  <c r="B3414" i="1"/>
  <c r="C3414" i="1"/>
  <c r="D3414" i="1"/>
  <c r="A3415" i="1"/>
  <c r="B3415" i="1"/>
  <c r="C3415" i="1"/>
  <c r="D3415" i="1"/>
  <c r="A3416" i="1"/>
  <c r="B3416" i="1"/>
  <c r="C3416" i="1"/>
  <c r="D3416" i="1"/>
  <c r="A3417" i="1"/>
  <c r="B3417" i="1"/>
  <c r="C3417" i="1"/>
  <c r="D3417" i="1"/>
  <c r="A3418" i="1"/>
  <c r="B3418" i="1"/>
  <c r="C3418" i="1"/>
  <c r="D3418" i="1"/>
  <c r="A3419" i="1"/>
  <c r="B3419" i="1"/>
  <c r="C3419" i="1"/>
  <c r="D3419" i="1"/>
  <c r="A3420" i="1"/>
  <c r="B3420" i="1"/>
  <c r="C3420" i="1"/>
  <c r="D3420" i="1"/>
  <c r="A3421" i="1"/>
  <c r="B3421" i="1"/>
  <c r="C3421" i="1"/>
  <c r="D3421" i="1"/>
  <c r="A3422" i="1"/>
  <c r="B3422" i="1"/>
  <c r="C3422" i="1"/>
  <c r="D3422" i="1"/>
  <c r="A3423" i="1"/>
  <c r="B3423" i="1"/>
  <c r="C3423" i="1"/>
  <c r="D3423" i="1"/>
  <c r="A3424" i="1"/>
  <c r="B3424" i="1"/>
  <c r="C3424" i="1"/>
  <c r="D3424" i="1"/>
  <c r="A3425" i="1"/>
  <c r="B3425" i="1"/>
  <c r="C3425" i="1"/>
  <c r="D3425" i="1"/>
  <c r="A3426" i="1"/>
  <c r="B3426" i="1"/>
  <c r="C3426" i="1"/>
  <c r="D3426" i="1"/>
  <c r="A3427" i="1"/>
  <c r="B3427" i="1"/>
  <c r="C3427" i="1"/>
  <c r="D3427" i="1"/>
  <c r="A3428" i="1"/>
  <c r="B3428" i="1"/>
  <c r="C3428" i="1"/>
  <c r="D3428" i="1"/>
  <c r="A3429" i="1"/>
  <c r="B3429" i="1"/>
  <c r="C3429" i="1"/>
  <c r="D3429" i="1"/>
  <c r="A3430" i="1"/>
  <c r="B3430" i="1"/>
  <c r="C3430" i="1"/>
  <c r="D3430" i="1"/>
  <c r="A3431" i="1"/>
  <c r="B3431" i="1"/>
  <c r="C3431" i="1"/>
  <c r="D3431" i="1"/>
  <c r="A3432" i="1"/>
  <c r="B3432" i="1"/>
  <c r="C3432" i="1"/>
  <c r="D3432" i="1"/>
  <c r="A3433" i="1"/>
  <c r="B3433" i="1"/>
  <c r="C3433" i="1"/>
  <c r="D3433" i="1"/>
  <c r="A3434" i="1"/>
  <c r="B3434" i="1"/>
  <c r="C3434" i="1"/>
  <c r="D3434" i="1"/>
  <c r="A3435" i="1"/>
  <c r="B3435" i="1"/>
  <c r="C3435" i="1"/>
  <c r="D3435" i="1"/>
  <c r="A3436" i="1"/>
  <c r="B3436" i="1"/>
  <c r="C3436" i="1"/>
  <c r="D3436" i="1"/>
  <c r="A3437" i="1"/>
  <c r="B3437" i="1"/>
  <c r="C3437" i="1"/>
  <c r="D3437" i="1"/>
  <c r="A3438" i="1"/>
  <c r="B3438" i="1"/>
  <c r="C3438" i="1"/>
  <c r="D3438" i="1"/>
  <c r="A3439" i="1"/>
  <c r="B3439" i="1"/>
  <c r="C3439" i="1"/>
  <c r="D3439" i="1"/>
  <c r="A3440" i="1"/>
  <c r="B3440" i="1"/>
  <c r="C3440" i="1"/>
  <c r="D3440" i="1"/>
  <c r="A3441" i="1"/>
  <c r="B3441" i="1"/>
  <c r="C3441" i="1"/>
  <c r="D3441" i="1"/>
  <c r="A3442" i="1"/>
  <c r="B3442" i="1"/>
  <c r="C3442" i="1"/>
  <c r="D3442" i="1"/>
  <c r="A3443" i="1"/>
  <c r="B3443" i="1"/>
  <c r="C3443" i="1"/>
  <c r="D3443" i="1"/>
  <c r="A3444" i="1"/>
  <c r="B3444" i="1"/>
  <c r="C3444" i="1"/>
  <c r="D3444" i="1"/>
  <c r="A3445" i="1"/>
  <c r="B3445" i="1"/>
  <c r="C3445" i="1"/>
  <c r="D3445" i="1"/>
  <c r="A3446" i="1"/>
  <c r="B3446" i="1"/>
  <c r="C3446" i="1"/>
  <c r="D3446" i="1"/>
  <c r="A3447" i="1"/>
  <c r="B3447" i="1"/>
  <c r="C3447" i="1"/>
  <c r="D3447" i="1"/>
  <c r="A3448" i="1"/>
  <c r="B3448" i="1"/>
  <c r="C3448" i="1"/>
  <c r="D3448" i="1"/>
  <c r="A3449" i="1"/>
  <c r="B3449" i="1"/>
  <c r="C3449" i="1"/>
  <c r="D3449" i="1"/>
  <c r="A3450" i="1"/>
  <c r="B3450" i="1"/>
  <c r="C3450" i="1"/>
  <c r="D3450" i="1"/>
  <c r="A3451" i="1"/>
  <c r="B3451" i="1"/>
  <c r="C3451" i="1"/>
  <c r="D3451" i="1"/>
  <c r="A3452" i="1"/>
  <c r="B3452" i="1"/>
  <c r="C3452" i="1"/>
  <c r="D3452" i="1"/>
  <c r="A3453" i="1"/>
  <c r="B3453" i="1"/>
  <c r="C3453" i="1"/>
  <c r="D3453" i="1"/>
  <c r="A3454" i="1"/>
  <c r="B3454" i="1"/>
  <c r="C3454" i="1"/>
  <c r="D3454" i="1"/>
  <c r="A3455" i="1"/>
  <c r="B3455" i="1"/>
  <c r="C3455" i="1"/>
  <c r="D3455" i="1"/>
  <c r="A3456" i="1"/>
  <c r="B3456" i="1"/>
  <c r="C3456" i="1"/>
  <c r="D3456" i="1"/>
  <c r="A3457" i="1"/>
  <c r="B3457" i="1"/>
  <c r="C3457" i="1"/>
  <c r="D3457" i="1"/>
  <c r="A3458" i="1"/>
  <c r="B3458" i="1"/>
  <c r="C3458" i="1"/>
  <c r="D3458" i="1"/>
  <c r="A3459" i="1"/>
  <c r="B3459" i="1"/>
  <c r="C3459" i="1"/>
  <c r="D3459" i="1"/>
  <c r="A3460" i="1"/>
  <c r="B3460" i="1"/>
  <c r="C3460" i="1"/>
  <c r="D3460" i="1"/>
  <c r="A3461" i="1"/>
  <c r="B3461" i="1"/>
  <c r="C3461" i="1"/>
  <c r="D3461" i="1"/>
  <c r="A3462" i="1"/>
  <c r="B3462" i="1"/>
  <c r="C3462" i="1"/>
  <c r="D3462" i="1"/>
  <c r="A3463" i="1"/>
  <c r="B3463" i="1"/>
  <c r="C3463" i="1"/>
  <c r="D3463" i="1"/>
  <c r="A3464" i="1"/>
  <c r="B3464" i="1"/>
  <c r="C3464" i="1"/>
  <c r="D3464" i="1"/>
  <c r="A3465" i="1"/>
  <c r="B3465" i="1"/>
  <c r="C3465" i="1"/>
  <c r="D3465" i="1"/>
  <c r="A3466" i="1"/>
  <c r="B3466" i="1"/>
  <c r="C3466" i="1"/>
  <c r="D3466" i="1"/>
  <c r="A3467" i="1"/>
  <c r="B3467" i="1"/>
  <c r="C3467" i="1"/>
  <c r="D3467" i="1"/>
  <c r="A3468" i="1"/>
  <c r="B3468" i="1"/>
  <c r="C3468" i="1"/>
  <c r="D3468" i="1"/>
  <c r="A3469" i="1"/>
  <c r="B3469" i="1"/>
  <c r="C3469" i="1"/>
  <c r="D3469" i="1"/>
  <c r="A3470" i="1"/>
  <c r="B3470" i="1"/>
  <c r="C3470" i="1"/>
  <c r="D3470" i="1"/>
  <c r="A3471" i="1"/>
  <c r="B3471" i="1"/>
  <c r="C3471" i="1"/>
  <c r="D3471" i="1"/>
  <c r="A3472" i="1"/>
  <c r="B3472" i="1"/>
  <c r="C3472" i="1"/>
  <c r="D3472" i="1"/>
  <c r="A3473" i="1"/>
  <c r="B3473" i="1"/>
  <c r="C3473" i="1"/>
  <c r="D3473" i="1"/>
  <c r="A3474" i="1"/>
  <c r="B3474" i="1"/>
  <c r="C3474" i="1"/>
  <c r="D3474" i="1"/>
  <c r="A3475" i="1"/>
  <c r="B3475" i="1"/>
  <c r="C3475" i="1"/>
  <c r="D3475" i="1"/>
  <c r="A3476" i="1"/>
  <c r="B3476" i="1"/>
  <c r="C3476" i="1"/>
  <c r="D3476" i="1"/>
  <c r="A3477" i="1"/>
  <c r="B3477" i="1"/>
  <c r="C3477" i="1"/>
  <c r="D3477" i="1"/>
  <c r="A3478" i="1"/>
  <c r="B3478" i="1"/>
  <c r="C3478" i="1"/>
  <c r="D3478" i="1"/>
  <c r="A3479" i="1"/>
  <c r="B3479" i="1"/>
  <c r="C3479" i="1"/>
  <c r="D3479" i="1"/>
  <c r="A3480" i="1"/>
  <c r="B3480" i="1"/>
  <c r="C3480" i="1"/>
  <c r="D3480" i="1"/>
  <c r="A3481" i="1"/>
  <c r="B3481" i="1"/>
  <c r="C3481" i="1"/>
  <c r="D3481" i="1"/>
  <c r="A3482" i="1"/>
  <c r="B3482" i="1"/>
  <c r="C3482" i="1"/>
  <c r="D3482" i="1"/>
  <c r="A3483" i="1"/>
  <c r="B3483" i="1"/>
  <c r="C3483" i="1"/>
  <c r="D3483" i="1"/>
  <c r="A3484" i="1"/>
  <c r="B3484" i="1"/>
  <c r="C3484" i="1"/>
  <c r="D3484" i="1"/>
  <c r="A3485" i="1"/>
  <c r="B3485" i="1"/>
  <c r="C3485" i="1"/>
  <c r="D3485" i="1"/>
  <c r="A3486" i="1"/>
  <c r="B3486" i="1"/>
  <c r="C3486" i="1"/>
  <c r="D3486" i="1"/>
  <c r="A3487" i="1"/>
  <c r="B3487" i="1"/>
  <c r="C3487" i="1"/>
  <c r="D3487" i="1"/>
  <c r="A3488" i="1"/>
  <c r="B3488" i="1"/>
  <c r="C3488" i="1"/>
  <c r="D3488" i="1"/>
  <c r="A3489" i="1"/>
  <c r="B3489" i="1"/>
  <c r="C3489" i="1"/>
  <c r="D3489" i="1"/>
  <c r="A3490" i="1"/>
  <c r="B3490" i="1"/>
  <c r="C3490" i="1"/>
  <c r="D3490" i="1"/>
  <c r="A3491" i="1"/>
  <c r="B3491" i="1"/>
  <c r="C3491" i="1"/>
  <c r="D3491" i="1"/>
  <c r="A3492" i="1"/>
  <c r="B3492" i="1"/>
  <c r="C3492" i="1"/>
  <c r="D3492" i="1"/>
  <c r="A3493" i="1"/>
  <c r="B3493" i="1"/>
  <c r="C3493" i="1"/>
  <c r="D3493" i="1"/>
  <c r="A3494" i="1"/>
  <c r="B3494" i="1"/>
  <c r="C3494" i="1"/>
  <c r="D3494" i="1"/>
  <c r="A3495" i="1"/>
  <c r="B3495" i="1"/>
  <c r="C3495" i="1"/>
  <c r="D3495" i="1"/>
  <c r="A3496" i="1"/>
  <c r="B3496" i="1"/>
  <c r="C3496" i="1"/>
  <c r="D3496" i="1"/>
  <c r="A3497" i="1"/>
  <c r="B3497" i="1"/>
  <c r="C3497" i="1"/>
  <c r="D3497" i="1"/>
  <c r="A3498" i="1"/>
  <c r="B3498" i="1"/>
  <c r="C3498" i="1"/>
  <c r="D3498" i="1"/>
  <c r="A3499" i="1"/>
  <c r="B3499" i="1"/>
  <c r="C3499" i="1"/>
  <c r="D3499" i="1"/>
  <c r="A3500" i="1"/>
  <c r="B3500" i="1"/>
  <c r="C3500" i="1"/>
  <c r="D3500" i="1"/>
  <c r="A3501" i="1"/>
  <c r="B3501" i="1"/>
  <c r="C3501" i="1"/>
  <c r="D3501" i="1"/>
  <c r="A3502" i="1"/>
  <c r="B3502" i="1"/>
  <c r="C3502" i="1"/>
  <c r="D3502" i="1"/>
  <c r="A3503" i="1"/>
  <c r="B3503" i="1"/>
  <c r="C3503" i="1"/>
  <c r="D3503" i="1"/>
  <c r="A3504" i="1"/>
  <c r="B3504" i="1"/>
  <c r="C3504" i="1"/>
  <c r="D3504" i="1"/>
  <c r="A3505" i="1"/>
  <c r="B3505" i="1"/>
  <c r="C3505" i="1"/>
  <c r="D3505" i="1"/>
  <c r="A3506" i="1"/>
  <c r="B3506" i="1"/>
  <c r="C3506" i="1"/>
  <c r="D3506" i="1"/>
  <c r="A3507" i="1"/>
  <c r="B3507" i="1"/>
  <c r="C3507" i="1"/>
  <c r="D3507" i="1"/>
  <c r="A3508" i="1"/>
  <c r="B3508" i="1"/>
  <c r="C3508" i="1"/>
  <c r="D3508" i="1"/>
  <c r="A3509" i="1"/>
  <c r="B3509" i="1"/>
  <c r="C3509" i="1"/>
  <c r="D3509" i="1"/>
  <c r="A3510" i="1"/>
  <c r="B3510" i="1"/>
  <c r="C3510" i="1"/>
  <c r="D3510" i="1"/>
  <c r="A3511" i="1"/>
  <c r="B3511" i="1"/>
  <c r="C3511" i="1"/>
  <c r="D3511" i="1"/>
  <c r="A3512" i="1"/>
  <c r="B3512" i="1"/>
  <c r="C3512" i="1"/>
  <c r="D3512" i="1"/>
  <c r="A3513" i="1"/>
  <c r="B3513" i="1"/>
  <c r="C3513" i="1"/>
  <c r="D3513" i="1"/>
  <c r="A3514" i="1"/>
  <c r="B3514" i="1"/>
  <c r="C3514" i="1"/>
  <c r="D3514" i="1"/>
  <c r="A3515" i="1"/>
  <c r="B3515" i="1"/>
  <c r="C3515" i="1"/>
  <c r="D3515" i="1"/>
  <c r="A3516" i="1"/>
  <c r="B3516" i="1"/>
  <c r="C3516" i="1"/>
  <c r="D3516" i="1"/>
  <c r="A3517" i="1"/>
  <c r="B3517" i="1"/>
  <c r="C3517" i="1"/>
  <c r="D3517" i="1"/>
  <c r="A3518" i="1"/>
  <c r="B3518" i="1"/>
  <c r="C3518" i="1"/>
  <c r="D3518" i="1"/>
  <c r="A3519" i="1"/>
  <c r="B3519" i="1"/>
  <c r="C3519" i="1"/>
  <c r="D3519" i="1"/>
  <c r="A3520" i="1"/>
  <c r="B3520" i="1"/>
  <c r="C3520" i="1"/>
  <c r="D3520" i="1"/>
  <c r="A3521" i="1"/>
  <c r="B3521" i="1"/>
  <c r="C3521" i="1"/>
  <c r="D3521" i="1"/>
  <c r="A3522" i="1"/>
  <c r="B3522" i="1"/>
  <c r="C3522" i="1"/>
  <c r="D3522" i="1"/>
  <c r="A3523" i="1"/>
  <c r="B3523" i="1"/>
  <c r="C3523" i="1"/>
  <c r="D3523" i="1"/>
  <c r="A3524" i="1"/>
  <c r="B3524" i="1"/>
  <c r="C3524" i="1"/>
  <c r="D3524" i="1"/>
  <c r="A3525" i="1"/>
  <c r="B3525" i="1"/>
  <c r="C3525" i="1"/>
  <c r="D3525" i="1"/>
  <c r="A3526" i="1"/>
  <c r="B3526" i="1"/>
  <c r="C3526" i="1"/>
  <c r="D3526" i="1"/>
  <c r="A3527" i="1"/>
  <c r="B3527" i="1"/>
  <c r="C3527" i="1"/>
  <c r="D3527" i="1"/>
  <c r="A3528" i="1"/>
  <c r="B3528" i="1"/>
  <c r="C3528" i="1"/>
  <c r="D3528" i="1"/>
  <c r="A3529" i="1"/>
  <c r="B3529" i="1"/>
  <c r="C3529" i="1"/>
  <c r="D3529" i="1"/>
  <c r="A3530" i="1"/>
  <c r="B3530" i="1"/>
  <c r="C3530" i="1"/>
  <c r="D3530" i="1"/>
  <c r="A3531" i="1"/>
  <c r="B3531" i="1"/>
  <c r="C3531" i="1"/>
  <c r="D3531" i="1"/>
  <c r="A3532" i="1"/>
  <c r="B3532" i="1"/>
  <c r="C3532" i="1"/>
  <c r="D3532" i="1"/>
  <c r="A3533" i="1"/>
  <c r="B3533" i="1"/>
  <c r="C3533" i="1"/>
  <c r="D3533" i="1"/>
  <c r="A3534" i="1"/>
  <c r="B3534" i="1"/>
  <c r="C3534" i="1"/>
  <c r="D3534" i="1"/>
  <c r="A3535" i="1"/>
  <c r="B3535" i="1"/>
  <c r="C3535" i="1"/>
  <c r="D3535" i="1"/>
  <c r="A3536" i="1"/>
  <c r="B3536" i="1"/>
  <c r="C3536" i="1"/>
  <c r="D3536" i="1"/>
  <c r="A3537" i="1"/>
  <c r="B3537" i="1"/>
  <c r="C3537" i="1"/>
  <c r="D3537" i="1"/>
  <c r="A3538" i="1"/>
  <c r="B3538" i="1"/>
  <c r="C3538" i="1"/>
  <c r="D3538" i="1"/>
  <c r="A3539" i="1"/>
  <c r="B3539" i="1"/>
  <c r="C3539" i="1"/>
  <c r="D3539" i="1"/>
  <c r="A3540" i="1"/>
  <c r="B3540" i="1"/>
  <c r="C3540" i="1"/>
  <c r="D3540" i="1"/>
  <c r="A3541" i="1"/>
  <c r="B3541" i="1"/>
  <c r="C3541" i="1"/>
  <c r="D3541" i="1"/>
  <c r="A3542" i="1"/>
  <c r="B3542" i="1"/>
  <c r="C3542" i="1"/>
  <c r="D3542" i="1"/>
  <c r="A3543" i="1"/>
  <c r="B3543" i="1"/>
  <c r="C3543" i="1"/>
  <c r="D3543" i="1"/>
  <c r="A3544" i="1"/>
  <c r="B3544" i="1"/>
  <c r="C3544" i="1"/>
  <c r="D3544" i="1"/>
  <c r="A3545" i="1"/>
  <c r="B3545" i="1"/>
  <c r="C3545" i="1"/>
  <c r="D3545" i="1"/>
  <c r="A3546" i="1"/>
  <c r="B3546" i="1"/>
  <c r="C3546" i="1"/>
  <c r="D3546" i="1"/>
  <c r="A3547" i="1"/>
  <c r="B3547" i="1"/>
  <c r="C3547" i="1"/>
  <c r="D3547" i="1"/>
  <c r="A3548" i="1"/>
  <c r="B3548" i="1"/>
  <c r="C3548" i="1"/>
  <c r="D3548" i="1"/>
  <c r="A3549" i="1"/>
  <c r="B3549" i="1"/>
  <c r="C3549" i="1"/>
  <c r="D3549" i="1"/>
  <c r="A3550" i="1"/>
  <c r="B3550" i="1"/>
  <c r="C3550" i="1"/>
  <c r="D3550" i="1"/>
  <c r="A3551" i="1"/>
  <c r="B3551" i="1"/>
  <c r="C3551" i="1"/>
  <c r="D3551" i="1"/>
  <c r="A3552" i="1"/>
  <c r="B3552" i="1"/>
  <c r="C3552" i="1"/>
  <c r="D3552" i="1"/>
  <c r="A3553" i="1"/>
  <c r="B3553" i="1"/>
  <c r="C3553" i="1"/>
  <c r="D3553" i="1"/>
  <c r="A3554" i="1"/>
  <c r="B3554" i="1"/>
  <c r="C3554" i="1"/>
  <c r="D3554" i="1"/>
  <c r="A3555" i="1"/>
  <c r="B3555" i="1"/>
  <c r="C3555" i="1"/>
  <c r="D3555" i="1"/>
  <c r="A3556" i="1"/>
  <c r="B3556" i="1"/>
  <c r="C3556" i="1"/>
  <c r="D3556" i="1"/>
  <c r="A3557" i="1"/>
  <c r="B3557" i="1"/>
  <c r="C3557" i="1"/>
  <c r="D3557" i="1"/>
  <c r="A3558" i="1"/>
  <c r="B3558" i="1"/>
  <c r="C3558" i="1"/>
  <c r="D3558" i="1"/>
  <c r="A3559" i="1"/>
  <c r="B3559" i="1"/>
  <c r="C3559" i="1"/>
  <c r="D3559" i="1"/>
  <c r="A3560" i="1"/>
  <c r="B3560" i="1"/>
  <c r="C3560" i="1"/>
  <c r="D3560" i="1"/>
  <c r="A3561" i="1"/>
  <c r="B3561" i="1"/>
  <c r="C3561" i="1"/>
  <c r="D3561" i="1"/>
  <c r="A3562" i="1"/>
  <c r="B3562" i="1"/>
  <c r="C3562" i="1"/>
  <c r="D3562" i="1"/>
  <c r="A3563" i="1"/>
  <c r="B3563" i="1"/>
  <c r="C3563" i="1"/>
  <c r="D3563" i="1"/>
  <c r="A3564" i="1"/>
  <c r="B3564" i="1"/>
  <c r="C3564" i="1"/>
  <c r="D3564" i="1"/>
  <c r="A3565" i="1"/>
  <c r="B3565" i="1"/>
  <c r="C3565" i="1"/>
  <c r="D3565" i="1"/>
  <c r="A3566" i="1"/>
  <c r="B3566" i="1"/>
  <c r="C3566" i="1"/>
  <c r="D3566" i="1"/>
  <c r="A3567" i="1"/>
  <c r="B3567" i="1"/>
  <c r="C3567" i="1"/>
  <c r="D3567" i="1"/>
  <c r="A3568" i="1"/>
  <c r="B3568" i="1"/>
  <c r="C3568" i="1"/>
  <c r="D3568" i="1"/>
  <c r="A3569" i="1"/>
  <c r="B3569" i="1"/>
  <c r="C3569" i="1"/>
  <c r="D3569" i="1"/>
  <c r="A3570" i="1"/>
  <c r="B3570" i="1"/>
  <c r="C3570" i="1"/>
  <c r="D3570" i="1"/>
  <c r="A3571" i="1"/>
  <c r="B3571" i="1"/>
  <c r="C3571" i="1"/>
  <c r="D3571" i="1"/>
  <c r="A3572" i="1"/>
  <c r="B3572" i="1"/>
  <c r="C3572" i="1"/>
  <c r="D3572" i="1"/>
  <c r="A3573" i="1"/>
  <c r="B3573" i="1"/>
  <c r="C3573" i="1"/>
  <c r="D3573" i="1"/>
  <c r="A3574" i="1"/>
  <c r="B3574" i="1"/>
  <c r="C3574" i="1"/>
  <c r="D3574" i="1"/>
  <c r="A3575" i="1"/>
  <c r="B3575" i="1"/>
  <c r="C3575" i="1"/>
  <c r="D3575" i="1"/>
  <c r="A3576" i="1"/>
  <c r="B3576" i="1"/>
  <c r="C3576" i="1"/>
  <c r="D3576" i="1"/>
  <c r="A3577" i="1"/>
  <c r="B3577" i="1"/>
  <c r="C3577" i="1"/>
  <c r="D3577" i="1"/>
  <c r="A3578" i="1"/>
  <c r="B3578" i="1"/>
  <c r="C3578" i="1"/>
  <c r="D3578" i="1"/>
  <c r="A3579" i="1"/>
  <c r="B3579" i="1"/>
  <c r="C3579" i="1"/>
  <c r="D3579" i="1"/>
  <c r="A3580" i="1"/>
  <c r="B3580" i="1"/>
  <c r="C3580" i="1"/>
  <c r="D3580" i="1"/>
  <c r="A3581" i="1"/>
  <c r="B3581" i="1"/>
  <c r="C3581" i="1"/>
  <c r="D3581" i="1"/>
  <c r="A3582" i="1"/>
  <c r="B3582" i="1"/>
  <c r="C3582" i="1"/>
  <c r="D3582" i="1"/>
  <c r="A3583" i="1"/>
  <c r="B3583" i="1"/>
  <c r="C3583" i="1"/>
  <c r="D3583" i="1"/>
  <c r="A3584" i="1"/>
  <c r="B3584" i="1"/>
  <c r="C3584" i="1"/>
  <c r="D3584" i="1"/>
  <c r="A3585" i="1"/>
  <c r="B3585" i="1"/>
  <c r="C3585" i="1"/>
  <c r="D3585" i="1"/>
  <c r="A3586" i="1"/>
  <c r="B3586" i="1"/>
  <c r="C3586" i="1"/>
  <c r="D3586" i="1"/>
  <c r="A3587" i="1"/>
  <c r="B3587" i="1"/>
  <c r="C3587" i="1"/>
  <c r="D3587" i="1"/>
  <c r="A3588" i="1"/>
  <c r="B3588" i="1"/>
  <c r="C3588" i="1"/>
  <c r="D3588" i="1"/>
  <c r="A3589" i="1"/>
  <c r="B3589" i="1"/>
  <c r="C3589" i="1"/>
  <c r="D3589" i="1"/>
  <c r="A3590" i="1"/>
  <c r="B3590" i="1"/>
  <c r="C3590" i="1"/>
  <c r="D3590" i="1"/>
  <c r="A3591" i="1"/>
  <c r="B3591" i="1"/>
  <c r="C3591" i="1"/>
  <c r="D3591" i="1"/>
  <c r="A3592" i="1"/>
  <c r="B3592" i="1"/>
  <c r="C3592" i="1"/>
  <c r="D3592" i="1"/>
  <c r="A3593" i="1"/>
  <c r="B3593" i="1"/>
  <c r="C3593" i="1"/>
  <c r="D3593" i="1"/>
  <c r="A3594" i="1"/>
  <c r="B3594" i="1"/>
  <c r="C3594" i="1"/>
  <c r="D3594" i="1"/>
  <c r="A3595" i="1"/>
  <c r="B3595" i="1"/>
  <c r="C3595" i="1"/>
  <c r="D3595" i="1"/>
  <c r="A3596" i="1"/>
  <c r="B3596" i="1"/>
  <c r="C3596" i="1"/>
  <c r="D3596" i="1"/>
  <c r="A3597" i="1"/>
  <c r="B3597" i="1"/>
  <c r="C3597" i="1"/>
  <c r="D3597" i="1"/>
  <c r="A3598" i="1"/>
  <c r="B3598" i="1"/>
  <c r="C3598" i="1"/>
  <c r="D3598" i="1"/>
  <c r="A3599" i="1"/>
  <c r="B3599" i="1"/>
  <c r="C3599" i="1"/>
  <c r="D3599" i="1"/>
  <c r="A3600" i="1"/>
  <c r="B3600" i="1"/>
  <c r="C3600" i="1"/>
  <c r="D3600" i="1"/>
  <c r="A3601" i="1"/>
  <c r="B3601" i="1"/>
  <c r="C3601" i="1"/>
  <c r="D3601" i="1"/>
  <c r="A3602" i="1"/>
  <c r="B3602" i="1"/>
  <c r="C3602" i="1"/>
  <c r="D3602" i="1"/>
  <c r="A3603" i="1"/>
  <c r="B3603" i="1"/>
  <c r="C3603" i="1"/>
  <c r="D3603" i="1"/>
  <c r="A3604" i="1"/>
  <c r="B3604" i="1"/>
  <c r="C3604" i="1"/>
  <c r="D3604" i="1"/>
  <c r="A3605" i="1"/>
  <c r="B3605" i="1"/>
  <c r="C3605" i="1"/>
  <c r="D3605" i="1"/>
  <c r="A3606" i="1"/>
  <c r="B3606" i="1"/>
  <c r="C3606" i="1"/>
  <c r="D3606" i="1"/>
  <c r="A3607" i="1"/>
  <c r="B3607" i="1"/>
  <c r="C3607" i="1"/>
  <c r="D3607" i="1"/>
  <c r="A3608" i="1"/>
  <c r="B3608" i="1"/>
  <c r="C3608" i="1"/>
  <c r="D3608" i="1"/>
  <c r="A3609" i="1"/>
  <c r="B3609" i="1"/>
  <c r="C3609" i="1"/>
  <c r="D3609" i="1"/>
  <c r="A3610" i="1"/>
  <c r="B3610" i="1"/>
  <c r="C3610" i="1"/>
  <c r="D3610" i="1"/>
  <c r="A3611" i="1"/>
  <c r="B3611" i="1"/>
  <c r="C3611" i="1"/>
  <c r="D3611" i="1"/>
  <c r="A3612" i="1"/>
  <c r="B3612" i="1"/>
  <c r="C3612" i="1"/>
  <c r="D3612" i="1"/>
  <c r="A3613" i="1"/>
  <c r="B3613" i="1"/>
  <c r="C3613" i="1"/>
  <c r="D3613" i="1"/>
  <c r="A3614" i="1"/>
  <c r="B3614" i="1"/>
  <c r="C3614" i="1"/>
  <c r="D3614" i="1"/>
  <c r="A3615" i="1"/>
  <c r="B3615" i="1"/>
  <c r="C3615" i="1"/>
  <c r="D3615" i="1"/>
  <c r="A3616" i="1"/>
  <c r="B3616" i="1"/>
  <c r="C3616" i="1"/>
  <c r="D3616" i="1"/>
  <c r="A3617" i="1"/>
  <c r="B3617" i="1"/>
  <c r="C3617" i="1"/>
  <c r="D3617" i="1"/>
  <c r="A3618" i="1"/>
  <c r="B3618" i="1"/>
  <c r="C3618" i="1"/>
  <c r="D3618" i="1"/>
  <c r="A3619" i="1"/>
  <c r="B3619" i="1"/>
  <c r="C3619" i="1"/>
  <c r="D3619" i="1"/>
  <c r="A3620" i="1"/>
  <c r="B3620" i="1"/>
  <c r="C3620" i="1"/>
  <c r="D3620" i="1"/>
  <c r="A3621" i="1"/>
  <c r="B3621" i="1"/>
  <c r="C3621" i="1"/>
  <c r="D3621" i="1"/>
  <c r="A3622" i="1"/>
  <c r="B3622" i="1"/>
  <c r="C3622" i="1"/>
  <c r="D3622" i="1"/>
  <c r="A3623" i="1"/>
  <c r="B3623" i="1"/>
  <c r="C3623" i="1"/>
  <c r="D3623" i="1"/>
  <c r="A3624" i="1"/>
  <c r="B3624" i="1"/>
  <c r="C3624" i="1"/>
  <c r="D3624" i="1"/>
  <c r="A3625" i="1"/>
  <c r="B3625" i="1"/>
  <c r="C3625" i="1"/>
  <c r="D3625" i="1"/>
  <c r="A3626" i="1"/>
  <c r="B3626" i="1"/>
  <c r="C3626" i="1"/>
  <c r="D3626" i="1"/>
  <c r="A3627" i="1"/>
  <c r="B3627" i="1"/>
  <c r="C3627" i="1"/>
  <c r="D3627" i="1"/>
  <c r="A3628" i="1"/>
  <c r="B3628" i="1"/>
  <c r="C3628" i="1"/>
  <c r="D3628" i="1"/>
  <c r="A3629" i="1"/>
  <c r="B3629" i="1"/>
  <c r="C3629" i="1"/>
  <c r="D3629" i="1"/>
  <c r="A3630" i="1"/>
  <c r="B3630" i="1"/>
  <c r="C3630" i="1"/>
  <c r="D3630" i="1"/>
  <c r="A3631" i="1"/>
  <c r="B3631" i="1"/>
  <c r="C3631" i="1"/>
  <c r="D3631" i="1"/>
  <c r="A3632" i="1"/>
  <c r="B3632" i="1"/>
  <c r="C3632" i="1"/>
  <c r="D3632" i="1"/>
  <c r="A3633" i="1"/>
  <c r="B3633" i="1"/>
  <c r="C3633" i="1"/>
  <c r="D3633" i="1"/>
  <c r="A3634" i="1"/>
  <c r="B3634" i="1"/>
  <c r="C3634" i="1"/>
  <c r="D3634" i="1"/>
  <c r="A3635" i="1"/>
  <c r="B3635" i="1"/>
  <c r="C3635" i="1"/>
  <c r="D3635" i="1"/>
  <c r="A3636" i="1"/>
  <c r="B3636" i="1"/>
  <c r="C3636" i="1"/>
  <c r="D3636" i="1"/>
  <c r="A3637" i="1"/>
  <c r="B3637" i="1"/>
  <c r="C3637" i="1"/>
  <c r="D3637" i="1"/>
  <c r="A3638" i="1"/>
  <c r="B3638" i="1"/>
  <c r="C3638" i="1"/>
  <c r="D3638" i="1"/>
  <c r="A3639" i="1"/>
  <c r="B3639" i="1"/>
  <c r="C3639" i="1"/>
  <c r="D3639" i="1"/>
  <c r="A3640" i="1"/>
  <c r="B3640" i="1"/>
  <c r="C3640" i="1"/>
  <c r="D3640" i="1"/>
  <c r="A3641" i="1"/>
  <c r="B3641" i="1"/>
  <c r="C3641" i="1"/>
  <c r="D3641" i="1"/>
  <c r="A3642" i="1"/>
  <c r="B3642" i="1"/>
  <c r="C3642" i="1"/>
  <c r="D3642" i="1"/>
  <c r="A3643" i="1"/>
  <c r="B3643" i="1"/>
  <c r="C3643" i="1"/>
  <c r="D3643" i="1"/>
  <c r="A3644" i="1"/>
  <c r="B3644" i="1"/>
  <c r="C3644" i="1"/>
  <c r="D3644" i="1"/>
  <c r="A3645" i="1"/>
  <c r="B3645" i="1"/>
  <c r="C3645" i="1"/>
  <c r="D3645" i="1"/>
  <c r="A3646" i="1"/>
  <c r="B3646" i="1"/>
  <c r="C3646" i="1"/>
  <c r="D3646" i="1"/>
  <c r="A3647" i="1"/>
  <c r="B3647" i="1"/>
  <c r="C3647" i="1"/>
  <c r="D3647" i="1"/>
  <c r="A3648" i="1"/>
  <c r="B3648" i="1"/>
  <c r="C3648" i="1"/>
  <c r="D3648" i="1"/>
  <c r="A3649" i="1"/>
  <c r="B3649" i="1"/>
  <c r="C3649" i="1"/>
  <c r="D3649" i="1"/>
  <c r="A3650" i="1"/>
  <c r="B3650" i="1"/>
  <c r="C3650" i="1"/>
  <c r="D3650" i="1"/>
  <c r="A3651" i="1"/>
  <c r="B3651" i="1"/>
  <c r="C3651" i="1"/>
  <c r="D3651" i="1"/>
  <c r="A3652" i="1"/>
  <c r="B3652" i="1"/>
  <c r="C3652" i="1"/>
  <c r="D3652" i="1"/>
  <c r="A3653" i="1"/>
  <c r="B3653" i="1"/>
  <c r="C3653" i="1"/>
  <c r="D3653" i="1"/>
  <c r="A3654" i="1"/>
  <c r="B3654" i="1"/>
  <c r="C3654" i="1"/>
  <c r="D3654" i="1"/>
  <c r="A3655" i="1"/>
  <c r="B3655" i="1"/>
  <c r="C3655" i="1"/>
  <c r="D3655" i="1"/>
  <c r="A3656" i="1"/>
  <c r="B3656" i="1"/>
  <c r="C3656" i="1"/>
  <c r="D3656" i="1"/>
  <c r="A3657" i="1"/>
  <c r="B3657" i="1"/>
  <c r="C3657" i="1"/>
  <c r="D3657" i="1"/>
  <c r="A3658" i="1"/>
  <c r="B3658" i="1"/>
  <c r="C3658" i="1"/>
  <c r="D3658" i="1"/>
  <c r="A3659" i="1"/>
  <c r="B3659" i="1"/>
  <c r="C3659" i="1"/>
  <c r="D3659" i="1"/>
  <c r="A3660" i="1"/>
  <c r="B3660" i="1"/>
  <c r="C3660" i="1"/>
  <c r="D3660" i="1"/>
  <c r="A3661" i="1"/>
  <c r="B3661" i="1"/>
  <c r="C3661" i="1"/>
  <c r="D3661" i="1"/>
  <c r="A3662" i="1"/>
  <c r="B3662" i="1"/>
  <c r="C3662" i="1"/>
  <c r="D3662" i="1"/>
  <c r="A3663" i="1"/>
  <c r="B3663" i="1"/>
  <c r="C3663" i="1"/>
  <c r="D3663" i="1"/>
  <c r="A3664" i="1"/>
  <c r="B3664" i="1"/>
  <c r="C3664" i="1"/>
  <c r="D3664" i="1"/>
  <c r="A3665" i="1"/>
  <c r="B3665" i="1"/>
  <c r="C3665" i="1"/>
  <c r="D3665" i="1"/>
  <c r="A3666" i="1"/>
  <c r="B3666" i="1"/>
  <c r="C3666" i="1"/>
  <c r="D3666" i="1"/>
  <c r="A3667" i="1"/>
  <c r="B3667" i="1"/>
  <c r="C3667" i="1"/>
  <c r="D3667" i="1"/>
  <c r="A3668" i="1"/>
  <c r="B3668" i="1"/>
  <c r="C3668" i="1"/>
  <c r="D3668" i="1"/>
  <c r="A3669" i="1"/>
  <c r="B3669" i="1"/>
  <c r="C3669" i="1"/>
  <c r="D3669" i="1"/>
  <c r="A3670" i="1"/>
  <c r="B3670" i="1"/>
  <c r="C3670" i="1"/>
  <c r="D3670" i="1"/>
  <c r="A3671" i="1"/>
  <c r="B3671" i="1"/>
  <c r="C3671" i="1"/>
  <c r="D3671" i="1"/>
  <c r="A3672" i="1"/>
  <c r="B3672" i="1"/>
  <c r="C3672" i="1"/>
  <c r="D3672" i="1"/>
  <c r="A3673" i="1"/>
  <c r="B3673" i="1"/>
  <c r="C3673" i="1"/>
  <c r="D3673" i="1"/>
  <c r="A3674" i="1"/>
  <c r="B3674" i="1"/>
  <c r="C3674" i="1"/>
  <c r="D3674" i="1"/>
  <c r="A3675" i="1"/>
  <c r="B3675" i="1"/>
  <c r="C3675" i="1"/>
  <c r="D3675" i="1"/>
  <c r="A3676" i="1"/>
  <c r="B3676" i="1"/>
  <c r="C3676" i="1"/>
  <c r="D3676" i="1"/>
  <c r="A3677" i="1"/>
  <c r="B3677" i="1"/>
  <c r="C3677" i="1"/>
  <c r="D3677" i="1"/>
  <c r="A3678" i="1"/>
  <c r="B3678" i="1"/>
  <c r="C3678" i="1"/>
  <c r="D3678" i="1"/>
  <c r="A3679" i="1"/>
  <c r="B3679" i="1"/>
  <c r="C3679" i="1"/>
  <c r="D3679" i="1"/>
  <c r="A3680" i="1"/>
  <c r="B3680" i="1"/>
  <c r="C3680" i="1"/>
  <c r="D3680" i="1"/>
  <c r="A3681" i="1"/>
  <c r="B3681" i="1"/>
  <c r="C3681" i="1"/>
  <c r="D3681" i="1"/>
  <c r="A3682" i="1"/>
  <c r="B3682" i="1"/>
  <c r="C3682" i="1"/>
  <c r="D3682" i="1"/>
  <c r="A3683" i="1"/>
  <c r="B3683" i="1"/>
  <c r="C3683" i="1"/>
  <c r="D3683" i="1"/>
  <c r="A3684" i="1"/>
  <c r="B3684" i="1"/>
  <c r="C3684" i="1"/>
  <c r="D3684" i="1"/>
  <c r="A3685" i="1"/>
  <c r="B3685" i="1"/>
  <c r="C3685" i="1"/>
  <c r="D3685" i="1"/>
  <c r="A3686" i="1"/>
  <c r="B3686" i="1"/>
  <c r="C3686" i="1"/>
  <c r="D3686" i="1"/>
  <c r="A3687" i="1"/>
  <c r="B3687" i="1"/>
  <c r="C3687" i="1"/>
  <c r="D3687" i="1"/>
  <c r="A3688" i="1"/>
  <c r="B3688" i="1"/>
  <c r="C3688" i="1"/>
  <c r="D3688" i="1"/>
  <c r="A3689" i="1"/>
  <c r="B3689" i="1"/>
  <c r="C3689" i="1"/>
  <c r="D3689" i="1"/>
  <c r="A3690" i="1"/>
  <c r="B3690" i="1"/>
  <c r="C3690" i="1"/>
  <c r="D3690" i="1"/>
  <c r="A3691" i="1"/>
  <c r="B3691" i="1"/>
  <c r="C3691" i="1"/>
  <c r="D3691" i="1"/>
  <c r="A3692" i="1"/>
  <c r="B3692" i="1"/>
  <c r="C3692" i="1"/>
  <c r="D3692" i="1"/>
  <c r="A3693" i="1"/>
  <c r="B3693" i="1"/>
  <c r="C3693" i="1"/>
  <c r="D3693" i="1"/>
  <c r="A3694" i="1"/>
  <c r="B3694" i="1"/>
  <c r="C3694" i="1"/>
  <c r="D3694" i="1"/>
  <c r="A3695" i="1"/>
  <c r="B3695" i="1"/>
  <c r="C3695" i="1"/>
  <c r="D3695" i="1"/>
  <c r="A3696" i="1"/>
  <c r="B3696" i="1"/>
  <c r="C3696" i="1"/>
  <c r="D3696" i="1"/>
  <c r="A3697" i="1"/>
  <c r="B3697" i="1"/>
  <c r="C3697" i="1"/>
  <c r="D3697" i="1"/>
  <c r="A3698" i="1"/>
  <c r="B3698" i="1"/>
  <c r="C3698" i="1"/>
  <c r="D3698" i="1"/>
  <c r="A3699" i="1"/>
  <c r="B3699" i="1"/>
  <c r="C3699" i="1"/>
  <c r="D3699" i="1"/>
  <c r="A3700" i="1"/>
  <c r="B3700" i="1"/>
  <c r="C3700" i="1"/>
  <c r="D3700" i="1"/>
  <c r="A3701" i="1"/>
  <c r="B3701" i="1"/>
  <c r="C3701" i="1"/>
  <c r="D3701" i="1"/>
  <c r="A3702" i="1"/>
  <c r="B3702" i="1"/>
  <c r="C3702" i="1"/>
  <c r="D3702" i="1"/>
  <c r="A3703" i="1"/>
  <c r="B3703" i="1"/>
  <c r="C3703" i="1"/>
  <c r="D3703" i="1"/>
  <c r="A3704" i="1"/>
  <c r="B3704" i="1"/>
  <c r="C3704" i="1"/>
  <c r="D3704" i="1"/>
  <c r="A3705" i="1"/>
  <c r="B3705" i="1"/>
  <c r="C3705" i="1"/>
  <c r="D3705" i="1"/>
  <c r="A3706" i="1"/>
  <c r="B3706" i="1"/>
  <c r="C3706" i="1"/>
  <c r="D3706" i="1"/>
  <c r="A3707" i="1"/>
  <c r="B3707" i="1"/>
  <c r="C3707" i="1"/>
  <c r="D3707" i="1"/>
  <c r="A3708" i="1"/>
  <c r="B3708" i="1"/>
  <c r="C3708" i="1"/>
  <c r="D3708" i="1"/>
  <c r="A3709" i="1"/>
  <c r="B3709" i="1"/>
  <c r="C3709" i="1"/>
  <c r="D3709" i="1"/>
  <c r="A3710" i="1"/>
  <c r="B3710" i="1"/>
  <c r="C3710" i="1"/>
  <c r="D3710" i="1"/>
  <c r="A3711" i="1"/>
  <c r="B3711" i="1"/>
  <c r="C3711" i="1"/>
  <c r="D3711" i="1"/>
  <c r="A3712" i="1"/>
  <c r="B3712" i="1"/>
  <c r="C3712" i="1"/>
  <c r="D3712" i="1"/>
  <c r="A3713" i="1"/>
  <c r="B3713" i="1"/>
  <c r="C3713" i="1"/>
  <c r="D3713" i="1"/>
  <c r="A3714" i="1"/>
  <c r="B3714" i="1"/>
  <c r="C3714" i="1"/>
  <c r="D3714" i="1"/>
  <c r="A3715" i="1"/>
  <c r="B3715" i="1"/>
  <c r="C3715" i="1"/>
  <c r="D3715" i="1"/>
  <c r="A3716" i="1"/>
  <c r="B3716" i="1"/>
  <c r="C3716" i="1"/>
  <c r="D3716" i="1"/>
  <c r="A3717" i="1"/>
  <c r="B3717" i="1"/>
  <c r="C3717" i="1"/>
  <c r="D3717" i="1"/>
  <c r="A3718" i="1"/>
  <c r="B3718" i="1"/>
  <c r="C3718" i="1"/>
  <c r="D3718" i="1"/>
  <c r="A3719" i="1"/>
  <c r="B3719" i="1"/>
  <c r="C3719" i="1"/>
  <c r="D3719" i="1"/>
  <c r="A3720" i="1"/>
  <c r="B3720" i="1"/>
  <c r="C3720" i="1"/>
  <c r="D3720" i="1"/>
  <c r="A3721" i="1"/>
  <c r="B3721" i="1"/>
  <c r="C3721" i="1"/>
  <c r="D3721" i="1"/>
  <c r="A3722" i="1"/>
  <c r="B3722" i="1"/>
  <c r="C3722" i="1"/>
  <c r="D3722" i="1"/>
  <c r="A3723" i="1"/>
  <c r="B3723" i="1"/>
  <c r="C3723" i="1"/>
  <c r="D3723" i="1"/>
  <c r="A3724" i="1"/>
  <c r="B3724" i="1"/>
  <c r="C3724" i="1"/>
  <c r="D3724" i="1"/>
  <c r="A3725" i="1"/>
  <c r="B3725" i="1"/>
  <c r="C3725" i="1"/>
  <c r="D3725" i="1"/>
  <c r="A3726" i="1"/>
  <c r="B3726" i="1"/>
  <c r="C3726" i="1"/>
  <c r="D3726" i="1"/>
  <c r="A3727" i="1"/>
  <c r="B3727" i="1"/>
  <c r="C3727" i="1"/>
  <c r="D3727" i="1"/>
  <c r="A3728" i="1"/>
  <c r="B3728" i="1"/>
  <c r="C3728" i="1"/>
  <c r="D3728" i="1"/>
  <c r="A3729" i="1"/>
  <c r="B3729" i="1"/>
  <c r="C3729" i="1"/>
  <c r="D3729" i="1"/>
  <c r="A3730" i="1"/>
  <c r="B3730" i="1"/>
  <c r="C3730" i="1"/>
  <c r="D3730" i="1"/>
  <c r="A3731" i="1"/>
  <c r="B3731" i="1"/>
  <c r="C3731" i="1"/>
  <c r="D3731" i="1"/>
  <c r="A3732" i="1"/>
  <c r="B3732" i="1"/>
  <c r="C3732" i="1"/>
  <c r="D3732" i="1"/>
  <c r="A3733" i="1"/>
  <c r="B3733" i="1"/>
  <c r="C3733" i="1"/>
  <c r="D3733" i="1"/>
  <c r="A3734" i="1"/>
  <c r="B3734" i="1"/>
  <c r="C3734" i="1"/>
  <c r="D3734" i="1"/>
  <c r="A3735" i="1"/>
  <c r="B3735" i="1"/>
  <c r="C3735" i="1"/>
  <c r="D3735" i="1"/>
  <c r="A3736" i="1"/>
  <c r="B3736" i="1"/>
  <c r="C3736" i="1"/>
  <c r="D3736" i="1"/>
  <c r="A3737" i="1"/>
  <c r="B3737" i="1"/>
  <c r="C3737" i="1"/>
  <c r="D3737" i="1"/>
  <c r="A3738" i="1"/>
  <c r="B3738" i="1"/>
  <c r="C3738" i="1"/>
  <c r="D3738" i="1"/>
  <c r="A3739" i="1"/>
  <c r="B3739" i="1"/>
  <c r="C3739" i="1"/>
  <c r="D3739" i="1"/>
  <c r="A3740" i="1"/>
  <c r="B3740" i="1"/>
  <c r="C3740" i="1"/>
  <c r="D3740" i="1"/>
  <c r="A3741" i="1"/>
  <c r="B3741" i="1"/>
  <c r="C3741" i="1"/>
  <c r="D3741" i="1"/>
  <c r="A3742" i="1"/>
  <c r="B3742" i="1"/>
  <c r="C3742" i="1"/>
  <c r="D3742" i="1"/>
  <c r="A3743" i="1"/>
  <c r="B3743" i="1"/>
  <c r="C3743" i="1"/>
  <c r="D3743" i="1"/>
  <c r="A3744" i="1"/>
  <c r="B3744" i="1"/>
  <c r="C3744" i="1"/>
  <c r="D3744" i="1"/>
  <c r="A3745" i="1"/>
  <c r="B3745" i="1"/>
  <c r="C3745" i="1"/>
  <c r="D3745" i="1"/>
  <c r="A3746" i="1"/>
  <c r="B3746" i="1"/>
  <c r="C3746" i="1"/>
  <c r="D3746" i="1"/>
  <c r="A3747" i="1"/>
  <c r="B3747" i="1"/>
  <c r="C3747" i="1"/>
  <c r="D3747" i="1"/>
  <c r="A3748" i="1"/>
  <c r="B3748" i="1"/>
  <c r="C3748" i="1"/>
  <c r="D3748" i="1"/>
  <c r="A3749" i="1"/>
  <c r="B3749" i="1"/>
  <c r="C3749" i="1"/>
  <c r="D3749" i="1"/>
  <c r="A3750" i="1"/>
  <c r="B3750" i="1"/>
  <c r="C3750" i="1"/>
  <c r="D3750" i="1"/>
  <c r="A3751" i="1"/>
  <c r="B3751" i="1"/>
  <c r="C3751" i="1"/>
  <c r="D3751" i="1"/>
  <c r="A3752" i="1"/>
  <c r="B3752" i="1"/>
  <c r="C3752" i="1"/>
  <c r="D3752" i="1"/>
  <c r="A3753" i="1"/>
  <c r="B3753" i="1"/>
  <c r="C3753" i="1"/>
  <c r="D3753" i="1"/>
  <c r="A3754" i="1"/>
  <c r="B3754" i="1"/>
  <c r="C3754" i="1"/>
  <c r="D3754" i="1"/>
  <c r="A3755" i="1"/>
  <c r="B3755" i="1"/>
  <c r="C3755" i="1"/>
  <c r="D3755" i="1"/>
  <c r="A3756" i="1"/>
  <c r="B3756" i="1"/>
  <c r="C3756" i="1"/>
  <c r="D3756" i="1"/>
  <c r="A3757" i="1"/>
  <c r="B3757" i="1"/>
  <c r="C3757" i="1"/>
  <c r="D3757" i="1"/>
  <c r="A3758" i="1"/>
  <c r="B3758" i="1"/>
  <c r="C3758" i="1"/>
  <c r="D3758" i="1"/>
  <c r="A3759" i="1"/>
  <c r="B3759" i="1"/>
  <c r="C3759" i="1"/>
  <c r="D3759" i="1"/>
  <c r="A3760" i="1"/>
  <c r="B3760" i="1"/>
  <c r="C3760" i="1"/>
  <c r="D3760" i="1"/>
  <c r="A3761" i="1"/>
  <c r="B3761" i="1"/>
  <c r="C3761" i="1"/>
  <c r="D3761" i="1"/>
  <c r="A3762" i="1"/>
  <c r="B3762" i="1"/>
  <c r="C3762" i="1"/>
  <c r="D3762" i="1"/>
  <c r="A3763" i="1"/>
  <c r="B3763" i="1"/>
  <c r="C3763" i="1"/>
  <c r="D3763" i="1"/>
  <c r="A3764" i="1"/>
  <c r="B3764" i="1"/>
  <c r="C3764" i="1"/>
  <c r="D3764" i="1"/>
  <c r="A3765" i="1"/>
  <c r="B3765" i="1"/>
  <c r="C3765" i="1"/>
  <c r="D3765" i="1"/>
  <c r="A3766" i="1"/>
  <c r="B3766" i="1"/>
  <c r="C3766" i="1"/>
  <c r="D3766" i="1"/>
  <c r="A3767" i="1"/>
  <c r="B3767" i="1"/>
  <c r="C3767" i="1"/>
  <c r="D3767" i="1"/>
  <c r="A3768" i="1"/>
  <c r="B3768" i="1"/>
  <c r="C3768" i="1"/>
  <c r="D3768" i="1"/>
  <c r="A3769" i="1"/>
  <c r="B3769" i="1"/>
  <c r="C3769" i="1"/>
  <c r="D3769" i="1"/>
  <c r="A3770" i="1"/>
  <c r="B3770" i="1"/>
  <c r="C3770" i="1"/>
  <c r="D3770" i="1"/>
  <c r="A3771" i="1"/>
  <c r="B3771" i="1"/>
  <c r="C3771" i="1"/>
  <c r="D3771" i="1"/>
  <c r="A3772" i="1"/>
  <c r="B3772" i="1"/>
  <c r="C3772" i="1"/>
  <c r="D3772" i="1"/>
  <c r="A3773" i="1"/>
  <c r="B3773" i="1"/>
  <c r="C3773" i="1"/>
  <c r="D3773" i="1"/>
  <c r="A3774" i="1"/>
  <c r="B3774" i="1"/>
  <c r="C3774" i="1"/>
  <c r="D3774" i="1"/>
  <c r="A3775" i="1"/>
  <c r="B3775" i="1"/>
  <c r="C3775" i="1"/>
  <c r="D3775" i="1"/>
  <c r="A3776" i="1"/>
  <c r="B3776" i="1"/>
  <c r="C3776" i="1"/>
  <c r="D3776" i="1"/>
  <c r="A3777" i="1"/>
  <c r="B3777" i="1"/>
  <c r="C3777" i="1"/>
  <c r="D3777" i="1"/>
  <c r="A3778" i="1"/>
  <c r="B3778" i="1"/>
  <c r="C3778" i="1"/>
  <c r="D3778" i="1"/>
  <c r="A3779" i="1"/>
  <c r="B3779" i="1"/>
  <c r="C3779" i="1"/>
  <c r="D3779" i="1"/>
  <c r="A3780" i="1"/>
  <c r="B3780" i="1"/>
  <c r="C3780" i="1"/>
  <c r="D3780" i="1"/>
  <c r="A3781" i="1"/>
  <c r="B3781" i="1"/>
  <c r="C3781" i="1"/>
  <c r="D3781" i="1"/>
  <c r="A3782" i="1"/>
  <c r="B3782" i="1"/>
  <c r="C3782" i="1"/>
  <c r="D3782" i="1"/>
  <c r="A3783" i="1"/>
  <c r="B3783" i="1"/>
  <c r="C3783" i="1"/>
  <c r="D3783" i="1"/>
  <c r="A3784" i="1"/>
  <c r="B3784" i="1"/>
  <c r="C3784" i="1"/>
  <c r="D3784" i="1"/>
  <c r="A3785" i="1"/>
  <c r="B3785" i="1"/>
  <c r="C3785" i="1"/>
  <c r="D3785" i="1"/>
  <c r="A3786" i="1"/>
  <c r="B3786" i="1"/>
  <c r="C3786" i="1"/>
  <c r="D3786" i="1"/>
  <c r="A3787" i="1"/>
  <c r="B3787" i="1"/>
  <c r="C3787" i="1"/>
  <c r="D3787" i="1"/>
  <c r="A3788" i="1"/>
  <c r="B3788" i="1"/>
  <c r="C3788" i="1"/>
  <c r="D3788" i="1"/>
  <c r="A3789" i="1"/>
  <c r="B3789" i="1"/>
  <c r="C3789" i="1"/>
  <c r="D3789" i="1"/>
  <c r="A3790" i="1"/>
  <c r="B3790" i="1"/>
  <c r="C3790" i="1"/>
  <c r="D3790" i="1"/>
  <c r="A3791" i="1"/>
  <c r="B3791" i="1"/>
  <c r="C3791" i="1"/>
  <c r="D3791" i="1"/>
  <c r="A3792" i="1"/>
  <c r="B3792" i="1"/>
  <c r="C3792" i="1"/>
  <c r="D3792" i="1"/>
  <c r="A3793" i="1"/>
  <c r="B3793" i="1"/>
  <c r="C3793" i="1"/>
  <c r="D3793" i="1"/>
  <c r="A3794" i="1"/>
  <c r="B3794" i="1"/>
  <c r="C3794" i="1"/>
  <c r="D3794" i="1"/>
  <c r="A3795" i="1"/>
  <c r="B3795" i="1"/>
  <c r="C3795" i="1"/>
  <c r="D3795" i="1"/>
  <c r="A3796" i="1"/>
  <c r="B3796" i="1"/>
  <c r="C3796" i="1"/>
  <c r="D3796" i="1"/>
  <c r="A3797" i="1"/>
  <c r="B3797" i="1"/>
  <c r="C3797" i="1"/>
  <c r="D3797" i="1"/>
  <c r="A3798" i="1"/>
  <c r="B3798" i="1"/>
  <c r="C3798" i="1"/>
  <c r="D3798" i="1"/>
  <c r="A3799" i="1"/>
  <c r="B3799" i="1"/>
  <c r="C3799" i="1"/>
  <c r="D3799" i="1"/>
  <c r="A3800" i="1"/>
  <c r="B3800" i="1"/>
  <c r="C3800" i="1"/>
  <c r="D3800" i="1"/>
  <c r="A3801" i="1"/>
  <c r="B3801" i="1"/>
  <c r="C3801" i="1"/>
  <c r="D3801" i="1"/>
  <c r="A3802" i="1"/>
  <c r="B3802" i="1"/>
  <c r="C3802" i="1"/>
  <c r="D3802" i="1"/>
  <c r="A3803" i="1"/>
  <c r="B3803" i="1"/>
  <c r="C3803" i="1"/>
  <c r="D3803" i="1"/>
  <c r="A3804" i="1"/>
  <c r="B3804" i="1"/>
  <c r="C3804" i="1"/>
  <c r="D3804" i="1"/>
  <c r="A3805" i="1"/>
  <c r="B3805" i="1"/>
  <c r="C3805" i="1"/>
  <c r="D3805" i="1"/>
  <c r="A3806" i="1"/>
  <c r="B3806" i="1"/>
  <c r="C3806" i="1"/>
  <c r="D3806" i="1"/>
  <c r="A3807" i="1"/>
  <c r="B3807" i="1"/>
  <c r="C3807" i="1"/>
  <c r="D3807" i="1"/>
  <c r="A3808" i="1"/>
  <c r="B3808" i="1"/>
  <c r="C3808" i="1"/>
  <c r="D3808" i="1"/>
  <c r="A3809" i="1"/>
  <c r="B3809" i="1"/>
  <c r="C3809" i="1"/>
  <c r="D3809" i="1"/>
  <c r="A3810" i="1"/>
  <c r="B3810" i="1"/>
  <c r="C3810" i="1"/>
  <c r="D3810" i="1"/>
  <c r="A3811" i="1"/>
  <c r="B3811" i="1"/>
  <c r="C3811" i="1"/>
  <c r="D3811" i="1"/>
  <c r="A3812" i="1"/>
  <c r="B3812" i="1"/>
  <c r="C3812" i="1"/>
  <c r="D3812" i="1"/>
  <c r="A3813" i="1"/>
  <c r="B3813" i="1"/>
  <c r="C3813" i="1"/>
  <c r="D3813" i="1"/>
  <c r="A3814" i="1"/>
  <c r="B3814" i="1"/>
  <c r="C3814" i="1"/>
  <c r="D3814" i="1"/>
  <c r="A3815" i="1"/>
  <c r="B3815" i="1"/>
  <c r="C3815" i="1"/>
  <c r="D3815" i="1"/>
  <c r="A3816" i="1"/>
  <c r="B3816" i="1"/>
  <c r="C3816" i="1"/>
  <c r="D3816" i="1"/>
  <c r="A3817" i="1"/>
  <c r="B3817" i="1"/>
  <c r="C3817" i="1"/>
  <c r="D3817" i="1"/>
  <c r="A3818" i="1"/>
  <c r="B3818" i="1"/>
  <c r="C3818" i="1"/>
  <c r="D3818" i="1"/>
  <c r="A3819" i="1"/>
  <c r="B3819" i="1"/>
  <c r="C3819" i="1"/>
  <c r="D3819" i="1"/>
  <c r="A3820" i="1"/>
  <c r="B3820" i="1"/>
  <c r="C3820" i="1"/>
  <c r="D3820" i="1"/>
  <c r="A3821" i="1"/>
  <c r="B3821" i="1"/>
  <c r="C3821" i="1"/>
  <c r="D3821" i="1"/>
  <c r="A3822" i="1"/>
  <c r="B3822" i="1"/>
  <c r="C3822" i="1"/>
  <c r="D3822" i="1"/>
  <c r="A3823" i="1"/>
  <c r="B3823" i="1"/>
  <c r="C3823" i="1"/>
  <c r="D3823" i="1"/>
  <c r="A3824" i="1"/>
  <c r="B3824" i="1"/>
  <c r="C3824" i="1"/>
  <c r="D3824" i="1"/>
  <c r="A3825" i="1"/>
  <c r="B3825" i="1"/>
  <c r="C3825" i="1"/>
  <c r="D3825" i="1"/>
  <c r="A3826" i="1"/>
  <c r="B3826" i="1"/>
  <c r="C3826" i="1"/>
  <c r="D3826" i="1"/>
  <c r="A3827" i="1"/>
  <c r="B3827" i="1"/>
  <c r="C3827" i="1"/>
  <c r="D3827" i="1"/>
  <c r="A3828" i="1"/>
  <c r="B3828" i="1"/>
  <c r="C3828" i="1"/>
  <c r="D3828" i="1"/>
  <c r="A3829" i="1"/>
  <c r="B3829" i="1"/>
  <c r="C3829" i="1"/>
  <c r="D3829" i="1"/>
  <c r="A3830" i="1"/>
  <c r="B3830" i="1"/>
  <c r="C3830" i="1"/>
  <c r="D3830" i="1"/>
  <c r="A3831" i="1"/>
  <c r="B3831" i="1"/>
  <c r="C3831" i="1"/>
  <c r="D3831" i="1"/>
  <c r="A3832" i="1"/>
  <c r="B3832" i="1"/>
  <c r="C3832" i="1"/>
  <c r="D3832" i="1"/>
  <c r="A3833" i="1"/>
  <c r="B3833" i="1"/>
  <c r="C3833" i="1"/>
  <c r="D3833" i="1"/>
  <c r="A3834" i="1"/>
  <c r="B3834" i="1"/>
  <c r="C3834" i="1"/>
  <c r="D3834" i="1"/>
  <c r="A3835" i="1"/>
  <c r="B3835" i="1"/>
  <c r="C3835" i="1"/>
  <c r="D3835" i="1"/>
  <c r="A3836" i="1"/>
  <c r="B3836" i="1"/>
  <c r="C3836" i="1"/>
  <c r="D3836" i="1"/>
  <c r="A3837" i="1"/>
  <c r="B3837" i="1"/>
  <c r="C3837" i="1"/>
  <c r="D3837" i="1"/>
  <c r="A3838" i="1"/>
  <c r="B3838" i="1"/>
  <c r="C3838" i="1"/>
  <c r="D3838" i="1"/>
  <c r="A3839" i="1"/>
  <c r="B3839" i="1"/>
  <c r="C3839" i="1"/>
  <c r="D3839" i="1"/>
  <c r="A3840" i="1"/>
  <c r="B3840" i="1"/>
  <c r="C3840" i="1"/>
  <c r="D3840" i="1"/>
  <c r="A3841" i="1"/>
  <c r="B3841" i="1"/>
  <c r="C3841" i="1"/>
  <c r="D3841" i="1"/>
  <c r="A3842" i="1"/>
  <c r="B3842" i="1"/>
  <c r="C3842" i="1"/>
  <c r="D3842" i="1"/>
  <c r="A3843" i="1"/>
  <c r="B3843" i="1"/>
  <c r="C3843" i="1"/>
  <c r="D3843" i="1"/>
  <c r="A3844" i="1"/>
  <c r="B3844" i="1"/>
  <c r="C3844" i="1"/>
  <c r="D3844" i="1"/>
  <c r="A3845" i="1"/>
  <c r="B3845" i="1"/>
  <c r="C3845" i="1"/>
  <c r="D3845" i="1"/>
  <c r="A3846" i="1"/>
  <c r="B3846" i="1"/>
  <c r="C3846" i="1"/>
  <c r="D3846" i="1"/>
  <c r="A3847" i="1"/>
  <c r="B3847" i="1"/>
  <c r="C3847" i="1"/>
  <c r="D3847" i="1"/>
  <c r="A3848" i="1"/>
  <c r="B3848" i="1"/>
  <c r="C3848" i="1"/>
  <c r="D3848" i="1"/>
  <c r="A3849" i="1"/>
  <c r="B3849" i="1"/>
  <c r="C3849" i="1"/>
  <c r="D3849" i="1"/>
  <c r="A3850" i="1"/>
  <c r="B3850" i="1"/>
  <c r="C3850" i="1"/>
  <c r="D3850" i="1"/>
  <c r="A3851" i="1"/>
  <c r="B3851" i="1"/>
  <c r="C3851" i="1"/>
  <c r="D3851" i="1"/>
  <c r="A3852" i="1"/>
  <c r="B3852" i="1"/>
  <c r="C3852" i="1"/>
  <c r="D3852" i="1"/>
  <c r="A3853" i="1"/>
  <c r="B3853" i="1"/>
  <c r="C3853" i="1"/>
  <c r="D3853" i="1"/>
  <c r="A3854" i="1"/>
  <c r="B3854" i="1"/>
  <c r="C3854" i="1"/>
  <c r="D3854" i="1"/>
  <c r="A3855" i="1"/>
  <c r="B3855" i="1"/>
  <c r="C3855" i="1"/>
  <c r="D3855" i="1"/>
  <c r="A3856" i="1"/>
  <c r="B3856" i="1"/>
  <c r="C3856" i="1"/>
  <c r="D3856" i="1"/>
  <c r="A3857" i="1"/>
  <c r="B3857" i="1"/>
  <c r="C3857" i="1"/>
  <c r="D3857" i="1"/>
  <c r="A3858" i="1"/>
  <c r="B3858" i="1"/>
  <c r="C3858" i="1"/>
  <c r="D3858" i="1"/>
  <c r="A3859" i="1"/>
  <c r="B3859" i="1"/>
  <c r="C3859" i="1"/>
  <c r="D3859" i="1"/>
  <c r="A3860" i="1"/>
  <c r="B3860" i="1"/>
  <c r="C3860" i="1"/>
  <c r="D3860" i="1"/>
  <c r="A3861" i="1"/>
  <c r="B3861" i="1"/>
  <c r="C3861" i="1"/>
  <c r="D3861" i="1"/>
  <c r="A3862" i="1"/>
  <c r="B3862" i="1"/>
  <c r="C3862" i="1"/>
  <c r="D3862" i="1"/>
  <c r="A3863" i="1"/>
  <c r="B3863" i="1"/>
  <c r="C3863" i="1"/>
  <c r="D3863" i="1"/>
  <c r="A3864" i="1"/>
  <c r="B3864" i="1"/>
  <c r="C3864" i="1"/>
  <c r="D3864" i="1"/>
  <c r="A3865" i="1"/>
  <c r="B3865" i="1"/>
  <c r="C3865" i="1"/>
  <c r="D3865" i="1"/>
  <c r="A3866" i="1"/>
  <c r="B3866" i="1"/>
  <c r="C3866" i="1"/>
  <c r="D3866" i="1"/>
  <c r="A3867" i="1"/>
  <c r="B3867" i="1"/>
  <c r="C3867" i="1"/>
  <c r="D3867" i="1"/>
  <c r="A3868" i="1"/>
  <c r="B3868" i="1"/>
  <c r="C3868" i="1"/>
  <c r="D3868" i="1"/>
  <c r="A3869" i="1"/>
  <c r="B3869" i="1"/>
  <c r="C3869" i="1"/>
  <c r="D3869" i="1"/>
  <c r="A3870" i="1"/>
  <c r="B3870" i="1"/>
  <c r="C3870" i="1"/>
  <c r="D3870" i="1"/>
  <c r="A3871" i="1"/>
  <c r="B3871" i="1"/>
  <c r="C3871" i="1"/>
  <c r="D3871" i="1"/>
  <c r="A3872" i="1"/>
  <c r="B3872" i="1"/>
  <c r="C3872" i="1"/>
  <c r="D3872" i="1"/>
  <c r="A3873" i="1"/>
  <c r="B3873" i="1"/>
  <c r="C3873" i="1"/>
  <c r="D3873" i="1"/>
  <c r="A3874" i="1"/>
  <c r="B3874" i="1"/>
  <c r="C3874" i="1"/>
  <c r="D3874" i="1"/>
  <c r="A3875" i="1"/>
  <c r="B3875" i="1"/>
  <c r="C3875" i="1"/>
  <c r="D3875" i="1"/>
  <c r="A3876" i="1"/>
  <c r="B3876" i="1"/>
  <c r="C3876" i="1"/>
  <c r="D3876" i="1"/>
  <c r="A3877" i="1"/>
  <c r="B3877" i="1"/>
  <c r="C3877" i="1"/>
  <c r="D3877" i="1"/>
  <c r="A3878" i="1"/>
  <c r="B3878" i="1"/>
  <c r="C3878" i="1"/>
  <c r="D3878" i="1"/>
  <c r="A3879" i="1"/>
  <c r="B3879" i="1"/>
  <c r="C3879" i="1"/>
  <c r="D3879" i="1"/>
  <c r="A3880" i="1"/>
  <c r="B3880" i="1"/>
  <c r="C3880" i="1"/>
  <c r="D3880" i="1"/>
  <c r="A3881" i="1"/>
  <c r="B3881" i="1"/>
  <c r="C3881" i="1"/>
  <c r="D3881" i="1"/>
  <c r="A3882" i="1"/>
  <c r="B3882" i="1"/>
  <c r="C3882" i="1"/>
  <c r="D3882" i="1"/>
  <c r="A3883" i="1"/>
  <c r="B3883" i="1"/>
  <c r="C3883" i="1"/>
  <c r="D3883" i="1"/>
  <c r="A3884" i="1"/>
  <c r="B3884" i="1"/>
  <c r="C3884" i="1"/>
  <c r="D3884" i="1"/>
  <c r="A3885" i="1"/>
  <c r="B3885" i="1"/>
  <c r="C3885" i="1"/>
  <c r="D3885" i="1"/>
  <c r="A3886" i="1"/>
  <c r="B3886" i="1"/>
  <c r="C3886" i="1"/>
  <c r="D3886" i="1"/>
  <c r="A3887" i="1"/>
  <c r="B3887" i="1"/>
  <c r="C3887" i="1"/>
  <c r="D3887" i="1"/>
  <c r="A3888" i="1"/>
  <c r="B3888" i="1"/>
  <c r="C3888" i="1"/>
  <c r="D3888" i="1"/>
  <c r="A3889" i="1"/>
  <c r="B3889" i="1"/>
  <c r="C3889" i="1"/>
  <c r="D3889" i="1"/>
  <c r="A3890" i="1"/>
  <c r="B3890" i="1"/>
  <c r="C3890" i="1"/>
  <c r="D3890" i="1"/>
  <c r="A3891" i="1"/>
  <c r="B3891" i="1"/>
  <c r="C3891" i="1"/>
  <c r="D3891" i="1"/>
  <c r="A3892" i="1"/>
  <c r="B3892" i="1"/>
  <c r="C3892" i="1"/>
  <c r="D3892" i="1"/>
  <c r="A3893" i="1"/>
  <c r="B3893" i="1"/>
  <c r="C3893" i="1"/>
  <c r="D3893" i="1"/>
  <c r="A3894" i="1"/>
  <c r="B3894" i="1"/>
  <c r="C3894" i="1"/>
  <c r="D3894" i="1"/>
  <c r="A3895" i="1"/>
  <c r="B3895" i="1"/>
  <c r="C3895" i="1"/>
  <c r="D3895" i="1"/>
  <c r="A3896" i="1"/>
  <c r="B3896" i="1"/>
  <c r="C3896" i="1"/>
  <c r="D3896" i="1"/>
  <c r="A3897" i="1"/>
  <c r="B3897" i="1"/>
  <c r="C3897" i="1"/>
  <c r="D3897" i="1"/>
  <c r="A3898" i="1"/>
  <c r="B3898" i="1"/>
  <c r="C3898" i="1"/>
  <c r="D3898" i="1"/>
  <c r="A3899" i="1"/>
  <c r="B3899" i="1"/>
  <c r="C3899" i="1"/>
  <c r="D3899" i="1"/>
  <c r="A3900" i="1"/>
  <c r="B3900" i="1"/>
  <c r="C3900" i="1"/>
  <c r="D3900" i="1"/>
  <c r="A3901" i="1"/>
  <c r="B3901" i="1"/>
  <c r="C3901" i="1"/>
  <c r="D3901" i="1"/>
  <c r="A3902" i="1"/>
  <c r="B3902" i="1"/>
  <c r="C3902" i="1"/>
  <c r="D3902" i="1"/>
  <c r="A3903" i="1"/>
  <c r="B3903" i="1"/>
  <c r="C3903" i="1"/>
  <c r="D3903" i="1"/>
  <c r="A3904" i="1"/>
  <c r="B3904" i="1"/>
  <c r="C3904" i="1"/>
  <c r="D3904" i="1"/>
  <c r="A3905" i="1"/>
  <c r="B3905" i="1"/>
  <c r="C3905" i="1"/>
  <c r="D3905" i="1"/>
  <c r="A3906" i="1"/>
  <c r="B3906" i="1"/>
  <c r="C3906" i="1"/>
  <c r="D3906" i="1"/>
  <c r="A3907" i="1"/>
  <c r="B3907" i="1"/>
  <c r="C3907" i="1"/>
  <c r="D3907" i="1"/>
  <c r="A3908" i="1"/>
  <c r="B3908" i="1"/>
  <c r="C3908" i="1"/>
  <c r="D3908" i="1"/>
  <c r="A3909" i="1"/>
  <c r="B3909" i="1"/>
  <c r="C3909" i="1"/>
  <c r="D3909" i="1"/>
  <c r="A3910" i="1"/>
  <c r="B3910" i="1"/>
  <c r="C3910" i="1"/>
  <c r="D3910" i="1"/>
  <c r="A3911" i="1"/>
  <c r="B3911" i="1"/>
  <c r="C3911" i="1"/>
  <c r="D3911" i="1"/>
  <c r="A3912" i="1"/>
  <c r="B3912" i="1"/>
  <c r="C3912" i="1"/>
  <c r="D3912" i="1"/>
  <c r="A3913" i="1"/>
  <c r="B3913" i="1"/>
  <c r="C3913" i="1"/>
  <c r="D3913" i="1"/>
  <c r="A3914" i="1"/>
  <c r="B3914" i="1"/>
  <c r="C3914" i="1"/>
  <c r="D3914" i="1"/>
  <c r="A3915" i="1"/>
  <c r="B3915" i="1"/>
  <c r="C3915" i="1"/>
  <c r="D3915" i="1"/>
  <c r="A3916" i="1"/>
  <c r="B3916" i="1"/>
  <c r="C3916" i="1"/>
  <c r="D3916" i="1"/>
  <c r="A3917" i="1"/>
  <c r="B3917" i="1"/>
  <c r="C3917" i="1"/>
  <c r="D3917" i="1"/>
  <c r="A3918" i="1"/>
  <c r="B3918" i="1"/>
  <c r="C3918" i="1"/>
  <c r="D3918" i="1"/>
  <c r="A3919" i="1"/>
  <c r="B3919" i="1"/>
  <c r="C3919" i="1"/>
  <c r="D3919" i="1"/>
  <c r="A3920" i="1"/>
  <c r="B3920" i="1"/>
  <c r="C3920" i="1"/>
  <c r="D3920" i="1"/>
  <c r="A3921" i="1"/>
  <c r="B3921" i="1"/>
  <c r="C3921" i="1"/>
  <c r="D3921" i="1"/>
  <c r="A3922" i="1"/>
  <c r="B3922" i="1"/>
  <c r="C3922" i="1"/>
  <c r="D3922" i="1"/>
  <c r="A3923" i="1"/>
  <c r="B3923" i="1"/>
  <c r="C3923" i="1"/>
  <c r="D3923" i="1"/>
  <c r="A3924" i="1"/>
  <c r="B3924" i="1"/>
  <c r="C3924" i="1"/>
  <c r="D3924" i="1"/>
  <c r="A3925" i="1"/>
  <c r="B3925" i="1"/>
  <c r="C3925" i="1"/>
  <c r="D3925" i="1"/>
  <c r="A3926" i="1"/>
  <c r="B3926" i="1"/>
  <c r="C3926" i="1"/>
  <c r="D3926" i="1"/>
  <c r="A3927" i="1"/>
  <c r="B3927" i="1"/>
  <c r="C3927" i="1"/>
  <c r="D3927" i="1"/>
  <c r="A3928" i="1"/>
  <c r="B3928" i="1"/>
  <c r="C3928" i="1"/>
  <c r="D3928" i="1"/>
  <c r="A3929" i="1"/>
  <c r="B3929" i="1"/>
  <c r="C3929" i="1"/>
  <c r="D3929" i="1"/>
  <c r="A3930" i="1"/>
  <c r="B3930" i="1"/>
  <c r="C3930" i="1"/>
  <c r="D3930" i="1"/>
  <c r="A3931" i="1"/>
  <c r="B3931" i="1"/>
  <c r="C3931" i="1"/>
  <c r="D3931" i="1"/>
  <c r="A3932" i="1"/>
  <c r="B3932" i="1"/>
  <c r="C3932" i="1"/>
  <c r="D3932" i="1"/>
  <c r="A3933" i="1"/>
  <c r="B3933" i="1"/>
  <c r="C3933" i="1"/>
  <c r="D3933" i="1"/>
  <c r="A3934" i="1"/>
  <c r="B3934" i="1"/>
  <c r="C3934" i="1"/>
  <c r="D3934" i="1"/>
  <c r="A3935" i="1"/>
  <c r="B3935" i="1"/>
  <c r="C3935" i="1"/>
  <c r="D3935" i="1"/>
  <c r="A3936" i="1"/>
  <c r="B3936" i="1"/>
  <c r="C3936" i="1"/>
  <c r="D3936" i="1"/>
  <c r="A3937" i="1"/>
  <c r="B3937" i="1"/>
  <c r="C3937" i="1"/>
  <c r="D3937" i="1"/>
  <c r="A3938" i="1"/>
  <c r="B3938" i="1"/>
  <c r="C3938" i="1"/>
  <c r="D3938" i="1"/>
  <c r="A3939" i="1"/>
  <c r="B3939" i="1"/>
  <c r="C3939" i="1"/>
  <c r="D3939" i="1"/>
  <c r="A3940" i="1"/>
  <c r="B3940" i="1"/>
  <c r="C3940" i="1"/>
  <c r="D3940" i="1"/>
  <c r="A3941" i="1"/>
  <c r="B3941" i="1"/>
  <c r="C3941" i="1"/>
  <c r="D3941" i="1"/>
  <c r="A3942" i="1"/>
  <c r="B3942" i="1"/>
  <c r="C3942" i="1"/>
  <c r="D3942" i="1"/>
  <c r="A3943" i="1"/>
  <c r="B3943" i="1"/>
  <c r="C3943" i="1"/>
  <c r="D3943" i="1"/>
  <c r="A3944" i="1"/>
  <c r="B3944" i="1"/>
  <c r="C3944" i="1"/>
  <c r="D3944" i="1"/>
  <c r="A3945" i="1"/>
  <c r="B3945" i="1"/>
  <c r="C3945" i="1"/>
  <c r="D3945" i="1"/>
  <c r="A3946" i="1"/>
  <c r="B3946" i="1"/>
  <c r="C3946" i="1"/>
  <c r="D3946" i="1"/>
  <c r="A3947" i="1"/>
  <c r="B3947" i="1"/>
  <c r="C3947" i="1"/>
  <c r="D3947" i="1"/>
  <c r="A3948" i="1"/>
  <c r="B3948" i="1"/>
  <c r="C3948" i="1"/>
  <c r="D3948" i="1"/>
  <c r="A3949" i="1"/>
  <c r="B3949" i="1"/>
  <c r="C3949" i="1"/>
  <c r="D3949" i="1"/>
  <c r="A3950" i="1"/>
  <c r="B3950" i="1"/>
  <c r="C3950" i="1"/>
  <c r="D3950" i="1"/>
  <c r="A3951" i="1"/>
  <c r="B3951" i="1"/>
  <c r="C3951" i="1"/>
  <c r="D3951" i="1"/>
  <c r="A3952" i="1"/>
  <c r="B3952" i="1"/>
  <c r="C3952" i="1"/>
  <c r="D3952" i="1"/>
  <c r="A3953" i="1"/>
  <c r="B3953" i="1"/>
  <c r="C3953" i="1"/>
  <c r="D3953" i="1"/>
  <c r="A3954" i="1"/>
  <c r="B3954" i="1"/>
  <c r="C3954" i="1"/>
  <c r="D3954" i="1"/>
  <c r="A3955" i="1"/>
  <c r="B3955" i="1"/>
  <c r="C3955" i="1"/>
  <c r="D3955" i="1"/>
  <c r="A3956" i="1"/>
  <c r="B3956" i="1"/>
  <c r="C3956" i="1"/>
  <c r="D3956" i="1"/>
  <c r="A3957" i="1"/>
  <c r="B3957" i="1"/>
  <c r="C3957" i="1"/>
  <c r="D3957" i="1"/>
  <c r="A3958" i="1"/>
  <c r="B3958" i="1"/>
  <c r="C3958" i="1"/>
  <c r="D3958" i="1"/>
  <c r="A3959" i="1"/>
  <c r="B3959" i="1"/>
  <c r="C3959" i="1"/>
  <c r="D3959" i="1"/>
  <c r="A3960" i="1"/>
  <c r="B3960" i="1"/>
  <c r="C3960" i="1"/>
  <c r="D3960" i="1"/>
  <c r="A3961" i="1"/>
  <c r="B3961" i="1"/>
  <c r="C3961" i="1"/>
  <c r="D3961" i="1"/>
  <c r="A3962" i="1"/>
  <c r="B3962" i="1"/>
  <c r="C3962" i="1"/>
  <c r="D3962" i="1"/>
  <c r="A3963" i="1"/>
  <c r="B3963" i="1"/>
  <c r="C3963" i="1"/>
  <c r="D3963" i="1"/>
  <c r="A3964" i="1"/>
  <c r="B3964" i="1"/>
  <c r="C3964" i="1"/>
  <c r="D3964" i="1"/>
  <c r="A3965" i="1"/>
  <c r="B3965" i="1"/>
  <c r="C3965" i="1"/>
  <c r="D3965" i="1"/>
  <c r="A3966" i="1"/>
  <c r="B3966" i="1"/>
  <c r="C3966" i="1"/>
  <c r="D3966" i="1"/>
  <c r="A3967" i="1"/>
  <c r="B3967" i="1"/>
  <c r="C3967" i="1"/>
  <c r="D3967" i="1"/>
  <c r="A3968" i="1"/>
  <c r="B3968" i="1"/>
  <c r="C3968" i="1"/>
  <c r="D3968" i="1"/>
  <c r="A3969" i="1"/>
  <c r="B3969" i="1"/>
  <c r="C3969" i="1"/>
  <c r="D3969" i="1"/>
  <c r="A3970" i="1"/>
  <c r="B3970" i="1"/>
  <c r="C3970" i="1"/>
  <c r="D3970" i="1"/>
  <c r="A3971" i="1"/>
  <c r="B3971" i="1"/>
  <c r="C3971" i="1"/>
  <c r="D3971" i="1"/>
  <c r="A3972" i="1"/>
  <c r="B3972" i="1"/>
  <c r="C3972" i="1"/>
  <c r="D3972" i="1"/>
  <c r="A3973" i="1"/>
  <c r="B3973" i="1"/>
  <c r="C3973" i="1"/>
  <c r="D3973" i="1"/>
  <c r="A3974" i="1"/>
  <c r="B3974" i="1"/>
  <c r="C3974" i="1"/>
  <c r="D3974" i="1"/>
  <c r="A3975" i="1"/>
  <c r="B3975" i="1"/>
  <c r="C3975" i="1"/>
  <c r="D3975" i="1"/>
  <c r="A3976" i="1"/>
  <c r="B3976" i="1"/>
  <c r="C3976" i="1"/>
  <c r="D3976" i="1"/>
  <c r="A3977" i="1"/>
  <c r="B3977" i="1"/>
  <c r="C3977" i="1"/>
  <c r="D3977" i="1"/>
  <c r="A3978" i="1"/>
  <c r="B3978" i="1"/>
  <c r="C3978" i="1"/>
  <c r="D3978" i="1"/>
  <c r="A3979" i="1"/>
  <c r="B3979" i="1"/>
  <c r="C3979" i="1"/>
  <c r="D3979" i="1"/>
  <c r="A3980" i="1"/>
  <c r="B3980" i="1"/>
  <c r="C3980" i="1"/>
  <c r="D3980" i="1"/>
  <c r="A3981" i="1"/>
  <c r="B3981" i="1"/>
  <c r="C3981" i="1"/>
  <c r="D3981" i="1"/>
  <c r="A3982" i="1"/>
  <c r="B3982" i="1"/>
  <c r="C3982" i="1"/>
  <c r="D3982" i="1"/>
  <c r="A3983" i="1"/>
  <c r="B3983" i="1"/>
  <c r="C3983" i="1"/>
  <c r="D3983" i="1"/>
  <c r="A3984" i="1"/>
  <c r="B3984" i="1"/>
  <c r="C3984" i="1"/>
  <c r="D3984" i="1"/>
  <c r="A3985" i="1"/>
  <c r="B3985" i="1"/>
  <c r="C3985" i="1"/>
  <c r="D3985" i="1"/>
  <c r="A3986" i="1"/>
  <c r="B3986" i="1"/>
  <c r="C3986" i="1"/>
  <c r="D3986" i="1"/>
  <c r="A3987" i="1"/>
  <c r="B3987" i="1"/>
  <c r="C3987" i="1"/>
  <c r="D3987" i="1"/>
  <c r="A3988" i="1"/>
  <c r="B3988" i="1"/>
  <c r="C3988" i="1"/>
  <c r="D3988" i="1"/>
  <c r="A3989" i="1"/>
  <c r="B3989" i="1"/>
  <c r="C3989" i="1"/>
  <c r="D3989" i="1"/>
  <c r="A3990" i="1"/>
  <c r="B3990" i="1"/>
  <c r="C3990" i="1"/>
  <c r="D3990" i="1"/>
  <c r="A3991" i="1"/>
  <c r="B3991" i="1"/>
  <c r="C3991" i="1"/>
  <c r="D3991" i="1"/>
  <c r="A3992" i="1"/>
  <c r="B3992" i="1"/>
  <c r="C3992" i="1"/>
  <c r="D3992" i="1"/>
  <c r="A3993" i="1"/>
  <c r="B3993" i="1"/>
  <c r="C3993" i="1"/>
  <c r="D3993" i="1"/>
  <c r="A3994" i="1"/>
  <c r="B3994" i="1"/>
  <c r="C3994" i="1"/>
  <c r="D3994" i="1"/>
  <c r="A3995" i="1"/>
  <c r="B3995" i="1"/>
  <c r="C3995" i="1"/>
  <c r="D3995" i="1"/>
  <c r="A3996" i="1"/>
  <c r="B3996" i="1"/>
  <c r="C3996" i="1"/>
  <c r="D3996" i="1"/>
  <c r="A3997" i="1"/>
  <c r="B3997" i="1"/>
  <c r="C3997" i="1"/>
  <c r="D3997" i="1"/>
  <c r="A3998" i="1"/>
  <c r="B3998" i="1"/>
  <c r="C3998" i="1"/>
  <c r="D3998" i="1"/>
  <c r="A3999" i="1"/>
  <c r="B3999" i="1"/>
  <c r="C3999" i="1"/>
  <c r="D3999" i="1"/>
  <c r="A4000" i="1"/>
  <c r="B4000" i="1"/>
  <c r="C4000" i="1"/>
  <c r="D4000" i="1"/>
  <c r="A4001" i="1"/>
  <c r="B4001" i="1"/>
  <c r="C4001" i="1"/>
  <c r="D4001" i="1"/>
  <c r="A4002" i="1"/>
  <c r="B4002" i="1"/>
  <c r="C4002" i="1"/>
  <c r="D4002" i="1"/>
  <c r="A4003" i="1"/>
  <c r="B4003" i="1"/>
  <c r="C4003" i="1"/>
  <c r="D4003" i="1"/>
  <c r="A4004" i="1"/>
  <c r="B4004" i="1"/>
  <c r="C4004" i="1"/>
  <c r="D4004" i="1"/>
  <c r="A4005" i="1"/>
  <c r="B4005" i="1"/>
  <c r="C4005" i="1"/>
  <c r="D4005" i="1"/>
  <c r="A4006" i="1"/>
  <c r="B4006" i="1"/>
  <c r="C4006" i="1"/>
  <c r="D4006" i="1"/>
  <c r="A4007" i="1"/>
  <c r="B4007" i="1"/>
  <c r="C4007" i="1"/>
  <c r="D4007" i="1"/>
  <c r="A4008" i="1"/>
  <c r="B4008" i="1"/>
  <c r="C4008" i="1"/>
  <c r="D4008" i="1"/>
  <c r="A4009" i="1"/>
  <c r="B4009" i="1"/>
  <c r="C4009" i="1"/>
  <c r="D4009" i="1"/>
  <c r="A4010" i="1"/>
  <c r="B4010" i="1"/>
  <c r="C4010" i="1"/>
  <c r="D4010" i="1"/>
  <c r="A4011" i="1"/>
  <c r="B4011" i="1"/>
  <c r="C4011" i="1"/>
  <c r="D4011" i="1"/>
  <c r="A4012" i="1"/>
  <c r="B4012" i="1"/>
  <c r="C4012" i="1"/>
  <c r="D4012" i="1"/>
  <c r="A4013" i="1"/>
  <c r="B4013" i="1"/>
  <c r="C4013" i="1"/>
  <c r="D4013" i="1"/>
  <c r="A4014" i="1"/>
  <c r="B4014" i="1"/>
  <c r="C4014" i="1"/>
  <c r="D4014" i="1"/>
  <c r="A4015" i="1"/>
  <c r="B4015" i="1"/>
  <c r="C4015" i="1"/>
  <c r="D4015" i="1"/>
  <c r="A4016" i="1"/>
  <c r="B4016" i="1"/>
  <c r="C4016" i="1"/>
  <c r="D4016" i="1"/>
  <c r="A4017" i="1"/>
  <c r="B4017" i="1"/>
  <c r="C4017" i="1"/>
  <c r="D4017" i="1"/>
  <c r="A4018" i="1"/>
  <c r="B4018" i="1"/>
  <c r="C4018" i="1"/>
  <c r="D4018" i="1"/>
  <c r="A4019" i="1"/>
  <c r="B4019" i="1"/>
  <c r="C4019" i="1"/>
  <c r="D4019" i="1"/>
  <c r="A4020" i="1"/>
  <c r="B4020" i="1"/>
  <c r="C4020" i="1"/>
  <c r="D4020" i="1"/>
  <c r="A4021" i="1"/>
  <c r="B4021" i="1"/>
  <c r="C4021" i="1"/>
  <c r="D4021" i="1"/>
  <c r="A4022" i="1"/>
  <c r="B4022" i="1"/>
  <c r="C4022" i="1"/>
  <c r="D4022" i="1"/>
  <c r="A4023" i="1"/>
  <c r="B4023" i="1"/>
  <c r="C4023" i="1"/>
  <c r="D4023" i="1"/>
  <c r="A4024" i="1"/>
  <c r="B4024" i="1"/>
  <c r="C4024" i="1"/>
  <c r="D4024" i="1"/>
  <c r="A4025" i="1"/>
  <c r="B4025" i="1"/>
  <c r="C4025" i="1"/>
  <c r="D4025" i="1"/>
  <c r="A4026" i="1"/>
  <c r="B4026" i="1"/>
  <c r="C4026" i="1"/>
  <c r="D4026" i="1"/>
  <c r="A4027" i="1"/>
  <c r="B4027" i="1"/>
  <c r="C4027" i="1"/>
  <c r="D4027" i="1"/>
  <c r="A4028" i="1"/>
  <c r="B4028" i="1"/>
  <c r="C4028" i="1"/>
  <c r="D4028" i="1"/>
  <c r="A4029" i="1"/>
  <c r="B4029" i="1"/>
  <c r="C4029" i="1"/>
  <c r="D4029" i="1"/>
  <c r="A4030" i="1"/>
  <c r="B4030" i="1"/>
  <c r="C4030" i="1"/>
  <c r="D4030" i="1"/>
  <c r="A4031" i="1"/>
  <c r="B4031" i="1"/>
  <c r="C4031" i="1"/>
  <c r="D4031" i="1"/>
  <c r="A4032" i="1"/>
  <c r="B4032" i="1"/>
  <c r="C4032" i="1"/>
  <c r="D4032" i="1"/>
  <c r="A4033" i="1"/>
  <c r="B4033" i="1"/>
  <c r="C4033" i="1"/>
  <c r="D4033" i="1"/>
  <c r="A4034" i="1"/>
  <c r="B4034" i="1"/>
  <c r="C4034" i="1"/>
  <c r="D4034" i="1"/>
  <c r="A4035" i="1"/>
  <c r="B4035" i="1"/>
  <c r="C4035" i="1"/>
  <c r="D4035" i="1"/>
  <c r="A4036" i="1"/>
  <c r="B4036" i="1"/>
  <c r="C4036" i="1"/>
  <c r="D4036" i="1"/>
  <c r="A4037" i="1"/>
  <c r="B4037" i="1"/>
  <c r="C4037" i="1"/>
  <c r="D4037" i="1"/>
  <c r="A4038" i="1"/>
  <c r="B4038" i="1"/>
  <c r="C4038" i="1"/>
  <c r="D4038" i="1"/>
  <c r="A4039" i="1"/>
  <c r="B4039" i="1"/>
  <c r="C4039" i="1"/>
  <c r="D4039" i="1"/>
  <c r="A4040" i="1"/>
  <c r="B4040" i="1"/>
  <c r="C4040" i="1"/>
  <c r="D4040" i="1"/>
  <c r="A4041" i="1"/>
  <c r="B4041" i="1"/>
  <c r="C4041" i="1"/>
  <c r="D4041" i="1"/>
  <c r="A4042" i="1"/>
  <c r="B4042" i="1"/>
  <c r="C4042" i="1"/>
  <c r="D4042" i="1"/>
  <c r="A4043" i="1"/>
  <c r="B4043" i="1"/>
  <c r="C4043" i="1"/>
  <c r="D4043" i="1"/>
  <c r="A4044" i="1"/>
  <c r="B4044" i="1"/>
  <c r="C4044" i="1"/>
  <c r="D4044" i="1"/>
  <c r="A4045" i="1"/>
  <c r="B4045" i="1"/>
  <c r="C4045" i="1"/>
  <c r="D4045" i="1"/>
  <c r="A4046" i="1"/>
  <c r="B4046" i="1"/>
  <c r="C4046" i="1"/>
  <c r="D4046" i="1"/>
  <c r="A4047" i="1"/>
  <c r="B4047" i="1"/>
  <c r="C4047" i="1"/>
  <c r="D4047" i="1"/>
  <c r="A4048" i="1"/>
  <c r="B4048" i="1"/>
  <c r="C4048" i="1"/>
  <c r="D4048" i="1"/>
  <c r="A4049" i="1"/>
  <c r="B4049" i="1"/>
  <c r="C4049" i="1"/>
  <c r="D4049" i="1"/>
  <c r="A4050" i="1"/>
  <c r="B4050" i="1"/>
  <c r="C4050" i="1"/>
  <c r="D4050" i="1"/>
  <c r="A4051" i="1"/>
  <c r="B4051" i="1"/>
  <c r="C4051" i="1"/>
  <c r="D4051" i="1"/>
  <c r="A4052" i="1"/>
  <c r="B4052" i="1"/>
  <c r="C4052" i="1"/>
  <c r="D4052" i="1"/>
  <c r="A4053" i="1"/>
  <c r="B4053" i="1"/>
  <c r="C4053" i="1"/>
  <c r="D4053" i="1"/>
  <c r="A4054" i="1"/>
  <c r="B4054" i="1"/>
  <c r="C4054" i="1"/>
  <c r="D4054" i="1"/>
  <c r="A4055" i="1"/>
  <c r="B4055" i="1"/>
  <c r="C4055" i="1"/>
  <c r="D4055" i="1"/>
  <c r="A4056" i="1"/>
  <c r="B4056" i="1"/>
  <c r="C4056" i="1"/>
  <c r="D4056" i="1"/>
  <c r="A4057" i="1"/>
  <c r="B4057" i="1"/>
  <c r="C4057" i="1"/>
  <c r="D4057" i="1"/>
  <c r="A4058" i="1"/>
  <c r="B4058" i="1"/>
  <c r="C4058" i="1"/>
  <c r="D4058" i="1"/>
  <c r="A4059" i="1"/>
  <c r="B4059" i="1"/>
  <c r="C4059" i="1"/>
  <c r="D4059" i="1"/>
  <c r="A4060" i="1"/>
  <c r="B4060" i="1"/>
  <c r="C4060" i="1"/>
  <c r="D4060" i="1"/>
  <c r="A4061" i="1"/>
  <c r="B4061" i="1"/>
  <c r="C4061" i="1"/>
  <c r="D4061" i="1"/>
  <c r="A4062" i="1"/>
  <c r="B4062" i="1"/>
  <c r="C4062" i="1"/>
  <c r="D4062" i="1"/>
  <c r="A4063" i="1"/>
  <c r="B4063" i="1"/>
  <c r="C4063" i="1"/>
  <c r="D4063" i="1"/>
  <c r="A4064" i="1"/>
  <c r="B4064" i="1"/>
  <c r="C4064" i="1"/>
  <c r="D4064" i="1"/>
  <c r="A4065" i="1"/>
  <c r="B4065" i="1"/>
  <c r="C4065" i="1"/>
  <c r="D4065" i="1"/>
  <c r="A4066" i="1"/>
  <c r="B4066" i="1"/>
  <c r="C4066" i="1"/>
  <c r="D4066" i="1"/>
  <c r="A4067" i="1"/>
  <c r="B4067" i="1"/>
  <c r="C4067" i="1"/>
  <c r="D4067" i="1"/>
  <c r="A4068" i="1"/>
  <c r="B4068" i="1"/>
  <c r="C4068" i="1"/>
  <c r="D4068" i="1"/>
  <c r="A4069" i="1"/>
  <c r="B4069" i="1"/>
  <c r="C4069" i="1"/>
  <c r="D4069" i="1"/>
  <c r="A4070" i="1"/>
  <c r="B4070" i="1"/>
  <c r="C4070" i="1"/>
  <c r="D4070" i="1"/>
  <c r="A4071" i="1"/>
  <c r="B4071" i="1"/>
  <c r="C4071" i="1"/>
  <c r="D4071" i="1"/>
  <c r="A4072" i="1"/>
  <c r="B4072" i="1"/>
  <c r="C4072" i="1"/>
  <c r="D4072" i="1"/>
  <c r="A4073" i="1"/>
  <c r="B4073" i="1"/>
  <c r="C4073" i="1"/>
  <c r="D4073" i="1"/>
  <c r="A4074" i="1"/>
  <c r="B4074" i="1"/>
  <c r="C4074" i="1"/>
  <c r="D4074" i="1"/>
  <c r="A4075" i="1"/>
  <c r="B4075" i="1"/>
  <c r="C4075" i="1"/>
  <c r="D4075" i="1"/>
  <c r="A4076" i="1"/>
  <c r="B4076" i="1"/>
  <c r="C4076" i="1"/>
  <c r="D4076" i="1"/>
  <c r="A4077" i="1"/>
  <c r="B4077" i="1"/>
  <c r="C4077" i="1"/>
  <c r="D4077" i="1"/>
  <c r="A4078" i="1"/>
  <c r="B4078" i="1"/>
  <c r="C4078" i="1"/>
  <c r="D4078" i="1"/>
  <c r="A4079" i="1"/>
  <c r="B4079" i="1"/>
  <c r="C4079" i="1"/>
  <c r="D4079" i="1"/>
  <c r="A4080" i="1"/>
  <c r="B4080" i="1"/>
  <c r="C4080" i="1"/>
  <c r="D4080" i="1"/>
  <c r="A4081" i="1"/>
  <c r="B4081" i="1"/>
  <c r="C4081" i="1"/>
  <c r="D4081" i="1"/>
  <c r="A4082" i="1"/>
  <c r="B4082" i="1"/>
  <c r="C4082" i="1"/>
  <c r="D4082" i="1"/>
  <c r="A4083" i="1"/>
  <c r="B4083" i="1"/>
  <c r="C4083" i="1"/>
  <c r="D4083" i="1"/>
  <c r="A4084" i="1"/>
  <c r="B4084" i="1"/>
  <c r="C4084" i="1"/>
  <c r="D4084" i="1"/>
  <c r="A4085" i="1"/>
  <c r="B4085" i="1"/>
  <c r="C4085" i="1"/>
  <c r="D4085" i="1"/>
  <c r="A4086" i="1"/>
  <c r="B4086" i="1"/>
  <c r="C4086" i="1"/>
  <c r="D4086" i="1"/>
  <c r="A4087" i="1"/>
  <c r="B4087" i="1"/>
  <c r="C4087" i="1"/>
  <c r="D4087" i="1"/>
  <c r="A4088" i="1"/>
  <c r="B4088" i="1"/>
  <c r="C4088" i="1"/>
  <c r="D4088" i="1"/>
  <c r="A4089" i="1"/>
  <c r="B4089" i="1"/>
  <c r="C4089" i="1"/>
  <c r="D4089" i="1"/>
  <c r="A4090" i="1"/>
  <c r="B4090" i="1"/>
  <c r="C4090" i="1"/>
  <c r="D4090" i="1"/>
  <c r="A4091" i="1"/>
  <c r="B4091" i="1"/>
  <c r="C4091" i="1"/>
  <c r="D4091" i="1"/>
  <c r="A4092" i="1"/>
  <c r="B4092" i="1"/>
  <c r="C4092" i="1"/>
  <c r="D4092" i="1"/>
  <c r="A4093" i="1"/>
  <c r="B4093" i="1"/>
  <c r="C4093" i="1"/>
  <c r="D4093" i="1"/>
  <c r="A4094" i="1"/>
  <c r="B4094" i="1"/>
  <c r="C4094" i="1"/>
  <c r="D4094" i="1"/>
  <c r="A4095" i="1"/>
  <c r="B4095" i="1"/>
  <c r="C4095" i="1"/>
  <c r="D4095" i="1"/>
  <c r="A4096" i="1"/>
  <c r="B4096" i="1"/>
  <c r="C4096" i="1"/>
  <c r="D4096" i="1"/>
  <c r="A4097" i="1"/>
  <c r="B4097" i="1"/>
  <c r="C4097" i="1"/>
  <c r="D4097" i="1"/>
  <c r="A4098" i="1"/>
  <c r="B4098" i="1"/>
  <c r="C4098" i="1"/>
  <c r="D4098" i="1"/>
  <c r="A4099" i="1"/>
  <c r="B4099" i="1"/>
  <c r="C4099" i="1"/>
  <c r="D4099" i="1"/>
  <c r="A4100" i="1"/>
  <c r="B4100" i="1"/>
  <c r="C4100" i="1"/>
  <c r="D4100" i="1"/>
  <c r="A4101" i="1"/>
  <c r="B4101" i="1"/>
  <c r="C4101" i="1"/>
  <c r="D4101" i="1"/>
  <c r="A4102" i="1"/>
  <c r="B4102" i="1"/>
  <c r="C4102" i="1"/>
  <c r="D4102" i="1"/>
  <c r="A4103" i="1"/>
  <c r="B4103" i="1"/>
  <c r="C4103" i="1"/>
  <c r="D4103" i="1"/>
  <c r="A4104" i="1"/>
  <c r="B4104" i="1"/>
  <c r="C4104" i="1"/>
  <c r="D4104" i="1"/>
  <c r="A4105" i="1"/>
  <c r="B4105" i="1"/>
  <c r="C4105" i="1"/>
  <c r="D4105" i="1"/>
  <c r="A4106" i="1"/>
  <c r="B4106" i="1"/>
  <c r="C4106" i="1"/>
  <c r="D4106" i="1"/>
  <c r="A4107" i="1"/>
  <c r="B4107" i="1"/>
  <c r="C4107" i="1"/>
  <c r="D4107" i="1"/>
  <c r="A4108" i="1"/>
  <c r="B4108" i="1"/>
  <c r="C4108" i="1"/>
  <c r="D4108" i="1"/>
  <c r="A4109" i="1"/>
  <c r="B4109" i="1"/>
  <c r="C4109" i="1"/>
  <c r="D4109" i="1"/>
  <c r="A4110" i="1"/>
  <c r="B4110" i="1"/>
  <c r="C4110" i="1"/>
  <c r="D4110" i="1"/>
  <c r="A4111" i="1"/>
  <c r="B4111" i="1"/>
  <c r="C4111" i="1"/>
  <c r="D4111" i="1"/>
  <c r="A4112" i="1"/>
  <c r="B4112" i="1"/>
  <c r="C4112" i="1"/>
  <c r="D4112" i="1"/>
  <c r="A4113" i="1"/>
  <c r="B4113" i="1"/>
  <c r="C4113" i="1"/>
  <c r="D4113" i="1"/>
  <c r="A4114" i="1"/>
  <c r="B4114" i="1"/>
  <c r="C4114" i="1"/>
  <c r="D4114" i="1"/>
  <c r="A4115" i="1"/>
  <c r="B4115" i="1"/>
  <c r="C4115" i="1"/>
  <c r="D4115" i="1"/>
  <c r="A4116" i="1"/>
  <c r="B4116" i="1"/>
  <c r="C4116" i="1"/>
  <c r="D4116" i="1"/>
  <c r="A4117" i="1"/>
  <c r="B4117" i="1"/>
  <c r="C4117" i="1"/>
  <c r="D4117" i="1"/>
  <c r="A4118" i="1"/>
  <c r="B4118" i="1"/>
  <c r="C4118" i="1"/>
  <c r="D4118" i="1"/>
  <c r="A4119" i="1"/>
  <c r="B4119" i="1"/>
  <c r="C4119" i="1"/>
  <c r="D4119" i="1"/>
  <c r="A4120" i="1"/>
  <c r="B4120" i="1"/>
  <c r="C4120" i="1"/>
  <c r="D4120" i="1"/>
  <c r="A4121" i="1"/>
  <c r="B4121" i="1"/>
  <c r="C4121" i="1"/>
  <c r="D4121" i="1"/>
  <c r="A4122" i="1"/>
  <c r="B4122" i="1"/>
  <c r="C4122" i="1"/>
  <c r="D4122" i="1"/>
  <c r="A4123" i="1"/>
  <c r="B4123" i="1"/>
  <c r="C4123" i="1"/>
  <c r="D4123" i="1"/>
  <c r="A4124" i="1"/>
  <c r="B4124" i="1"/>
  <c r="C4124" i="1"/>
  <c r="D4124" i="1"/>
  <c r="A4125" i="1"/>
  <c r="B4125" i="1"/>
  <c r="C4125" i="1"/>
  <c r="D4125" i="1"/>
  <c r="A4126" i="1"/>
  <c r="B4126" i="1"/>
  <c r="C4126" i="1"/>
  <c r="D4126" i="1"/>
  <c r="A4127" i="1"/>
  <c r="B4127" i="1"/>
  <c r="C4127" i="1"/>
  <c r="D4127" i="1"/>
  <c r="A4128" i="1"/>
  <c r="B4128" i="1"/>
  <c r="C4128" i="1"/>
  <c r="D4128" i="1"/>
  <c r="A4129" i="1"/>
  <c r="B4129" i="1"/>
  <c r="C4129" i="1"/>
  <c r="D4129" i="1"/>
  <c r="A4130" i="1"/>
  <c r="B4130" i="1"/>
  <c r="C4130" i="1"/>
  <c r="D4130" i="1"/>
  <c r="A4131" i="1"/>
  <c r="B4131" i="1"/>
  <c r="C4131" i="1"/>
  <c r="D4131" i="1"/>
  <c r="A4132" i="1"/>
  <c r="B4132" i="1"/>
  <c r="C4132" i="1"/>
  <c r="D4132" i="1"/>
  <c r="A4133" i="1"/>
  <c r="B4133" i="1"/>
  <c r="C4133" i="1"/>
  <c r="D4133" i="1"/>
  <c r="A4134" i="1"/>
  <c r="B4134" i="1"/>
  <c r="C4134" i="1"/>
  <c r="D4134" i="1"/>
  <c r="A4135" i="1"/>
  <c r="B4135" i="1"/>
  <c r="C4135" i="1"/>
  <c r="D4135" i="1"/>
  <c r="A4136" i="1"/>
  <c r="B4136" i="1"/>
  <c r="C4136" i="1"/>
  <c r="D4136" i="1"/>
  <c r="A4137" i="1"/>
  <c r="B4137" i="1"/>
  <c r="C4137" i="1"/>
  <c r="D4137" i="1"/>
  <c r="A4138" i="1"/>
  <c r="B4138" i="1"/>
  <c r="C4138" i="1"/>
  <c r="D4138" i="1"/>
  <c r="A4139" i="1"/>
  <c r="B4139" i="1"/>
  <c r="C4139" i="1"/>
  <c r="D4139" i="1"/>
  <c r="A4140" i="1"/>
  <c r="B4140" i="1"/>
  <c r="C4140" i="1"/>
  <c r="D4140" i="1"/>
  <c r="A4141" i="1"/>
  <c r="B4141" i="1"/>
  <c r="C4141" i="1"/>
  <c r="D4141" i="1"/>
  <c r="A4142" i="1"/>
  <c r="B4142" i="1"/>
  <c r="C4142" i="1"/>
  <c r="D4142" i="1"/>
  <c r="A4143" i="1"/>
  <c r="B4143" i="1"/>
  <c r="C4143" i="1"/>
  <c r="D4143" i="1"/>
  <c r="A4144" i="1"/>
  <c r="B4144" i="1"/>
  <c r="C4144" i="1"/>
  <c r="D4144" i="1"/>
  <c r="A4145" i="1"/>
  <c r="B4145" i="1"/>
  <c r="C4145" i="1"/>
  <c r="D4145" i="1"/>
  <c r="A4146" i="1"/>
  <c r="B4146" i="1"/>
  <c r="C4146" i="1"/>
  <c r="D4146" i="1"/>
  <c r="A4147" i="1"/>
  <c r="B4147" i="1"/>
  <c r="C4147" i="1"/>
  <c r="D4147" i="1"/>
  <c r="A4148" i="1"/>
  <c r="B4148" i="1"/>
  <c r="C4148" i="1"/>
  <c r="D4148" i="1"/>
  <c r="A4149" i="1"/>
  <c r="B4149" i="1"/>
  <c r="C4149" i="1"/>
  <c r="D4149" i="1"/>
  <c r="A4150" i="1"/>
  <c r="B4150" i="1"/>
  <c r="C4150" i="1"/>
  <c r="D4150" i="1"/>
  <c r="A4151" i="1"/>
  <c r="B4151" i="1"/>
  <c r="C4151" i="1"/>
  <c r="D4151" i="1"/>
  <c r="A4152" i="1"/>
  <c r="B4152" i="1"/>
  <c r="C4152" i="1"/>
  <c r="D4152" i="1"/>
  <c r="A4153" i="1"/>
  <c r="B4153" i="1"/>
  <c r="C4153" i="1"/>
  <c r="D4153" i="1"/>
  <c r="A4154" i="1"/>
  <c r="B4154" i="1"/>
  <c r="C4154" i="1"/>
  <c r="D4154" i="1"/>
  <c r="A4155" i="1"/>
  <c r="B4155" i="1"/>
  <c r="C4155" i="1"/>
  <c r="D4155" i="1"/>
  <c r="A4156" i="1"/>
  <c r="B4156" i="1"/>
  <c r="C4156" i="1"/>
  <c r="D4156" i="1"/>
  <c r="A4157" i="1"/>
  <c r="B4157" i="1"/>
  <c r="C4157" i="1"/>
  <c r="D4157" i="1"/>
  <c r="A4158" i="1"/>
  <c r="B4158" i="1"/>
  <c r="C4158" i="1"/>
  <c r="D4158" i="1"/>
  <c r="A4159" i="1"/>
  <c r="B4159" i="1"/>
  <c r="C4159" i="1"/>
  <c r="D4159" i="1"/>
  <c r="A4160" i="1"/>
  <c r="B4160" i="1"/>
  <c r="C4160" i="1"/>
  <c r="D4160" i="1"/>
  <c r="A4161" i="1"/>
  <c r="B4161" i="1"/>
  <c r="C4161" i="1"/>
  <c r="D4161" i="1"/>
  <c r="A4162" i="1"/>
  <c r="B4162" i="1"/>
  <c r="C4162" i="1"/>
  <c r="D4162" i="1"/>
  <c r="A4163" i="1"/>
  <c r="B4163" i="1"/>
  <c r="C4163" i="1"/>
  <c r="D4163" i="1"/>
  <c r="A4164" i="1"/>
  <c r="B4164" i="1"/>
  <c r="C4164" i="1"/>
  <c r="D4164" i="1"/>
  <c r="A4165" i="1"/>
  <c r="B4165" i="1"/>
  <c r="C4165" i="1"/>
  <c r="D4165" i="1"/>
  <c r="A4166" i="1"/>
  <c r="B4166" i="1"/>
  <c r="C4166" i="1"/>
  <c r="D4166" i="1"/>
  <c r="A4167" i="1"/>
  <c r="B4167" i="1"/>
  <c r="C4167" i="1"/>
  <c r="D4167" i="1"/>
  <c r="A4168" i="1"/>
  <c r="B4168" i="1"/>
  <c r="C4168" i="1"/>
  <c r="D4168" i="1"/>
  <c r="A4169" i="1"/>
  <c r="B4169" i="1"/>
  <c r="C4169" i="1"/>
  <c r="D4169" i="1"/>
  <c r="A4170" i="1"/>
  <c r="B4170" i="1"/>
  <c r="C4170" i="1"/>
  <c r="D4170" i="1"/>
  <c r="A4171" i="1"/>
  <c r="B4171" i="1"/>
  <c r="C4171" i="1"/>
  <c r="D4171" i="1"/>
  <c r="A4172" i="1"/>
  <c r="B4172" i="1"/>
  <c r="C4172" i="1"/>
  <c r="D4172" i="1"/>
  <c r="A4173" i="1"/>
  <c r="B4173" i="1"/>
  <c r="C4173" i="1"/>
  <c r="D4173" i="1"/>
  <c r="A4174" i="1"/>
  <c r="B4174" i="1"/>
  <c r="C4174" i="1"/>
  <c r="D4174" i="1"/>
  <c r="A4175" i="1"/>
  <c r="B4175" i="1"/>
  <c r="C4175" i="1"/>
  <c r="D4175" i="1"/>
  <c r="A4176" i="1"/>
  <c r="B4176" i="1"/>
  <c r="C4176" i="1"/>
  <c r="D4176" i="1"/>
  <c r="A4177" i="1"/>
  <c r="B4177" i="1"/>
  <c r="C4177" i="1"/>
  <c r="D4177" i="1"/>
  <c r="A4178" i="1"/>
  <c r="B4178" i="1"/>
  <c r="C4178" i="1"/>
  <c r="D4178" i="1"/>
  <c r="A4179" i="1"/>
  <c r="B4179" i="1"/>
  <c r="C4179" i="1"/>
  <c r="D4179" i="1"/>
  <c r="A4180" i="1"/>
  <c r="B4180" i="1"/>
  <c r="C4180" i="1"/>
  <c r="D4180" i="1"/>
  <c r="A4181" i="1"/>
  <c r="B4181" i="1"/>
  <c r="C4181" i="1"/>
  <c r="D4181" i="1"/>
  <c r="A4182" i="1"/>
  <c r="B4182" i="1"/>
  <c r="C4182" i="1"/>
  <c r="D4182" i="1"/>
  <c r="A4183" i="1"/>
  <c r="B4183" i="1"/>
  <c r="C4183" i="1"/>
  <c r="D4183" i="1"/>
  <c r="A4184" i="1"/>
  <c r="B4184" i="1"/>
  <c r="C4184" i="1"/>
  <c r="D4184" i="1"/>
  <c r="A4185" i="1"/>
  <c r="B4185" i="1"/>
  <c r="C4185" i="1"/>
  <c r="D4185" i="1"/>
  <c r="A4186" i="1"/>
  <c r="B4186" i="1"/>
  <c r="C4186" i="1"/>
  <c r="D4186" i="1"/>
  <c r="A4187" i="1"/>
  <c r="B4187" i="1"/>
  <c r="C4187" i="1"/>
  <c r="D4187" i="1"/>
  <c r="A4188" i="1"/>
  <c r="B4188" i="1"/>
  <c r="C4188" i="1"/>
  <c r="D4188" i="1"/>
  <c r="A4189" i="1"/>
  <c r="B4189" i="1"/>
  <c r="C4189" i="1"/>
  <c r="D4189" i="1"/>
  <c r="A4190" i="1"/>
  <c r="B4190" i="1"/>
  <c r="C4190" i="1"/>
  <c r="D4190" i="1"/>
  <c r="A4191" i="1"/>
  <c r="B4191" i="1"/>
  <c r="C4191" i="1"/>
  <c r="D4191" i="1"/>
  <c r="A4192" i="1"/>
  <c r="B4192" i="1"/>
  <c r="C4192" i="1"/>
  <c r="D4192" i="1"/>
  <c r="A4193" i="1"/>
  <c r="B4193" i="1"/>
  <c r="C4193" i="1"/>
  <c r="D4193" i="1"/>
  <c r="A4194" i="1"/>
  <c r="B4194" i="1"/>
  <c r="C4194" i="1"/>
  <c r="D4194" i="1"/>
  <c r="A4195" i="1"/>
  <c r="B4195" i="1"/>
  <c r="C4195" i="1"/>
  <c r="D4195" i="1"/>
  <c r="A4196" i="1"/>
  <c r="B4196" i="1"/>
  <c r="C4196" i="1"/>
  <c r="D4196" i="1"/>
  <c r="A4197" i="1"/>
  <c r="B4197" i="1"/>
  <c r="C4197" i="1"/>
  <c r="D4197" i="1"/>
  <c r="A4198" i="1"/>
  <c r="B4198" i="1"/>
  <c r="C4198" i="1"/>
  <c r="D4198" i="1"/>
  <c r="A4199" i="1"/>
  <c r="B4199" i="1"/>
  <c r="C4199" i="1"/>
  <c r="D4199" i="1"/>
  <c r="A4200" i="1"/>
  <c r="B4200" i="1"/>
  <c r="C4200" i="1"/>
  <c r="D4200" i="1"/>
  <c r="A4201" i="1"/>
  <c r="B4201" i="1"/>
  <c r="C4201" i="1"/>
  <c r="D4201" i="1"/>
  <c r="A4202" i="1"/>
  <c r="B4202" i="1"/>
  <c r="C4202" i="1"/>
  <c r="D4202" i="1"/>
  <c r="A4203" i="1"/>
  <c r="B4203" i="1"/>
  <c r="C4203" i="1"/>
  <c r="D4203" i="1"/>
  <c r="A4204" i="1"/>
  <c r="B4204" i="1"/>
  <c r="C4204" i="1"/>
  <c r="D4204" i="1"/>
  <c r="A4205" i="1"/>
  <c r="B4205" i="1"/>
  <c r="C4205" i="1"/>
  <c r="D4205" i="1"/>
  <c r="A4206" i="1"/>
  <c r="B4206" i="1"/>
  <c r="C4206" i="1"/>
  <c r="D4206" i="1"/>
  <c r="A4207" i="1"/>
  <c r="B4207" i="1"/>
  <c r="C4207" i="1"/>
  <c r="D4207" i="1"/>
  <c r="A4208" i="1"/>
  <c r="B4208" i="1"/>
  <c r="C4208" i="1"/>
  <c r="D4208" i="1"/>
  <c r="A4209" i="1"/>
  <c r="B4209" i="1"/>
  <c r="C4209" i="1"/>
  <c r="D4209" i="1"/>
  <c r="A4210" i="1"/>
  <c r="B4210" i="1"/>
  <c r="C4210" i="1"/>
  <c r="D4210" i="1"/>
  <c r="A4211" i="1"/>
  <c r="B4211" i="1"/>
  <c r="C4211" i="1"/>
  <c r="D4211" i="1"/>
  <c r="A4212" i="1"/>
  <c r="B4212" i="1"/>
  <c r="C4212" i="1"/>
  <c r="D4212" i="1"/>
  <c r="A4213" i="1"/>
  <c r="B4213" i="1"/>
  <c r="C4213" i="1"/>
  <c r="D4213" i="1"/>
  <c r="A4214" i="1"/>
  <c r="B4214" i="1"/>
  <c r="C4214" i="1"/>
  <c r="D4214" i="1"/>
  <c r="A4215" i="1"/>
  <c r="B4215" i="1"/>
  <c r="C4215" i="1"/>
  <c r="D4215" i="1"/>
  <c r="A4216" i="1"/>
  <c r="B4216" i="1"/>
  <c r="C4216" i="1"/>
  <c r="D4216" i="1"/>
  <c r="A4217" i="1"/>
  <c r="B4217" i="1"/>
  <c r="C4217" i="1"/>
  <c r="D4217" i="1"/>
  <c r="A4218" i="1"/>
  <c r="B4218" i="1"/>
  <c r="C4218" i="1"/>
  <c r="D4218" i="1"/>
  <c r="A4219" i="1"/>
  <c r="B4219" i="1"/>
  <c r="C4219" i="1"/>
  <c r="D4219" i="1"/>
  <c r="A4220" i="1"/>
  <c r="B4220" i="1"/>
  <c r="C4220" i="1"/>
  <c r="D4220" i="1"/>
  <c r="A4221" i="1"/>
  <c r="B4221" i="1"/>
  <c r="C4221" i="1"/>
  <c r="D4221" i="1"/>
  <c r="A4222" i="1"/>
  <c r="B4222" i="1"/>
  <c r="C4222" i="1"/>
  <c r="D4222" i="1"/>
  <c r="A4223" i="1"/>
  <c r="B4223" i="1"/>
  <c r="C4223" i="1"/>
  <c r="D4223" i="1"/>
  <c r="A4224" i="1"/>
  <c r="B4224" i="1"/>
  <c r="C4224" i="1"/>
  <c r="D4224" i="1"/>
  <c r="A4225" i="1"/>
  <c r="B4225" i="1"/>
  <c r="C4225" i="1"/>
  <c r="D4225" i="1"/>
  <c r="A4226" i="1"/>
  <c r="B4226" i="1"/>
  <c r="C4226" i="1"/>
  <c r="D4226" i="1"/>
  <c r="A4227" i="1"/>
  <c r="B4227" i="1"/>
  <c r="C4227" i="1"/>
  <c r="D4227" i="1"/>
  <c r="A4228" i="1"/>
  <c r="B4228" i="1"/>
  <c r="C4228" i="1"/>
  <c r="D4228" i="1"/>
  <c r="A4229" i="1"/>
  <c r="B4229" i="1"/>
  <c r="C4229" i="1"/>
  <c r="D4229" i="1"/>
  <c r="A4230" i="1"/>
  <c r="B4230" i="1"/>
  <c r="C4230" i="1"/>
  <c r="D4230" i="1"/>
  <c r="A4231" i="1"/>
  <c r="B4231" i="1"/>
  <c r="C4231" i="1"/>
  <c r="D4231" i="1"/>
  <c r="A4232" i="1"/>
  <c r="B4232" i="1"/>
  <c r="C4232" i="1"/>
  <c r="D4232" i="1"/>
  <c r="A4233" i="1"/>
  <c r="B4233" i="1"/>
  <c r="C4233" i="1"/>
  <c r="D4233" i="1"/>
  <c r="A4234" i="1"/>
  <c r="B4234" i="1"/>
  <c r="C4234" i="1"/>
  <c r="D4234" i="1"/>
  <c r="A4235" i="1"/>
  <c r="B4235" i="1"/>
  <c r="C4235" i="1"/>
  <c r="D4235" i="1"/>
  <c r="A4236" i="1"/>
  <c r="B4236" i="1"/>
  <c r="C4236" i="1"/>
  <c r="D4236" i="1"/>
  <c r="A4237" i="1"/>
  <c r="B4237" i="1"/>
  <c r="C4237" i="1"/>
  <c r="D4237" i="1"/>
  <c r="A4238" i="1"/>
  <c r="B4238" i="1"/>
  <c r="C4238" i="1"/>
  <c r="D4238" i="1"/>
  <c r="A4239" i="1"/>
  <c r="B4239" i="1"/>
  <c r="C4239" i="1"/>
  <c r="D4239" i="1"/>
  <c r="A4240" i="1"/>
  <c r="B4240" i="1"/>
  <c r="C4240" i="1"/>
  <c r="D4240" i="1"/>
  <c r="A4241" i="1"/>
  <c r="B4241" i="1"/>
  <c r="C4241" i="1"/>
  <c r="D4241" i="1"/>
  <c r="A4242" i="1"/>
  <c r="B4242" i="1"/>
  <c r="C4242" i="1"/>
  <c r="D4242" i="1"/>
  <c r="A4243" i="1"/>
  <c r="B4243" i="1"/>
  <c r="C4243" i="1"/>
  <c r="D4243" i="1"/>
  <c r="A4244" i="1"/>
  <c r="B4244" i="1"/>
  <c r="C4244" i="1"/>
  <c r="D4244" i="1"/>
  <c r="A4245" i="1"/>
  <c r="B4245" i="1"/>
  <c r="C4245" i="1"/>
  <c r="D4245" i="1"/>
  <c r="A4246" i="1"/>
  <c r="B4246" i="1"/>
  <c r="C4246" i="1"/>
  <c r="D4246" i="1"/>
  <c r="A4247" i="1"/>
  <c r="B4247" i="1"/>
  <c r="C4247" i="1"/>
  <c r="D4247" i="1"/>
  <c r="A4248" i="1"/>
  <c r="B4248" i="1"/>
  <c r="C4248" i="1"/>
  <c r="D4248" i="1"/>
  <c r="A4249" i="1"/>
  <c r="B4249" i="1"/>
  <c r="C4249" i="1"/>
  <c r="D4249" i="1"/>
  <c r="A4250" i="1"/>
  <c r="B4250" i="1"/>
  <c r="C4250" i="1"/>
  <c r="D4250" i="1"/>
  <c r="A4251" i="1"/>
  <c r="B4251" i="1"/>
  <c r="C4251" i="1"/>
  <c r="D4251" i="1"/>
  <c r="A4252" i="1"/>
  <c r="B4252" i="1"/>
  <c r="C4252" i="1"/>
  <c r="D4252" i="1"/>
  <c r="A4253" i="1"/>
  <c r="B4253" i="1"/>
  <c r="C4253" i="1"/>
  <c r="D4253" i="1"/>
  <c r="A4254" i="1"/>
  <c r="B4254" i="1"/>
  <c r="C4254" i="1"/>
  <c r="D4254" i="1"/>
  <c r="A4255" i="1"/>
  <c r="B4255" i="1"/>
  <c r="C4255" i="1"/>
  <c r="D4255" i="1"/>
  <c r="A4256" i="1"/>
  <c r="B4256" i="1"/>
  <c r="C4256" i="1"/>
  <c r="D4256" i="1"/>
  <c r="A4257" i="1"/>
  <c r="B4257" i="1"/>
  <c r="C4257" i="1"/>
  <c r="D4257" i="1"/>
  <c r="A4258" i="1"/>
  <c r="B4258" i="1"/>
  <c r="C4258" i="1"/>
  <c r="D4258" i="1"/>
  <c r="A4259" i="1"/>
  <c r="B4259" i="1"/>
  <c r="C4259" i="1"/>
  <c r="D4259" i="1"/>
  <c r="A4260" i="1"/>
  <c r="B4260" i="1"/>
  <c r="C4260" i="1"/>
  <c r="D4260" i="1"/>
  <c r="A4261" i="1"/>
  <c r="B4261" i="1"/>
  <c r="C4261" i="1"/>
  <c r="D4261" i="1"/>
  <c r="A4262" i="1"/>
  <c r="B4262" i="1"/>
  <c r="C4262" i="1"/>
  <c r="D4262" i="1"/>
  <c r="A4263" i="1"/>
  <c r="B4263" i="1"/>
  <c r="C4263" i="1"/>
  <c r="D4263" i="1"/>
  <c r="A4264" i="1"/>
  <c r="B4264" i="1"/>
  <c r="C4264" i="1"/>
  <c r="D4264" i="1"/>
  <c r="A4265" i="1"/>
  <c r="B4265" i="1"/>
  <c r="C4265" i="1"/>
  <c r="D4265" i="1"/>
  <c r="A4266" i="1"/>
  <c r="B4266" i="1"/>
  <c r="C4266" i="1"/>
  <c r="D4266" i="1"/>
  <c r="A4267" i="1"/>
  <c r="B4267" i="1"/>
  <c r="C4267" i="1"/>
  <c r="D4267" i="1"/>
  <c r="A4268" i="1"/>
  <c r="B4268" i="1"/>
  <c r="C4268" i="1"/>
  <c r="D4268" i="1"/>
  <c r="A4269" i="1"/>
  <c r="B4269" i="1"/>
  <c r="C4269" i="1"/>
  <c r="D4269" i="1"/>
  <c r="A4270" i="1"/>
  <c r="B4270" i="1"/>
  <c r="C4270" i="1"/>
  <c r="D4270" i="1"/>
  <c r="A4271" i="1"/>
  <c r="B4271" i="1"/>
  <c r="C4271" i="1"/>
  <c r="D4271" i="1"/>
  <c r="A4272" i="1"/>
  <c r="B4272" i="1"/>
  <c r="C4272" i="1"/>
  <c r="D4272" i="1"/>
  <c r="A4273" i="1"/>
  <c r="B4273" i="1"/>
  <c r="C4273" i="1"/>
  <c r="D4273" i="1"/>
  <c r="A4274" i="1"/>
  <c r="B4274" i="1"/>
  <c r="C4274" i="1"/>
  <c r="D4274" i="1"/>
  <c r="A4275" i="1"/>
  <c r="B4275" i="1"/>
  <c r="C4275" i="1"/>
  <c r="D4275" i="1"/>
  <c r="A4276" i="1"/>
  <c r="B4276" i="1"/>
  <c r="C4276" i="1"/>
  <c r="D4276" i="1"/>
  <c r="A4277" i="1"/>
  <c r="B4277" i="1"/>
  <c r="C4277" i="1"/>
  <c r="D4277" i="1"/>
  <c r="A4278" i="1"/>
  <c r="B4278" i="1"/>
  <c r="C4278" i="1"/>
  <c r="D4278" i="1"/>
  <c r="A4279" i="1"/>
  <c r="B4279" i="1"/>
  <c r="C4279" i="1"/>
  <c r="D4279" i="1"/>
  <c r="A4280" i="1"/>
  <c r="B4280" i="1"/>
  <c r="C4280" i="1"/>
  <c r="D4280" i="1"/>
  <c r="A4281" i="1"/>
  <c r="B4281" i="1"/>
  <c r="C4281" i="1"/>
  <c r="D4281" i="1"/>
  <c r="A4282" i="1"/>
  <c r="B4282" i="1"/>
  <c r="C4282" i="1"/>
  <c r="D4282" i="1"/>
  <c r="A4283" i="1"/>
  <c r="B4283" i="1"/>
  <c r="C4283" i="1"/>
  <c r="D4283" i="1"/>
  <c r="A4284" i="1"/>
  <c r="B4284" i="1"/>
  <c r="C4284" i="1"/>
  <c r="D4284" i="1"/>
  <c r="A4285" i="1"/>
  <c r="B4285" i="1"/>
  <c r="C4285" i="1"/>
  <c r="D4285" i="1"/>
  <c r="A4286" i="1"/>
  <c r="B4286" i="1"/>
  <c r="C4286" i="1"/>
  <c r="D4286" i="1"/>
  <c r="A4287" i="1"/>
  <c r="B4287" i="1"/>
  <c r="C4287" i="1"/>
  <c r="D4287" i="1"/>
  <c r="A4288" i="1"/>
  <c r="B4288" i="1"/>
  <c r="C4288" i="1"/>
  <c r="D4288" i="1"/>
  <c r="A4289" i="1"/>
  <c r="B4289" i="1"/>
  <c r="C4289" i="1"/>
  <c r="D4289" i="1"/>
  <c r="A4290" i="1"/>
  <c r="B4290" i="1"/>
  <c r="C4290" i="1"/>
  <c r="D4290" i="1"/>
  <c r="A4291" i="1"/>
  <c r="B4291" i="1"/>
  <c r="C4291" i="1"/>
  <c r="D4291" i="1"/>
  <c r="A4292" i="1"/>
  <c r="B4292" i="1"/>
  <c r="C4292" i="1"/>
  <c r="D4292" i="1"/>
  <c r="A4293" i="1"/>
  <c r="B4293" i="1"/>
  <c r="C4293" i="1"/>
  <c r="D4293" i="1"/>
  <c r="A4294" i="1"/>
  <c r="B4294" i="1"/>
  <c r="C4294" i="1"/>
  <c r="D4294" i="1"/>
  <c r="A4295" i="1"/>
  <c r="B4295" i="1"/>
  <c r="C4295" i="1"/>
  <c r="D4295" i="1"/>
  <c r="A4296" i="1"/>
  <c r="B4296" i="1"/>
  <c r="C4296" i="1"/>
  <c r="D4296" i="1"/>
  <c r="A4297" i="1"/>
  <c r="B4297" i="1"/>
  <c r="C4297" i="1"/>
  <c r="D4297" i="1"/>
  <c r="A4298" i="1"/>
  <c r="B4298" i="1"/>
  <c r="C4298" i="1"/>
  <c r="D4298" i="1"/>
  <c r="A4299" i="1"/>
  <c r="B4299" i="1"/>
  <c r="C4299" i="1"/>
  <c r="D4299" i="1"/>
  <c r="A4300" i="1"/>
  <c r="B4300" i="1"/>
  <c r="C4300" i="1"/>
  <c r="D4300" i="1"/>
  <c r="A4301" i="1"/>
  <c r="B4301" i="1"/>
  <c r="C4301" i="1"/>
  <c r="D4301" i="1"/>
  <c r="A4302" i="1"/>
  <c r="B4302" i="1"/>
  <c r="C4302" i="1"/>
  <c r="D4302" i="1"/>
  <c r="A4303" i="1"/>
  <c r="B4303" i="1"/>
  <c r="C4303" i="1"/>
  <c r="D4303" i="1"/>
  <c r="A4304" i="1"/>
  <c r="B4304" i="1"/>
  <c r="C4304" i="1"/>
  <c r="D4304" i="1"/>
  <c r="A4305" i="1"/>
  <c r="B4305" i="1"/>
  <c r="C4305" i="1"/>
  <c r="D4305" i="1"/>
  <c r="A4306" i="1"/>
  <c r="B4306" i="1"/>
  <c r="C4306" i="1"/>
  <c r="D4306" i="1"/>
  <c r="A4307" i="1"/>
  <c r="B4307" i="1"/>
  <c r="C4307" i="1"/>
  <c r="D4307" i="1"/>
  <c r="A4308" i="1"/>
  <c r="B4308" i="1"/>
  <c r="C4308" i="1"/>
  <c r="D4308" i="1"/>
  <c r="A4309" i="1"/>
  <c r="B4309" i="1"/>
  <c r="C4309" i="1"/>
  <c r="D4309" i="1"/>
  <c r="A4310" i="1"/>
  <c r="B4310" i="1"/>
  <c r="C4310" i="1"/>
  <c r="D4310" i="1"/>
  <c r="A4311" i="1"/>
  <c r="B4311" i="1"/>
  <c r="C4311" i="1"/>
  <c r="D4311" i="1"/>
  <c r="A4312" i="1"/>
  <c r="B4312" i="1"/>
  <c r="C4312" i="1"/>
  <c r="D4312" i="1"/>
  <c r="A4313" i="1"/>
  <c r="B4313" i="1"/>
  <c r="C4313" i="1"/>
  <c r="D4313" i="1"/>
  <c r="A4314" i="1"/>
  <c r="B4314" i="1"/>
  <c r="C4314" i="1"/>
  <c r="D4314" i="1"/>
  <c r="A4315" i="1"/>
  <c r="B4315" i="1"/>
  <c r="C4315" i="1"/>
  <c r="D4315" i="1"/>
  <c r="A4316" i="1"/>
  <c r="B4316" i="1"/>
  <c r="C4316" i="1"/>
  <c r="D4316" i="1"/>
  <c r="A4317" i="1"/>
  <c r="B4317" i="1"/>
  <c r="C4317" i="1"/>
  <c r="D4317" i="1"/>
  <c r="A4318" i="1"/>
  <c r="B4318" i="1"/>
  <c r="C4318" i="1"/>
  <c r="D4318" i="1"/>
  <c r="A4319" i="1"/>
  <c r="B4319" i="1"/>
  <c r="C4319" i="1"/>
  <c r="D4319" i="1"/>
  <c r="A4320" i="1"/>
  <c r="B4320" i="1"/>
  <c r="C4320" i="1"/>
  <c r="D4320" i="1"/>
  <c r="A4321" i="1"/>
  <c r="B4321" i="1"/>
  <c r="C4321" i="1"/>
  <c r="D4321" i="1"/>
  <c r="A4322" i="1"/>
  <c r="B4322" i="1"/>
  <c r="C4322" i="1"/>
  <c r="D4322" i="1"/>
  <c r="A4323" i="1"/>
  <c r="B4323" i="1"/>
  <c r="C4323" i="1"/>
  <c r="D4323" i="1"/>
  <c r="A4324" i="1"/>
  <c r="B4324" i="1"/>
  <c r="C4324" i="1"/>
  <c r="D4324" i="1"/>
  <c r="A4325" i="1"/>
  <c r="B4325" i="1"/>
  <c r="C4325" i="1"/>
  <c r="D4325" i="1"/>
  <c r="A4326" i="1"/>
  <c r="B4326" i="1"/>
  <c r="C4326" i="1"/>
  <c r="D4326" i="1"/>
  <c r="A4327" i="1"/>
  <c r="B4327" i="1"/>
  <c r="C4327" i="1"/>
  <c r="D4327" i="1"/>
  <c r="A4328" i="1"/>
  <c r="B4328" i="1"/>
  <c r="C4328" i="1"/>
  <c r="D4328" i="1"/>
  <c r="A4329" i="1"/>
  <c r="B4329" i="1"/>
  <c r="C4329" i="1"/>
  <c r="D4329" i="1"/>
  <c r="A4330" i="1"/>
  <c r="B4330" i="1"/>
  <c r="C4330" i="1"/>
  <c r="D4330" i="1"/>
  <c r="A4331" i="1"/>
  <c r="B4331" i="1"/>
  <c r="C4331" i="1"/>
  <c r="D4331" i="1"/>
  <c r="A4332" i="1"/>
  <c r="B4332" i="1"/>
  <c r="C4332" i="1"/>
  <c r="D4332" i="1"/>
  <c r="A4333" i="1"/>
  <c r="B4333" i="1"/>
  <c r="C4333" i="1"/>
  <c r="D4333" i="1"/>
  <c r="A4334" i="1"/>
  <c r="B4334" i="1"/>
  <c r="C4334" i="1"/>
  <c r="D4334" i="1"/>
  <c r="A4335" i="1"/>
  <c r="B4335" i="1"/>
  <c r="C4335" i="1"/>
  <c r="D4335" i="1"/>
  <c r="A4336" i="1"/>
  <c r="B4336" i="1"/>
  <c r="C4336" i="1"/>
  <c r="D4336" i="1"/>
  <c r="A4337" i="1"/>
  <c r="B4337" i="1"/>
  <c r="C4337" i="1"/>
  <c r="D4337" i="1"/>
  <c r="A4338" i="1"/>
  <c r="B4338" i="1"/>
  <c r="C4338" i="1"/>
  <c r="D4338" i="1"/>
  <c r="A4339" i="1"/>
  <c r="B4339" i="1"/>
  <c r="C4339" i="1"/>
  <c r="D4339" i="1"/>
  <c r="A4340" i="1"/>
  <c r="B4340" i="1"/>
  <c r="C4340" i="1"/>
  <c r="D4340" i="1"/>
  <c r="A4341" i="1"/>
  <c r="B4341" i="1"/>
  <c r="C4341" i="1"/>
  <c r="D4341" i="1"/>
  <c r="A4342" i="1"/>
  <c r="B4342" i="1"/>
  <c r="C4342" i="1"/>
  <c r="D4342" i="1"/>
  <c r="A4343" i="1"/>
  <c r="B4343" i="1"/>
  <c r="C4343" i="1"/>
  <c r="D4343" i="1"/>
  <c r="A4344" i="1"/>
  <c r="B4344" i="1"/>
  <c r="C4344" i="1"/>
  <c r="D4344" i="1"/>
  <c r="A4345" i="1"/>
  <c r="B4345" i="1"/>
  <c r="C4345" i="1"/>
  <c r="D4345" i="1"/>
  <c r="A4346" i="1"/>
  <c r="B4346" i="1"/>
  <c r="C4346" i="1"/>
  <c r="D4346" i="1"/>
  <c r="A4347" i="1"/>
  <c r="B4347" i="1"/>
  <c r="C4347" i="1"/>
  <c r="D4347" i="1"/>
  <c r="A4348" i="1"/>
  <c r="B4348" i="1"/>
  <c r="C4348" i="1"/>
  <c r="D4348" i="1"/>
  <c r="A4349" i="1"/>
  <c r="B4349" i="1"/>
  <c r="C4349" i="1"/>
  <c r="D4349" i="1"/>
  <c r="A4350" i="1"/>
  <c r="B4350" i="1"/>
  <c r="C4350" i="1"/>
  <c r="D4350" i="1"/>
  <c r="A4351" i="1"/>
  <c r="B4351" i="1"/>
  <c r="C4351" i="1"/>
  <c r="D4351" i="1"/>
  <c r="A4352" i="1"/>
  <c r="B4352" i="1"/>
  <c r="C4352" i="1"/>
  <c r="D4352" i="1"/>
  <c r="A4353" i="1"/>
  <c r="B4353" i="1"/>
  <c r="C4353" i="1"/>
  <c r="D4353" i="1"/>
  <c r="A4354" i="1"/>
  <c r="B4354" i="1"/>
  <c r="C4354" i="1"/>
  <c r="D4354" i="1"/>
  <c r="A4355" i="1"/>
  <c r="B4355" i="1"/>
  <c r="C4355" i="1"/>
  <c r="D4355" i="1"/>
  <c r="A4356" i="1"/>
  <c r="B4356" i="1"/>
  <c r="C4356" i="1"/>
  <c r="D4356" i="1"/>
  <c r="A4357" i="1"/>
  <c r="B4357" i="1"/>
  <c r="C4357" i="1"/>
  <c r="D4357" i="1"/>
  <c r="A4358" i="1"/>
  <c r="B4358" i="1"/>
  <c r="C4358" i="1"/>
  <c r="D4358" i="1"/>
  <c r="A4359" i="1"/>
  <c r="B4359" i="1"/>
  <c r="C4359" i="1"/>
  <c r="D4359" i="1"/>
  <c r="A4360" i="1"/>
  <c r="B4360" i="1"/>
  <c r="C4360" i="1"/>
  <c r="D4360" i="1"/>
  <c r="A4361" i="1"/>
  <c r="B4361" i="1"/>
  <c r="C4361" i="1"/>
  <c r="D4361" i="1"/>
  <c r="A4362" i="1"/>
  <c r="B4362" i="1"/>
  <c r="C4362" i="1"/>
  <c r="D4362" i="1"/>
  <c r="A4363" i="1"/>
  <c r="B4363" i="1"/>
  <c r="C4363" i="1"/>
  <c r="D4363" i="1"/>
  <c r="A4364" i="1"/>
  <c r="B4364" i="1"/>
  <c r="C4364" i="1"/>
  <c r="D4364" i="1"/>
  <c r="A4365" i="1"/>
  <c r="B4365" i="1"/>
  <c r="C4365" i="1"/>
  <c r="D4365" i="1"/>
  <c r="A4366" i="1"/>
  <c r="B4366" i="1"/>
  <c r="C4366" i="1"/>
  <c r="D4366" i="1"/>
  <c r="A4367" i="1"/>
  <c r="B4367" i="1"/>
  <c r="C4367" i="1"/>
  <c r="D4367" i="1"/>
  <c r="A4368" i="1"/>
  <c r="B4368" i="1"/>
  <c r="C4368" i="1"/>
  <c r="D4368" i="1"/>
  <c r="A4369" i="1"/>
  <c r="B4369" i="1"/>
  <c r="C4369" i="1"/>
  <c r="D4369" i="1"/>
  <c r="A4370" i="1"/>
  <c r="B4370" i="1"/>
  <c r="C4370" i="1"/>
  <c r="D4370" i="1"/>
  <c r="A4371" i="1"/>
  <c r="B4371" i="1"/>
  <c r="C4371" i="1"/>
  <c r="D4371" i="1"/>
  <c r="A4372" i="1"/>
  <c r="B4372" i="1"/>
  <c r="C4372" i="1"/>
  <c r="D4372" i="1"/>
  <c r="A4373" i="1"/>
  <c r="B4373" i="1"/>
  <c r="C4373" i="1"/>
  <c r="D4373" i="1"/>
  <c r="A4374" i="1"/>
  <c r="B4374" i="1"/>
  <c r="C4374" i="1"/>
  <c r="D4374" i="1"/>
  <c r="A4375" i="1"/>
  <c r="B4375" i="1"/>
  <c r="C4375" i="1"/>
  <c r="D4375" i="1"/>
  <c r="A4376" i="1"/>
  <c r="B4376" i="1"/>
  <c r="C4376" i="1"/>
  <c r="D4376" i="1"/>
  <c r="A4377" i="1"/>
  <c r="B4377" i="1"/>
  <c r="C4377" i="1"/>
  <c r="D4377" i="1"/>
  <c r="A4378" i="1"/>
  <c r="B4378" i="1"/>
  <c r="C4378" i="1"/>
  <c r="D4378" i="1"/>
  <c r="A4379" i="1"/>
  <c r="B4379" i="1"/>
  <c r="C4379" i="1"/>
  <c r="D4379" i="1"/>
  <c r="A4380" i="1"/>
  <c r="B4380" i="1"/>
  <c r="C4380" i="1"/>
  <c r="D4380" i="1"/>
  <c r="A4381" i="1"/>
  <c r="B4381" i="1"/>
  <c r="C4381" i="1"/>
  <c r="D4381" i="1"/>
  <c r="A4382" i="1"/>
  <c r="B4382" i="1"/>
  <c r="C4382" i="1"/>
  <c r="D4382" i="1"/>
  <c r="A4383" i="1"/>
  <c r="B4383" i="1"/>
  <c r="C4383" i="1"/>
  <c r="D4383" i="1"/>
  <c r="A4384" i="1"/>
  <c r="B4384" i="1"/>
  <c r="C4384" i="1"/>
  <c r="D4384" i="1"/>
  <c r="A4385" i="1"/>
  <c r="B4385" i="1"/>
  <c r="C4385" i="1"/>
  <c r="D4385" i="1"/>
  <c r="A4386" i="1"/>
  <c r="B4386" i="1"/>
  <c r="C4386" i="1"/>
  <c r="D4386" i="1"/>
  <c r="A4387" i="1"/>
  <c r="B4387" i="1"/>
  <c r="C4387" i="1"/>
  <c r="D4387" i="1"/>
  <c r="A4388" i="1"/>
  <c r="B4388" i="1"/>
  <c r="C4388" i="1"/>
  <c r="D4388" i="1"/>
  <c r="A4389" i="1"/>
  <c r="B4389" i="1"/>
  <c r="C4389" i="1"/>
  <c r="D4389" i="1"/>
  <c r="A4390" i="1"/>
  <c r="B4390" i="1"/>
  <c r="C4390" i="1"/>
  <c r="D4390" i="1"/>
  <c r="A4391" i="1"/>
  <c r="B4391" i="1"/>
  <c r="C4391" i="1"/>
  <c r="D4391" i="1"/>
  <c r="A4392" i="1"/>
  <c r="B4392" i="1"/>
  <c r="C4392" i="1"/>
  <c r="D4392" i="1"/>
  <c r="A4393" i="1"/>
  <c r="B4393" i="1"/>
  <c r="C4393" i="1"/>
  <c r="D4393" i="1"/>
  <c r="A4394" i="1"/>
  <c r="B4394" i="1"/>
  <c r="C4394" i="1"/>
  <c r="D4394" i="1"/>
  <c r="A4395" i="1"/>
  <c r="B4395" i="1"/>
  <c r="C4395" i="1"/>
  <c r="D4395" i="1"/>
  <c r="A4396" i="1"/>
  <c r="B4396" i="1"/>
  <c r="C4396" i="1"/>
  <c r="D4396" i="1"/>
  <c r="A4397" i="1"/>
  <c r="B4397" i="1"/>
  <c r="C4397" i="1"/>
  <c r="D4397" i="1"/>
  <c r="A4398" i="1"/>
  <c r="B4398" i="1"/>
  <c r="C4398" i="1"/>
  <c r="D4398" i="1"/>
  <c r="A4399" i="1"/>
  <c r="B4399" i="1"/>
  <c r="C4399" i="1"/>
  <c r="D4399" i="1"/>
  <c r="A4400" i="1"/>
  <c r="B4400" i="1"/>
  <c r="C4400" i="1"/>
  <c r="D4400" i="1"/>
  <c r="A4401" i="1"/>
  <c r="B4401" i="1"/>
  <c r="C4401" i="1"/>
  <c r="D4401" i="1"/>
  <c r="A4402" i="1"/>
  <c r="B4402" i="1"/>
  <c r="C4402" i="1"/>
  <c r="D4402" i="1"/>
  <c r="A4403" i="1"/>
  <c r="B4403" i="1"/>
  <c r="C4403" i="1"/>
  <c r="D4403" i="1"/>
  <c r="A4404" i="1"/>
  <c r="B4404" i="1"/>
  <c r="C4404" i="1"/>
  <c r="D4404" i="1"/>
  <c r="A4405" i="1"/>
  <c r="B4405" i="1"/>
  <c r="C4405" i="1"/>
  <c r="D4405" i="1"/>
  <c r="A4406" i="1"/>
  <c r="B4406" i="1"/>
  <c r="C4406" i="1"/>
  <c r="D4406" i="1"/>
  <c r="A4407" i="1"/>
  <c r="B4407" i="1"/>
  <c r="C4407" i="1"/>
  <c r="D4407" i="1"/>
  <c r="A4408" i="1"/>
  <c r="B4408" i="1"/>
  <c r="C4408" i="1"/>
  <c r="D4408" i="1"/>
  <c r="A4409" i="1"/>
  <c r="B4409" i="1"/>
  <c r="C4409" i="1"/>
  <c r="D4409" i="1"/>
  <c r="A4410" i="1"/>
  <c r="B4410" i="1"/>
  <c r="C4410" i="1"/>
  <c r="D4410" i="1"/>
  <c r="A4411" i="1"/>
  <c r="B4411" i="1"/>
  <c r="C4411" i="1"/>
  <c r="D4411" i="1"/>
  <c r="A4412" i="1"/>
  <c r="B4412" i="1"/>
  <c r="C4412" i="1"/>
  <c r="D4412" i="1"/>
  <c r="A4413" i="1"/>
  <c r="B4413" i="1"/>
  <c r="C4413" i="1"/>
  <c r="D4413" i="1"/>
  <c r="A4414" i="1"/>
  <c r="B4414" i="1"/>
  <c r="C4414" i="1"/>
  <c r="D4414" i="1"/>
  <c r="A4415" i="1"/>
  <c r="B4415" i="1"/>
  <c r="C4415" i="1"/>
  <c r="D4415" i="1"/>
  <c r="A4416" i="1"/>
  <c r="B4416" i="1"/>
  <c r="C4416" i="1"/>
  <c r="D4416" i="1"/>
  <c r="A4417" i="1"/>
  <c r="B4417" i="1"/>
  <c r="C4417" i="1"/>
  <c r="D4417" i="1"/>
  <c r="A4418" i="1"/>
  <c r="B4418" i="1"/>
  <c r="C4418" i="1"/>
  <c r="D4418" i="1"/>
  <c r="A4419" i="1"/>
  <c r="B4419" i="1"/>
  <c r="C4419" i="1"/>
  <c r="D4419" i="1"/>
  <c r="A4420" i="1"/>
  <c r="B4420" i="1"/>
  <c r="C4420" i="1"/>
  <c r="D4420" i="1"/>
  <c r="A4421" i="1"/>
  <c r="B4421" i="1"/>
  <c r="C4421" i="1"/>
  <c r="D4421" i="1"/>
  <c r="A4422" i="1"/>
  <c r="B4422" i="1"/>
  <c r="C4422" i="1"/>
  <c r="D4422" i="1"/>
  <c r="A4423" i="1"/>
  <c r="B4423" i="1"/>
  <c r="C4423" i="1"/>
  <c r="D4423" i="1"/>
  <c r="A4424" i="1"/>
  <c r="B4424" i="1"/>
  <c r="C4424" i="1"/>
  <c r="D4424" i="1"/>
  <c r="A4425" i="1"/>
  <c r="B4425" i="1"/>
  <c r="C4425" i="1"/>
  <c r="D4425" i="1"/>
  <c r="A4426" i="1"/>
  <c r="B4426" i="1"/>
  <c r="C4426" i="1"/>
  <c r="D4426" i="1"/>
  <c r="A4427" i="1"/>
  <c r="B4427" i="1"/>
  <c r="C4427" i="1"/>
  <c r="D4427" i="1"/>
  <c r="A4428" i="1"/>
  <c r="B4428" i="1"/>
  <c r="C4428" i="1"/>
  <c r="D4428" i="1"/>
  <c r="A4429" i="1"/>
  <c r="B4429" i="1"/>
  <c r="C4429" i="1"/>
  <c r="D4429" i="1"/>
  <c r="A4430" i="1"/>
  <c r="B4430" i="1"/>
  <c r="C4430" i="1"/>
  <c r="D4430" i="1"/>
  <c r="A4431" i="1"/>
  <c r="B4431" i="1"/>
  <c r="C4431" i="1"/>
  <c r="D4431" i="1"/>
  <c r="A4432" i="1"/>
  <c r="B4432" i="1"/>
  <c r="C4432" i="1"/>
  <c r="D4432" i="1"/>
  <c r="A4433" i="1"/>
  <c r="B4433" i="1"/>
  <c r="C4433" i="1"/>
  <c r="D4433" i="1"/>
  <c r="A4434" i="1"/>
  <c r="B4434" i="1"/>
  <c r="C4434" i="1"/>
  <c r="D4434" i="1"/>
  <c r="A4435" i="1"/>
  <c r="B4435" i="1"/>
  <c r="C4435" i="1"/>
  <c r="D4435" i="1"/>
  <c r="A4436" i="1"/>
  <c r="B4436" i="1"/>
  <c r="C4436" i="1"/>
  <c r="D4436" i="1"/>
  <c r="A4437" i="1"/>
  <c r="B4437" i="1"/>
  <c r="C4437" i="1"/>
  <c r="D4437" i="1"/>
  <c r="A4438" i="1"/>
  <c r="B4438" i="1"/>
  <c r="C4438" i="1"/>
  <c r="D4438" i="1"/>
  <c r="A4439" i="1"/>
  <c r="B4439" i="1"/>
  <c r="C4439" i="1"/>
  <c r="D4439" i="1"/>
  <c r="A4440" i="1"/>
  <c r="B4440" i="1"/>
  <c r="C4440" i="1"/>
  <c r="D4440" i="1"/>
  <c r="A4441" i="1"/>
  <c r="B4441" i="1"/>
  <c r="C4441" i="1"/>
  <c r="D4441" i="1"/>
  <c r="A4442" i="1"/>
  <c r="B4442" i="1"/>
  <c r="C4442" i="1"/>
  <c r="D4442" i="1"/>
  <c r="A4443" i="1"/>
  <c r="B4443" i="1"/>
  <c r="C4443" i="1"/>
  <c r="D4443" i="1"/>
  <c r="A4444" i="1"/>
  <c r="B4444" i="1"/>
  <c r="C4444" i="1"/>
  <c r="D4444" i="1"/>
  <c r="A4445" i="1"/>
  <c r="B4445" i="1"/>
  <c r="C4445" i="1"/>
  <c r="D4445" i="1"/>
  <c r="A4446" i="1"/>
  <c r="B4446" i="1"/>
  <c r="C4446" i="1"/>
  <c r="D4446" i="1"/>
  <c r="A4447" i="1"/>
  <c r="B4447" i="1"/>
  <c r="C4447" i="1"/>
  <c r="D4447" i="1"/>
  <c r="A4448" i="1"/>
  <c r="B4448" i="1"/>
  <c r="C4448" i="1"/>
  <c r="D4448" i="1"/>
  <c r="A4449" i="1"/>
  <c r="B4449" i="1"/>
  <c r="C4449" i="1"/>
  <c r="D4449" i="1"/>
  <c r="A4450" i="1"/>
  <c r="B4450" i="1"/>
  <c r="C4450" i="1"/>
  <c r="D4450" i="1"/>
  <c r="A4451" i="1"/>
  <c r="B4451" i="1"/>
  <c r="C4451" i="1"/>
  <c r="D4451" i="1"/>
  <c r="A4452" i="1"/>
  <c r="B4452" i="1"/>
  <c r="C4452" i="1"/>
  <c r="D4452" i="1"/>
  <c r="A4453" i="1"/>
  <c r="B4453" i="1"/>
  <c r="C4453" i="1"/>
  <c r="D4453" i="1"/>
  <c r="A4454" i="1"/>
  <c r="B4454" i="1"/>
  <c r="C4454" i="1"/>
  <c r="D4454" i="1"/>
  <c r="A4455" i="1"/>
  <c r="B4455" i="1"/>
  <c r="C4455" i="1"/>
  <c r="D4455" i="1"/>
  <c r="A4456" i="1"/>
  <c r="B4456" i="1"/>
  <c r="C4456" i="1"/>
  <c r="D4456" i="1"/>
  <c r="A4457" i="1"/>
  <c r="B4457" i="1"/>
  <c r="C4457" i="1"/>
  <c r="D4457" i="1"/>
  <c r="A4458" i="1"/>
  <c r="B4458" i="1"/>
  <c r="C4458" i="1"/>
  <c r="D4458" i="1"/>
  <c r="A4459" i="1"/>
  <c r="B4459" i="1"/>
  <c r="C4459" i="1"/>
  <c r="D4459" i="1"/>
  <c r="A4460" i="1"/>
  <c r="B4460" i="1"/>
  <c r="C4460" i="1"/>
  <c r="D4460" i="1"/>
  <c r="A4461" i="1"/>
  <c r="B4461" i="1"/>
  <c r="C4461" i="1"/>
  <c r="D4461" i="1"/>
  <c r="A4462" i="1"/>
  <c r="B4462" i="1"/>
  <c r="C4462" i="1"/>
  <c r="D4462" i="1"/>
  <c r="A4463" i="1"/>
  <c r="B4463" i="1"/>
  <c r="C4463" i="1"/>
  <c r="D4463" i="1"/>
  <c r="A4464" i="1"/>
  <c r="B4464" i="1"/>
  <c r="C4464" i="1"/>
  <c r="D4464" i="1"/>
  <c r="A4465" i="1"/>
  <c r="B4465" i="1"/>
  <c r="C4465" i="1"/>
  <c r="D4465" i="1"/>
  <c r="A4466" i="1"/>
  <c r="B4466" i="1"/>
  <c r="C4466" i="1"/>
  <c r="D4466" i="1"/>
  <c r="A4467" i="1"/>
  <c r="B4467" i="1"/>
  <c r="C4467" i="1"/>
  <c r="D4467" i="1"/>
  <c r="A4468" i="1"/>
  <c r="B4468" i="1"/>
  <c r="C4468" i="1"/>
  <c r="D4468" i="1"/>
  <c r="A4469" i="1"/>
  <c r="B4469" i="1"/>
  <c r="C4469" i="1"/>
  <c r="D4469" i="1"/>
  <c r="A4470" i="1"/>
  <c r="B4470" i="1"/>
  <c r="C4470" i="1"/>
  <c r="D4470" i="1"/>
  <c r="A4471" i="1"/>
  <c r="B4471" i="1"/>
  <c r="C4471" i="1"/>
  <c r="D4471" i="1"/>
  <c r="A4472" i="1"/>
  <c r="B4472" i="1"/>
  <c r="C4472" i="1"/>
  <c r="D4472" i="1"/>
  <c r="A4473" i="1"/>
  <c r="B4473" i="1"/>
  <c r="C4473" i="1"/>
  <c r="D4473" i="1"/>
  <c r="A4474" i="1"/>
  <c r="B4474" i="1"/>
  <c r="C4474" i="1"/>
  <c r="D4474" i="1"/>
  <c r="A4475" i="1"/>
  <c r="B4475" i="1"/>
  <c r="C4475" i="1"/>
  <c r="D4475" i="1"/>
  <c r="A4476" i="1"/>
  <c r="B4476" i="1"/>
  <c r="C4476" i="1"/>
  <c r="D4476" i="1"/>
  <c r="A4477" i="1"/>
  <c r="B4477" i="1"/>
  <c r="C4477" i="1"/>
  <c r="D4477" i="1"/>
  <c r="A4478" i="1"/>
  <c r="B4478" i="1"/>
  <c r="C4478" i="1"/>
  <c r="D4478" i="1"/>
  <c r="A4479" i="1"/>
  <c r="B4479" i="1"/>
  <c r="C4479" i="1"/>
  <c r="D4479" i="1"/>
  <c r="A4480" i="1"/>
  <c r="B4480" i="1"/>
  <c r="C4480" i="1"/>
  <c r="D4480" i="1"/>
  <c r="A4481" i="1"/>
  <c r="B4481" i="1"/>
  <c r="C4481" i="1"/>
  <c r="D4481" i="1"/>
  <c r="A4482" i="1"/>
  <c r="B4482" i="1"/>
  <c r="C4482" i="1"/>
  <c r="D4482" i="1"/>
  <c r="A4483" i="1"/>
  <c r="B4483" i="1"/>
  <c r="C4483" i="1"/>
  <c r="D4483" i="1"/>
  <c r="A4484" i="1"/>
  <c r="B4484" i="1"/>
  <c r="C4484" i="1"/>
  <c r="D4484" i="1"/>
  <c r="A4485" i="1"/>
  <c r="B4485" i="1"/>
  <c r="C4485" i="1"/>
  <c r="D4485" i="1"/>
  <c r="A4486" i="1"/>
  <c r="B4486" i="1"/>
  <c r="C4486" i="1"/>
  <c r="D4486" i="1"/>
  <c r="A4487" i="1"/>
  <c r="B4487" i="1"/>
  <c r="C4487" i="1"/>
  <c r="D4487" i="1"/>
  <c r="A4488" i="1"/>
  <c r="B4488" i="1"/>
  <c r="C4488" i="1"/>
  <c r="D4488" i="1"/>
  <c r="A4489" i="1"/>
  <c r="B4489" i="1"/>
  <c r="C4489" i="1"/>
  <c r="D4489" i="1"/>
  <c r="A4490" i="1"/>
  <c r="B4490" i="1"/>
  <c r="C4490" i="1"/>
  <c r="D4490" i="1"/>
  <c r="A4491" i="1"/>
  <c r="B4491" i="1"/>
  <c r="C4491" i="1"/>
  <c r="D4491" i="1"/>
  <c r="A4492" i="1"/>
  <c r="B4492" i="1"/>
  <c r="C4492" i="1"/>
  <c r="D4492" i="1"/>
  <c r="A4493" i="1"/>
  <c r="B4493" i="1"/>
  <c r="C4493" i="1"/>
  <c r="D4493" i="1"/>
  <c r="A4494" i="1"/>
  <c r="B4494" i="1"/>
  <c r="C4494" i="1"/>
  <c r="D4494" i="1"/>
  <c r="A4495" i="1"/>
  <c r="B4495" i="1"/>
  <c r="C4495" i="1"/>
  <c r="D4495" i="1"/>
  <c r="A4496" i="1"/>
  <c r="B4496" i="1"/>
  <c r="C4496" i="1"/>
  <c r="D4496" i="1"/>
  <c r="A4497" i="1"/>
  <c r="B4497" i="1"/>
  <c r="C4497" i="1"/>
  <c r="D4497" i="1"/>
  <c r="A4498" i="1"/>
  <c r="B4498" i="1"/>
  <c r="C4498" i="1"/>
  <c r="D4498" i="1"/>
  <c r="A4499" i="1"/>
  <c r="B4499" i="1"/>
  <c r="C4499" i="1"/>
  <c r="D4499" i="1"/>
  <c r="A4500" i="1"/>
  <c r="B4500" i="1"/>
  <c r="C4500" i="1"/>
  <c r="D4500" i="1"/>
  <c r="A4501" i="1"/>
  <c r="B4501" i="1"/>
  <c r="C4501" i="1"/>
  <c r="D4501" i="1"/>
  <c r="A4502" i="1"/>
  <c r="B4502" i="1"/>
  <c r="C4502" i="1"/>
  <c r="D4502" i="1"/>
  <c r="A4503" i="1"/>
  <c r="B4503" i="1"/>
  <c r="C4503" i="1"/>
  <c r="D4503" i="1"/>
  <c r="A4504" i="1"/>
  <c r="B4504" i="1"/>
  <c r="C4504" i="1"/>
  <c r="D4504" i="1"/>
  <c r="A4505" i="1"/>
  <c r="B4505" i="1"/>
  <c r="C4505" i="1"/>
  <c r="D4505" i="1"/>
  <c r="A4506" i="1"/>
  <c r="B4506" i="1"/>
  <c r="C4506" i="1"/>
  <c r="D4506" i="1"/>
  <c r="A4507" i="1"/>
  <c r="B4507" i="1"/>
  <c r="C4507" i="1"/>
  <c r="D4507" i="1"/>
  <c r="A4508" i="1"/>
  <c r="B4508" i="1"/>
  <c r="C4508" i="1"/>
  <c r="D4508" i="1"/>
  <c r="A4509" i="1"/>
  <c r="B4509" i="1"/>
  <c r="C4509" i="1"/>
  <c r="D4509" i="1"/>
  <c r="A4510" i="1"/>
  <c r="B4510" i="1"/>
  <c r="C4510" i="1"/>
  <c r="D4510" i="1"/>
  <c r="A4511" i="1"/>
  <c r="B4511" i="1"/>
  <c r="C4511" i="1"/>
  <c r="D4511" i="1"/>
  <c r="A4512" i="1"/>
  <c r="B4512" i="1"/>
  <c r="C4512" i="1"/>
  <c r="D4512" i="1"/>
  <c r="A4513" i="1"/>
  <c r="B4513" i="1"/>
  <c r="C4513" i="1"/>
  <c r="D4513" i="1"/>
  <c r="A4514" i="1"/>
  <c r="B4514" i="1"/>
  <c r="C4514" i="1"/>
  <c r="D4514" i="1"/>
  <c r="A4515" i="1"/>
  <c r="B4515" i="1"/>
  <c r="C4515" i="1"/>
  <c r="D4515" i="1"/>
  <c r="A4516" i="1"/>
  <c r="B4516" i="1"/>
  <c r="C4516" i="1"/>
  <c r="D4516" i="1"/>
  <c r="A4517" i="1"/>
  <c r="B4517" i="1"/>
  <c r="C4517" i="1"/>
  <c r="D4517" i="1"/>
  <c r="A4518" i="1"/>
  <c r="B4518" i="1"/>
  <c r="C4518" i="1"/>
  <c r="D4518" i="1"/>
  <c r="A4519" i="1"/>
  <c r="B4519" i="1"/>
  <c r="C4519" i="1"/>
  <c r="D4519" i="1"/>
  <c r="A4520" i="1"/>
  <c r="B4520" i="1"/>
  <c r="C4520" i="1"/>
  <c r="D4520" i="1"/>
  <c r="A4521" i="1"/>
  <c r="B4521" i="1"/>
  <c r="C4521" i="1"/>
  <c r="D4521" i="1"/>
  <c r="A4522" i="1"/>
  <c r="B4522" i="1"/>
  <c r="C4522" i="1"/>
  <c r="D4522" i="1"/>
  <c r="A4523" i="1"/>
  <c r="B4523" i="1"/>
  <c r="C4523" i="1"/>
  <c r="D4523" i="1"/>
  <c r="A4524" i="1"/>
  <c r="B4524" i="1"/>
  <c r="C4524" i="1"/>
  <c r="D4524" i="1"/>
  <c r="A4525" i="1"/>
  <c r="B4525" i="1"/>
  <c r="C4525" i="1"/>
  <c r="D4525" i="1"/>
  <c r="A4526" i="1"/>
  <c r="B4526" i="1"/>
  <c r="C4526" i="1"/>
  <c r="D4526" i="1"/>
  <c r="A4527" i="1"/>
  <c r="B4527" i="1"/>
  <c r="C4527" i="1"/>
  <c r="D4527" i="1"/>
  <c r="A4528" i="1"/>
  <c r="B4528" i="1"/>
  <c r="C4528" i="1"/>
  <c r="D4528" i="1"/>
  <c r="A4529" i="1"/>
  <c r="B4529" i="1"/>
  <c r="C4529" i="1"/>
  <c r="D4529" i="1"/>
  <c r="A4530" i="1"/>
  <c r="B4530" i="1"/>
  <c r="C4530" i="1"/>
  <c r="D4530" i="1"/>
  <c r="A4531" i="1"/>
  <c r="B4531" i="1"/>
  <c r="C4531" i="1"/>
  <c r="D4531" i="1"/>
  <c r="A4532" i="1"/>
  <c r="B4532" i="1"/>
  <c r="C4532" i="1"/>
  <c r="D4532" i="1"/>
  <c r="A4533" i="1"/>
  <c r="B4533" i="1"/>
  <c r="C4533" i="1"/>
  <c r="D4533" i="1"/>
  <c r="A4534" i="1"/>
  <c r="B4534" i="1"/>
  <c r="C4534" i="1"/>
  <c r="D4534" i="1"/>
  <c r="A4535" i="1"/>
  <c r="B4535" i="1"/>
  <c r="C4535" i="1"/>
  <c r="D4535" i="1"/>
  <c r="A4536" i="1"/>
  <c r="B4536" i="1"/>
  <c r="C4536" i="1"/>
  <c r="D4536" i="1"/>
  <c r="A4537" i="1"/>
  <c r="B4537" i="1"/>
  <c r="C4537" i="1"/>
  <c r="D4537" i="1"/>
  <c r="A4538" i="1"/>
  <c r="B4538" i="1"/>
  <c r="C4538" i="1"/>
  <c r="D4538" i="1"/>
  <c r="A4539" i="1"/>
  <c r="B4539" i="1"/>
  <c r="C4539" i="1"/>
  <c r="D4539" i="1"/>
  <c r="A4540" i="1"/>
  <c r="B4540" i="1"/>
  <c r="C4540" i="1"/>
  <c r="D4540" i="1"/>
  <c r="A4541" i="1"/>
  <c r="B4541" i="1"/>
  <c r="C4541" i="1"/>
  <c r="D4541" i="1"/>
  <c r="A4542" i="1"/>
  <c r="B4542" i="1"/>
  <c r="C4542" i="1"/>
  <c r="D4542" i="1"/>
  <c r="A4543" i="1"/>
  <c r="B4543" i="1"/>
  <c r="C4543" i="1"/>
  <c r="D4543" i="1"/>
  <c r="A4544" i="1"/>
  <c r="B4544" i="1"/>
  <c r="C4544" i="1"/>
  <c r="D4544" i="1"/>
  <c r="A4545" i="1"/>
  <c r="B4545" i="1"/>
  <c r="C4545" i="1"/>
  <c r="D4545" i="1"/>
  <c r="A4546" i="1"/>
  <c r="B4546" i="1"/>
  <c r="C4546" i="1"/>
  <c r="D4546" i="1"/>
  <c r="A4547" i="1"/>
  <c r="B4547" i="1"/>
  <c r="C4547" i="1"/>
  <c r="D4547" i="1"/>
  <c r="A4548" i="1"/>
  <c r="B4548" i="1"/>
  <c r="C4548" i="1"/>
  <c r="D4548" i="1"/>
  <c r="A4549" i="1"/>
  <c r="B4549" i="1"/>
  <c r="C4549" i="1"/>
  <c r="D4549" i="1"/>
  <c r="A4550" i="1"/>
  <c r="B4550" i="1"/>
  <c r="C4550" i="1"/>
  <c r="D4550" i="1"/>
  <c r="A4551" i="1"/>
  <c r="B4551" i="1"/>
  <c r="C4551" i="1"/>
  <c r="D4551" i="1"/>
  <c r="A4552" i="1"/>
  <c r="B4552" i="1"/>
  <c r="C4552" i="1"/>
  <c r="D4552" i="1"/>
  <c r="A4553" i="1"/>
  <c r="B4553" i="1"/>
  <c r="C4553" i="1"/>
  <c r="D4553" i="1"/>
  <c r="A4554" i="1"/>
  <c r="B4554" i="1"/>
  <c r="C4554" i="1"/>
  <c r="D4554" i="1"/>
  <c r="A4555" i="1"/>
  <c r="B4555" i="1"/>
  <c r="C4555" i="1"/>
  <c r="D4555" i="1"/>
  <c r="A4556" i="1"/>
  <c r="B4556" i="1"/>
  <c r="C4556" i="1"/>
  <c r="D4556" i="1"/>
  <c r="A4557" i="1"/>
  <c r="B4557" i="1"/>
  <c r="C4557" i="1"/>
  <c r="D4557" i="1"/>
  <c r="A4558" i="1"/>
  <c r="B4558" i="1"/>
  <c r="C4558" i="1"/>
  <c r="D4558" i="1"/>
  <c r="A4559" i="1"/>
  <c r="B4559" i="1"/>
  <c r="C4559" i="1"/>
  <c r="D4559" i="1"/>
  <c r="A4560" i="1"/>
  <c r="B4560" i="1"/>
  <c r="C4560" i="1"/>
  <c r="D4560" i="1"/>
  <c r="A4561" i="1"/>
  <c r="B4561" i="1"/>
  <c r="C4561" i="1"/>
  <c r="D4561" i="1"/>
  <c r="A4562" i="1"/>
  <c r="B4562" i="1"/>
  <c r="C4562" i="1"/>
  <c r="D4562" i="1"/>
  <c r="A4563" i="1"/>
  <c r="B4563" i="1"/>
  <c r="C4563" i="1"/>
  <c r="D4563" i="1"/>
  <c r="A4564" i="1"/>
  <c r="B4564" i="1"/>
  <c r="C4564" i="1"/>
  <c r="D4564" i="1"/>
  <c r="A4565" i="1"/>
  <c r="B4565" i="1"/>
  <c r="C4565" i="1"/>
  <c r="D4565" i="1"/>
  <c r="A4566" i="1"/>
  <c r="B4566" i="1"/>
  <c r="C4566" i="1"/>
  <c r="D4566" i="1"/>
  <c r="A4567" i="1"/>
  <c r="B4567" i="1"/>
  <c r="C4567" i="1"/>
  <c r="D4567" i="1"/>
  <c r="A4568" i="1"/>
  <c r="B4568" i="1"/>
  <c r="C4568" i="1"/>
  <c r="D4568" i="1"/>
  <c r="A4569" i="1"/>
  <c r="B4569" i="1"/>
  <c r="C4569" i="1"/>
  <c r="D4569" i="1"/>
  <c r="A4570" i="1"/>
  <c r="B4570" i="1"/>
  <c r="C4570" i="1"/>
  <c r="D4570" i="1"/>
  <c r="A4571" i="1"/>
  <c r="B4571" i="1"/>
  <c r="C4571" i="1"/>
  <c r="D4571" i="1"/>
  <c r="A4572" i="1"/>
  <c r="B4572" i="1"/>
  <c r="C4572" i="1"/>
  <c r="D4572" i="1"/>
  <c r="A4573" i="1"/>
  <c r="B4573" i="1"/>
  <c r="C4573" i="1"/>
  <c r="D4573" i="1"/>
  <c r="A4574" i="1"/>
  <c r="B4574" i="1"/>
  <c r="C4574" i="1"/>
  <c r="D4574" i="1"/>
  <c r="A4575" i="1"/>
  <c r="B4575" i="1"/>
  <c r="C4575" i="1"/>
  <c r="D4575" i="1"/>
  <c r="A4576" i="1"/>
  <c r="B4576" i="1"/>
  <c r="C4576" i="1"/>
  <c r="D4576" i="1"/>
  <c r="A4577" i="1"/>
  <c r="B4577" i="1"/>
  <c r="C4577" i="1"/>
  <c r="D4577" i="1"/>
  <c r="A4578" i="1"/>
  <c r="B4578" i="1"/>
  <c r="C4578" i="1"/>
  <c r="D4578" i="1"/>
  <c r="A4579" i="1"/>
  <c r="B4579" i="1"/>
  <c r="C4579" i="1"/>
  <c r="D4579" i="1"/>
  <c r="A4580" i="1"/>
  <c r="B4580" i="1"/>
  <c r="C4580" i="1"/>
  <c r="D4580" i="1"/>
  <c r="A4581" i="1"/>
  <c r="B4581" i="1"/>
  <c r="C4581" i="1"/>
  <c r="D4581" i="1"/>
  <c r="A4582" i="1"/>
  <c r="B4582" i="1"/>
  <c r="C4582" i="1"/>
  <c r="D4582" i="1"/>
  <c r="A4583" i="1"/>
  <c r="B4583" i="1"/>
  <c r="C4583" i="1"/>
  <c r="D4583" i="1"/>
  <c r="A4584" i="1"/>
  <c r="B4584" i="1"/>
  <c r="C4584" i="1"/>
  <c r="D4584" i="1"/>
  <c r="A4585" i="1"/>
  <c r="B4585" i="1"/>
  <c r="C4585" i="1"/>
  <c r="D4585" i="1"/>
  <c r="A4586" i="1"/>
  <c r="B4586" i="1"/>
  <c r="C4586" i="1"/>
  <c r="D4586" i="1"/>
  <c r="A4587" i="1"/>
  <c r="B4587" i="1"/>
  <c r="C4587" i="1"/>
  <c r="D4587" i="1"/>
  <c r="A4588" i="1"/>
  <c r="B4588" i="1"/>
  <c r="C4588" i="1"/>
  <c r="D4588" i="1"/>
  <c r="A4589" i="1"/>
  <c r="B4589" i="1"/>
  <c r="C4589" i="1"/>
  <c r="D4589" i="1"/>
  <c r="A4590" i="1"/>
  <c r="B4590" i="1"/>
  <c r="C4590" i="1"/>
  <c r="D4590" i="1"/>
  <c r="A4591" i="1"/>
  <c r="B4591" i="1"/>
  <c r="C4591" i="1"/>
  <c r="D4591" i="1"/>
  <c r="A4592" i="1"/>
  <c r="B4592" i="1"/>
  <c r="C4592" i="1"/>
  <c r="D4592" i="1"/>
  <c r="A4593" i="1"/>
  <c r="B4593" i="1"/>
  <c r="C4593" i="1"/>
  <c r="D4593" i="1"/>
  <c r="A4594" i="1"/>
  <c r="B4594" i="1"/>
  <c r="C4594" i="1"/>
  <c r="D4594" i="1"/>
  <c r="A4595" i="1"/>
  <c r="B4595" i="1"/>
  <c r="C4595" i="1"/>
  <c r="D4595" i="1"/>
  <c r="A4596" i="1"/>
  <c r="B4596" i="1"/>
  <c r="C4596" i="1"/>
  <c r="D4596" i="1"/>
  <c r="A4597" i="1"/>
  <c r="B4597" i="1"/>
  <c r="C4597" i="1"/>
  <c r="D4597" i="1"/>
  <c r="A4598" i="1"/>
  <c r="B4598" i="1"/>
  <c r="C4598" i="1"/>
  <c r="D4598" i="1"/>
  <c r="A4599" i="1"/>
  <c r="B4599" i="1"/>
  <c r="C4599" i="1"/>
  <c r="D4599" i="1"/>
  <c r="A4600" i="1"/>
  <c r="B4600" i="1"/>
  <c r="C4600" i="1"/>
  <c r="D4600" i="1"/>
  <c r="A4601" i="1"/>
  <c r="B4601" i="1"/>
  <c r="C4601" i="1"/>
  <c r="D4601" i="1"/>
  <c r="A4602" i="1"/>
  <c r="B4602" i="1"/>
  <c r="C4602" i="1"/>
  <c r="D4602" i="1"/>
  <c r="A4603" i="1"/>
  <c r="B4603" i="1"/>
  <c r="C4603" i="1"/>
  <c r="D4603" i="1"/>
  <c r="A4604" i="1"/>
  <c r="B4604" i="1"/>
  <c r="C4604" i="1"/>
  <c r="D4604" i="1"/>
  <c r="A4605" i="1"/>
  <c r="B4605" i="1"/>
  <c r="C4605" i="1"/>
  <c r="D4605" i="1"/>
  <c r="A4606" i="1"/>
  <c r="B4606" i="1"/>
  <c r="C4606" i="1"/>
  <c r="D4606" i="1"/>
  <c r="A4607" i="1"/>
  <c r="B4607" i="1"/>
  <c r="C4607" i="1"/>
  <c r="D4607" i="1"/>
  <c r="A4608" i="1"/>
  <c r="B4608" i="1"/>
  <c r="C4608" i="1"/>
  <c r="D4608" i="1"/>
  <c r="A4609" i="1"/>
  <c r="B4609" i="1"/>
  <c r="C4609" i="1"/>
  <c r="D4609" i="1"/>
  <c r="A4610" i="1"/>
  <c r="B4610" i="1"/>
  <c r="C4610" i="1"/>
  <c r="D4610" i="1"/>
  <c r="A4611" i="1"/>
  <c r="B4611" i="1"/>
  <c r="C4611" i="1"/>
  <c r="D4611" i="1"/>
  <c r="A4612" i="1"/>
  <c r="B4612" i="1"/>
  <c r="C4612" i="1"/>
  <c r="D4612" i="1"/>
  <c r="A4613" i="1"/>
  <c r="B4613" i="1"/>
  <c r="C4613" i="1"/>
  <c r="D4613" i="1"/>
  <c r="A4614" i="1"/>
  <c r="B4614" i="1"/>
  <c r="C4614" i="1"/>
  <c r="D4614" i="1"/>
  <c r="A4615" i="1"/>
  <c r="B4615" i="1"/>
  <c r="C4615" i="1"/>
  <c r="D4615" i="1"/>
  <c r="A4616" i="1"/>
  <c r="B4616" i="1"/>
  <c r="C4616" i="1"/>
  <c r="D4616" i="1"/>
  <c r="A4617" i="1"/>
  <c r="B4617" i="1"/>
  <c r="C4617" i="1"/>
  <c r="D4617" i="1"/>
  <c r="A4618" i="1"/>
  <c r="B4618" i="1"/>
  <c r="C4618" i="1"/>
  <c r="D4618" i="1"/>
  <c r="A4619" i="1"/>
  <c r="B4619" i="1"/>
  <c r="C4619" i="1"/>
  <c r="D4619" i="1"/>
  <c r="A4620" i="1"/>
  <c r="B4620" i="1"/>
  <c r="C4620" i="1"/>
  <c r="D4620" i="1"/>
  <c r="A4621" i="1"/>
  <c r="B4621" i="1"/>
  <c r="C4621" i="1"/>
  <c r="D4621" i="1"/>
  <c r="A4622" i="1"/>
  <c r="B4622" i="1"/>
  <c r="C4622" i="1"/>
  <c r="D4622" i="1"/>
  <c r="A4623" i="1"/>
  <c r="B4623" i="1"/>
  <c r="C4623" i="1"/>
  <c r="D4623" i="1"/>
  <c r="A4624" i="1"/>
  <c r="B4624" i="1"/>
  <c r="C4624" i="1"/>
  <c r="D4624" i="1"/>
  <c r="A4625" i="1"/>
  <c r="B4625" i="1"/>
  <c r="C4625" i="1"/>
  <c r="D4625" i="1"/>
  <c r="A4626" i="1"/>
  <c r="B4626" i="1"/>
  <c r="C4626" i="1"/>
  <c r="D4626" i="1"/>
  <c r="A4627" i="1"/>
  <c r="B4627" i="1"/>
  <c r="C4627" i="1"/>
  <c r="D4627" i="1"/>
  <c r="A4628" i="1"/>
  <c r="B4628" i="1"/>
  <c r="C4628" i="1"/>
  <c r="D4628" i="1"/>
  <c r="A4629" i="1"/>
  <c r="B4629" i="1"/>
  <c r="C4629" i="1"/>
  <c r="D4629" i="1"/>
  <c r="A4630" i="1"/>
  <c r="B4630" i="1"/>
  <c r="C4630" i="1"/>
  <c r="D4630" i="1"/>
  <c r="A4631" i="1"/>
  <c r="B4631" i="1"/>
  <c r="C4631" i="1"/>
  <c r="D4631" i="1"/>
  <c r="A4632" i="1"/>
  <c r="B4632" i="1"/>
  <c r="C4632" i="1"/>
  <c r="D4632" i="1"/>
  <c r="A4633" i="1"/>
  <c r="B4633" i="1"/>
  <c r="C4633" i="1"/>
  <c r="D4633" i="1"/>
  <c r="A4634" i="1"/>
  <c r="B4634" i="1"/>
  <c r="C4634" i="1"/>
  <c r="D4634" i="1"/>
  <c r="A4635" i="1"/>
  <c r="B4635" i="1"/>
  <c r="C4635" i="1"/>
  <c r="D4635" i="1"/>
  <c r="A4636" i="1"/>
  <c r="B4636" i="1"/>
  <c r="C4636" i="1"/>
  <c r="D4636" i="1"/>
  <c r="A4637" i="1"/>
  <c r="B4637" i="1"/>
  <c r="C4637" i="1"/>
  <c r="D4637" i="1"/>
  <c r="A4638" i="1"/>
  <c r="B4638" i="1"/>
  <c r="C4638" i="1"/>
  <c r="D4638" i="1"/>
  <c r="A4639" i="1"/>
  <c r="B4639" i="1"/>
  <c r="C4639" i="1"/>
  <c r="D4639" i="1"/>
  <c r="A4640" i="1"/>
  <c r="B4640" i="1"/>
  <c r="C4640" i="1"/>
  <c r="D4640" i="1"/>
  <c r="A4641" i="1"/>
  <c r="B4641" i="1"/>
  <c r="C4641" i="1"/>
  <c r="D4641" i="1"/>
  <c r="A4642" i="1"/>
  <c r="B4642" i="1"/>
  <c r="C4642" i="1"/>
  <c r="D4642" i="1"/>
  <c r="A4643" i="1"/>
  <c r="B4643" i="1"/>
  <c r="C4643" i="1"/>
  <c r="D4643" i="1"/>
  <c r="A4644" i="1"/>
  <c r="B4644" i="1"/>
  <c r="C4644" i="1"/>
  <c r="D4644" i="1"/>
  <c r="A4645" i="1"/>
  <c r="B4645" i="1"/>
  <c r="C4645" i="1"/>
  <c r="D4645" i="1"/>
  <c r="A4646" i="1"/>
  <c r="B4646" i="1"/>
  <c r="C4646" i="1"/>
  <c r="D4646" i="1"/>
  <c r="A4647" i="1"/>
  <c r="B4647" i="1"/>
  <c r="C4647" i="1"/>
  <c r="D4647" i="1"/>
  <c r="A4648" i="1"/>
  <c r="B4648" i="1"/>
  <c r="C4648" i="1"/>
  <c r="D4648" i="1"/>
  <c r="A4649" i="1"/>
  <c r="B4649" i="1"/>
  <c r="C4649" i="1"/>
  <c r="D4649" i="1"/>
  <c r="A4650" i="1"/>
  <c r="B4650" i="1"/>
  <c r="C4650" i="1"/>
  <c r="D4650" i="1"/>
  <c r="A4651" i="1"/>
  <c r="B4651" i="1"/>
  <c r="C4651" i="1"/>
  <c r="D4651" i="1"/>
  <c r="A4652" i="1"/>
  <c r="B4652" i="1"/>
  <c r="C4652" i="1"/>
  <c r="D4652" i="1"/>
  <c r="A4653" i="1"/>
  <c r="B4653" i="1"/>
  <c r="C4653" i="1"/>
  <c r="D4653" i="1"/>
  <c r="A4654" i="1"/>
  <c r="B4654" i="1"/>
  <c r="C4654" i="1"/>
  <c r="D4654" i="1"/>
  <c r="A4655" i="1"/>
  <c r="B4655" i="1"/>
  <c r="C4655" i="1"/>
  <c r="D4655" i="1"/>
  <c r="A4656" i="1"/>
  <c r="B4656" i="1"/>
  <c r="C4656" i="1"/>
  <c r="D4656" i="1"/>
  <c r="A4657" i="1"/>
  <c r="B4657" i="1"/>
  <c r="C4657" i="1"/>
  <c r="D4657" i="1"/>
  <c r="A4658" i="1"/>
  <c r="B4658" i="1"/>
  <c r="C4658" i="1"/>
  <c r="D4658" i="1"/>
  <c r="A4659" i="1"/>
  <c r="B4659" i="1"/>
  <c r="C4659" i="1"/>
  <c r="D4659" i="1"/>
  <c r="A4660" i="1"/>
  <c r="B4660" i="1"/>
  <c r="C4660" i="1"/>
  <c r="D4660" i="1"/>
  <c r="A4661" i="1"/>
  <c r="B4661" i="1"/>
  <c r="C4661" i="1"/>
  <c r="D4661" i="1"/>
  <c r="A4662" i="1"/>
  <c r="B4662" i="1"/>
  <c r="C4662" i="1"/>
  <c r="D4662" i="1"/>
  <c r="A4663" i="1"/>
  <c r="B4663" i="1"/>
  <c r="C4663" i="1"/>
  <c r="D4663" i="1"/>
  <c r="A4664" i="1"/>
  <c r="B4664" i="1"/>
  <c r="C4664" i="1"/>
  <c r="D4664" i="1"/>
  <c r="A4665" i="1"/>
  <c r="B4665" i="1"/>
  <c r="C4665" i="1"/>
  <c r="D4665" i="1"/>
  <c r="A4666" i="1"/>
  <c r="B4666" i="1"/>
  <c r="C4666" i="1"/>
  <c r="D4666" i="1"/>
  <c r="A4667" i="1"/>
  <c r="B4667" i="1"/>
  <c r="C4667" i="1"/>
  <c r="D4667" i="1"/>
  <c r="A4668" i="1"/>
  <c r="B4668" i="1"/>
  <c r="C4668" i="1"/>
  <c r="D4668" i="1"/>
  <c r="A4669" i="1"/>
  <c r="B4669" i="1"/>
  <c r="C4669" i="1"/>
  <c r="D4669" i="1"/>
  <c r="A4670" i="1"/>
  <c r="B4670" i="1"/>
  <c r="C4670" i="1"/>
  <c r="D4670" i="1"/>
  <c r="A4671" i="1"/>
  <c r="B4671" i="1"/>
  <c r="C4671" i="1"/>
  <c r="D4671" i="1"/>
  <c r="A4672" i="1"/>
  <c r="B4672" i="1"/>
  <c r="C4672" i="1"/>
  <c r="D4672" i="1"/>
  <c r="A4673" i="1"/>
  <c r="B4673" i="1"/>
  <c r="C4673" i="1"/>
  <c r="D4673" i="1"/>
  <c r="A4674" i="1"/>
  <c r="B4674" i="1"/>
  <c r="C4674" i="1"/>
  <c r="D4674" i="1"/>
  <c r="A4675" i="1"/>
  <c r="B4675" i="1"/>
  <c r="C4675" i="1"/>
  <c r="D4675" i="1"/>
  <c r="A4676" i="1"/>
  <c r="B4676" i="1"/>
  <c r="C4676" i="1"/>
  <c r="D4676" i="1"/>
  <c r="A4677" i="1"/>
  <c r="B4677" i="1"/>
  <c r="C4677" i="1"/>
  <c r="D4677" i="1"/>
  <c r="A4678" i="1"/>
  <c r="B4678" i="1"/>
  <c r="C4678" i="1"/>
  <c r="D4678" i="1"/>
  <c r="A4679" i="1"/>
  <c r="B4679" i="1"/>
  <c r="C4679" i="1"/>
  <c r="D4679" i="1"/>
  <c r="A4680" i="1"/>
  <c r="B4680" i="1"/>
  <c r="C4680" i="1"/>
  <c r="D4680" i="1"/>
  <c r="A4681" i="1"/>
  <c r="B4681" i="1"/>
  <c r="C4681" i="1"/>
  <c r="D4681" i="1"/>
  <c r="A4682" i="1"/>
  <c r="B4682" i="1"/>
  <c r="C4682" i="1"/>
  <c r="D4682" i="1"/>
  <c r="A4683" i="1"/>
  <c r="B4683" i="1"/>
  <c r="C4683" i="1"/>
  <c r="D4683" i="1"/>
  <c r="A4684" i="1"/>
  <c r="B4684" i="1"/>
  <c r="C4684" i="1"/>
  <c r="D4684" i="1"/>
  <c r="A4685" i="1"/>
  <c r="B4685" i="1"/>
  <c r="C4685" i="1"/>
  <c r="D4685" i="1"/>
  <c r="A4686" i="1"/>
  <c r="B4686" i="1"/>
  <c r="C4686" i="1"/>
  <c r="D4686" i="1"/>
  <c r="A4687" i="1"/>
  <c r="B4687" i="1"/>
  <c r="C4687" i="1"/>
  <c r="D4687" i="1"/>
  <c r="A4688" i="1"/>
  <c r="B4688" i="1"/>
  <c r="C4688" i="1"/>
  <c r="D4688" i="1"/>
  <c r="A4689" i="1"/>
  <c r="B4689" i="1"/>
  <c r="C4689" i="1"/>
  <c r="D4689" i="1"/>
  <c r="A4690" i="1"/>
  <c r="B4690" i="1"/>
  <c r="C4690" i="1"/>
  <c r="D4690" i="1"/>
  <c r="A4691" i="1"/>
  <c r="B4691" i="1"/>
  <c r="C4691" i="1"/>
  <c r="D4691" i="1"/>
  <c r="A4692" i="1"/>
  <c r="B4692" i="1"/>
  <c r="C4692" i="1"/>
  <c r="D4692" i="1"/>
  <c r="A4693" i="1"/>
  <c r="B4693" i="1"/>
  <c r="C4693" i="1"/>
  <c r="D4693" i="1"/>
  <c r="A4694" i="1"/>
  <c r="B4694" i="1"/>
  <c r="C4694" i="1"/>
  <c r="D4694" i="1"/>
  <c r="A4695" i="1"/>
  <c r="B4695" i="1"/>
  <c r="C4695" i="1"/>
  <c r="D4695" i="1"/>
  <c r="A4696" i="1"/>
  <c r="B4696" i="1"/>
  <c r="C4696" i="1"/>
  <c r="D4696" i="1"/>
  <c r="A4697" i="1"/>
  <c r="B4697" i="1"/>
  <c r="C4697" i="1"/>
  <c r="D4697" i="1"/>
  <c r="A4698" i="1"/>
  <c r="B4698" i="1"/>
  <c r="C4698" i="1"/>
  <c r="D4698" i="1"/>
  <c r="A4699" i="1"/>
  <c r="B4699" i="1"/>
  <c r="C4699" i="1"/>
  <c r="D4699" i="1"/>
  <c r="A4700" i="1"/>
  <c r="B4700" i="1"/>
  <c r="C4700" i="1"/>
  <c r="D4700" i="1"/>
  <c r="A4701" i="1"/>
  <c r="B4701" i="1"/>
  <c r="C4701" i="1"/>
  <c r="D4701" i="1"/>
  <c r="A4702" i="1"/>
  <c r="B4702" i="1"/>
  <c r="C4702" i="1"/>
  <c r="D4702" i="1"/>
  <c r="A4703" i="1"/>
  <c r="B4703" i="1"/>
  <c r="C4703" i="1"/>
  <c r="D4703" i="1"/>
  <c r="A4704" i="1"/>
  <c r="B4704" i="1"/>
  <c r="C4704" i="1"/>
  <c r="D4704" i="1"/>
  <c r="A4705" i="1"/>
  <c r="B4705" i="1"/>
  <c r="C4705" i="1"/>
  <c r="D4705" i="1"/>
  <c r="A4706" i="1"/>
  <c r="B4706" i="1"/>
  <c r="C4706" i="1"/>
  <c r="D4706" i="1"/>
  <c r="A4707" i="1"/>
  <c r="B4707" i="1"/>
  <c r="C4707" i="1"/>
  <c r="D4707" i="1"/>
  <c r="A4708" i="1"/>
  <c r="B4708" i="1"/>
  <c r="C4708" i="1"/>
  <c r="D4708" i="1"/>
  <c r="A4709" i="1"/>
  <c r="B4709" i="1"/>
  <c r="C4709" i="1"/>
  <c r="D4709" i="1"/>
  <c r="A4710" i="1"/>
  <c r="B4710" i="1"/>
  <c r="C4710" i="1"/>
  <c r="D4710" i="1"/>
  <c r="A4711" i="1"/>
  <c r="B4711" i="1"/>
  <c r="C4711" i="1"/>
  <c r="D4711" i="1"/>
  <c r="A4712" i="1"/>
  <c r="B4712" i="1"/>
  <c r="C4712" i="1"/>
  <c r="D4712" i="1"/>
  <c r="A4713" i="1"/>
  <c r="B4713" i="1"/>
  <c r="C4713" i="1"/>
  <c r="D4713" i="1"/>
  <c r="A4714" i="1"/>
  <c r="B4714" i="1"/>
  <c r="C4714" i="1"/>
  <c r="D4714" i="1"/>
  <c r="A4715" i="1"/>
  <c r="B4715" i="1"/>
  <c r="C4715" i="1"/>
  <c r="D4715" i="1"/>
  <c r="A4716" i="1"/>
  <c r="B4716" i="1"/>
  <c r="C4716" i="1"/>
  <c r="D4716" i="1"/>
  <c r="A4717" i="1"/>
  <c r="B4717" i="1"/>
  <c r="C4717" i="1"/>
  <c r="D4717" i="1"/>
  <c r="A4718" i="1"/>
  <c r="B4718" i="1"/>
  <c r="C4718" i="1"/>
  <c r="D4718" i="1"/>
  <c r="A4719" i="1"/>
  <c r="B4719" i="1"/>
  <c r="C4719" i="1"/>
  <c r="D4719" i="1"/>
  <c r="A4720" i="1"/>
  <c r="B4720" i="1"/>
  <c r="C4720" i="1"/>
  <c r="D4720" i="1"/>
  <c r="A4721" i="1"/>
  <c r="B4721" i="1"/>
  <c r="C4721" i="1"/>
  <c r="D4721" i="1"/>
  <c r="A4722" i="1"/>
  <c r="B4722" i="1"/>
  <c r="C4722" i="1"/>
  <c r="D4722" i="1"/>
  <c r="A4723" i="1"/>
  <c r="B4723" i="1"/>
  <c r="C4723" i="1"/>
  <c r="D4723" i="1"/>
  <c r="A4724" i="1"/>
  <c r="B4724" i="1"/>
  <c r="C4724" i="1"/>
  <c r="D4724" i="1"/>
  <c r="A4725" i="1"/>
  <c r="B4725" i="1"/>
  <c r="C4725" i="1"/>
  <c r="D4725" i="1"/>
  <c r="A4726" i="1"/>
  <c r="B4726" i="1"/>
  <c r="C4726" i="1"/>
  <c r="D4726" i="1"/>
  <c r="A4727" i="1"/>
  <c r="B4727" i="1"/>
  <c r="C4727" i="1"/>
  <c r="D4727" i="1"/>
  <c r="A4728" i="1"/>
  <c r="B4728" i="1"/>
  <c r="C4728" i="1"/>
  <c r="D4728" i="1"/>
  <c r="A4729" i="1"/>
  <c r="B4729" i="1"/>
  <c r="C4729" i="1"/>
  <c r="D4729" i="1"/>
  <c r="A4730" i="1"/>
  <c r="B4730" i="1"/>
  <c r="C4730" i="1"/>
  <c r="D4730" i="1"/>
  <c r="A4731" i="1"/>
  <c r="B4731" i="1"/>
  <c r="C4731" i="1"/>
  <c r="D4731" i="1"/>
  <c r="A4732" i="1"/>
  <c r="B4732" i="1"/>
  <c r="C4732" i="1"/>
  <c r="D4732" i="1"/>
  <c r="A4733" i="1"/>
  <c r="B4733" i="1"/>
  <c r="C4733" i="1"/>
  <c r="D4733" i="1"/>
  <c r="A4734" i="1"/>
  <c r="B4734" i="1"/>
  <c r="C4734" i="1"/>
  <c r="D4734" i="1"/>
  <c r="A4735" i="1"/>
  <c r="B4735" i="1"/>
  <c r="C4735" i="1"/>
  <c r="D4735" i="1"/>
  <c r="A4736" i="1"/>
  <c r="B4736" i="1"/>
  <c r="C4736" i="1"/>
  <c r="D4736" i="1"/>
  <c r="A4737" i="1"/>
  <c r="B4737" i="1"/>
  <c r="C4737" i="1"/>
  <c r="D4737" i="1"/>
  <c r="A4738" i="1"/>
  <c r="B4738" i="1"/>
  <c r="C4738" i="1"/>
  <c r="D4738" i="1"/>
  <c r="A4739" i="1"/>
  <c r="B4739" i="1"/>
  <c r="C4739" i="1"/>
  <c r="D4739" i="1"/>
  <c r="A4740" i="1"/>
  <c r="B4740" i="1"/>
  <c r="C4740" i="1"/>
  <c r="D4740" i="1"/>
  <c r="A4741" i="1"/>
  <c r="B4741" i="1"/>
  <c r="C4741" i="1"/>
  <c r="D4741" i="1"/>
  <c r="A4742" i="1"/>
  <c r="B4742" i="1"/>
  <c r="C4742" i="1"/>
  <c r="D4742" i="1"/>
  <c r="A4743" i="1"/>
  <c r="B4743" i="1"/>
  <c r="C4743" i="1"/>
  <c r="D4743" i="1"/>
  <c r="A4744" i="1"/>
  <c r="B4744" i="1"/>
  <c r="C4744" i="1"/>
  <c r="D4744" i="1"/>
  <c r="A4745" i="1"/>
  <c r="B4745" i="1"/>
  <c r="C4745" i="1"/>
  <c r="D4745" i="1"/>
  <c r="A4746" i="1"/>
  <c r="B4746" i="1"/>
  <c r="C4746" i="1"/>
  <c r="D4746" i="1"/>
  <c r="A4747" i="1"/>
  <c r="B4747" i="1"/>
  <c r="C4747" i="1"/>
  <c r="D4747" i="1"/>
  <c r="A4748" i="1"/>
  <c r="B4748" i="1"/>
  <c r="C4748" i="1"/>
  <c r="D4748" i="1"/>
  <c r="A4749" i="1"/>
  <c r="B4749" i="1"/>
  <c r="C4749" i="1"/>
  <c r="D4749" i="1"/>
  <c r="A4750" i="1"/>
  <c r="B4750" i="1"/>
  <c r="C4750" i="1"/>
  <c r="D4750" i="1"/>
  <c r="A4751" i="1"/>
  <c r="B4751" i="1"/>
  <c r="C4751" i="1"/>
  <c r="D4751" i="1"/>
  <c r="A4752" i="1"/>
  <c r="B4752" i="1"/>
  <c r="C4752" i="1"/>
  <c r="D4752" i="1"/>
  <c r="A4753" i="1"/>
  <c r="B4753" i="1"/>
  <c r="C4753" i="1"/>
  <c r="D4753" i="1"/>
  <c r="A4754" i="1"/>
  <c r="B4754" i="1"/>
  <c r="C4754" i="1"/>
  <c r="D4754" i="1"/>
  <c r="A4755" i="1"/>
  <c r="B4755" i="1"/>
  <c r="C4755" i="1"/>
  <c r="D4755" i="1"/>
  <c r="A4756" i="1"/>
  <c r="B4756" i="1"/>
  <c r="C4756" i="1"/>
  <c r="D4756" i="1"/>
  <c r="A4757" i="1"/>
  <c r="B4757" i="1"/>
  <c r="C4757" i="1"/>
  <c r="D4757" i="1"/>
  <c r="A4758" i="1"/>
  <c r="B4758" i="1"/>
  <c r="C4758" i="1"/>
  <c r="D4758" i="1"/>
  <c r="A4759" i="1"/>
  <c r="B4759" i="1"/>
  <c r="C4759" i="1"/>
  <c r="D4759" i="1"/>
  <c r="A4760" i="1"/>
  <c r="B4760" i="1"/>
  <c r="C4760" i="1"/>
  <c r="D4760" i="1"/>
  <c r="A4761" i="1"/>
  <c r="B4761" i="1"/>
  <c r="C4761" i="1"/>
  <c r="D4761" i="1"/>
  <c r="A4762" i="1"/>
  <c r="B4762" i="1"/>
  <c r="C4762" i="1"/>
  <c r="D4762" i="1"/>
  <c r="A4763" i="1"/>
  <c r="B4763" i="1"/>
  <c r="C4763" i="1"/>
  <c r="D4763" i="1"/>
  <c r="A4764" i="1"/>
  <c r="B4764" i="1"/>
  <c r="C4764" i="1"/>
  <c r="D4764" i="1"/>
  <c r="A4765" i="1"/>
  <c r="B4765" i="1"/>
  <c r="C4765" i="1"/>
  <c r="D4765" i="1"/>
  <c r="A4766" i="1"/>
  <c r="B4766" i="1"/>
  <c r="C4766" i="1"/>
  <c r="D4766" i="1"/>
  <c r="A4767" i="1"/>
  <c r="B4767" i="1"/>
  <c r="C4767" i="1"/>
  <c r="D4767" i="1"/>
  <c r="A4768" i="1"/>
  <c r="B4768" i="1"/>
  <c r="C4768" i="1"/>
  <c r="D4768" i="1"/>
  <c r="A4769" i="1"/>
  <c r="B4769" i="1"/>
  <c r="C4769" i="1"/>
  <c r="D4769" i="1"/>
  <c r="A4770" i="1"/>
  <c r="B4770" i="1"/>
  <c r="C4770" i="1"/>
  <c r="D4770" i="1"/>
  <c r="A4771" i="1"/>
  <c r="B4771" i="1"/>
  <c r="C4771" i="1"/>
  <c r="D4771" i="1"/>
  <c r="A4772" i="1"/>
  <c r="B4772" i="1"/>
  <c r="C4772" i="1"/>
  <c r="D4772" i="1"/>
  <c r="A4773" i="1"/>
  <c r="B4773" i="1"/>
  <c r="C4773" i="1"/>
  <c r="D4773" i="1"/>
  <c r="A4774" i="1"/>
  <c r="B4774" i="1"/>
  <c r="C4774" i="1"/>
  <c r="D4774" i="1"/>
  <c r="A4775" i="1"/>
  <c r="B4775" i="1"/>
  <c r="C4775" i="1"/>
  <c r="D4775" i="1"/>
  <c r="A4776" i="1"/>
  <c r="B4776" i="1"/>
  <c r="C4776" i="1"/>
  <c r="D4776" i="1"/>
  <c r="A4777" i="1"/>
  <c r="B4777" i="1"/>
  <c r="C4777" i="1"/>
  <c r="D4777" i="1"/>
  <c r="A4778" i="1"/>
  <c r="B4778" i="1"/>
  <c r="C4778" i="1"/>
  <c r="D4778" i="1"/>
  <c r="A4779" i="1"/>
  <c r="B4779" i="1"/>
  <c r="C4779" i="1"/>
  <c r="D4779" i="1"/>
  <c r="A4780" i="1"/>
  <c r="B4780" i="1"/>
  <c r="C4780" i="1"/>
  <c r="D4780" i="1"/>
  <c r="A4781" i="1"/>
  <c r="B4781" i="1"/>
  <c r="C4781" i="1"/>
  <c r="D4781" i="1"/>
  <c r="A4782" i="1"/>
  <c r="B4782" i="1"/>
  <c r="C4782" i="1"/>
  <c r="D4782" i="1"/>
  <c r="A4783" i="1"/>
  <c r="B4783" i="1"/>
  <c r="C4783" i="1"/>
  <c r="D4783" i="1"/>
  <c r="A4784" i="1"/>
  <c r="B4784" i="1"/>
  <c r="C4784" i="1"/>
  <c r="D4784" i="1"/>
  <c r="A4785" i="1"/>
  <c r="B4785" i="1"/>
  <c r="C4785" i="1"/>
  <c r="D4785" i="1"/>
  <c r="A4786" i="1"/>
  <c r="B4786" i="1"/>
  <c r="C4786" i="1"/>
  <c r="D4786" i="1"/>
  <c r="A4787" i="1"/>
  <c r="B4787" i="1"/>
  <c r="C4787" i="1"/>
  <c r="D4787" i="1"/>
  <c r="A4788" i="1"/>
  <c r="B4788" i="1"/>
  <c r="C4788" i="1"/>
  <c r="D4788" i="1"/>
  <c r="A4789" i="1"/>
  <c r="B4789" i="1"/>
  <c r="C4789" i="1"/>
  <c r="D4789" i="1"/>
  <c r="A4790" i="1"/>
  <c r="B4790" i="1"/>
  <c r="C4790" i="1"/>
  <c r="D4790" i="1"/>
  <c r="A4791" i="1"/>
  <c r="B4791" i="1"/>
  <c r="C4791" i="1"/>
  <c r="D4791" i="1"/>
  <c r="A4792" i="1"/>
  <c r="B4792" i="1"/>
  <c r="C4792" i="1"/>
  <c r="D4792" i="1"/>
  <c r="A4793" i="1"/>
  <c r="B4793" i="1"/>
  <c r="C4793" i="1"/>
  <c r="D4793" i="1"/>
  <c r="A4794" i="1"/>
  <c r="B4794" i="1"/>
  <c r="C4794" i="1"/>
  <c r="D4794" i="1"/>
  <c r="A4795" i="1"/>
  <c r="B4795" i="1"/>
  <c r="C4795" i="1"/>
  <c r="D4795" i="1"/>
  <c r="A4796" i="1"/>
  <c r="B4796" i="1"/>
  <c r="C4796" i="1"/>
  <c r="D4796" i="1"/>
  <c r="A4797" i="1"/>
  <c r="B4797" i="1"/>
  <c r="C4797" i="1"/>
  <c r="D4797" i="1"/>
  <c r="A4798" i="1"/>
  <c r="B4798" i="1"/>
  <c r="C4798" i="1"/>
  <c r="D4798" i="1"/>
  <c r="A4799" i="1"/>
  <c r="B4799" i="1"/>
  <c r="C4799" i="1"/>
  <c r="D4799" i="1"/>
  <c r="A4800" i="1"/>
  <c r="B4800" i="1"/>
  <c r="C4800" i="1"/>
  <c r="D4800" i="1"/>
  <c r="A4801" i="1"/>
  <c r="B4801" i="1"/>
  <c r="C4801" i="1"/>
  <c r="D4801" i="1"/>
  <c r="A4802" i="1"/>
  <c r="B4802" i="1"/>
  <c r="C4802" i="1"/>
  <c r="D4802" i="1"/>
  <c r="A4803" i="1"/>
  <c r="B4803" i="1"/>
  <c r="C4803" i="1"/>
  <c r="D4803" i="1"/>
  <c r="A4804" i="1"/>
  <c r="B4804" i="1"/>
  <c r="C4804" i="1"/>
  <c r="D4804" i="1"/>
  <c r="A4805" i="1"/>
  <c r="B4805" i="1"/>
  <c r="C4805" i="1"/>
  <c r="D4805" i="1"/>
  <c r="A4806" i="1"/>
  <c r="B4806" i="1"/>
  <c r="C4806" i="1"/>
  <c r="D4806" i="1"/>
  <c r="A4807" i="1"/>
  <c r="B4807" i="1"/>
  <c r="C4807" i="1"/>
  <c r="D4807" i="1"/>
  <c r="A4808" i="1"/>
  <c r="B4808" i="1"/>
  <c r="C4808" i="1"/>
  <c r="D4808" i="1"/>
  <c r="A4809" i="1"/>
  <c r="B4809" i="1"/>
  <c r="C4809" i="1"/>
  <c r="D4809" i="1"/>
  <c r="A4810" i="1"/>
  <c r="B4810" i="1"/>
  <c r="C4810" i="1"/>
  <c r="D4810" i="1"/>
  <c r="A4811" i="1"/>
  <c r="B4811" i="1"/>
  <c r="C4811" i="1"/>
  <c r="D4811" i="1"/>
  <c r="A4812" i="1"/>
  <c r="B4812" i="1"/>
  <c r="C4812" i="1"/>
  <c r="D4812" i="1"/>
  <c r="A4813" i="1"/>
  <c r="B4813" i="1"/>
  <c r="C4813" i="1"/>
  <c r="D4813" i="1"/>
  <c r="A4814" i="1"/>
  <c r="B4814" i="1"/>
  <c r="C4814" i="1"/>
  <c r="D4814" i="1"/>
  <c r="A4815" i="1"/>
  <c r="B4815" i="1"/>
  <c r="C4815" i="1"/>
  <c r="D4815" i="1"/>
  <c r="A4816" i="1"/>
  <c r="B4816" i="1"/>
  <c r="C4816" i="1"/>
  <c r="D4816" i="1"/>
  <c r="A4817" i="1"/>
  <c r="B4817" i="1"/>
  <c r="C4817" i="1"/>
  <c r="D4817" i="1"/>
  <c r="A4818" i="1"/>
  <c r="B4818" i="1"/>
  <c r="C4818" i="1"/>
  <c r="D4818" i="1"/>
  <c r="A4819" i="1"/>
  <c r="B4819" i="1"/>
  <c r="C4819" i="1"/>
  <c r="D4819" i="1"/>
  <c r="A4820" i="1"/>
  <c r="B4820" i="1"/>
  <c r="C4820" i="1"/>
  <c r="D4820" i="1"/>
  <c r="A4821" i="1"/>
  <c r="B4821" i="1"/>
  <c r="C4821" i="1"/>
  <c r="D4821" i="1"/>
  <c r="A4822" i="1"/>
  <c r="B4822" i="1"/>
  <c r="C4822" i="1"/>
  <c r="D4822" i="1"/>
  <c r="A4823" i="1"/>
  <c r="B4823" i="1"/>
  <c r="C4823" i="1"/>
  <c r="D4823" i="1"/>
  <c r="A4824" i="1"/>
  <c r="B4824" i="1"/>
  <c r="C4824" i="1"/>
  <c r="D4824" i="1"/>
  <c r="A4825" i="1"/>
  <c r="B4825" i="1"/>
  <c r="C4825" i="1"/>
  <c r="D4825" i="1"/>
  <c r="A4826" i="1"/>
  <c r="B4826" i="1"/>
  <c r="C4826" i="1"/>
  <c r="D4826" i="1"/>
  <c r="A4827" i="1"/>
  <c r="B4827" i="1"/>
  <c r="C4827" i="1"/>
  <c r="D4827" i="1"/>
  <c r="A4828" i="1"/>
  <c r="B4828" i="1"/>
  <c r="C4828" i="1"/>
  <c r="D4828" i="1"/>
  <c r="A4829" i="1"/>
  <c r="B4829" i="1"/>
  <c r="C4829" i="1"/>
  <c r="D4829" i="1"/>
  <c r="A4830" i="1"/>
  <c r="B4830" i="1"/>
  <c r="C4830" i="1"/>
  <c r="D4830" i="1"/>
  <c r="A4831" i="1"/>
  <c r="B4831" i="1"/>
  <c r="C4831" i="1"/>
  <c r="D4831" i="1"/>
  <c r="A4832" i="1"/>
  <c r="B4832" i="1"/>
  <c r="C4832" i="1"/>
  <c r="D4832" i="1"/>
  <c r="A4833" i="1"/>
  <c r="B4833" i="1"/>
  <c r="C4833" i="1"/>
  <c r="D4833" i="1"/>
  <c r="A4834" i="1"/>
  <c r="B4834" i="1"/>
  <c r="C4834" i="1"/>
  <c r="D4834" i="1"/>
  <c r="A4835" i="1"/>
  <c r="B4835" i="1"/>
  <c r="C4835" i="1"/>
  <c r="D4835" i="1"/>
  <c r="A4836" i="1"/>
  <c r="B4836" i="1"/>
  <c r="C4836" i="1"/>
  <c r="D4836" i="1"/>
  <c r="A4837" i="1"/>
  <c r="B4837" i="1"/>
  <c r="C4837" i="1"/>
  <c r="D4837" i="1"/>
  <c r="A4838" i="1"/>
  <c r="B4838" i="1"/>
  <c r="C4838" i="1"/>
  <c r="D4838" i="1"/>
  <c r="A4839" i="1"/>
  <c r="B4839" i="1"/>
  <c r="C4839" i="1"/>
  <c r="D4839" i="1"/>
  <c r="A4840" i="1"/>
  <c r="B4840" i="1"/>
  <c r="C4840" i="1"/>
  <c r="D4840" i="1"/>
  <c r="A4841" i="1"/>
  <c r="B4841" i="1"/>
  <c r="C4841" i="1"/>
  <c r="D4841" i="1"/>
  <c r="A4842" i="1"/>
  <c r="B4842" i="1"/>
  <c r="C4842" i="1"/>
  <c r="D4842" i="1"/>
  <c r="A4843" i="1"/>
  <c r="B4843" i="1"/>
  <c r="C4843" i="1"/>
  <c r="D4843" i="1"/>
  <c r="A4844" i="1"/>
  <c r="B4844" i="1"/>
  <c r="C4844" i="1"/>
  <c r="D4844" i="1"/>
  <c r="A4845" i="1"/>
  <c r="B4845" i="1"/>
  <c r="C4845" i="1"/>
  <c r="D4845" i="1"/>
  <c r="A4846" i="1"/>
  <c r="B4846" i="1"/>
  <c r="C4846" i="1"/>
  <c r="D4846" i="1"/>
  <c r="A4847" i="1"/>
  <c r="B4847" i="1"/>
  <c r="C4847" i="1"/>
  <c r="D4847" i="1"/>
  <c r="A4848" i="1"/>
  <c r="B4848" i="1"/>
  <c r="C4848" i="1"/>
  <c r="D4848" i="1"/>
  <c r="A4849" i="1"/>
  <c r="B4849" i="1"/>
  <c r="C4849" i="1"/>
  <c r="D4849" i="1"/>
  <c r="A4850" i="1"/>
  <c r="B4850" i="1"/>
  <c r="C4850" i="1"/>
  <c r="D4850" i="1"/>
  <c r="A4851" i="1"/>
  <c r="B4851" i="1"/>
  <c r="C4851" i="1"/>
  <c r="D4851" i="1"/>
  <c r="A4852" i="1"/>
  <c r="B4852" i="1"/>
  <c r="C4852" i="1"/>
  <c r="D4852" i="1"/>
  <c r="A4853" i="1"/>
  <c r="B4853" i="1"/>
  <c r="C4853" i="1"/>
  <c r="D4853" i="1"/>
  <c r="A4854" i="1"/>
  <c r="B4854" i="1"/>
  <c r="C4854" i="1"/>
  <c r="D4854" i="1"/>
  <c r="A4855" i="1"/>
  <c r="B4855" i="1"/>
  <c r="C4855" i="1"/>
  <c r="D4855" i="1"/>
  <c r="A4856" i="1"/>
  <c r="B4856" i="1"/>
  <c r="C4856" i="1"/>
  <c r="D4856" i="1"/>
  <c r="A4857" i="1"/>
  <c r="B4857" i="1"/>
  <c r="C4857" i="1"/>
  <c r="D4857" i="1"/>
  <c r="A4858" i="1"/>
  <c r="B4858" i="1"/>
  <c r="C4858" i="1"/>
  <c r="D4858" i="1"/>
  <c r="A4859" i="1"/>
  <c r="B4859" i="1"/>
  <c r="C4859" i="1"/>
  <c r="D4859" i="1"/>
  <c r="A4860" i="1"/>
  <c r="B4860" i="1"/>
  <c r="C4860" i="1"/>
  <c r="D4860" i="1"/>
  <c r="A4861" i="1"/>
  <c r="B4861" i="1"/>
  <c r="C4861" i="1"/>
  <c r="D4861" i="1"/>
  <c r="A4862" i="1"/>
  <c r="B4862" i="1"/>
  <c r="C4862" i="1"/>
  <c r="D4862" i="1"/>
  <c r="A4863" i="1"/>
  <c r="B4863" i="1"/>
  <c r="C4863" i="1"/>
  <c r="D4863" i="1"/>
  <c r="A4864" i="1"/>
  <c r="B4864" i="1"/>
  <c r="C4864" i="1"/>
  <c r="D4864" i="1"/>
  <c r="A4865" i="1"/>
  <c r="B4865" i="1"/>
  <c r="C4865" i="1"/>
  <c r="D4865" i="1"/>
  <c r="A4866" i="1"/>
  <c r="B4866" i="1"/>
  <c r="C4866" i="1"/>
  <c r="D4866" i="1"/>
  <c r="A4867" i="1"/>
  <c r="B4867" i="1"/>
  <c r="C4867" i="1"/>
  <c r="D4867" i="1"/>
  <c r="A4868" i="1"/>
  <c r="B4868" i="1"/>
  <c r="C4868" i="1"/>
  <c r="D4868" i="1"/>
  <c r="A4869" i="1"/>
  <c r="B4869" i="1"/>
  <c r="C4869" i="1"/>
  <c r="D4869" i="1"/>
  <c r="A4870" i="1"/>
  <c r="B4870" i="1"/>
  <c r="C4870" i="1"/>
  <c r="D4870" i="1"/>
  <c r="A4871" i="1"/>
  <c r="B4871" i="1"/>
  <c r="C4871" i="1"/>
  <c r="D4871" i="1"/>
  <c r="A4872" i="1"/>
  <c r="B4872" i="1"/>
  <c r="C4872" i="1"/>
  <c r="D4872" i="1"/>
  <c r="A4873" i="1"/>
  <c r="B4873" i="1"/>
  <c r="C4873" i="1"/>
  <c r="D4873" i="1"/>
  <c r="A4874" i="1"/>
  <c r="B4874" i="1"/>
  <c r="C4874" i="1"/>
  <c r="D4874" i="1"/>
  <c r="A4875" i="1"/>
  <c r="B4875" i="1"/>
  <c r="C4875" i="1"/>
  <c r="D4875" i="1"/>
  <c r="A4876" i="1"/>
  <c r="B4876" i="1"/>
  <c r="C4876" i="1"/>
  <c r="D4876" i="1"/>
  <c r="A4877" i="1"/>
  <c r="B4877" i="1"/>
  <c r="C4877" i="1"/>
  <c r="D4877" i="1"/>
  <c r="A4878" i="1"/>
  <c r="B4878" i="1"/>
  <c r="C4878" i="1"/>
  <c r="D4878" i="1"/>
  <c r="A4879" i="1"/>
  <c r="B4879" i="1"/>
  <c r="C4879" i="1"/>
  <c r="D4879" i="1"/>
  <c r="A4880" i="1"/>
  <c r="B4880" i="1"/>
  <c r="C4880" i="1"/>
  <c r="D4880" i="1"/>
  <c r="A4881" i="1"/>
  <c r="B4881" i="1"/>
  <c r="C4881" i="1"/>
  <c r="D4881" i="1"/>
  <c r="A4882" i="1"/>
  <c r="B4882" i="1"/>
  <c r="C4882" i="1"/>
  <c r="D4882" i="1"/>
  <c r="A4883" i="1"/>
  <c r="B4883" i="1"/>
  <c r="C4883" i="1"/>
  <c r="D4883" i="1"/>
  <c r="A4884" i="1"/>
  <c r="B4884" i="1"/>
  <c r="C4884" i="1"/>
  <c r="D4884" i="1"/>
  <c r="A4885" i="1"/>
  <c r="B4885" i="1"/>
  <c r="C4885" i="1"/>
  <c r="D4885" i="1"/>
  <c r="A4886" i="1"/>
  <c r="B4886" i="1"/>
  <c r="C4886" i="1"/>
  <c r="D4886" i="1"/>
  <c r="A4887" i="1"/>
  <c r="B4887" i="1"/>
  <c r="C4887" i="1"/>
  <c r="D4887" i="1"/>
  <c r="A4888" i="1"/>
  <c r="B4888" i="1"/>
  <c r="C4888" i="1"/>
  <c r="D4888" i="1"/>
  <c r="A4889" i="1"/>
  <c r="B4889" i="1"/>
  <c r="C4889" i="1"/>
  <c r="D4889" i="1"/>
  <c r="A4890" i="1"/>
  <c r="B4890" i="1"/>
  <c r="C4890" i="1"/>
  <c r="D4890" i="1"/>
  <c r="A4891" i="1"/>
  <c r="B4891" i="1"/>
  <c r="C4891" i="1"/>
  <c r="D4891" i="1"/>
  <c r="A4892" i="1"/>
  <c r="B4892" i="1"/>
  <c r="C4892" i="1"/>
  <c r="D4892" i="1"/>
  <c r="A4893" i="1"/>
  <c r="B4893" i="1"/>
  <c r="C4893" i="1"/>
  <c r="D4893" i="1"/>
  <c r="A4894" i="1"/>
  <c r="B4894" i="1"/>
  <c r="C4894" i="1"/>
  <c r="D4894" i="1"/>
  <c r="A4895" i="1"/>
  <c r="B4895" i="1"/>
  <c r="C4895" i="1"/>
  <c r="D4895" i="1"/>
  <c r="A4896" i="1"/>
  <c r="B4896" i="1"/>
  <c r="C4896" i="1"/>
  <c r="D4896" i="1"/>
  <c r="A4897" i="1"/>
  <c r="B4897" i="1"/>
  <c r="C4897" i="1"/>
  <c r="D4897" i="1"/>
  <c r="A4898" i="1"/>
  <c r="B4898" i="1"/>
  <c r="C4898" i="1"/>
  <c r="D4898" i="1"/>
  <c r="A4899" i="1"/>
  <c r="B4899" i="1"/>
  <c r="C4899" i="1"/>
  <c r="D4899" i="1"/>
  <c r="A4900" i="1"/>
  <c r="B4900" i="1"/>
  <c r="C4900" i="1"/>
  <c r="D4900" i="1"/>
  <c r="A4901" i="1"/>
  <c r="B4901" i="1"/>
  <c r="C4901" i="1"/>
  <c r="D4901" i="1"/>
  <c r="A4902" i="1"/>
  <c r="B4902" i="1"/>
  <c r="C4902" i="1"/>
  <c r="D4902" i="1"/>
  <c r="A4903" i="1"/>
  <c r="B4903" i="1"/>
  <c r="C4903" i="1"/>
  <c r="D4903" i="1"/>
  <c r="A4904" i="1"/>
  <c r="B4904" i="1"/>
  <c r="C4904" i="1"/>
  <c r="D4904" i="1"/>
  <c r="A4905" i="1"/>
  <c r="B4905" i="1"/>
  <c r="C4905" i="1"/>
  <c r="D4905" i="1"/>
  <c r="A4906" i="1"/>
  <c r="B4906" i="1"/>
  <c r="C4906" i="1"/>
  <c r="D4906" i="1"/>
  <c r="A4907" i="1"/>
  <c r="B4907" i="1"/>
  <c r="C4907" i="1"/>
  <c r="D4907" i="1"/>
  <c r="A4908" i="1"/>
  <c r="B4908" i="1"/>
  <c r="C4908" i="1"/>
  <c r="D4908" i="1"/>
  <c r="A4909" i="1"/>
  <c r="B4909" i="1"/>
  <c r="C4909" i="1"/>
  <c r="D4909" i="1"/>
  <c r="A4910" i="1"/>
  <c r="B4910" i="1"/>
  <c r="C4910" i="1"/>
  <c r="D4910" i="1"/>
  <c r="A4911" i="1"/>
  <c r="B4911" i="1"/>
  <c r="C4911" i="1"/>
  <c r="D4911" i="1"/>
  <c r="A4912" i="1"/>
  <c r="B4912" i="1"/>
  <c r="C4912" i="1"/>
  <c r="D4912" i="1"/>
  <c r="A4913" i="1"/>
  <c r="B4913" i="1"/>
  <c r="C4913" i="1"/>
  <c r="D4913" i="1"/>
  <c r="A4914" i="1"/>
  <c r="B4914" i="1"/>
  <c r="C4914" i="1"/>
  <c r="D4914" i="1"/>
  <c r="A4915" i="1"/>
  <c r="B4915" i="1"/>
  <c r="C4915" i="1"/>
  <c r="D4915" i="1"/>
  <c r="A4916" i="1"/>
  <c r="B4916" i="1"/>
  <c r="C4916" i="1"/>
  <c r="D4916" i="1"/>
  <c r="A4917" i="1"/>
  <c r="B4917" i="1"/>
  <c r="C4917" i="1"/>
  <c r="D4917" i="1"/>
  <c r="A4918" i="1"/>
  <c r="B4918" i="1"/>
  <c r="C4918" i="1"/>
  <c r="D4918" i="1"/>
  <c r="A4919" i="1"/>
  <c r="B4919" i="1"/>
  <c r="C4919" i="1"/>
  <c r="D4919" i="1"/>
  <c r="A4920" i="1"/>
  <c r="B4920" i="1"/>
  <c r="C4920" i="1"/>
  <c r="D4920" i="1"/>
  <c r="A4921" i="1"/>
  <c r="B4921" i="1"/>
  <c r="C4921" i="1"/>
  <c r="D4921" i="1"/>
  <c r="A4922" i="1"/>
  <c r="B4922" i="1"/>
  <c r="C4922" i="1"/>
  <c r="D4922" i="1"/>
  <c r="A4923" i="1"/>
  <c r="B4923" i="1"/>
  <c r="C4923" i="1"/>
  <c r="D4923" i="1"/>
  <c r="A4924" i="1"/>
  <c r="B4924" i="1"/>
  <c r="C4924" i="1"/>
  <c r="D4924" i="1"/>
  <c r="A4925" i="1"/>
  <c r="B4925" i="1"/>
  <c r="C4925" i="1"/>
  <c r="D4925" i="1"/>
  <c r="A4926" i="1"/>
  <c r="B4926" i="1"/>
  <c r="C4926" i="1"/>
  <c r="D4926" i="1"/>
  <c r="A4927" i="1"/>
  <c r="B4927" i="1"/>
  <c r="C4927" i="1"/>
  <c r="D4927" i="1"/>
  <c r="A4928" i="1"/>
  <c r="B4928" i="1"/>
  <c r="C4928" i="1"/>
  <c r="D4928" i="1"/>
  <c r="A4929" i="1"/>
  <c r="B4929" i="1"/>
  <c r="C4929" i="1"/>
  <c r="D4929" i="1"/>
  <c r="A4930" i="1"/>
  <c r="B4930" i="1"/>
  <c r="C4930" i="1"/>
  <c r="D4930" i="1"/>
  <c r="A4931" i="1"/>
  <c r="B4931" i="1"/>
  <c r="C4931" i="1"/>
  <c r="D4931" i="1"/>
  <c r="A4932" i="1"/>
  <c r="B4932" i="1"/>
  <c r="C4932" i="1"/>
  <c r="D4932" i="1"/>
  <c r="A4933" i="1"/>
  <c r="B4933" i="1"/>
  <c r="C4933" i="1"/>
  <c r="D4933" i="1"/>
  <c r="A4934" i="1"/>
  <c r="B4934" i="1"/>
  <c r="C4934" i="1"/>
  <c r="D4934" i="1"/>
  <c r="A4935" i="1"/>
  <c r="B4935" i="1"/>
  <c r="C4935" i="1"/>
  <c r="D4935" i="1"/>
  <c r="A4936" i="1"/>
  <c r="B4936" i="1"/>
  <c r="C4936" i="1"/>
  <c r="D4936" i="1"/>
  <c r="A4937" i="1"/>
  <c r="B4937" i="1"/>
  <c r="C4937" i="1"/>
  <c r="D4937" i="1"/>
  <c r="A4938" i="1"/>
  <c r="B4938" i="1"/>
  <c r="C4938" i="1"/>
  <c r="D4938" i="1"/>
  <c r="A4939" i="1"/>
  <c r="B4939" i="1"/>
  <c r="C4939" i="1"/>
  <c r="D4939" i="1"/>
  <c r="A4940" i="1"/>
  <c r="B4940" i="1"/>
  <c r="C4940" i="1"/>
  <c r="D4940" i="1"/>
  <c r="A4941" i="1"/>
  <c r="B4941" i="1"/>
  <c r="C4941" i="1"/>
  <c r="D4941" i="1"/>
  <c r="A4942" i="1"/>
  <c r="B4942" i="1"/>
  <c r="C4942" i="1"/>
  <c r="D4942" i="1"/>
  <c r="A4943" i="1"/>
  <c r="B4943" i="1"/>
  <c r="C4943" i="1"/>
  <c r="D4943" i="1"/>
  <c r="A4944" i="1"/>
  <c r="B4944" i="1"/>
  <c r="C4944" i="1"/>
  <c r="D4944" i="1"/>
  <c r="A4945" i="1"/>
  <c r="B4945" i="1"/>
  <c r="C4945" i="1"/>
  <c r="D4945" i="1"/>
  <c r="A4946" i="1"/>
  <c r="B4946" i="1"/>
  <c r="C4946" i="1"/>
  <c r="D4946" i="1"/>
  <c r="A4947" i="1"/>
  <c r="B4947" i="1"/>
  <c r="C4947" i="1"/>
  <c r="D4947" i="1"/>
  <c r="A4948" i="1"/>
  <c r="B4948" i="1"/>
  <c r="C4948" i="1"/>
  <c r="D4948" i="1"/>
  <c r="A4949" i="1"/>
  <c r="B4949" i="1"/>
  <c r="C4949" i="1"/>
  <c r="D4949" i="1"/>
  <c r="A4950" i="1"/>
  <c r="B4950" i="1"/>
  <c r="C4950" i="1"/>
  <c r="D4950" i="1"/>
  <c r="A4951" i="1"/>
  <c r="B4951" i="1"/>
  <c r="C4951" i="1"/>
  <c r="D4951" i="1"/>
  <c r="A4952" i="1"/>
  <c r="B4952" i="1"/>
  <c r="C4952" i="1"/>
  <c r="D4952" i="1"/>
  <c r="A4953" i="1"/>
  <c r="B4953" i="1"/>
  <c r="C4953" i="1"/>
  <c r="D4953" i="1"/>
  <c r="A4954" i="1"/>
  <c r="B4954" i="1"/>
  <c r="C4954" i="1"/>
  <c r="D4954" i="1"/>
  <c r="A4955" i="1"/>
  <c r="B4955" i="1"/>
  <c r="C4955" i="1"/>
  <c r="D4955" i="1"/>
  <c r="A4956" i="1"/>
  <c r="B4956" i="1"/>
  <c r="C4956" i="1"/>
  <c r="D4956" i="1"/>
  <c r="A4957" i="1"/>
  <c r="B4957" i="1"/>
  <c r="C4957" i="1"/>
  <c r="D4957" i="1"/>
  <c r="A4958" i="1"/>
  <c r="B4958" i="1"/>
  <c r="C4958" i="1"/>
  <c r="D4958" i="1"/>
  <c r="A4959" i="1"/>
  <c r="B4959" i="1"/>
  <c r="C4959" i="1"/>
  <c r="D4959" i="1"/>
  <c r="A4960" i="1"/>
  <c r="B4960" i="1"/>
  <c r="C4960" i="1"/>
  <c r="D4960" i="1"/>
  <c r="A4961" i="1"/>
  <c r="B4961" i="1"/>
  <c r="C4961" i="1"/>
  <c r="D4961" i="1"/>
  <c r="A4962" i="1"/>
  <c r="B4962" i="1"/>
  <c r="C4962" i="1"/>
  <c r="D4962" i="1"/>
  <c r="A4963" i="1"/>
  <c r="B4963" i="1"/>
  <c r="C4963" i="1"/>
  <c r="D4963" i="1"/>
  <c r="A4964" i="1"/>
  <c r="B4964" i="1"/>
  <c r="C4964" i="1"/>
  <c r="D4964" i="1"/>
  <c r="A4965" i="1"/>
  <c r="B4965" i="1"/>
  <c r="C4965" i="1"/>
  <c r="D4965" i="1"/>
  <c r="A4966" i="1"/>
  <c r="B4966" i="1"/>
  <c r="C4966" i="1"/>
  <c r="D4966" i="1"/>
  <c r="A4967" i="1"/>
  <c r="B4967" i="1"/>
  <c r="C4967" i="1"/>
  <c r="D4967" i="1"/>
  <c r="A4968" i="1"/>
  <c r="B4968" i="1"/>
  <c r="C4968" i="1"/>
  <c r="D4968" i="1"/>
  <c r="A4969" i="1"/>
  <c r="B4969" i="1"/>
  <c r="C4969" i="1"/>
  <c r="D4969" i="1"/>
  <c r="A4970" i="1"/>
  <c r="B4970" i="1"/>
  <c r="C4970" i="1"/>
  <c r="D4970" i="1"/>
  <c r="A4971" i="1"/>
  <c r="B4971" i="1"/>
  <c r="C4971" i="1"/>
  <c r="D4971" i="1"/>
  <c r="A4972" i="1"/>
  <c r="B4972" i="1"/>
  <c r="C4972" i="1"/>
  <c r="D4972" i="1"/>
  <c r="A4973" i="1"/>
  <c r="B4973" i="1"/>
  <c r="C4973" i="1"/>
  <c r="D4973" i="1"/>
  <c r="A4974" i="1"/>
  <c r="B4974" i="1"/>
  <c r="C4974" i="1"/>
  <c r="D4974" i="1"/>
  <c r="A4975" i="1"/>
  <c r="B4975" i="1"/>
  <c r="C4975" i="1"/>
  <c r="D4975" i="1"/>
  <c r="A4976" i="1"/>
  <c r="B4976" i="1"/>
  <c r="C4976" i="1"/>
  <c r="D4976" i="1"/>
  <c r="A4977" i="1"/>
  <c r="B4977" i="1"/>
  <c r="C4977" i="1"/>
  <c r="D4977" i="1"/>
  <c r="A4978" i="1"/>
  <c r="B4978" i="1"/>
  <c r="C4978" i="1"/>
  <c r="D4978" i="1"/>
  <c r="A4979" i="1"/>
  <c r="B4979" i="1"/>
  <c r="C4979" i="1"/>
  <c r="D4979" i="1"/>
  <c r="A4980" i="1"/>
  <c r="B4980" i="1"/>
  <c r="C4980" i="1"/>
  <c r="D4980" i="1"/>
  <c r="A4981" i="1"/>
  <c r="B4981" i="1"/>
  <c r="C4981" i="1"/>
  <c r="D4981" i="1"/>
  <c r="A4982" i="1"/>
  <c r="B4982" i="1"/>
  <c r="C4982" i="1"/>
  <c r="D4982" i="1"/>
  <c r="A4983" i="1"/>
  <c r="B4983" i="1"/>
  <c r="C4983" i="1"/>
  <c r="D4983" i="1"/>
  <c r="A4984" i="1"/>
  <c r="B4984" i="1"/>
  <c r="C4984" i="1"/>
  <c r="D4984" i="1"/>
  <c r="A4985" i="1"/>
  <c r="B4985" i="1"/>
  <c r="C4985" i="1"/>
  <c r="D4985" i="1"/>
  <c r="A4986" i="1"/>
  <c r="B4986" i="1"/>
  <c r="C4986" i="1"/>
  <c r="D4986" i="1"/>
  <c r="A4987" i="1"/>
  <c r="B4987" i="1"/>
  <c r="C4987" i="1"/>
  <c r="D4987" i="1"/>
  <c r="A4988" i="1"/>
  <c r="B4988" i="1"/>
  <c r="C4988" i="1"/>
  <c r="D4988" i="1"/>
  <c r="A4989" i="1"/>
  <c r="B4989" i="1"/>
  <c r="C4989" i="1"/>
  <c r="D4989" i="1"/>
  <c r="A4990" i="1"/>
  <c r="B4990" i="1"/>
  <c r="C4990" i="1"/>
  <c r="D4990" i="1"/>
  <c r="A4991" i="1"/>
  <c r="B4991" i="1"/>
  <c r="C4991" i="1"/>
  <c r="D4991" i="1"/>
  <c r="A4992" i="1"/>
  <c r="B4992" i="1"/>
  <c r="C4992" i="1"/>
  <c r="D4992" i="1"/>
  <c r="A4993" i="1"/>
  <c r="B4993" i="1"/>
  <c r="C4993" i="1"/>
  <c r="D4993" i="1"/>
  <c r="A4994" i="1"/>
  <c r="B4994" i="1"/>
  <c r="C4994" i="1"/>
  <c r="D4994" i="1"/>
  <c r="A4995" i="1"/>
  <c r="B4995" i="1"/>
  <c r="C4995" i="1"/>
  <c r="D4995" i="1"/>
  <c r="A4996" i="1"/>
  <c r="B4996" i="1"/>
  <c r="C4996" i="1"/>
  <c r="D4996" i="1"/>
  <c r="A4997" i="1"/>
  <c r="B4997" i="1"/>
  <c r="C4997" i="1"/>
  <c r="D4997" i="1"/>
  <c r="A4998" i="1"/>
  <c r="B4998" i="1"/>
  <c r="C4998" i="1"/>
  <c r="D4998" i="1"/>
  <c r="A4999" i="1"/>
  <c r="B4999" i="1"/>
  <c r="C4999" i="1"/>
  <c r="D4999" i="1"/>
  <c r="A5000" i="1"/>
  <c r="B5000" i="1"/>
  <c r="C5000" i="1"/>
  <c r="D5000" i="1"/>
  <c r="A5001" i="1"/>
  <c r="B5001" i="1"/>
  <c r="C5001" i="1"/>
  <c r="D5001" i="1"/>
  <c r="A5002" i="1"/>
  <c r="B5002" i="1"/>
  <c r="C5002" i="1"/>
  <c r="D5002" i="1"/>
  <c r="A5003" i="1"/>
  <c r="B5003" i="1"/>
  <c r="C5003" i="1"/>
  <c r="D5003" i="1"/>
  <c r="A5004" i="1"/>
  <c r="B5004" i="1"/>
  <c r="C5004" i="1"/>
  <c r="D5004" i="1"/>
  <c r="A5005" i="1"/>
  <c r="B5005" i="1"/>
  <c r="C5005" i="1"/>
  <c r="D5005" i="1"/>
  <c r="A5006" i="1"/>
  <c r="B5006" i="1"/>
  <c r="C5006" i="1"/>
  <c r="D5006" i="1"/>
  <c r="A5007" i="1"/>
  <c r="B5007" i="1"/>
  <c r="C5007" i="1"/>
  <c r="D5007" i="1"/>
  <c r="A5008" i="1"/>
  <c r="B5008" i="1"/>
  <c r="C5008" i="1"/>
  <c r="D5008" i="1"/>
  <c r="A5009" i="1"/>
  <c r="B5009" i="1"/>
  <c r="C5009" i="1"/>
  <c r="D5009" i="1"/>
  <c r="A5010" i="1"/>
  <c r="B5010" i="1"/>
  <c r="C5010" i="1"/>
  <c r="D5010" i="1"/>
  <c r="A5011" i="1"/>
  <c r="B5011" i="1"/>
  <c r="C5011" i="1"/>
  <c r="D5011" i="1"/>
  <c r="A5012" i="1"/>
  <c r="B5012" i="1"/>
  <c r="C5012" i="1"/>
  <c r="D5012" i="1"/>
  <c r="A5013" i="1"/>
  <c r="B5013" i="1"/>
  <c r="C5013" i="1"/>
  <c r="D5013" i="1"/>
  <c r="A5014" i="1"/>
  <c r="B5014" i="1"/>
  <c r="C5014" i="1"/>
  <c r="D5014" i="1"/>
  <c r="A5015" i="1"/>
  <c r="B5015" i="1"/>
  <c r="C5015" i="1"/>
  <c r="D5015" i="1"/>
  <c r="A5016" i="1"/>
  <c r="B5016" i="1"/>
  <c r="C5016" i="1"/>
  <c r="D5016" i="1"/>
  <c r="A5017" i="1"/>
  <c r="B5017" i="1"/>
  <c r="C5017" i="1"/>
  <c r="D5017" i="1"/>
  <c r="A5018" i="1"/>
  <c r="B5018" i="1"/>
  <c r="C5018" i="1"/>
  <c r="D5018" i="1"/>
  <c r="A5019" i="1"/>
  <c r="B5019" i="1"/>
  <c r="C5019" i="1"/>
  <c r="D5019" i="1"/>
  <c r="A5020" i="1"/>
  <c r="B5020" i="1"/>
  <c r="C5020" i="1"/>
  <c r="D5020" i="1"/>
  <c r="A5021" i="1"/>
  <c r="B5021" i="1"/>
  <c r="C5021" i="1"/>
  <c r="D5021" i="1"/>
  <c r="A5022" i="1"/>
  <c r="B5022" i="1"/>
  <c r="C5022" i="1"/>
  <c r="D5022" i="1"/>
  <c r="A5023" i="1"/>
  <c r="B5023" i="1"/>
  <c r="C5023" i="1"/>
  <c r="D5023" i="1"/>
  <c r="A5024" i="1"/>
  <c r="B5024" i="1"/>
  <c r="C5024" i="1"/>
  <c r="D5024" i="1"/>
  <c r="A5025" i="1"/>
  <c r="B5025" i="1"/>
  <c r="C5025" i="1"/>
  <c r="D5025" i="1"/>
  <c r="A5026" i="1"/>
  <c r="B5026" i="1"/>
  <c r="C5026" i="1"/>
  <c r="D5026" i="1"/>
  <c r="A5027" i="1"/>
  <c r="B5027" i="1"/>
  <c r="C5027" i="1"/>
  <c r="D5027" i="1"/>
  <c r="A5028" i="1"/>
  <c r="B5028" i="1"/>
  <c r="C5028" i="1"/>
  <c r="D5028" i="1"/>
  <c r="A5029" i="1"/>
  <c r="B5029" i="1"/>
  <c r="C5029" i="1"/>
  <c r="D5029" i="1"/>
  <c r="A5030" i="1"/>
  <c r="B5030" i="1"/>
  <c r="C5030" i="1"/>
  <c r="D5030" i="1"/>
  <c r="A5031" i="1"/>
  <c r="B5031" i="1"/>
  <c r="C5031" i="1"/>
  <c r="D5031" i="1"/>
  <c r="A5032" i="1"/>
  <c r="B5032" i="1"/>
  <c r="C5032" i="1"/>
  <c r="D5032" i="1"/>
  <c r="A5033" i="1"/>
  <c r="B5033" i="1"/>
  <c r="C5033" i="1"/>
  <c r="D5033" i="1"/>
  <c r="A5034" i="1"/>
  <c r="B5034" i="1"/>
  <c r="C5034" i="1"/>
  <c r="D5034" i="1"/>
  <c r="A5035" i="1"/>
  <c r="B5035" i="1"/>
  <c r="C5035" i="1"/>
  <c r="D5035" i="1"/>
  <c r="A5036" i="1"/>
  <c r="B5036" i="1"/>
  <c r="C5036" i="1"/>
  <c r="D5036" i="1"/>
  <c r="A5037" i="1"/>
  <c r="B5037" i="1"/>
  <c r="C5037" i="1"/>
  <c r="D5037" i="1"/>
  <c r="A5038" i="1"/>
  <c r="B5038" i="1"/>
  <c r="C5038" i="1"/>
  <c r="D5038" i="1"/>
  <c r="A5039" i="1"/>
  <c r="B5039" i="1"/>
  <c r="C5039" i="1"/>
  <c r="D5039" i="1"/>
  <c r="A5040" i="1"/>
  <c r="B5040" i="1"/>
  <c r="C5040" i="1"/>
  <c r="D5040" i="1"/>
  <c r="A5041" i="1"/>
  <c r="B5041" i="1"/>
  <c r="C5041" i="1"/>
  <c r="D5041" i="1"/>
  <c r="A5042" i="1"/>
  <c r="B5042" i="1"/>
  <c r="C5042" i="1"/>
  <c r="D5042" i="1"/>
  <c r="A5043" i="1"/>
  <c r="B5043" i="1"/>
  <c r="C5043" i="1"/>
  <c r="D5043" i="1"/>
  <c r="A5044" i="1"/>
  <c r="B5044" i="1"/>
  <c r="C5044" i="1"/>
  <c r="D5044" i="1"/>
  <c r="A5045" i="1"/>
  <c r="B5045" i="1"/>
  <c r="C5045" i="1"/>
  <c r="D5045" i="1"/>
  <c r="A5046" i="1"/>
  <c r="B5046" i="1"/>
  <c r="C5046" i="1"/>
  <c r="D5046" i="1"/>
  <c r="A5047" i="1"/>
  <c r="B5047" i="1"/>
  <c r="C5047" i="1"/>
  <c r="D5047" i="1"/>
  <c r="A5048" i="1"/>
  <c r="B5048" i="1"/>
  <c r="C5048" i="1"/>
  <c r="D5048" i="1"/>
  <c r="A5049" i="1"/>
  <c r="B5049" i="1"/>
  <c r="C5049" i="1"/>
  <c r="D5049" i="1"/>
  <c r="A5050" i="1"/>
  <c r="B5050" i="1"/>
  <c r="C5050" i="1"/>
  <c r="D5050" i="1"/>
  <c r="A5051" i="1"/>
  <c r="B5051" i="1"/>
  <c r="C5051" i="1"/>
  <c r="D5051" i="1"/>
  <c r="A5052" i="1"/>
  <c r="B5052" i="1"/>
  <c r="C5052" i="1"/>
  <c r="D5052" i="1"/>
  <c r="A5053" i="1"/>
  <c r="B5053" i="1"/>
  <c r="C5053" i="1"/>
  <c r="D5053" i="1"/>
  <c r="A5054" i="1"/>
  <c r="B5054" i="1"/>
  <c r="C5054" i="1"/>
  <c r="D5054" i="1"/>
  <c r="A5055" i="1"/>
  <c r="B5055" i="1"/>
  <c r="C5055" i="1"/>
  <c r="D5055" i="1"/>
  <c r="A5056" i="1"/>
  <c r="B5056" i="1"/>
  <c r="C5056" i="1"/>
  <c r="D5056" i="1"/>
  <c r="A5057" i="1"/>
  <c r="B5057" i="1"/>
  <c r="C5057" i="1"/>
  <c r="D5057" i="1"/>
  <c r="A5058" i="1"/>
  <c r="B5058" i="1"/>
  <c r="C5058" i="1"/>
  <c r="D5058" i="1"/>
  <c r="A5059" i="1"/>
  <c r="B5059" i="1"/>
  <c r="C5059" i="1"/>
  <c r="D5059" i="1"/>
  <c r="A5060" i="1"/>
  <c r="B5060" i="1"/>
  <c r="C5060" i="1"/>
  <c r="D5060" i="1"/>
  <c r="A5061" i="1"/>
  <c r="B5061" i="1"/>
  <c r="C5061" i="1"/>
  <c r="D5061" i="1"/>
  <c r="A5062" i="1"/>
  <c r="B5062" i="1"/>
  <c r="C5062" i="1"/>
  <c r="D5062" i="1"/>
  <c r="A5063" i="1"/>
  <c r="B5063" i="1"/>
  <c r="C5063" i="1"/>
  <c r="D5063" i="1"/>
  <c r="A5064" i="1"/>
  <c r="B5064" i="1"/>
  <c r="C5064" i="1"/>
  <c r="D5064" i="1"/>
  <c r="A5065" i="1"/>
  <c r="B5065" i="1"/>
  <c r="C5065" i="1"/>
  <c r="D5065" i="1"/>
  <c r="A5066" i="1"/>
  <c r="B5066" i="1"/>
  <c r="C5066" i="1"/>
  <c r="D5066" i="1"/>
  <c r="A5067" i="1"/>
  <c r="B5067" i="1"/>
  <c r="C5067" i="1"/>
  <c r="D5067" i="1"/>
  <c r="A5068" i="1"/>
  <c r="B5068" i="1"/>
  <c r="C5068" i="1"/>
  <c r="D5068" i="1"/>
  <c r="A5069" i="1"/>
  <c r="B5069" i="1"/>
  <c r="C5069" i="1"/>
  <c r="D5069" i="1"/>
  <c r="A5070" i="1"/>
  <c r="B5070" i="1"/>
  <c r="C5070" i="1"/>
  <c r="D5070" i="1"/>
  <c r="A5071" i="1"/>
  <c r="B5071" i="1"/>
  <c r="C5071" i="1"/>
  <c r="D5071" i="1"/>
  <c r="A5072" i="1"/>
  <c r="B5072" i="1"/>
  <c r="C5072" i="1"/>
  <c r="D5072" i="1"/>
  <c r="A5073" i="1"/>
  <c r="B5073" i="1"/>
  <c r="C5073" i="1"/>
  <c r="D5073" i="1"/>
  <c r="A5074" i="1"/>
  <c r="B5074" i="1"/>
  <c r="C5074" i="1"/>
  <c r="D5074" i="1"/>
  <c r="A5075" i="1"/>
  <c r="B5075" i="1"/>
  <c r="C5075" i="1"/>
  <c r="D5075" i="1"/>
  <c r="A5076" i="1"/>
  <c r="B5076" i="1"/>
  <c r="C5076" i="1"/>
  <c r="D5076" i="1"/>
  <c r="A5077" i="1"/>
  <c r="B5077" i="1"/>
  <c r="C5077" i="1"/>
  <c r="D5077" i="1"/>
  <c r="A5078" i="1"/>
  <c r="B5078" i="1"/>
  <c r="C5078" i="1"/>
  <c r="D5078" i="1"/>
  <c r="A5079" i="1"/>
  <c r="B5079" i="1"/>
  <c r="C5079" i="1"/>
  <c r="D5079" i="1"/>
  <c r="A5080" i="1"/>
  <c r="B5080" i="1"/>
  <c r="C5080" i="1"/>
  <c r="D5080" i="1"/>
  <c r="A5081" i="1"/>
  <c r="B5081" i="1"/>
  <c r="C5081" i="1"/>
  <c r="D5081" i="1"/>
  <c r="A5082" i="1"/>
  <c r="B5082" i="1"/>
  <c r="C5082" i="1"/>
  <c r="D5082" i="1"/>
  <c r="A5083" i="1"/>
  <c r="B5083" i="1"/>
  <c r="C5083" i="1"/>
  <c r="D5083" i="1"/>
  <c r="A5084" i="1"/>
  <c r="B5084" i="1"/>
  <c r="C5084" i="1"/>
  <c r="D5084" i="1"/>
  <c r="A5085" i="1"/>
  <c r="B5085" i="1"/>
  <c r="C5085" i="1"/>
  <c r="D5085" i="1"/>
  <c r="A5086" i="1"/>
  <c r="B5086" i="1"/>
  <c r="C5086" i="1"/>
  <c r="D5086" i="1"/>
  <c r="A5087" i="1"/>
  <c r="B5087" i="1"/>
  <c r="C5087" i="1"/>
  <c r="D5087" i="1"/>
  <c r="A5088" i="1"/>
  <c r="B5088" i="1"/>
  <c r="C5088" i="1"/>
  <c r="D5088" i="1"/>
  <c r="A5089" i="1"/>
  <c r="B5089" i="1"/>
  <c r="C5089" i="1"/>
  <c r="D5089" i="1"/>
  <c r="A5090" i="1"/>
  <c r="B5090" i="1"/>
  <c r="C5090" i="1"/>
  <c r="D5090" i="1"/>
  <c r="A5091" i="1"/>
  <c r="B5091" i="1"/>
  <c r="C5091" i="1"/>
  <c r="D5091" i="1"/>
  <c r="A5092" i="1"/>
  <c r="B5092" i="1"/>
  <c r="C5092" i="1"/>
  <c r="D5092" i="1"/>
  <c r="A5093" i="1"/>
  <c r="B5093" i="1"/>
  <c r="C5093" i="1"/>
  <c r="D5093" i="1"/>
  <c r="A5094" i="1"/>
  <c r="B5094" i="1"/>
  <c r="C5094" i="1"/>
  <c r="D5094" i="1"/>
  <c r="A5095" i="1"/>
  <c r="B5095" i="1"/>
  <c r="C5095" i="1"/>
  <c r="D5095" i="1"/>
  <c r="A5096" i="1"/>
  <c r="B5096" i="1"/>
  <c r="C5096" i="1"/>
  <c r="D5096" i="1"/>
  <c r="A5097" i="1"/>
  <c r="B5097" i="1"/>
  <c r="C5097" i="1"/>
  <c r="D5097" i="1"/>
  <c r="A5098" i="1"/>
  <c r="B5098" i="1"/>
  <c r="C5098" i="1"/>
  <c r="D5098" i="1"/>
  <c r="A5099" i="1"/>
  <c r="B5099" i="1"/>
  <c r="C5099" i="1"/>
  <c r="D5099" i="1"/>
  <c r="A5100" i="1"/>
  <c r="B5100" i="1"/>
  <c r="C5100" i="1"/>
  <c r="D5100" i="1"/>
  <c r="A5101" i="1"/>
  <c r="B5101" i="1"/>
  <c r="C5101" i="1"/>
  <c r="D5101" i="1"/>
  <c r="A5102" i="1"/>
  <c r="B5102" i="1"/>
  <c r="C5102" i="1"/>
  <c r="D5102" i="1"/>
  <c r="A5103" i="1"/>
  <c r="B5103" i="1"/>
  <c r="C5103" i="1"/>
  <c r="D5103" i="1"/>
  <c r="A5104" i="1"/>
  <c r="B5104" i="1"/>
  <c r="C5104" i="1"/>
  <c r="D5104" i="1"/>
  <c r="A5105" i="1"/>
  <c r="B5105" i="1"/>
  <c r="C5105" i="1"/>
  <c r="D5105" i="1"/>
  <c r="A5106" i="1"/>
  <c r="B5106" i="1"/>
  <c r="C5106" i="1"/>
  <c r="D5106" i="1"/>
  <c r="A5107" i="1"/>
  <c r="B5107" i="1"/>
  <c r="C5107" i="1"/>
  <c r="D5107" i="1"/>
  <c r="A5108" i="1"/>
  <c r="B5108" i="1"/>
  <c r="C5108" i="1"/>
  <c r="D5108" i="1"/>
  <c r="A5109" i="1"/>
  <c r="B5109" i="1"/>
  <c r="C5109" i="1"/>
  <c r="D5109" i="1"/>
  <c r="A5110" i="1"/>
  <c r="B5110" i="1"/>
  <c r="C5110" i="1"/>
  <c r="D5110" i="1"/>
  <c r="A5111" i="1"/>
  <c r="B5111" i="1"/>
  <c r="C5111" i="1"/>
  <c r="D5111" i="1"/>
  <c r="A5112" i="1"/>
  <c r="B5112" i="1"/>
  <c r="C5112" i="1"/>
  <c r="D5112" i="1"/>
  <c r="A5113" i="1"/>
  <c r="B5113" i="1"/>
  <c r="C5113" i="1"/>
  <c r="D5113" i="1"/>
  <c r="A5114" i="1"/>
  <c r="B5114" i="1"/>
  <c r="C5114" i="1"/>
  <c r="D5114" i="1"/>
  <c r="A5115" i="1"/>
  <c r="B5115" i="1"/>
  <c r="C5115" i="1"/>
  <c r="D5115" i="1"/>
  <c r="A5116" i="1"/>
  <c r="B5116" i="1"/>
  <c r="C5116" i="1"/>
  <c r="D5116" i="1"/>
  <c r="A5117" i="1"/>
  <c r="B5117" i="1"/>
  <c r="C5117" i="1"/>
  <c r="D5117" i="1"/>
  <c r="A5118" i="1"/>
  <c r="B5118" i="1"/>
  <c r="C5118" i="1"/>
  <c r="D5118" i="1"/>
  <c r="A5119" i="1"/>
  <c r="B5119" i="1"/>
  <c r="C5119" i="1"/>
  <c r="D5119" i="1"/>
  <c r="A5120" i="1"/>
  <c r="B5120" i="1"/>
  <c r="C5120" i="1"/>
  <c r="D5120" i="1"/>
  <c r="A5121" i="1"/>
  <c r="B5121" i="1"/>
  <c r="C5121" i="1"/>
  <c r="D5121" i="1"/>
  <c r="A5122" i="1"/>
  <c r="B5122" i="1"/>
  <c r="C5122" i="1"/>
  <c r="D5122" i="1"/>
  <c r="A5123" i="1"/>
  <c r="B5123" i="1"/>
  <c r="C5123" i="1"/>
  <c r="D5123" i="1"/>
  <c r="A5124" i="1"/>
  <c r="B5124" i="1"/>
  <c r="C5124" i="1"/>
  <c r="D5124" i="1"/>
  <c r="A5125" i="1"/>
  <c r="B5125" i="1"/>
  <c r="C5125" i="1"/>
  <c r="D5125" i="1"/>
  <c r="A5126" i="1"/>
  <c r="B5126" i="1"/>
  <c r="C5126" i="1"/>
  <c r="D5126" i="1"/>
  <c r="A5127" i="1"/>
  <c r="B5127" i="1"/>
  <c r="C5127" i="1"/>
  <c r="D5127" i="1"/>
  <c r="A5128" i="1"/>
  <c r="B5128" i="1"/>
  <c r="C5128" i="1"/>
  <c r="D5128" i="1"/>
  <c r="A5129" i="1"/>
  <c r="B5129" i="1"/>
  <c r="C5129" i="1"/>
  <c r="D5129" i="1"/>
  <c r="A5130" i="1"/>
  <c r="B5130" i="1"/>
  <c r="C5130" i="1"/>
  <c r="D5130" i="1"/>
  <c r="A5131" i="1"/>
  <c r="B5131" i="1"/>
  <c r="C5131" i="1"/>
  <c r="D5131" i="1"/>
  <c r="A5132" i="1"/>
  <c r="B5132" i="1"/>
  <c r="C5132" i="1"/>
  <c r="D5132" i="1"/>
  <c r="A5133" i="1"/>
  <c r="B5133" i="1"/>
  <c r="C5133" i="1"/>
  <c r="D5133" i="1"/>
  <c r="A5134" i="1"/>
  <c r="B5134" i="1"/>
  <c r="C5134" i="1"/>
  <c r="D5134" i="1"/>
  <c r="A5135" i="1"/>
  <c r="B5135" i="1"/>
  <c r="C5135" i="1"/>
  <c r="D5135" i="1"/>
  <c r="A5136" i="1"/>
  <c r="B5136" i="1"/>
  <c r="C5136" i="1"/>
  <c r="D5136" i="1"/>
  <c r="A5137" i="1"/>
  <c r="B5137" i="1"/>
  <c r="C5137" i="1"/>
  <c r="D5137" i="1"/>
  <c r="A5138" i="1"/>
  <c r="B5138" i="1"/>
  <c r="C5138" i="1"/>
  <c r="D5138" i="1"/>
  <c r="A5139" i="1"/>
  <c r="B5139" i="1"/>
  <c r="C5139" i="1"/>
  <c r="D5139" i="1"/>
  <c r="A5140" i="1"/>
  <c r="B5140" i="1"/>
  <c r="C5140" i="1"/>
  <c r="D5140" i="1"/>
  <c r="A5141" i="1"/>
  <c r="B5141" i="1"/>
  <c r="C5141" i="1"/>
  <c r="D5141" i="1"/>
  <c r="A5142" i="1"/>
  <c r="B5142" i="1"/>
  <c r="C5142" i="1"/>
  <c r="D5142" i="1"/>
  <c r="A5143" i="1"/>
  <c r="B5143" i="1"/>
  <c r="C5143" i="1"/>
  <c r="D5143" i="1"/>
  <c r="A5144" i="1"/>
  <c r="B5144" i="1"/>
  <c r="C5144" i="1"/>
  <c r="D5144" i="1"/>
  <c r="A5145" i="1"/>
  <c r="B5145" i="1"/>
  <c r="C5145" i="1"/>
  <c r="D5145" i="1"/>
  <c r="A5146" i="1"/>
  <c r="B5146" i="1"/>
  <c r="C5146" i="1"/>
  <c r="D5146" i="1"/>
  <c r="A5147" i="1"/>
  <c r="B5147" i="1"/>
  <c r="C5147" i="1"/>
  <c r="D5147" i="1"/>
  <c r="A5148" i="1"/>
  <c r="B5148" i="1"/>
  <c r="C5148" i="1"/>
  <c r="D5148" i="1"/>
  <c r="A5149" i="1"/>
  <c r="B5149" i="1"/>
  <c r="C5149" i="1"/>
  <c r="D5149" i="1"/>
  <c r="A5150" i="1"/>
  <c r="B5150" i="1"/>
  <c r="C5150" i="1"/>
  <c r="D5150" i="1"/>
  <c r="A5151" i="1"/>
  <c r="B5151" i="1"/>
  <c r="C5151" i="1"/>
  <c r="D5151" i="1"/>
  <c r="A5152" i="1"/>
  <c r="B5152" i="1"/>
  <c r="C5152" i="1"/>
  <c r="D5152" i="1"/>
  <c r="A5153" i="1"/>
  <c r="B5153" i="1"/>
  <c r="C5153" i="1"/>
  <c r="D5153" i="1"/>
  <c r="A5154" i="1"/>
  <c r="B5154" i="1"/>
  <c r="C5154" i="1"/>
  <c r="D5154" i="1"/>
  <c r="A5155" i="1"/>
  <c r="B5155" i="1"/>
  <c r="C5155" i="1"/>
  <c r="D5155" i="1"/>
  <c r="A5156" i="1"/>
  <c r="B5156" i="1"/>
  <c r="C5156" i="1"/>
  <c r="D5156" i="1"/>
  <c r="A5157" i="1"/>
  <c r="B5157" i="1"/>
  <c r="C5157" i="1"/>
  <c r="D5157" i="1"/>
  <c r="A5158" i="1"/>
  <c r="B5158" i="1"/>
  <c r="C5158" i="1"/>
  <c r="D5158" i="1"/>
  <c r="A5159" i="1"/>
  <c r="B5159" i="1"/>
  <c r="C5159" i="1"/>
  <c r="D5159" i="1"/>
  <c r="A5160" i="1"/>
  <c r="B5160" i="1"/>
  <c r="C5160" i="1"/>
  <c r="D5160" i="1"/>
  <c r="A5161" i="1"/>
  <c r="B5161" i="1"/>
  <c r="C5161" i="1"/>
  <c r="D5161" i="1"/>
  <c r="A5162" i="1"/>
  <c r="B5162" i="1"/>
  <c r="C5162" i="1"/>
  <c r="D5162" i="1"/>
  <c r="A5163" i="1"/>
  <c r="B5163" i="1"/>
  <c r="C5163" i="1"/>
  <c r="D5163" i="1"/>
  <c r="A5164" i="1"/>
  <c r="B5164" i="1"/>
  <c r="C5164" i="1"/>
  <c r="D5164" i="1"/>
  <c r="A5165" i="1"/>
  <c r="B5165" i="1"/>
  <c r="C5165" i="1"/>
  <c r="D5165" i="1"/>
  <c r="A5166" i="1"/>
  <c r="B5166" i="1"/>
  <c r="C5166" i="1"/>
  <c r="D5166" i="1"/>
  <c r="A5167" i="1"/>
  <c r="B5167" i="1"/>
  <c r="C5167" i="1"/>
  <c r="D5167" i="1"/>
  <c r="A5168" i="1"/>
  <c r="B5168" i="1"/>
  <c r="C5168" i="1"/>
  <c r="D5168" i="1"/>
  <c r="A5169" i="1"/>
  <c r="B5169" i="1"/>
  <c r="C5169" i="1"/>
  <c r="D5169" i="1"/>
  <c r="A5170" i="1"/>
  <c r="B5170" i="1"/>
  <c r="C5170" i="1"/>
  <c r="D5170" i="1"/>
  <c r="A5171" i="1"/>
  <c r="B5171" i="1"/>
  <c r="C5171" i="1"/>
  <c r="D5171" i="1"/>
  <c r="A5172" i="1"/>
  <c r="B5172" i="1"/>
  <c r="C5172" i="1"/>
  <c r="D5172" i="1"/>
  <c r="A5173" i="1"/>
  <c r="B5173" i="1"/>
  <c r="C5173" i="1"/>
  <c r="D5173" i="1"/>
  <c r="A5174" i="1"/>
  <c r="B5174" i="1"/>
  <c r="C5174" i="1"/>
  <c r="D5174" i="1"/>
  <c r="A5175" i="1"/>
  <c r="B5175" i="1"/>
  <c r="C5175" i="1"/>
  <c r="D5175" i="1"/>
  <c r="A5176" i="1"/>
  <c r="B5176" i="1"/>
  <c r="C5176" i="1"/>
  <c r="D5176" i="1"/>
  <c r="A5177" i="1"/>
  <c r="B5177" i="1"/>
  <c r="C5177" i="1"/>
  <c r="D5177" i="1"/>
  <c r="A5178" i="1"/>
  <c r="B5178" i="1"/>
  <c r="C5178" i="1"/>
  <c r="D5178" i="1"/>
  <c r="A5179" i="1"/>
  <c r="B5179" i="1"/>
  <c r="C5179" i="1"/>
  <c r="D5179" i="1"/>
  <c r="A5180" i="1"/>
  <c r="B5180" i="1"/>
  <c r="C5180" i="1"/>
  <c r="D5180" i="1"/>
  <c r="A5181" i="1"/>
  <c r="B5181" i="1"/>
  <c r="C5181" i="1"/>
  <c r="D5181" i="1"/>
  <c r="A5182" i="1"/>
  <c r="B5182" i="1"/>
  <c r="C5182" i="1"/>
  <c r="D5182" i="1"/>
  <c r="A5183" i="1"/>
  <c r="B5183" i="1"/>
  <c r="C5183" i="1"/>
  <c r="D5183" i="1"/>
  <c r="A5184" i="1"/>
  <c r="B5184" i="1"/>
  <c r="C5184" i="1"/>
  <c r="D5184" i="1"/>
  <c r="A5185" i="1"/>
  <c r="B5185" i="1"/>
  <c r="C5185" i="1"/>
  <c r="D5185" i="1"/>
  <c r="A5186" i="1"/>
  <c r="B5186" i="1"/>
  <c r="C5186" i="1"/>
  <c r="D5186" i="1"/>
  <c r="A5187" i="1"/>
  <c r="B5187" i="1"/>
  <c r="C5187" i="1"/>
  <c r="D5187" i="1"/>
  <c r="A5188" i="1"/>
  <c r="B5188" i="1"/>
  <c r="C5188" i="1"/>
  <c r="D5188" i="1"/>
  <c r="A5189" i="1"/>
  <c r="B5189" i="1"/>
  <c r="C5189" i="1"/>
  <c r="D5189" i="1"/>
  <c r="A5190" i="1"/>
  <c r="B5190" i="1"/>
  <c r="C5190" i="1"/>
  <c r="D5190" i="1"/>
  <c r="A5191" i="1"/>
  <c r="B5191" i="1"/>
  <c r="C5191" i="1"/>
  <c r="D5191" i="1"/>
  <c r="A5192" i="1"/>
  <c r="B5192" i="1"/>
  <c r="C5192" i="1"/>
  <c r="D5192" i="1"/>
  <c r="A5193" i="1"/>
  <c r="B5193" i="1"/>
  <c r="C5193" i="1"/>
  <c r="D5193" i="1"/>
  <c r="A5194" i="1"/>
  <c r="B5194" i="1"/>
  <c r="C5194" i="1"/>
  <c r="D5194" i="1"/>
  <c r="A5195" i="1"/>
  <c r="B5195" i="1"/>
  <c r="C5195" i="1"/>
  <c r="D5195" i="1"/>
  <c r="A5196" i="1"/>
  <c r="B5196" i="1"/>
  <c r="C5196" i="1"/>
  <c r="D5196" i="1"/>
  <c r="A5197" i="1"/>
  <c r="B5197" i="1"/>
  <c r="C5197" i="1"/>
  <c r="D5197" i="1"/>
  <c r="A5198" i="1"/>
  <c r="B5198" i="1"/>
  <c r="C5198" i="1"/>
  <c r="D5198" i="1"/>
  <c r="A5199" i="1"/>
  <c r="B5199" i="1"/>
  <c r="C5199" i="1"/>
  <c r="D5199" i="1"/>
  <c r="A5200" i="1"/>
  <c r="B5200" i="1"/>
  <c r="C5200" i="1"/>
  <c r="D5200" i="1"/>
  <c r="A5201" i="1"/>
  <c r="B5201" i="1"/>
  <c r="C5201" i="1"/>
  <c r="D5201" i="1"/>
  <c r="A5202" i="1"/>
  <c r="B5202" i="1"/>
  <c r="C5202" i="1"/>
  <c r="D5202" i="1"/>
  <c r="A5203" i="1"/>
  <c r="B5203" i="1"/>
  <c r="C5203" i="1"/>
  <c r="D5203" i="1"/>
  <c r="A5204" i="1"/>
  <c r="B5204" i="1"/>
  <c r="C5204" i="1"/>
  <c r="D5204" i="1"/>
  <c r="A5205" i="1"/>
  <c r="B5205" i="1"/>
  <c r="C5205" i="1"/>
  <c r="D5205" i="1"/>
  <c r="A5206" i="1"/>
  <c r="B5206" i="1"/>
  <c r="C5206" i="1"/>
  <c r="D5206" i="1"/>
  <c r="A5207" i="1"/>
  <c r="B5207" i="1"/>
  <c r="C5207" i="1"/>
  <c r="D5207" i="1"/>
  <c r="A5208" i="1"/>
  <c r="B5208" i="1"/>
  <c r="C5208" i="1"/>
  <c r="D5208" i="1"/>
  <c r="A5209" i="1"/>
  <c r="B5209" i="1"/>
  <c r="C5209" i="1"/>
  <c r="D5209" i="1"/>
  <c r="A5210" i="1"/>
  <c r="B5210" i="1"/>
  <c r="C5210" i="1"/>
  <c r="D5210" i="1"/>
  <c r="A5211" i="1"/>
  <c r="B5211" i="1"/>
  <c r="C5211" i="1"/>
  <c r="D5211" i="1"/>
  <c r="A5212" i="1"/>
  <c r="B5212" i="1"/>
  <c r="C5212" i="1"/>
  <c r="D5212" i="1"/>
  <c r="A5213" i="1"/>
  <c r="B5213" i="1"/>
  <c r="C5213" i="1"/>
  <c r="D5213" i="1"/>
  <c r="A5214" i="1"/>
  <c r="B5214" i="1"/>
  <c r="C5214" i="1"/>
  <c r="D5214" i="1"/>
  <c r="A5215" i="1"/>
  <c r="B5215" i="1"/>
  <c r="C5215" i="1"/>
  <c r="D5215" i="1"/>
  <c r="A5216" i="1"/>
  <c r="B5216" i="1"/>
  <c r="C5216" i="1"/>
  <c r="D5216" i="1"/>
  <c r="A5217" i="1"/>
  <c r="B5217" i="1"/>
  <c r="C5217" i="1"/>
  <c r="D5217" i="1"/>
  <c r="A5218" i="1"/>
  <c r="B5218" i="1"/>
  <c r="C5218" i="1"/>
  <c r="D5218" i="1"/>
  <c r="A5219" i="1"/>
  <c r="B5219" i="1"/>
  <c r="C5219" i="1"/>
  <c r="D5219" i="1"/>
  <c r="A5220" i="1"/>
  <c r="B5220" i="1"/>
  <c r="C5220" i="1"/>
  <c r="D5220" i="1"/>
  <c r="A5221" i="1"/>
  <c r="B5221" i="1"/>
  <c r="C5221" i="1"/>
  <c r="D5221" i="1"/>
  <c r="A5222" i="1"/>
  <c r="B5222" i="1"/>
  <c r="C5222" i="1"/>
  <c r="D5222" i="1"/>
  <c r="A5223" i="1"/>
  <c r="B5223" i="1"/>
  <c r="C5223" i="1"/>
  <c r="D5223" i="1"/>
  <c r="A5224" i="1"/>
  <c r="B5224" i="1"/>
  <c r="C5224" i="1"/>
  <c r="D5224" i="1"/>
  <c r="A5225" i="1"/>
  <c r="B5225" i="1"/>
  <c r="C5225" i="1"/>
  <c r="D5225" i="1"/>
  <c r="A5226" i="1"/>
  <c r="B5226" i="1"/>
  <c r="C5226" i="1"/>
  <c r="D5226" i="1"/>
  <c r="A5227" i="1"/>
  <c r="B5227" i="1"/>
  <c r="C5227" i="1"/>
  <c r="D5227" i="1"/>
  <c r="A5228" i="1"/>
  <c r="B5228" i="1"/>
  <c r="C5228" i="1"/>
  <c r="D5228" i="1"/>
  <c r="A5229" i="1"/>
  <c r="B5229" i="1"/>
  <c r="C5229" i="1"/>
  <c r="D5229" i="1"/>
  <c r="A5230" i="1"/>
  <c r="B5230" i="1"/>
  <c r="C5230" i="1"/>
  <c r="D5230" i="1"/>
  <c r="A5231" i="1"/>
  <c r="B5231" i="1"/>
  <c r="C5231" i="1"/>
  <c r="D5231" i="1"/>
  <c r="A5232" i="1"/>
  <c r="B5232" i="1"/>
  <c r="C5232" i="1"/>
  <c r="D5232" i="1"/>
  <c r="A5233" i="1"/>
  <c r="B5233" i="1"/>
  <c r="C5233" i="1"/>
  <c r="D5233" i="1"/>
  <c r="A5234" i="1"/>
  <c r="B5234" i="1"/>
  <c r="C5234" i="1"/>
  <c r="D5234" i="1"/>
  <c r="A5235" i="1"/>
  <c r="B5235" i="1"/>
  <c r="C5235" i="1"/>
  <c r="D5235" i="1"/>
  <c r="A5236" i="1"/>
  <c r="B5236" i="1"/>
  <c r="C5236" i="1"/>
  <c r="D5236" i="1"/>
  <c r="A5237" i="1"/>
  <c r="B5237" i="1"/>
  <c r="C5237" i="1"/>
  <c r="D5237" i="1"/>
  <c r="A5238" i="1"/>
  <c r="B5238" i="1"/>
  <c r="C5238" i="1"/>
  <c r="D5238" i="1"/>
  <c r="A5239" i="1"/>
  <c r="B5239" i="1"/>
  <c r="C5239" i="1"/>
  <c r="D5239" i="1"/>
  <c r="A5240" i="1"/>
  <c r="B5240" i="1"/>
  <c r="C5240" i="1"/>
  <c r="D5240" i="1"/>
  <c r="A5241" i="1"/>
  <c r="B5241" i="1"/>
  <c r="C5241" i="1"/>
  <c r="D5241" i="1"/>
  <c r="A5242" i="1"/>
  <c r="B5242" i="1"/>
  <c r="C5242" i="1"/>
  <c r="D5242" i="1"/>
  <c r="A5243" i="1"/>
  <c r="B5243" i="1"/>
  <c r="C5243" i="1"/>
  <c r="D5243" i="1"/>
  <c r="A5244" i="1"/>
  <c r="B5244" i="1"/>
  <c r="C5244" i="1"/>
  <c r="D5244" i="1"/>
  <c r="A5245" i="1"/>
  <c r="B5245" i="1"/>
  <c r="C5245" i="1"/>
  <c r="D5245" i="1"/>
  <c r="A5246" i="1"/>
  <c r="B5246" i="1"/>
  <c r="C5246" i="1"/>
  <c r="D5246" i="1"/>
  <c r="A5247" i="1"/>
  <c r="B5247" i="1"/>
  <c r="C5247" i="1"/>
  <c r="D5247" i="1"/>
  <c r="A5248" i="1"/>
  <c r="B5248" i="1"/>
  <c r="C5248" i="1"/>
  <c r="D5248" i="1"/>
  <c r="A5249" i="1"/>
  <c r="B5249" i="1"/>
  <c r="C5249" i="1"/>
  <c r="D5249" i="1"/>
  <c r="A5250" i="1"/>
  <c r="B5250" i="1"/>
  <c r="C5250" i="1"/>
  <c r="D5250" i="1"/>
  <c r="A5251" i="1"/>
  <c r="B5251" i="1"/>
  <c r="C5251" i="1"/>
  <c r="D5251" i="1"/>
  <c r="A5252" i="1"/>
  <c r="B5252" i="1"/>
  <c r="C5252" i="1"/>
  <c r="D5252" i="1"/>
  <c r="A5253" i="1"/>
  <c r="B5253" i="1"/>
  <c r="C5253" i="1"/>
  <c r="D5253" i="1"/>
  <c r="A5254" i="1"/>
  <c r="B5254" i="1"/>
  <c r="C5254" i="1"/>
  <c r="D5254" i="1"/>
  <c r="A5255" i="1"/>
  <c r="B5255" i="1"/>
  <c r="C5255" i="1"/>
  <c r="D5255" i="1"/>
  <c r="A5256" i="1"/>
  <c r="B5256" i="1"/>
  <c r="C5256" i="1"/>
  <c r="D5256" i="1"/>
  <c r="A5257" i="1"/>
  <c r="B5257" i="1"/>
  <c r="C5257" i="1"/>
  <c r="D5257" i="1"/>
  <c r="A5258" i="1"/>
  <c r="B5258" i="1"/>
  <c r="C5258" i="1"/>
  <c r="D5258" i="1"/>
  <c r="A5259" i="1"/>
  <c r="B5259" i="1"/>
  <c r="C5259" i="1"/>
  <c r="D5259" i="1"/>
  <c r="A5260" i="1"/>
  <c r="B5260" i="1"/>
  <c r="C5260" i="1"/>
  <c r="D5260" i="1"/>
  <c r="A5261" i="1"/>
  <c r="B5261" i="1"/>
  <c r="C5261" i="1"/>
  <c r="D5261" i="1"/>
  <c r="A5262" i="1"/>
  <c r="B5262" i="1"/>
  <c r="C5262" i="1"/>
  <c r="D5262" i="1"/>
  <c r="A5263" i="1"/>
  <c r="B5263" i="1"/>
  <c r="C5263" i="1"/>
  <c r="D5263" i="1"/>
  <c r="A5264" i="1"/>
  <c r="B5264" i="1"/>
  <c r="C5264" i="1"/>
  <c r="D5264" i="1"/>
  <c r="A5265" i="1"/>
  <c r="B5265" i="1"/>
  <c r="C5265" i="1"/>
  <c r="D5265" i="1"/>
  <c r="A5266" i="1"/>
  <c r="B5266" i="1"/>
  <c r="C5266" i="1"/>
  <c r="D5266" i="1"/>
  <c r="A5267" i="1"/>
  <c r="B5267" i="1"/>
  <c r="C5267" i="1"/>
  <c r="D5267" i="1"/>
  <c r="A5268" i="1"/>
  <c r="B5268" i="1"/>
  <c r="C5268" i="1"/>
  <c r="D5268" i="1"/>
  <c r="A5269" i="1"/>
  <c r="B5269" i="1"/>
  <c r="C5269" i="1"/>
  <c r="D5269" i="1"/>
  <c r="A5270" i="1"/>
  <c r="B5270" i="1"/>
  <c r="C5270" i="1"/>
  <c r="D5270" i="1"/>
  <c r="A5271" i="1"/>
  <c r="B5271" i="1"/>
  <c r="C5271" i="1"/>
  <c r="D5271" i="1"/>
  <c r="A5272" i="1"/>
  <c r="B5272" i="1"/>
  <c r="C5272" i="1"/>
  <c r="D5272" i="1"/>
  <c r="A5273" i="1"/>
  <c r="B5273" i="1"/>
  <c r="C5273" i="1"/>
  <c r="D5273" i="1"/>
  <c r="A5274" i="1"/>
  <c r="B5274" i="1"/>
  <c r="C5274" i="1"/>
  <c r="D5274" i="1"/>
  <c r="A5275" i="1"/>
  <c r="B5275" i="1"/>
  <c r="C5275" i="1"/>
  <c r="D5275" i="1"/>
  <c r="A5276" i="1"/>
  <c r="B5276" i="1"/>
  <c r="C5276" i="1"/>
  <c r="D5276" i="1"/>
  <c r="A5277" i="1"/>
  <c r="B5277" i="1"/>
  <c r="C5277" i="1"/>
  <c r="D5277" i="1"/>
  <c r="A5278" i="1"/>
  <c r="B5278" i="1"/>
  <c r="C5278" i="1"/>
  <c r="D5278" i="1"/>
  <c r="A5279" i="1"/>
  <c r="B5279" i="1"/>
  <c r="C5279" i="1"/>
  <c r="D5279" i="1"/>
  <c r="A5280" i="1"/>
  <c r="B5280" i="1"/>
  <c r="C5280" i="1"/>
  <c r="D5280" i="1"/>
  <c r="A5281" i="1"/>
  <c r="B5281" i="1"/>
  <c r="C5281" i="1"/>
  <c r="D5281" i="1"/>
  <c r="A5282" i="1"/>
  <c r="B5282" i="1"/>
  <c r="C5282" i="1"/>
  <c r="D5282" i="1"/>
  <c r="A5283" i="1"/>
  <c r="B5283" i="1"/>
  <c r="C5283" i="1"/>
  <c r="D5283" i="1"/>
  <c r="A5284" i="1"/>
  <c r="B5284" i="1"/>
  <c r="C5284" i="1"/>
  <c r="D5284" i="1"/>
  <c r="A5285" i="1"/>
  <c r="B5285" i="1"/>
  <c r="C5285" i="1"/>
  <c r="D5285" i="1"/>
  <c r="A5286" i="1"/>
  <c r="B5286" i="1"/>
  <c r="C5286" i="1"/>
  <c r="D5286" i="1"/>
  <c r="A5287" i="1"/>
  <c r="B5287" i="1"/>
  <c r="C5287" i="1"/>
  <c r="D5287" i="1"/>
  <c r="A5288" i="1"/>
  <c r="B5288" i="1"/>
  <c r="C5288" i="1"/>
  <c r="D5288" i="1"/>
  <c r="A5289" i="1"/>
  <c r="B5289" i="1"/>
  <c r="C5289" i="1"/>
  <c r="D5289" i="1"/>
  <c r="A5290" i="1"/>
  <c r="B5290" i="1"/>
  <c r="C5290" i="1"/>
  <c r="D5290" i="1"/>
  <c r="A5291" i="1"/>
  <c r="B5291" i="1"/>
  <c r="C5291" i="1"/>
  <c r="D5291" i="1"/>
  <c r="A5292" i="1"/>
  <c r="B5292" i="1"/>
  <c r="C5292" i="1"/>
  <c r="D5292" i="1"/>
  <c r="A5293" i="1"/>
  <c r="B5293" i="1"/>
  <c r="C5293" i="1"/>
  <c r="D5293" i="1"/>
  <c r="A5294" i="1"/>
  <c r="B5294" i="1"/>
  <c r="C5294" i="1"/>
  <c r="D5294" i="1"/>
  <c r="A5295" i="1"/>
  <c r="B5295" i="1"/>
  <c r="C5295" i="1"/>
  <c r="D5295" i="1"/>
  <c r="A5296" i="1"/>
  <c r="B5296" i="1"/>
  <c r="C5296" i="1"/>
  <c r="D5296" i="1"/>
  <c r="A5297" i="1"/>
  <c r="B5297" i="1"/>
  <c r="C5297" i="1"/>
  <c r="D5297" i="1"/>
  <c r="A5298" i="1"/>
  <c r="B5298" i="1"/>
  <c r="C5298" i="1"/>
  <c r="D5298" i="1"/>
  <c r="A5299" i="1"/>
  <c r="B5299" i="1"/>
  <c r="C5299" i="1"/>
  <c r="D5299" i="1"/>
  <c r="A5300" i="1"/>
  <c r="B5300" i="1"/>
  <c r="C5300" i="1"/>
  <c r="D5300" i="1"/>
  <c r="A5301" i="1"/>
  <c r="B5301" i="1"/>
  <c r="C5301" i="1"/>
  <c r="D5301" i="1"/>
  <c r="A5302" i="1"/>
  <c r="B5302" i="1"/>
  <c r="C5302" i="1"/>
  <c r="D5302" i="1"/>
  <c r="A5303" i="1"/>
  <c r="B5303" i="1"/>
  <c r="C5303" i="1"/>
  <c r="D5303" i="1"/>
  <c r="A5304" i="1"/>
  <c r="B5304" i="1"/>
  <c r="C5304" i="1"/>
  <c r="D5304" i="1"/>
  <c r="A5305" i="1"/>
  <c r="B5305" i="1"/>
  <c r="C5305" i="1"/>
  <c r="D5305" i="1"/>
  <c r="A5306" i="1"/>
  <c r="B5306" i="1"/>
  <c r="C5306" i="1"/>
  <c r="D5306" i="1"/>
  <c r="A5307" i="1"/>
  <c r="B5307" i="1"/>
  <c r="C5307" i="1"/>
  <c r="D5307" i="1"/>
  <c r="A5308" i="1"/>
  <c r="B5308" i="1"/>
  <c r="C5308" i="1"/>
  <c r="D5308" i="1"/>
  <c r="A5309" i="1"/>
  <c r="B5309" i="1"/>
  <c r="C5309" i="1"/>
  <c r="D5309" i="1"/>
  <c r="A5310" i="1"/>
  <c r="B5310" i="1"/>
  <c r="C5310" i="1"/>
  <c r="D5310" i="1"/>
  <c r="A5311" i="1"/>
  <c r="B5311" i="1"/>
  <c r="C5311" i="1"/>
  <c r="D5311" i="1"/>
  <c r="A5312" i="1"/>
  <c r="B5312" i="1"/>
  <c r="C5312" i="1"/>
  <c r="D5312" i="1"/>
  <c r="A5313" i="1"/>
  <c r="B5313" i="1"/>
  <c r="C5313" i="1"/>
  <c r="D5313" i="1"/>
  <c r="A5314" i="1"/>
  <c r="B5314" i="1"/>
  <c r="C5314" i="1"/>
  <c r="D5314" i="1"/>
  <c r="A5315" i="1"/>
  <c r="B5315" i="1"/>
  <c r="C5315" i="1"/>
  <c r="D5315" i="1"/>
  <c r="A5316" i="1"/>
  <c r="B5316" i="1"/>
  <c r="C5316" i="1"/>
  <c r="D5316" i="1"/>
  <c r="A5317" i="1"/>
  <c r="B5317" i="1"/>
  <c r="C5317" i="1"/>
  <c r="D5317" i="1"/>
  <c r="A5318" i="1"/>
  <c r="B5318" i="1"/>
  <c r="C5318" i="1"/>
  <c r="D5318" i="1"/>
  <c r="A5319" i="1"/>
  <c r="B5319" i="1"/>
  <c r="C5319" i="1"/>
  <c r="D5319" i="1"/>
  <c r="A5320" i="1"/>
  <c r="B5320" i="1"/>
  <c r="C5320" i="1"/>
  <c r="D5320" i="1"/>
  <c r="A5321" i="1"/>
  <c r="B5321" i="1"/>
  <c r="C5321" i="1"/>
  <c r="D5321" i="1"/>
  <c r="A5322" i="1"/>
  <c r="B5322" i="1"/>
  <c r="C5322" i="1"/>
  <c r="D5322" i="1"/>
  <c r="A5323" i="1"/>
  <c r="B5323" i="1"/>
  <c r="C5323" i="1"/>
  <c r="D5323" i="1"/>
  <c r="A5324" i="1"/>
  <c r="B5324" i="1"/>
  <c r="C5324" i="1"/>
  <c r="D5324" i="1"/>
  <c r="A5325" i="1"/>
  <c r="B5325" i="1"/>
  <c r="C5325" i="1"/>
  <c r="D5325" i="1"/>
  <c r="A5326" i="1"/>
  <c r="B5326" i="1"/>
  <c r="C5326" i="1"/>
  <c r="D5326" i="1"/>
  <c r="A5327" i="1"/>
  <c r="B5327" i="1"/>
  <c r="C5327" i="1"/>
  <c r="D5327" i="1"/>
  <c r="A5328" i="1"/>
  <c r="B5328" i="1"/>
  <c r="C5328" i="1"/>
  <c r="D5328" i="1"/>
  <c r="A5329" i="1"/>
  <c r="B5329" i="1"/>
  <c r="C5329" i="1"/>
  <c r="D5329" i="1"/>
  <c r="A5330" i="1"/>
  <c r="B5330" i="1"/>
  <c r="C5330" i="1"/>
  <c r="D5330" i="1"/>
  <c r="A5331" i="1"/>
  <c r="B5331" i="1"/>
  <c r="C5331" i="1"/>
  <c r="D5331" i="1"/>
  <c r="A5332" i="1"/>
  <c r="B5332" i="1"/>
  <c r="C5332" i="1"/>
  <c r="D5332" i="1"/>
  <c r="A5333" i="1"/>
  <c r="B5333" i="1"/>
  <c r="C5333" i="1"/>
  <c r="D5333" i="1"/>
  <c r="A5334" i="1"/>
  <c r="B5334" i="1"/>
  <c r="C5334" i="1"/>
  <c r="D5334" i="1"/>
  <c r="A5335" i="1"/>
  <c r="B5335" i="1"/>
  <c r="C5335" i="1"/>
  <c r="D5335" i="1"/>
  <c r="A5336" i="1"/>
  <c r="B5336" i="1"/>
  <c r="C5336" i="1"/>
  <c r="D5336" i="1"/>
  <c r="A5337" i="1"/>
  <c r="B5337" i="1"/>
  <c r="C5337" i="1"/>
  <c r="D5337" i="1"/>
  <c r="A5338" i="1"/>
  <c r="B5338" i="1"/>
  <c r="C5338" i="1"/>
  <c r="D5338" i="1"/>
  <c r="A5339" i="1"/>
  <c r="B5339" i="1"/>
  <c r="C5339" i="1"/>
  <c r="D5339" i="1"/>
  <c r="A5340" i="1"/>
  <c r="B5340" i="1"/>
  <c r="C5340" i="1"/>
  <c r="D5340" i="1"/>
  <c r="A5341" i="1"/>
  <c r="B5341" i="1"/>
  <c r="C5341" i="1"/>
  <c r="D5341" i="1"/>
  <c r="A5342" i="1"/>
  <c r="B5342" i="1"/>
  <c r="C5342" i="1"/>
  <c r="D5342" i="1"/>
  <c r="A5343" i="1"/>
  <c r="B5343" i="1"/>
  <c r="C5343" i="1"/>
  <c r="D5343" i="1"/>
  <c r="A5344" i="1"/>
  <c r="B5344" i="1"/>
  <c r="C5344" i="1"/>
  <c r="D5344" i="1"/>
  <c r="A5345" i="1"/>
  <c r="B5345" i="1"/>
  <c r="C5345" i="1"/>
  <c r="D5345" i="1"/>
  <c r="A5346" i="1"/>
  <c r="B5346" i="1"/>
  <c r="C5346" i="1"/>
  <c r="D5346" i="1"/>
  <c r="A5347" i="1"/>
  <c r="B5347" i="1"/>
  <c r="C5347" i="1"/>
  <c r="D5347" i="1"/>
  <c r="A5348" i="1"/>
  <c r="B5348" i="1"/>
  <c r="C5348" i="1"/>
  <c r="D5348" i="1"/>
  <c r="A5349" i="1"/>
  <c r="B5349" i="1"/>
  <c r="C5349" i="1"/>
  <c r="D5349" i="1"/>
  <c r="A5350" i="1"/>
  <c r="B5350" i="1"/>
  <c r="C5350" i="1"/>
  <c r="D5350" i="1"/>
  <c r="A5351" i="1"/>
  <c r="B5351" i="1"/>
  <c r="C5351" i="1"/>
  <c r="D5351" i="1"/>
  <c r="A5352" i="1"/>
  <c r="B5352" i="1"/>
  <c r="C5352" i="1"/>
  <c r="D5352" i="1"/>
  <c r="A5353" i="1"/>
  <c r="B5353" i="1"/>
  <c r="C5353" i="1"/>
  <c r="D5353" i="1"/>
  <c r="A5354" i="1"/>
  <c r="B5354" i="1"/>
  <c r="C5354" i="1"/>
  <c r="D5354" i="1"/>
  <c r="A5355" i="1"/>
  <c r="B5355" i="1"/>
  <c r="C5355" i="1"/>
  <c r="D5355" i="1"/>
  <c r="A5356" i="1"/>
  <c r="B5356" i="1"/>
  <c r="C5356" i="1"/>
  <c r="D5356" i="1"/>
  <c r="A5357" i="1"/>
  <c r="B5357" i="1"/>
  <c r="C5357" i="1"/>
  <c r="D5357" i="1"/>
  <c r="A5358" i="1"/>
  <c r="B5358" i="1"/>
  <c r="C5358" i="1"/>
  <c r="D5358" i="1"/>
  <c r="A5359" i="1"/>
  <c r="B5359" i="1"/>
  <c r="C5359" i="1"/>
  <c r="D5359" i="1"/>
  <c r="A5360" i="1"/>
  <c r="B5360" i="1"/>
  <c r="C5360" i="1"/>
  <c r="D5360" i="1"/>
  <c r="A5361" i="1"/>
  <c r="B5361" i="1"/>
  <c r="C5361" i="1"/>
  <c r="D5361" i="1"/>
  <c r="A5362" i="1"/>
  <c r="B5362" i="1"/>
  <c r="C5362" i="1"/>
  <c r="D5362" i="1"/>
  <c r="A5363" i="1"/>
  <c r="B5363" i="1"/>
  <c r="C5363" i="1"/>
  <c r="D5363" i="1"/>
  <c r="A5364" i="1"/>
  <c r="B5364" i="1"/>
  <c r="C5364" i="1"/>
  <c r="D5364" i="1"/>
  <c r="A5365" i="1"/>
  <c r="B5365" i="1"/>
  <c r="C5365" i="1"/>
  <c r="D5365" i="1"/>
  <c r="A5366" i="1"/>
  <c r="B5366" i="1"/>
  <c r="C5366" i="1"/>
  <c r="D5366" i="1"/>
  <c r="A5367" i="1"/>
  <c r="B5367" i="1"/>
  <c r="C5367" i="1"/>
  <c r="D5367" i="1"/>
  <c r="A5368" i="1"/>
  <c r="B5368" i="1"/>
  <c r="C5368" i="1"/>
  <c r="D5368" i="1"/>
  <c r="A5369" i="1"/>
  <c r="B5369" i="1"/>
  <c r="C5369" i="1"/>
  <c r="D5369" i="1"/>
  <c r="A5370" i="1"/>
  <c r="B5370" i="1"/>
  <c r="C5370" i="1"/>
  <c r="D5370" i="1"/>
  <c r="A5371" i="1"/>
  <c r="B5371" i="1"/>
  <c r="C5371" i="1"/>
  <c r="D5371" i="1"/>
  <c r="A5372" i="1"/>
  <c r="B5372" i="1"/>
  <c r="C5372" i="1"/>
  <c r="D5372" i="1"/>
  <c r="A5373" i="1"/>
  <c r="B5373" i="1"/>
  <c r="C5373" i="1"/>
  <c r="D5373" i="1"/>
  <c r="A5374" i="1"/>
  <c r="B5374" i="1"/>
  <c r="C5374" i="1"/>
  <c r="D5374" i="1"/>
  <c r="A5375" i="1"/>
  <c r="B5375" i="1"/>
  <c r="C5375" i="1"/>
  <c r="D5375" i="1"/>
  <c r="A5376" i="1"/>
  <c r="B5376" i="1"/>
  <c r="C5376" i="1"/>
  <c r="D5376" i="1"/>
  <c r="A5377" i="1"/>
  <c r="B5377" i="1"/>
  <c r="C5377" i="1"/>
  <c r="D5377" i="1"/>
  <c r="A5378" i="1"/>
  <c r="B5378" i="1"/>
  <c r="C5378" i="1"/>
  <c r="D5378" i="1"/>
  <c r="A5379" i="1"/>
  <c r="B5379" i="1"/>
  <c r="C5379" i="1"/>
  <c r="D5379" i="1"/>
  <c r="A5380" i="1"/>
  <c r="B5380" i="1"/>
  <c r="C5380" i="1"/>
  <c r="D5380" i="1"/>
  <c r="A5381" i="1"/>
  <c r="B5381" i="1"/>
  <c r="C5381" i="1"/>
  <c r="D5381" i="1"/>
  <c r="A5382" i="1"/>
  <c r="B5382" i="1"/>
  <c r="C5382" i="1"/>
  <c r="D5382" i="1"/>
  <c r="A5383" i="1"/>
  <c r="B5383" i="1"/>
  <c r="C5383" i="1"/>
  <c r="D5383" i="1"/>
  <c r="A5384" i="1"/>
  <c r="B5384" i="1"/>
  <c r="C5384" i="1"/>
  <c r="D5384" i="1"/>
  <c r="A5385" i="1"/>
  <c r="B5385" i="1"/>
  <c r="C5385" i="1"/>
  <c r="D5385" i="1"/>
  <c r="A5386" i="1"/>
  <c r="B5386" i="1"/>
  <c r="C5386" i="1"/>
  <c r="D5386" i="1"/>
  <c r="A5387" i="1"/>
  <c r="B5387" i="1"/>
  <c r="C5387" i="1"/>
  <c r="D5387" i="1"/>
  <c r="A5388" i="1"/>
  <c r="B5388" i="1"/>
  <c r="C5388" i="1"/>
  <c r="D5388" i="1"/>
  <c r="A5389" i="1"/>
  <c r="B5389" i="1"/>
  <c r="C5389" i="1"/>
  <c r="D5389" i="1"/>
  <c r="A5390" i="1"/>
  <c r="B5390" i="1"/>
  <c r="C5390" i="1"/>
  <c r="D5390" i="1"/>
  <c r="A5391" i="1"/>
  <c r="B5391" i="1"/>
  <c r="C5391" i="1"/>
  <c r="D5391" i="1"/>
  <c r="A5392" i="1"/>
  <c r="B5392" i="1"/>
  <c r="C5392" i="1"/>
  <c r="D5392" i="1"/>
  <c r="A5393" i="1"/>
  <c r="B5393" i="1"/>
  <c r="C5393" i="1"/>
  <c r="D5393" i="1"/>
  <c r="A5394" i="1"/>
  <c r="B5394" i="1"/>
  <c r="C5394" i="1"/>
  <c r="D5394" i="1"/>
  <c r="A5395" i="1"/>
  <c r="B5395" i="1"/>
  <c r="C5395" i="1"/>
  <c r="D5395" i="1"/>
  <c r="A5396" i="1"/>
  <c r="B5396" i="1"/>
  <c r="C5396" i="1"/>
  <c r="D5396" i="1"/>
  <c r="A5397" i="1"/>
  <c r="B5397" i="1"/>
  <c r="C5397" i="1"/>
  <c r="D5397" i="1"/>
  <c r="A5398" i="1"/>
  <c r="B5398" i="1"/>
  <c r="C5398" i="1"/>
  <c r="D5398" i="1"/>
  <c r="A5399" i="1"/>
  <c r="B5399" i="1"/>
  <c r="C5399" i="1"/>
  <c r="D5399" i="1"/>
  <c r="A5400" i="1"/>
  <c r="B5400" i="1"/>
  <c r="C5400" i="1"/>
  <c r="D5400" i="1"/>
  <c r="A5401" i="1"/>
  <c r="B5401" i="1"/>
  <c r="C5401" i="1"/>
  <c r="D5401" i="1"/>
  <c r="A5402" i="1"/>
  <c r="B5402" i="1"/>
  <c r="C5402" i="1"/>
  <c r="D5402" i="1"/>
  <c r="A5403" i="1"/>
  <c r="B5403" i="1"/>
  <c r="C5403" i="1"/>
  <c r="D5403" i="1"/>
  <c r="A5404" i="1"/>
  <c r="B5404" i="1"/>
  <c r="C5404" i="1"/>
  <c r="D5404" i="1"/>
  <c r="A5405" i="1"/>
  <c r="B5405" i="1"/>
  <c r="C5405" i="1"/>
  <c r="D5405" i="1"/>
  <c r="A5406" i="1"/>
  <c r="B5406" i="1"/>
  <c r="C5406" i="1"/>
  <c r="D5406" i="1"/>
  <c r="A5407" i="1"/>
  <c r="B5407" i="1"/>
  <c r="C5407" i="1"/>
  <c r="D5407" i="1"/>
  <c r="A5408" i="1"/>
  <c r="B5408" i="1"/>
  <c r="C5408" i="1"/>
  <c r="D5408" i="1"/>
  <c r="A5409" i="1"/>
  <c r="B5409" i="1"/>
  <c r="C5409" i="1"/>
  <c r="D5409" i="1"/>
  <c r="A5410" i="1"/>
  <c r="B5410" i="1"/>
  <c r="C5410" i="1"/>
  <c r="D5410" i="1"/>
  <c r="A5411" i="1"/>
  <c r="B5411" i="1"/>
  <c r="C5411" i="1"/>
  <c r="D5411" i="1"/>
  <c r="A5412" i="1"/>
  <c r="B5412" i="1"/>
  <c r="C5412" i="1"/>
  <c r="D5412" i="1"/>
  <c r="A5413" i="1"/>
  <c r="B5413" i="1"/>
  <c r="C5413" i="1"/>
  <c r="D5413" i="1"/>
  <c r="A5414" i="1"/>
  <c r="B5414" i="1"/>
  <c r="C5414" i="1"/>
  <c r="D5414" i="1"/>
  <c r="A5415" i="1"/>
  <c r="B5415" i="1"/>
  <c r="C5415" i="1"/>
  <c r="D5415" i="1"/>
  <c r="A5416" i="1"/>
  <c r="B5416" i="1"/>
  <c r="C5416" i="1"/>
  <c r="D5416" i="1"/>
  <c r="A5417" i="1"/>
  <c r="B5417" i="1"/>
  <c r="C5417" i="1"/>
  <c r="D5417" i="1"/>
  <c r="A5418" i="1"/>
  <c r="B5418" i="1"/>
  <c r="C5418" i="1"/>
  <c r="D5418" i="1"/>
  <c r="A5419" i="1"/>
  <c r="B5419" i="1"/>
  <c r="C5419" i="1"/>
  <c r="D5419" i="1"/>
  <c r="A5420" i="1"/>
  <c r="B5420" i="1"/>
  <c r="C5420" i="1"/>
  <c r="D5420" i="1"/>
  <c r="A5421" i="1"/>
  <c r="B5421" i="1"/>
  <c r="C5421" i="1"/>
  <c r="D5421" i="1"/>
  <c r="A5422" i="1"/>
  <c r="B5422" i="1"/>
  <c r="C5422" i="1"/>
  <c r="D5422" i="1"/>
  <c r="A5423" i="1"/>
  <c r="B5423" i="1"/>
  <c r="C5423" i="1"/>
  <c r="D5423" i="1"/>
  <c r="A5424" i="1"/>
  <c r="B5424" i="1"/>
  <c r="C5424" i="1"/>
  <c r="D5424" i="1"/>
  <c r="A5425" i="1"/>
  <c r="B5425" i="1"/>
  <c r="C5425" i="1"/>
  <c r="D5425" i="1"/>
  <c r="A5426" i="1"/>
  <c r="B5426" i="1"/>
  <c r="C5426" i="1"/>
  <c r="D5426" i="1"/>
  <c r="A5427" i="1"/>
  <c r="B5427" i="1"/>
  <c r="C5427" i="1"/>
  <c r="D5427" i="1"/>
  <c r="A5428" i="1"/>
  <c r="B5428" i="1"/>
  <c r="C5428" i="1"/>
  <c r="D5428" i="1"/>
  <c r="A5429" i="1"/>
  <c r="B5429" i="1"/>
  <c r="C5429" i="1"/>
  <c r="D5429" i="1"/>
  <c r="A5430" i="1"/>
  <c r="B5430" i="1"/>
  <c r="C5430" i="1"/>
  <c r="D5430" i="1"/>
  <c r="A5431" i="1"/>
  <c r="B5431" i="1"/>
  <c r="C5431" i="1"/>
  <c r="D5431" i="1"/>
  <c r="A5432" i="1"/>
  <c r="B5432" i="1"/>
  <c r="C5432" i="1"/>
  <c r="D5432" i="1"/>
  <c r="A5433" i="1"/>
  <c r="B5433" i="1"/>
  <c r="C5433" i="1"/>
  <c r="D5433" i="1"/>
  <c r="A5434" i="1"/>
  <c r="B5434" i="1"/>
  <c r="C5434" i="1"/>
  <c r="D5434" i="1"/>
  <c r="A5435" i="1"/>
  <c r="B5435" i="1"/>
  <c r="C5435" i="1"/>
  <c r="D5435" i="1"/>
  <c r="A5436" i="1"/>
  <c r="B5436" i="1"/>
  <c r="C5436" i="1"/>
  <c r="D5436" i="1"/>
  <c r="A5437" i="1"/>
  <c r="B5437" i="1"/>
  <c r="C5437" i="1"/>
  <c r="D5437" i="1"/>
  <c r="A5438" i="1"/>
  <c r="B5438" i="1"/>
  <c r="C5438" i="1"/>
  <c r="D5438" i="1"/>
  <c r="A5439" i="1"/>
  <c r="B5439" i="1"/>
  <c r="C5439" i="1"/>
  <c r="D5439" i="1"/>
  <c r="A5440" i="1"/>
  <c r="B5440" i="1"/>
  <c r="C5440" i="1"/>
  <c r="D5440" i="1"/>
  <c r="A5441" i="1"/>
  <c r="B5441" i="1"/>
  <c r="C5441" i="1"/>
  <c r="D5441" i="1"/>
  <c r="A5442" i="1"/>
  <c r="B5442" i="1"/>
  <c r="C5442" i="1"/>
  <c r="D5442" i="1"/>
  <c r="A5443" i="1"/>
  <c r="B5443" i="1"/>
  <c r="C5443" i="1"/>
  <c r="D5443" i="1"/>
  <c r="A5444" i="1"/>
  <c r="B5444" i="1"/>
  <c r="C5444" i="1"/>
  <c r="D5444" i="1"/>
  <c r="A5445" i="1"/>
  <c r="B5445" i="1"/>
  <c r="C5445" i="1"/>
  <c r="D5445" i="1"/>
  <c r="A5446" i="1"/>
  <c r="B5446" i="1"/>
  <c r="C5446" i="1"/>
  <c r="D5446" i="1"/>
  <c r="A5447" i="1"/>
  <c r="B5447" i="1"/>
  <c r="C5447" i="1"/>
  <c r="D5447" i="1"/>
  <c r="A5448" i="1"/>
  <c r="B5448" i="1"/>
  <c r="C5448" i="1"/>
  <c r="D5448" i="1"/>
  <c r="A5449" i="1"/>
  <c r="B5449" i="1"/>
  <c r="C5449" i="1"/>
  <c r="D5449" i="1"/>
  <c r="A5450" i="1"/>
  <c r="B5450" i="1"/>
  <c r="C5450" i="1"/>
  <c r="D5450" i="1"/>
  <c r="A5451" i="1"/>
  <c r="B5451" i="1"/>
  <c r="C5451" i="1"/>
  <c r="D5451" i="1"/>
  <c r="A5452" i="1"/>
  <c r="B5452" i="1"/>
  <c r="C5452" i="1"/>
  <c r="D5452" i="1"/>
  <c r="A5453" i="1"/>
  <c r="B5453" i="1"/>
  <c r="C5453" i="1"/>
  <c r="D5453" i="1"/>
  <c r="A5454" i="1"/>
  <c r="B5454" i="1"/>
  <c r="C5454" i="1"/>
  <c r="D5454" i="1"/>
  <c r="A5455" i="1"/>
  <c r="B5455" i="1"/>
  <c r="C5455" i="1"/>
  <c r="D5455" i="1"/>
  <c r="A5456" i="1"/>
  <c r="B5456" i="1"/>
  <c r="C5456" i="1"/>
  <c r="D5456" i="1"/>
  <c r="A5457" i="1"/>
  <c r="B5457" i="1"/>
  <c r="C5457" i="1"/>
  <c r="D5457" i="1"/>
  <c r="A5458" i="1"/>
  <c r="B5458" i="1"/>
  <c r="C5458" i="1"/>
  <c r="D5458" i="1"/>
  <c r="A5459" i="1"/>
  <c r="B5459" i="1"/>
  <c r="C5459" i="1"/>
  <c r="D5459" i="1"/>
  <c r="A5460" i="1"/>
  <c r="B5460" i="1"/>
  <c r="C5460" i="1"/>
  <c r="D5460" i="1"/>
  <c r="A5461" i="1"/>
  <c r="B5461" i="1"/>
  <c r="C5461" i="1"/>
  <c r="D5461" i="1"/>
  <c r="A5462" i="1"/>
  <c r="B5462" i="1"/>
  <c r="C5462" i="1"/>
  <c r="D5462" i="1"/>
  <c r="A5463" i="1"/>
  <c r="B5463" i="1"/>
  <c r="C5463" i="1"/>
  <c r="D5463" i="1"/>
  <c r="A5464" i="1"/>
  <c r="B5464" i="1"/>
  <c r="C5464" i="1"/>
  <c r="D5464" i="1"/>
  <c r="A5465" i="1"/>
  <c r="B5465" i="1"/>
  <c r="C5465" i="1"/>
  <c r="D5465" i="1"/>
  <c r="A5466" i="1"/>
  <c r="B5466" i="1"/>
  <c r="C5466" i="1"/>
  <c r="D5466" i="1"/>
  <c r="A5467" i="1"/>
  <c r="B5467" i="1"/>
  <c r="C5467" i="1"/>
  <c r="D5467" i="1"/>
  <c r="A5468" i="1"/>
  <c r="B5468" i="1"/>
  <c r="C5468" i="1"/>
  <c r="D5468" i="1"/>
  <c r="A5469" i="1"/>
  <c r="B5469" i="1"/>
  <c r="C5469" i="1"/>
  <c r="D5469" i="1"/>
  <c r="A5470" i="1"/>
  <c r="B5470" i="1"/>
  <c r="C5470" i="1"/>
  <c r="D5470" i="1"/>
  <c r="A5471" i="1"/>
  <c r="B5471" i="1"/>
  <c r="C5471" i="1"/>
  <c r="D5471" i="1"/>
  <c r="A5472" i="1"/>
  <c r="B5472" i="1"/>
  <c r="C5472" i="1"/>
  <c r="D5472" i="1"/>
  <c r="A5473" i="1"/>
  <c r="B5473" i="1"/>
  <c r="C5473" i="1"/>
  <c r="D5473" i="1"/>
  <c r="A5474" i="1"/>
  <c r="B5474" i="1"/>
  <c r="C5474" i="1"/>
  <c r="D5474" i="1"/>
  <c r="A5475" i="1"/>
  <c r="B5475" i="1"/>
  <c r="C5475" i="1"/>
  <c r="D5475" i="1"/>
  <c r="A5476" i="1"/>
  <c r="B5476" i="1"/>
  <c r="C5476" i="1"/>
  <c r="D5476" i="1"/>
  <c r="A5477" i="1"/>
  <c r="B5477" i="1"/>
  <c r="C5477" i="1"/>
  <c r="D5477" i="1"/>
  <c r="A5478" i="1"/>
  <c r="B5478" i="1"/>
  <c r="C5478" i="1"/>
  <c r="D5478" i="1"/>
  <c r="A5479" i="1"/>
  <c r="B5479" i="1"/>
  <c r="C5479" i="1"/>
  <c r="D5479" i="1"/>
  <c r="A5480" i="1"/>
  <c r="B5480" i="1"/>
  <c r="C5480" i="1"/>
  <c r="D5480" i="1"/>
  <c r="A5481" i="1"/>
  <c r="B5481" i="1"/>
  <c r="C5481" i="1"/>
  <c r="D5481" i="1"/>
  <c r="A5482" i="1"/>
  <c r="B5482" i="1"/>
  <c r="C5482" i="1"/>
  <c r="D5482" i="1"/>
  <c r="A5483" i="1"/>
  <c r="B5483" i="1"/>
  <c r="C5483" i="1"/>
  <c r="D5483" i="1"/>
  <c r="A5484" i="1"/>
  <c r="B5484" i="1"/>
  <c r="C5484" i="1"/>
  <c r="D5484" i="1"/>
  <c r="A5485" i="1"/>
  <c r="B5485" i="1"/>
  <c r="C5485" i="1"/>
  <c r="D5485" i="1"/>
  <c r="A5486" i="1"/>
  <c r="B5486" i="1"/>
  <c r="C5486" i="1"/>
  <c r="D5486" i="1"/>
  <c r="A5487" i="1"/>
  <c r="B5487" i="1"/>
  <c r="C5487" i="1"/>
  <c r="D5487" i="1"/>
  <c r="A5488" i="1"/>
  <c r="B5488" i="1"/>
  <c r="C5488" i="1"/>
  <c r="D5488" i="1"/>
  <c r="A5489" i="1"/>
  <c r="B5489" i="1"/>
  <c r="C5489" i="1"/>
  <c r="D5489" i="1"/>
  <c r="A5490" i="1"/>
  <c r="B5490" i="1"/>
  <c r="C5490" i="1"/>
  <c r="D5490" i="1"/>
  <c r="A5491" i="1"/>
  <c r="B5491" i="1"/>
  <c r="C5491" i="1"/>
  <c r="D5491" i="1"/>
  <c r="A5492" i="1"/>
  <c r="B5492" i="1"/>
  <c r="C5492" i="1"/>
  <c r="D5492" i="1"/>
  <c r="A5493" i="1"/>
  <c r="B5493" i="1"/>
  <c r="C5493" i="1"/>
  <c r="D5493" i="1"/>
  <c r="A5494" i="1"/>
  <c r="B5494" i="1"/>
  <c r="C5494" i="1"/>
  <c r="D5494" i="1"/>
  <c r="A5495" i="1"/>
  <c r="B5495" i="1"/>
  <c r="C5495" i="1"/>
  <c r="D5495" i="1"/>
  <c r="A5496" i="1"/>
  <c r="B5496" i="1"/>
  <c r="C5496" i="1"/>
  <c r="D5496" i="1"/>
  <c r="A5497" i="1"/>
  <c r="B5497" i="1"/>
  <c r="C5497" i="1"/>
  <c r="D5497" i="1"/>
  <c r="A5498" i="1"/>
  <c r="B5498" i="1"/>
  <c r="C5498" i="1"/>
  <c r="D5498" i="1"/>
  <c r="A5499" i="1"/>
  <c r="B5499" i="1"/>
  <c r="C5499" i="1"/>
  <c r="D5499" i="1"/>
  <c r="A5500" i="1"/>
  <c r="B5500" i="1"/>
  <c r="C5500" i="1"/>
  <c r="D5500" i="1"/>
  <c r="A5501" i="1"/>
  <c r="B5501" i="1"/>
  <c r="C5501" i="1"/>
  <c r="D5501" i="1"/>
  <c r="A5502" i="1"/>
  <c r="B5502" i="1"/>
  <c r="C5502" i="1"/>
  <c r="D5502" i="1"/>
  <c r="A5503" i="1"/>
  <c r="B5503" i="1"/>
  <c r="C5503" i="1"/>
  <c r="D5503" i="1"/>
  <c r="A5504" i="1"/>
  <c r="B5504" i="1"/>
  <c r="C5504" i="1"/>
  <c r="D5504" i="1"/>
  <c r="A5505" i="1"/>
  <c r="B5505" i="1"/>
  <c r="C5505" i="1"/>
  <c r="D5505" i="1"/>
  <c r="A5506" i="1"/>
  <c r="B5506" i="1"/>
  <c r="C5506" i="1"/>
  <c r="D5506" i="1"/>
  <c r="A5507" i="1"/>
  <c r="B5507" i="1"/>
  <c r="C5507" i="1"/>
  <c r="D5507" i="1"/>
  <c r="A5508" i="1"/>
  <c r="B5508" i="1"/>
  <c r="C5508" i="1"/>
  <c r="D5508" i="1"/>
  <c r="A5509" i="1"/>
  <c r="B5509" i="1"/>
  <c r="C5509" i="1"/>
  <c r="D5509" i="1"/>
  <c r="A5510" i="1"/>
  <c r="B5510" i="1"/>
  <c r="C5510" i="1"/>
  <c r="D5510" i="1"/>
  <c r="A5511" i="1"/>
  <c r="B5511" i="1"/>
  <c r="C5511" i="1"/>
  <c r="D5511" i="1"/>
  <c r="A5512" i="1"/>
  <c r="B5512" i="1"/>
  <c r="C5512" i="1"/>
  <c r="D5512" i="1"/>
  <c r="A5513" i="1"/>
  <c r="B5513" i="1"/>
  <c r="C5513" i="1"/>
  <c r="D5513" i="1"/>
  <c r="A5514" i="1"/>
  <c r="B5514" i="1"/>
  <c r="C5514" i="1"/>
  <c r="D5514" i="1"/>
  <c r="A5515" i="1"/>
  <c r="B5515" i="1"/>
  <c r="C5515" i="1"/>
  <c r="D5515" i="1"/>
  <c r="A5516" i="1"/>
  <c r="B5516" i="1"/>
  <c r="C5516" i="1"/>
  <c r="D5516" i="1"/>
  <c r="A5517" i="1"/>
  <c r="B5517" i="1"/>
  <c r="C5517" i="1"/>
  <c r="D5517" i="1"/>
  <c r="A5518" i="1"/>
  <c r="B5518" i="1"/>
  <c r="C5518" i="1"/>
  <c r="D5518" i="1"/>
  <c r="A5519" i="1"/>
  <c r="B5519" i="1"/>
  <c r="C5519" i="1"/>
  <c r="D5519" i="1"/>
  <c r="A5520" i="1"/>
  <c r="B5520" i="1"/>
  <c r="C5520" i="1"/>
  <c r="D5520" i="1"/>
  <c r="A5521" i="1"/>
  <c r="B5521" i="1"/>
  <c r="C5521" i="1"/>
  <c r="D5521" i="1"/>
  <c r="A5522" i="1"/>
  <c r="B5522" i="1"/>
  <c r="C5522" i="1"/>
  <c r="D5522" i="1"/>
  <c r="A5523" i="1"/>
  <c r="B5523" i="1"/>
  <c r="C5523" i="1"/>
  <c r="D5523" i="1"/>
  <c r="A5524" i="1"/>
  <c r="B5524" i="1"/>
  <c r="C5524" i="1"/>
  <c r="D5524" i="1"/>
  <c r="A5525" i="1"/>
  <c r="B5525" i="1"/>
  <c r="C5525" i="1"/>
  <c r="D5525" i="1"/>
  <c r="A5526" i="1"/>
  <c r="B5526" i="1"/>
  <c r="C5526" i="1"/>
  <c r="D5526" i="1"/>
  <c r="A5527" i="1"/>
  <c r="B5527" i="1"/>
  <c r="C5527" i="1"/>
  <c r="D5527" i="1"/>
  <c r="A5528" i="1"/>
  <c r="B5528" i="1"/>
  <c r="C5528" i="1"/>
  <c r="D5528" i="1"/>
  <c r="A5529" i="1"/>
  <c r="B5529" i="1"/>
  <c r="C5529" i="1"/>
  <c r="D5529" i="1"/>
  <c r="A5530" i="1"/>
  <c r="B5530" i="1"/>
  <c r="C5530" i="1"/>
  <c r="D5530" i="1"/>
  <c r="A5531" i="1"/>
  <c r="B5531" i="1"/>
  <c r="C5531" i="1"/>
  <c r="D5531" i="1"/>
  <c r="A5532" i="1"/>
  <c r="B5532" i="1"/>
  <c r="C5532" i="1"/>
  <c r="D5532" i="1"/>
  <c r="A5533" i="1"/>
  <c r="B5533" i="1"/>
  <c r="C5533" i="1"/>
  <c r="D5533" i="1"/>
  <c r="A5534" i="1"/>
  <c r="B5534" i="1"/>
  <c r="C5534" i="1"/>
  <c r="D5534" i="1"/>
  <c r="A5535" i="1"/>
  <c r="B5535" i="1"/>
  <c r="C5535" i="1"/>
  <c r="D5535" i="1"/>
  <c r="A5536" i="1"/>
  <c r="B5536" i="1"/>
  <c r="C5536" i="1"/>
  <c r="D5536" i="1"/>
  <c r="A5537" i="1"/>
  <c r="B5537" i="1"/>
  <c r="C5537" i="1"/>
  <c r="D5537" i="1"/>
  <c r="A5538" i="1"/>
  <c r="B5538" i="1"/>
  <c r="C5538" i="1"/>
  <c r="D5538" i="1"/>
  <c r="A5539" i="1"/>
  <c r="B5539" i="1"/>
  <c r="C5539" i="1"/>
  <c r="D5539" i="1"/>
  <c r="A5540" i="1"/>
  <c r="B5540" i="1"/>
  <c r="C5540" i="1"/>
  <c r="D5540" i="1"/>
  <c r="A5541" i="1"/>
  <c r="B5541" i="1"/>
  <c r="C5541" i="1"/>
  <c r="D5541" i="1"/>
  <c r="A5542" i="1"/>
  <c r="B5542" i="1"/>
  <c r="C5542" i="1"/>
  <c r="D5542" i="1"/>
  <c r="A5543" i="1"/>
  <c r="B5543" i="1"/>
  <c r="C5543" i="1"/>
  <c r="D5543" i="1"/>
  <c r="A5544" i="1"/>
  <c r="B5544" i="1"/>
  <c r="C5544" i="1"/>
  <c r="D5544" i="1"/>
  <c r="A5545" i="1"/>
  <c r="B5545" i="1"/>
  <c r="C5545" i="1"/>
  <c r="D5545" i="1"/>
  <c r="A5546" i="1"/>
  <c r="B5546" i="1"/>
  <c r="C5546" i="1"/>
  <c r="D5546" i="1"/>
  <c r="A5547" i="1"/>
  <c r="B5547" i="1"/>
  <c r="C5547" i="1"/>
  <c r="D5547" i="1"/>
  <c r="A5548" i="1"/>
  <c r="B5548" i="1"/>
  <c r="C5548" i="1"/>
  <c r="D5548" i="1"/>
  <c r="A5549" i="1"/>
  <c r="B5549" i="1"/>
  <c r="C5549" i="1"/>
  <c r="D5549" i="1"/>
  <c r="A5550" i="1"/>
  <c r="B5550" i="1"/>
  <c r="C5550" i="1"/>
  <c r="D5550" i="1"/>
  <c r="A5551" i="1"/>
  <c r="B5551" i="1"/>
  <c r="C5551" i="1"/>
  <c r="D5551" i="1"/>
  <c r="A5552" i="1"/>
  <c r="B5552" i="1"/>
  <c r="C5552" i="1"/>
  <c r="D5552" i="1"/>
  <c r="A5553" i="1"/>
  <c r="B5553" i="1"/>
  <c r="C5553" i="1"/>
  <c r="D5553" i="1"/>
  <c r="A5554" i="1"/>
  <c r="B5554" i="1"/>
  <c r="C5554" i="1"/>
  <c r="D5554" i="1"/>
  <c r="A5555" i="1"/>
  <c r="B5555" i="1"/>
  <c r="C5555" i="1"/>
  <c r="D5555" i="1"/>
  <c r="A5556" i="1"/>
  <c r="B5556" i="1"/>
  <c r="C5556" i="1"/>
  <c r="D5556" i="1"/>
  <c r="A5557" i="1"/>
  <c r="B5557" i="1"/>
  <c r="C5557" i="1"/>
  <c r="D5557" i="1"/>
  <c r="A5558" i="1"/>
  <c r="B5558" i="1"/>
  <c r="C5558" i="1"/>
  <c r="D5558" i="1"/>
  <c r="A5559" i="1"/>
  <c r="B5559" i="1"/>
  <c r="C5559" i="1"/>
  <c r="D5559" i="1"/>
  <c r="A5560" i="1"/>
  <c r="B5560" i="1"/>
  <c r="C5560" i="1"/>
  <c r="D5560" i="1"/>
  <c r="A5561" i="1"/>
  <c r="B5561" i="1"/>
  <c r="C5561" i="1"/>
  <c r="D5561" i="1"/>
  <c r="A5562" i="1"/>
  <c r="B5562" i="1"/>
  <c r="C5562" i="1"/>
  <c r="D5562" i="1"/>
  <c r="A5563" i="1"/>
  <c r="B5563" i="1"/>
  <c r="C5563" i="1"/>
  <c r="D5563" i="1"/>
  <c r="A5564" i="1"/>
  <c r="B5564" i="1"/>
  <c r="C5564" i="1"/>
  <c r="D5564" i="1"/>
  <c r="A5565" i="1"/>
  <c r="B5565" i="1"/>
  <c r="C5565" i="1"/>
  <c r="D5565" i="1"/>
  <c r="A5566" i="1"/>
  <c r="B5566" i="1"/>
  <c r="C5566" i="1"/>
  <c r="D5566" i="1"/>
  <c r="A5567" i="1"/>
  <c r="B5567" i="1"/>
  <c r="C5567" i="1"/>
  <c r="D5567" i="1"/>
  <c r="A5568" i="1"/>
  <c r="B5568" i="1"/>
  <c r="C5568" i="1"/>
  <c r="D5568" i="1"/>
  <c r="A5569" i="1"/>
  <c r="B5569" i="1"/>
  <c r="C5569" i="1"/>
  <c r="D5569" i="1"/>
  <c r="A5570" i="1"/>
  <c r="B5570" i="1"/>
  <c r="C5570" i="1"/>
  <c r="D5570" i="1"/>
  <c r="A5571" i="1"/>
  <c r="B5571" i="1"/>
  <c r="C5571" i="1"/>
  <c r="D5571" i="1"/>
  <c r="A5572" i="1"/>
  <c r="B5572" i="1"/>
  <c r="C5572" i="1"/>
  <c r="D5572" i="1"/>
  <c r="A5573" i="1"/>
  <c r="B5573" i="1"/>
  <c r="C5573" i="1"/>
  <c r="D5573" i="1"/>
  <c r="A5574" i="1"/>
  <c r="B5574" i="1"/>
  <c r="C5574" i="1"/>
  <c r="D5574" i="1"/>
  <c r="A5575" i="1"/>
  <c r="B5575" i="1"/>
  <c r="C5575" i="1"/>
  <c r="D5575" i="1"/>
  <c r="A5576" i="1"/>
  <c r="B5576" i="1"/>
  <c r="C5576" i="1"/>
  <c r="D5576" i="1"/>
  <c r="A5577" i="1"/>
  <c r="B5577" i="1"/>
  <c r="C5577" i="1"/>
  <c r="D5577" i="1"/>
  <c r="A5578" i="1"/>
  <c r="B5578" i="1"/>
  <c r="C5578" i="1"/>
  <c r="D5578" i="1"/>
  <c r="A5579" i="1"/>
  <c r="B5579" i="1"/>
  <c r="C5579" i="1"/>
  <c r="D5579" i="1"/>
  <c r="A5580" i="1"/>
  <c r="B5580" i="1"/>
  <c r="C5580" i="1"/>
  <c r="D5580" i="1"/>
  <c r="A5581" i="1"/>
  <c r="B5581" i="1"/>
  <c r="C5581" i="1"/>
  <c r="D5581" i="1"/>
  <c r="A5582" i="1"/>
  <c r="B5582" i="1"/>
  <c r="C5582" i="1"/>
  <c r="D5582" i="1"/>
  <c r="A5583" i="1"/>
  <c r="B5583" i="1"/>
  <c r="C5583" i="1"/>
  <c r="D5583" i="1"/>
  <c r="A5584" i="1"/>
  <c r="B5584" i="1"/>
  <c r="C5584" i="1"/>
  <c r="D5584" i="1"/>
  <c r="A5585" i="1"/>
  <c r="B5585" i="1"/>
  <c r="C5585" i="1"/>
  <c r="D5585" i="1"/>
  <c r="A5586" i="1"/>
  <c r="B5586" i="1"/>
  <c r="C5586" i="1"/>
  <c r="D5586" i="1"/>
  <c r="A5587" i="1"/>
  <c r="B5587" i="1"/>
  <c r="C5587" i="1"/>
  <c r="D5587" i="1"/>
  <c r="A5588" i="1"/>
  <c r="B5588" i="1"/>
  <c r="C5588" i="1"/>
  <c r="D5588" i="1"/>
  <c r="A5589" i="1"/>
  <c r="B5589" i="1"/>
  <c r="C5589" i="1"/>
  <c r="D5589" i="1"/>
  <c r="A5590" i="1"/>
  <c r="B5590" i="1"/>
  <c r="C5590" i="1"/>
  <c r="D5590" i="1"/>
  <c r="A5591" i="1"/>
  <c r="B5591" i="1"/>
  <c r="C5591" i="1"/>
  <c r="D5591" i="1"/>
  <c r="A5592" i="1"/>
  <c r="B5592" i="1"/>
  <c r="C5592" i="1"/>
  <c r="D5592" i="1"/>
  <c r="A5593" i="1"/>
  <c r="B5593" i="1"/>
  <c r="C5593" i="1"/>
  <c r="D5593" i="1"/>
  <c r="A5594" i="1"/>
  <c r="B5594" i="1"/>
  <c r="C5594" i="1"/>
  <c r="D5594" i="1"/>
  <c r="A5595" i="1"/>
  <c r="B5595" i="1"/>
  <c r="C5595" i="1"/>
  <c r="D5595" i="1"/>
  <c r="A5596" i="1"/>
  <c r="B5596" i="1"/>
  <c r="C5596" i="1"/>
  <c r="D5596" i="1"/>
  <c r="A5597" i="1"/>
  <c r="B5597" i="1"/>
  <c r="C5597" i="1"/>
  <c r="D5597" i="1"/>
  <c r="A5598" i="1"/>
  <c r="B5598" i="1"/>
  <c r="C5598" i="1"/>
  <c r="D5598" i="1"/>
  <c r="A5599" i="1"/>
  <c r="B5599" i="1"/>
  <c r="C5599" i="1"/>
  <c r="D5599" i="1"/>
  <c r="A5600" i="1"/>
  <c r="B5600" i="1"/>
  <c r="C5600" i="1"/>
  <c r="D5600" i="1"/>
  <c r="A5601" i="1"/>
  <c r="B5601" i="1"/>
  <c r="C5601" i="1"/>
  <c r="D5601" i="1"/>
  <c r="A5602" i="1"/>
  <c r="B5602" i="1"/>
  <c r="C5602" i="1"/>
  <c r="D5602" i="1"/>
  <c r="A5603" i="1"/>
  <c r="B5603" i="1"/>
  <c r="C5603" i="1"/>
  <c r="D5603" i="1"/>
  <c r="A5604" i="1"/>
  <c r="B5604" i="1"/>
  <c r="C5604" i="1"/>
  <c r="D5604" i="1"/>
  <c r="A5605" i="1"/>
  <c r="B5605" i="1"/>
  <c r="C5605" i="1"/>
  <c r="D5605" i="1"/>
  <c r="A5606" i="1"/>
  <c r="B5606" i="1"/>
  <c r="C5606" i="1"/>
  <c r="D5606" i="1"/>
  <c r="A5607" i="1"/>
  <c r="B5607" i="1"/>
  <c r="C5607" i="1"/>
  <c r="D5607" i="1"/>
  <c r="A5608" i="1"/>
  <c r="B5608" i="1"/>
  <c r="C5608" i="1"/>
  <c r="D5608" i="1"/>
  <c r="A5609" i="1"/>
  <c r="B5609" i="1"/>
  <c r="C5609" i="1"/>
  <c r="D5609" i="1"/>
  <c r="A5610" i="1"/>
  <c r="B5610" i="1"/>
  <c r="C5610" i="1"/>
  <c r="D5610" i="1"/>
  <c r="A5611" i="1"/>
  <c r="B5611" i="1"/>
  <c r="C5611" i="1"/>
  <c r="D5611" i="1"/>
  <c r="A5612" i="1"/>
  <c r="B5612" i="1"/>
  <c r="C5612" i="1"/>
  <c r="D5612" i="1"/>
  <c r="A5613" i="1"/>
  <c r="B5613" i="1"/>
  <c r="C5613" i="1"/>
  <c r="D5613" i="1"/>
  <c r="A5614" i="1"/>
  <c r="B5614" i="1"/>
  <c r="C5614" i="1"/>
  <c r="D5614" i="1"/>
  <c r="A5615" i="1"/>
  <c r="B5615" i="1"/>
  <c r="C5615" i="1"/>
  <c r="D5615" i="1"/>
  <c r="A5616" i="1"/>
  <c r="B5616" i="1"/>
  <c r="C5616" i="1"/>
  <c r="D5616" i="1"/>
  <c r="A5617" i="1"/>
  <c r="B5617" i="1"/>
  <c r="C5617" i="1"/>
  <c r="D5617" i="1"/>
  <c r="A5618" i="1"/>
  <c r="B5618" i="1"/>
  <c r="C5618" i="1"/>
  <c r="D5618" i="1"/>
  <c r="A5619" i="1"/>
  <c r="B5619" i="1"/>
  <c r="C5619" i="1"/>
  <c r="D5619" i="1"/>
  <c r="A5620" i="1"/>
  <c r="B5620" i="1"/>
  <c r="C5620" i="1"/>
  <c r="D5620" i="1"/>
  <c r="A5621" i="1"/>
  <c r="B5621" i="1"/>
  <c r="C5621" i="1"/>
  <c r="D5621" i="1"/>
  <c r="A5622" i="1"/>
  <c r="B5622" i="1"/>
  <c r="C5622" i="1"/>
  <c r="D5622" i="1"/>
  <c r="A5623" i="1"/>
  <c r="B5623" i="1"/>
  <c r="C5623" i="1"/>
  <c r="D5623" i="1"/>
  <c r="A5624" i="1"/>
  <c r="B5624" i="1"/>
  <c r="C5624" i="1"/>
  <c r="D5624" i="1"/>
  <c r="A5625" i="1"/>
  <c r="B5625" i="1"/>
  <c r="C5625" i="1"/>
  <c r="D5625" i="1"/>
  <c r="A5626" i="1"/>
  <c r="B5626" i="1"/>
  <c r="C5626" i="1"/>
  <c r="D5626" i="1"/>
  <c r="A5627" i="1"/>
  <c r="B5627" i="1"/>
  <c r="C5627" i="1"/>
  <c r="D5627" i="1"/>
  <c r="A5628" i="1"/>
  <c r="B5628" i="1"/>
  <c r="C5628" i="1"/>
  <c r="D5628" i="1"/>
  <c r="A5629" i="1"/>
  <c r="B5629" i="1"/>
  <c r="C5629" i="1"/>
  <c r="D5629" i="1"/>
  <c r="A5630" i="1"/>
  <c r="B5630" i="1"/>
  <c r="C5630" i="1"/>
  <c r="D5630" i="1"/>
  <c r="A5631" i="1"/>
  <c r="B5631" i="1"/>
  <c r="C5631" i="1"/>
  <c r="D5631" i="1"/>
  <c r="A5632" i="1"/>
  <c r="B5632" i="1"/>
  <c r="C5632" i="1"/>
  <c r="D5632" i="1"/>
  <c r="A5633" i="1"/>
  <c r="B5633" i="1"/>
  <c r="C5633" i="1"/>
  <c r="D5633" i="1"/>
  <c r="A5634" i="1"/>
  <c r="B5634" i="1"/>
  <c r="C5634" i="1"/>
  <c r="D5634" i="1"/>
  <c r="A5635" i="1"/>
  <c r="B5635" i="1"/>
  <c r="C5635" i="1"/>
  <c r="D5635" i="1"/>
  <c r="A5636" i="1"/>
  <c r="B5636" i="1"/>
  <c r="C5636" i="1"/>
  <c r="D5636" i="1"/>
  <c r="A5637" i="1"/>
  <c r="B5637" i="1"/>
  <c r="C5637" i="1"/>
  <c r="D5637" i="1"/>
  <c r="A5638" i="1"/>
  <c r="B5638" i="1"/>
  <c r="C5638" i="1"/>
  <c r="D5638" i="1"/>
  <c r="A5639" i="1"/>
  <c r="B5639" i="1"/>
  <c r="C5639" i="1"/>
  <c r="D5639" i="1"/>
  <c r="A5640" i="1"/>
  <c r="B5640" i="1"/>
  <c r="C5640" i="1"/>
  <c r="D5640" i="1"/>
  <c r="A5641" i="1"/>
  <c r="B5641" i="1"/>
  <c r="C5641" i="1"/>
  <c r="D5641" i="1"/>
  <c r="A5642" i="1"/>
  <c r="B5642" i="1"/>
  <c r="C5642" i="1"/>
  <c r="D5642" i="1"/>
  <c r="A5643" i="1"/>
  <c r="B5643" i="1"/>
  <c r="C5643" i="1"/>
  <c r="D5643" i="1"/>
  <c r="A5644" i="1"/>
  <c r="B5644" i="1"/>
  <c r="C5644" i="1"/>
  <c r="D5644" i="1"/>
  <c r="A5645" i="1"/>
  <c r="B5645" i="1"/>
  <c r="C5645" i="1"/>
  <c r="D5645" i="1"/>
  <c r="A5646" i="1"/>
  <c r="B5646" i="1"/>
  <c r="C5646" i="1"/>
  <c r="D5646" i="1"/>
  <c r="A5647" i="1"/>
  <c r="B5647" i="1"/>
  <c r="C5647" i="1"/>
  <c r="D5647" i="1"/>
  <c r="A5648" i="1"/>
  <c r="B5648" i="1"/>
  <c r="C5648" i="1"/>
  <c r="D5648" i="1"/>
  <c r="A5649" i="1"/>
  <c r="B5649" i="1"/>
  <c r="C5649" i="1"/>
  <c r="D5649" i="1"/>
  <c r="A5650" i="1"/>
  <c r="B5650" i="1"/>
  <c r="C5650" i="1"/>
  <c r="D5650" i="1"/>
  <c r="A5651" i="1"/>
  <c r="B5651" i="1"/>
  <c r="C5651" i="1"/>
  <c r="D5651" i="1"/>
  <c r="A5652" i="1"/>
  <c r="B5652" i="1"/>
  <c r="C5652" i="1"/>
  <c r="D5652" i="1"/>
  <c r="A5653" i="1"/>
  <c r="B5653" i="1"/>
  <c r="C5653" i="1"/>
  <c r="D5653" i="1"/>
  <c r="A5654" i="1"/>
  <c r="B5654" i="1"/>
  <c r="C5654" i="1"/>
  <c r="D5654" i="1"/>
  <c r="A5655" i="1"/>
  <c r="B5655" i="1"/>
  <c r="C5655" i="1"/>
  <c r="D5655" i="1"/>
  <c r="A5656" i="1"/>
  <c r="B5656" i="1"/>
  <c r="C5656" i="1"/>
  <c r="D5656" i="1"/>
  <c r="A5657" i="1"/>
  <c r="B5657" i="1"/>
  <c r="C5657" i="1"/>
  <c r="D5657" i="1"/>
  <c r="A5658" i="1"/>
  <c r="B5658" i="1"/>
  <c r="C5658" i="1"/>
  <c r="D5658" i="1"/>
  <c r="A5659" i="1"/>
  <c r="B5659" i="1"/>
  <c r="C5659" i="1"/>
  <c r="D5659" i="1"/>
  <c r="A5660" i="1"/>
  <c r="B5660" i="1"/>
  <c r="C5660" i="1"/>
  <c r="D5660" i="1"/>
  <c r="A5661" i="1"/>
  <c r="B5661" i="1"/>
  <c r="C5661" i="1"/>
  <c r="D5661" i="1"/>
  <c r="A5662" i="1"/>
  <c r="B5662" i="1"/>
  <c r="C5662" i="1"/>
  <c r="D5662" i="1"/>
  <c r="A5663" i="1"/>
  <c r="B5663" i="1"/>
  <c r="C5663" i="1"/>
  <c r="D5663" i="1"/>
  <c r="A5664" i="1"/>
  <c r="B5664" i="1"/>
  <c r="C5664" i="1"/>
  <c r="D5664" i="1"/>
  <c r="A5665" i="1"/>
  <c r="B5665" i="1"/>
  <c r="C5665" i="1"/>
  <c r="D5665" i="1"/>
  <c r="A5666" i="1"/>
  <c r="B5666" i="1"/>
  <c r="C5666" i="1"/>
  <c r="D5666" i="1"/>
  <c r="A5667" i="1"/>
  <c r="B5667" i="1"/>
  <c r="C5667" i="1"/>
  <c r="D5667" i="1"/>
  <c r="A5668" i="1"/>
  <c r="B5668" i="1"/>
  <c r="C5668" i="1"/>
  <c r="D5668" i="1"/>
  <c r="A5669" i="1"/>
  <c r="B5669" i="1"/>
  <c r="C5669" i="1"/>
  <c r="D5669" i="1"/>
  <c r="A5670" i="1"/>
  <c r="B5670" i="1"/>
  <c r="C5670" i="1"/>
  <c r="D5670" i="1"/>
  <c r="A5671" i="1"/>
  <c r="B5671" i="1"/>
  <c r="C5671" i="1"/>
  <c r="D5671" i="1"/>
  <c r="A5672" i="1"/>
  <c r="B5672" i="1"/>
  <c r="C5672" i="1"/>
  <c r="D5672" i="1"/>
  <c r="A5673" i="1"/>
  <c r="B5673" i="1"/>
  <c r="C5673" i="1"/>
  <c r="D5673" i="1"/>
  <c r="A5674" i="1"/>
  <c r="B5674" i="1"/>
  <c r="C5674" i="1"/>
  <c r="D5674" i="1"/>
  <c r="A5675" i="1"/>
  <c r="B5675" i="1"/>
  <c r="C5675" i="1"/>
  <c r="D5675" i="1"/>
  <c r="A5676" i="1"/>
  <c r="B5676" i="1"/>
  <c r="C5676" i="1"/>
  <c r="D5676" i="1"/>
  <c r="A5677" i="1"/>
  <c r="B5677" i="1"/>
  <c r="C5677" i="1"/>
  <c r="D5677" i="1"/>
  <c r="A5678" i="1"/>
  <c r="B5678" i="1"/>
  <c r="C5678" i="1"/>
  <c r="D5678" i="1"/>
  <c r="A5679" i="1"/>
  <c r="B5679" i="1"/>
  <c r="C5679" i="1"/>
  <c r="D5679" i="1"/>
  <c r="A5680" i="1"/>
  <c r="B5680" i="1"/>
  <c r="C5680" i="1"/>
  <c r="D5680" i="1"/>
  <c r="A5681" i="1"/>
  <c r="B5681" i="1"/>
  <c r="C5681" i="1"/>
  <c r="D5681" i="1"/>
  <c r="A5682" i="1"/>
  <c r="B5682" i="1"/>
  <c r="C5682" i="1"/>
  <c r="D5682" i="1"/>
  <c r="A5683" i="1"/>
  <c r="B5683" i="1"/>
  <c r="C5683" i="1"/>
  <c r="D5683" i="1"/>
  <c r="A5684" i="1"/>
  <c r="B5684" i="1"/>
  <c r="C5684" i="1"/>
  <c r="D5684" i="1"/>
  <c r="A5685" i="1"/>
  <c r="B5685" i="1"/>
  <c r="C5685" i="1"/>
  <c r="D5685" i="1"/>
  <c r="A5686" i="1"/>
  <c r="B5686" i="1"/>
  <c r="C5686" i="1"/>
  <c r="D5686" i="1"/>
  <c r="A5687" i="1"/>
  <c r="B5687" i="1"/>
  <c r="C5687" i="1"/>
  <c r="D5687" i="1"/>
  <c r="A5688" i="1"/>
  <c r="B5688" i="1"/>
  <c r="C5688" i="1"/>
  <c r="D5688" i="1"/>
  <c r="A5689" i="1"/>
  <c r="B5689" i="1"/>
  <c r="C5689" i="1"/>
  <c r="D5689" i="1"/>
  <c r="A5690" i="1"/>
  <c r="B5690" i="1"/>
  <c r="C5690" i="1"/>
  <c r="D5690" i="1"/>
  <c r="A5691" i="1"/>
  <c r="B5691" i="1"/>
  <c r="C5691" i="1"/>
  <c r="D5691" i="1"/>
  <c r="A5692" i="1"/>
  <c r="B5692" i="1"/>
  <c r="C5692" i="1"/>
  <c r="D5692" i="1"/>
  <c r="A5693" i="1"/>
  <c r="B5693" i="1"/>
  <c r="C5693" i="1"/>
  <c r="D5693" i="1"/>
  <c r="A5694" i="1"/>
  <c r="B5694" i="1"/>
  <c r="C5694" i="1"/>
  <c r="D5694" i="1"/>
  <c r="A5695" i="1"/>
  <c r="B5695" i="1"/>
  <c r="C5695" i="1"/>
  <c r="D5695" i="1"/>
  <c r="A5696" i="1"/>
  <c r="B5696" i="1"/>
  <c r="C5696" i="1"/>
  <c r="D5696" i="1"/>
  <c r="A5697" i="1"/>
  <c r="B5697" i="1"/>
  <c r="C5697" i="1"/>
  <c r="D5697" i="1"/>
  <c r="A5698" i="1"/>
  <c r="B5698" i="1"/>
  <c r="C5698" i="1"/>
  <c r="D5698" i="1"/>
  <c r="A5699" i="1"/>
  <c r="B5699" i="1"/>
  <c r="C5699" i="1"/>
  <c r="D5699" i="1"/>
  <c r="A5700" i="1"/>
  <c r="B5700" i="1"/>
  <c r="C5700" i="1"/>
  <c r="D5700" i="1"/>
  <c r="A5701" i="1"/>
  <c r="B5701" i="1"/>
  <c r="C5701" i="1"/>
  <c r="D5701" i="1"/>
  <c r="A5702" i="1"/>
  <c r="B5702" i="1"/>
  <c r="C5702" i="1"/>
  <c r="D5702" i="1"/>
  <c r="A5703" i="1"/>
  <c r="B5703" i="1"/>
  <c r="C5703" i="1"/>
  <c r="D5703" i="1"/>
  <c r="A5704" i="1"/>
  <c r="B5704" i="1"/>
  <c r="C5704" i="1"/>
  <c r="D5704" i="1"/>
  <c r="A5705" i="1"/>
  <c r="B5705" i="1"/>
  <c r="C5705" i="1"/>
  <c r="D5705" i="1"/>
  <c r="A5706" i="1"/>
  <c r="B5706" i="1"/>
  <c r="C5706" i="1"/>
  <c r="D5706" i="1"/>
  <c r="A5707" i="1"/>
  <c r="B5707" i="1"/>
  <c r="C5707" i="1"/>
  <c r="D5707" i="1"/>
  <c r="A5708" i="1"/>
  <c r="B5708" i="1"/>
  <c r="C5708" i="1"/>
  <c r="D5708" i="1"/>
  <c r="A5709" i="1"/>
  <c r="B5709" i="1"/>
  <c r="C5709" i="1"/>
  <c r="D5709" i="1"/>
  <c r="A5710" i="1"/>
  <c r="B5710" i="1"/>
  <c r="C5710" i="1"/>
  <c r="D5710" i="1"/>
  <c r="A5711" i="1"/>
  <c r="B5711" i="1"/>
  <c r="C5711" i="1"/>
  <c r="D5711" i="1"/>
  <c r="A5712" i="1"/>
  <c r="B5712" i="1"/>
  <c r="C5712" i="1"/>
  <c r="D5712" i="1"/>
  <c r="A5713" i="1"/>
  <c r="B5713" i="1"/>
  <c r="C5713" i="1"/>
  <c r="D5713" i="1"/>
  <c r="A5714" i="1"/>
  <c r="B5714" i="1"/>
  <c r="C5714" i="1"/>
  <c r="D5714" i="1"/>
  <c r="A5715" i="1"/>
  <c r="B5715" i="1"/>
  <c r="C5715" i="1"/>
  <c r="D5715" i="1"/>
  <c r="A5716" i="1"/>
  <c r="B5716" i="1"/>
  <c r="C5716" i="1"/>
  <c r="D5716" i="1"/>
  <c r="A5717" i="1"/>
  <c r="B5717" i="1"/>
  <c r="C5717" i="1"/>
  <c r="D5717" i="1"/>
  <c r="A5718" i="1"/>
  <c r="B5718" i="1"/>
  <c r="C5718" i="1"/>
  <c r="D5718" i="1"/>
  <c r="A5719" i="1"/>
  <c r="B5719" i="1"/>
  <c r="C5719" i="1"/>
  <c r="D5719" i="1"/>
  <c r="A5720" i="1"/>
  <c r="B5720" i="1"/>
  <c r="C5720" i="1"/>
  <c r="D5720" i="1"/>
  <c r="A5721" i="1"/>
  <c r="B5721" i="1"/>
  <c r="C5721" i="1"/>
  <c r="D5721" i="1"/>
  <c r="A5722" i="1"/>
  <c r="B5722" i="1"/>
  <c r="C5722" i="1"/>
  <c r="D5722" i="1"/>
  <c r="A5723" i="1"/>
  <c r="B5723" i="1"/>
  <c r="C5723" i="1"/>
  <c r="D5723" i="1"/>
  <c r="A5724" i="1"/>
  <c r="B5724" i="1"/>
  <c r="C5724" i="1"/>
  <c r="D5724" i="1"/>
  <c r="A5725" i="1"/>
  <c r="B5725" i="1"/>
  <c r="C5725" i="1"/>
  <c r="D5725" i="1"/>
  <c r="A5726" i="1"/>
  <c r="B5726" i="1"/>
  <c r="C5726" i="1"/>
  <c r="D5726" i="1"/>
  <c r="A5727" i="1"/>
  <c r="B5727" i="1"/>
  <c r="C5727" i="1"/>
  <c r="D5727" i="1"/>
  <c r="A5728" i="1"/>
  <c r="B5728" i="1"/>
  <c r="C5728" i="1"/>
  <c r="D5728" i="1"/>
  <c r="A5729" i="1"/>
  <c r="B5729" i="1"/>
  <c r="C5729" i="1"/>
  <c r="D5729" i="1"/>
  <c r="A5730" i="1"/>
  <c r="B5730" i="1"/>
  <c r="C5730" i="1"/>
  <c r="D5730" i="1"/>
  <c r="A5731" i="1"/>
  <c r="B5731" i="1"/>
  <c r="C5731" i="1"/>
  <c r="D5731" i="1"/>
  <c r="A5732" i="1"/>
  <c r="B5732" i="1"/>
  <c r="C5732" i="1"/>
  <c r="D5732" i="1"/>
  <c r="A5733" i="1"/>
  <c r="B5733" i="1"/>
  <c r="C5733" i="1"/>
  <c r="D5733" i="1"/>
  <c r="A5734" i="1"/>
  <c r="B5734" i="1"/>
  <c r="C5734" i="1"/>
  <c r="D5734" i="1"/>
  <c r="A5735" i="1"/>
  <c r="B5735" i="1"/>
  <c r="C5735" i="1"/>
  <c r="D5735" i="1"/>
  <c r="A5736" i="1"/>
  <c r="B5736" i="1"/>
  <c r="C5736" i="1"/>
  <c r="D5736" i="1"/>
  <c r="A5737" i="1"/>
  <c r="B5737" i="1"/>
  <c r="C5737" i="1"/>
  <c r="D5737" i="1"/>
  <c r="A5738" i="1"/>
  <c r="B5738" i="1"/>
  <c r="C5738" i="1"/>
  <c r="D5738" i="1"/>
  <c r="A5739" i="1"/>
  <c r="B5739" i="1"/>
  <c r="C5739" i="1"/>
  <c r="D5739" i="1"/>
  <c r="A5740" i="1"/>
  <c r="B5740" i="1"/>
  <c r="C5740" i="1"/>
  <c r="D5740" i="1"/>
  <c r="A5741" i="1"/>
  <c r="B5741" i="1"/>
  <c r="C5741" i="1"/>
  <c r="D5741" i="1"/>
  <c r="A5742" i="1"/>
  <c r="B5742" i="1"/>
  <c r="C5742" i="1"/>
  <c r="D5742" i="1"/>
  <c r="A5743" i="1"/>
  <c r="B5743" i="1"/>
  <c r="C5743" i="1"/>
  <c r="D5743" i="1"/>
  <c r="A5744" i="1"/>
  <c r="B5744" i="1"/>
  <c r="C5744" i="1"/>
  <c r="D5744" i="1"/>
  <c r="A5745" i="1"/>
  <c r="B5745" i="1"/>
  <c r="C5745" i="1"/>
  <c r="D5745" i="1"/>
  <c r="A5746" i="1"/>
  <c r="B5746" i="1"/>
  <c r="C5746" i="1"/>
  <c r="D5746" i="1"/>
  <c r="A5747" i="1"/>
  <c r="B5747" i="1"/>
  <c r="C5747" i="1"/>
  <c r="D5747" i="1"/>
  <c r="A5748" i="1"/>
  <c r="B5748" i="1"/>
  <c r="C5748" i="1"/>
  <c r="D5748" i="1"/>
  <c r="A5749" i="1"/>
  <c r="B5749" i="1"/>
  <c r="C5749" i="1"/>
  <c r="D5749" i="1"/>
  <c r="A5750" i="1"/>
  <c r="B5750" i="1"/>
  <c r="C5750" i="1"/>
  <c r="D5750" i="1"/>
  <c r="A5751" i="1"/>
  <c r="B5751" i="1"/>
  <c r="C5751" i="1"/>
  <c r="D5751" i="1"/>
  <c r="A5752" i="1"/>
  <c r="B5752" i="1"/>
  <c r="C5752" i="1"/>
  <c r="D5752" i="1"/>
  <c r="A5753" i="1"/>
  <c r="B5753" i="1"/>
  <c r="C5753" i="1"/>
  <c r="D5753" i="1"/>
  <c r="A5754" i="1"/>
  <c r="B5754" i="1"/>
  <c r="C5754" i="1"/>
  <c r="D5754" i="1"/>
  <c r="A5755" i="1"/>
  <c r="B5755" i="1"/>
  <c r="C5755" i="1"/>
  <c r="D5755" i="1"/>
  <c r="A5756" i="1"/>
  <c r="B5756" i="1"/>
  <c r="C5756" i="1"/>
  <c r="D5756" i="1"/>
  <c r="A5757" i="1"/>
  <c r="B5757" i="1"/>
  <c r="C5757" i="1"/>
  <c r="D5757" i="1"/>
  <c r="A5758" i="1"/>
  <c r="B5758" i="1"/>
  <c r="C5758" i="1"/>
  <c r="D5758" i="1"/>
  <c r="A5759" i="1"/>
  <c r="B5759" i="1"/>
  <c r="C5759" i="1"/>
  <c r="D5759" i="1"/>
  <c r="A5760" i="1"/>
  <c r="B5760" i="1"/>
  <c r="C5760" i="1"/>
  <c r="D5760" i="1"/>
  <c r="A5761" i="1"/>
  <c r="B5761" i="1"/>
  <c r="C5761" i="1"/>
  <c r="D5761" i="1"/>
  <c r="A5762" i="1"/>
  <c r="B5762" i="1"/>
  <c r="C5762" i="1"/>
  <c r="D5762" i="1"/>
  <c r="A5763" i="1"/>
  <c r="B5763" i="1"/>
  <c r="C5763" i="1"/>
  <c r="D5763" i="1"/>
  <c r="A5764" i="1"/>
  <c r="B5764" i="1"/>
  <c r="C5764" i="1"/>
  <c r="D5764" i="1"/>
  <c r="A5765" i="1"/>
  <c r="B5765" i="1"/>
  <c r="C5765" i="1"/>
  <c r="D5765" i="1"/>
  <c r="A5766" i="1"/>
  <c r="B5766" i="1"/>
  <c r="C5766" i="1"/>
  <c r="D5766" i="1"/>
  <c r="A5767" i="1"/>
  <c r="B5767" i="1"/>
  <c r="C5767" i="1"/>
  <c r="D5767" i="1"/>
  <c r="A5768" i="1"/>
  <c r="B5768" i="1"/>
  <c r="C5768" i="1"/>
  <c r="D5768" i="1"/>
  <c r="A5769" i="1"/>
  <c r="B5769" i="1"/>
  <c r="C5769" i="1"/>
  <c r="D5769" i="1"/>
  <c r="A5770" i="1"/>
  <c r="B5770" i="1"/>
  <c r="C5770" i="1"/>
  <c r="D5770" i="1"/>
  <c r="A5771" i="1"/>
  <c r="B5771" i="1"/>
  <c r="C5771" i="1"/>
  <c r="D5771" i="1"/>
  <c r="A5772" i="1"/>
  <c r="B5772" i="1"/>
  <c r="C5772" i="1"/>
  <c r="D5772" i="1"/>
  <c r="A5773" i="1"/>
  <c r="B5773" i="1"/>
  <c r="C5773" i="1"/>
  <c r="D5773" i="1"/>
  <c r="A5774" i="1"/>
  <c r="B5774" i="1"/>
  <c r="C5774" i="1"/>
  <c r="D5774" i="1"/>
  <c r="A5775" i="1"/>
  <c r="B5775" i="1"/>
  <c r="C5775" i="1"/>
  <c r="D5775" i="1"/>
  <c r="A5776" i="1"/>
  <c r="B5776" i="1"/>
  <c r="C5776" i="1"/>
  <c r="D5776" i="1"/>
  <c r="A5777" i="1"/>
  <c r="B5777" i="1"/>
  <c r="C5777" i="1"/>
  <c r="D5777" i="1"/>
  <c r="A5778" i="1"/>
  <c r="B5778" i="1"/>
  <c r="C5778" i="1"/>
  <c r="D5778" i="1"/>
  <c r="A5779" i="1"/>
  <c r="B5779" i="1"/>
  <c r="C5779" i="1"/>
  <c r="D5779" i="1"/>
  <c r="A5780" i="1"/>
  <c r="B5780" i="1"/>
  <c r="C5780" i="1"/>
  <c r="D5780" i="1"/>
  <c r="A5781" i="1"/>
  <c r="B5781" i="1"/>
  <c r="C5781" i="1"/>
  <c r="D5781" i="1"/>
  <c r="A5782" i="1"/>
  <c r="B5782" i="1"/>
  <c r="C5782" i="1"/>
  <c r="D5782" i="1"/>
  <c r="A5783" i="1"/>
  <c r="B5783" i="1"/>
  <c r="C5783" i="1"/>
  <c r="D5783" i="1"/>
  <c r="A5784" i="1"/>
  <c r="B5784" i="1"/>
  <c r="C5784" i="1"/>
  <c r="D5784" i="1"/>
  <c r="A5785" i="1"/>
  <c r="B5785" i="1"/>
  <c r="C5785" i="1"/>
  <c r="D5785" i="1"/>
  <c r="A5786" i="1"/>
  <c r="B5786" i="1"/>
  <c r="C5786" i="1"/>
  <c r="D5786" i="1"/>
  <c r="A5787" i="1"/>
  <c r="B5787" i="1"/>
  <c r="C5787" i="1"/>
  <c r="D5787" i="1"/>
  <c r="A5788" i="1"/>
  <c r="B5788" i="1"/>
  <c r="C5788" i="1"/>
  <c r="D5788" i="1"/>
  <c r="A5789" i="1"/>
  <c r="B5789" i="1"/>
  <c r="C5789" i="1"/>
  <c r="D5789" i="1"/>
  <c r="A5790" i="1"/>
  <c r="B5790" i="1"/>
  <c r="C5790" i="1"/>
  <c r="D5790" i="1"/>
  <c r="A5791" i="1"/>
  <c r="B5791" i="1"/>
  <c r="C5791" i="1"/>
  <c r="D5791" i="1"/>
  <c r="A5792" i="1"/>
  <c r="B5792" i="1"/>
  <c r="C5792" i="1"/>
  <c r="D5792" i="1"/>
  <c r="A5793" i="1"/>
  <c r="B5793" i="1"/>
  <c r="C5793" i="1"/>
  <c r="D5793" i="1"/>
  <c r="A5794" i="1"/>
  <c r="B5794" i="1"/>
  <c r="C5794" i="1"/>
  <c r="D5794" i="1"/>
  <c r="A5795" i="1"/>
  <c r="B5795" i="1"/>
  <c r="C5795" i="1"/>
  <c r="D5795" i="1"/>
  <c r="A5796" i="1"/>
  <c r="B5796" i="1"/>
  <c r="C5796" i="1"/>
  <c r="D5796" i="1"/>
  <c r="A5797" i="1"/>
  <c r="B5797" i="1"/>
  <c r="C5797" i="1"/>
  <c r="D5797" i="1"/>
  <c r="A5798" i="1"/>
  <c r="B5798" i="1"/>
  <c r="C5798" i="1"/>
  <c r="D5798" i="1"/>
  <c r="A5799" i="1"/>
  <c r="B5799" i="1"/>
  <c r="C5799" i="1"/>
  <c r="D5799" i="1"/>
  <c r="A5800" i="1"/>
  <c r="B5800" i="1"/>
  <c r="C5800" i="1"/>
  <c r="D5800" i="1"/>
  <c r="A5801" i="1"/>
  <c r="B5801" i="1"/>
  <c r="C5801" i="1"/>
  <c r="D5801" i="1"/>
  <c r="A5802" i="1"/>
  <c r="B5802" i="1"/>
  <c r="C5802" i="1"/>
  <c r="D5802" i="1"/>
  <c r="A5803" i="1"/>
  <c r="B5803" i="1"/>
  <c r="C5803" i="1"/>
  <c r="D5803" i="1"/>
  <c r="A5804" i="1"/>
  <c r="B5804" i="1"/>
  <c r="C5804" i="1"/>
  <c r="D5804" i="1"/>
  <c r="A5805" i="1"/>
  <c r="B5805" i="1"/>
  <c r="C5805" i="1"/>
  <c r="D5805" i="1"/>
  <c r="A5806" i="1"/>
  <c r="B5806" i="1"/>
  <c r="C5806" i="1"/>
  <c r="D5806" i="1"/>
  <c r="A5807" i="1"/>
  <c r="B5807" i="1"/>
  <c r="C5807" i="1"/>
  <c r="D5807" i="1"/>
  <c r="A5808" i="1"/>
  <c r="B5808" i="1"/>
  <c r="C5808" i="1"/>
  <c r="D5808" i="1"/>
  <c r="A5809" i="1"/>
  <c r="B5809" i="1"/>
  <c r="C5809" i="1"/>
  <c r="D5809" i="1"/>
  <c r="A5810" i="1"/>
  <c r="B5810" i="1"/>
  <c r="C5810" i="1"/>
  <c r="D5810" i="1"/>
  <c r="A5811" i="1"/>
  <c r="B5811" i="1"/>
  <c r="C5811" i="1"/>
  <c r="D5811" i="1"/>
  <c r="A5812" i="1"/>
  <c r="B5812" i="1"/>
  <c r="C5812" i="1"/>
  <c r="D5812" i="1"/>
  <c r="A5813" i="1"/>
  <c r="B5813" i="1"/>
  <c r="C5813" i="1"/>
  <c r="D5813" i="1"/>
  <c r="A5814" i="1"/>
  <c r="B5814" i="1"/>
  <c r="C5814" i="1"/>
  <c r="D5814" i="1"/>
  <c r="A5815" i="1"/>
  <c r="B5815" i="1"/>
  <c r="C5815" i="1"/>
  <c r="D5815" i="1"/>
  <c r="A5816" i="1"/>
  <c r="B5816" i="1"/>
  <c r="C5816" i="1"/>
  <c r="D5816" i="1"/>
  <c r="A5817" i="1"/>
  <c r="B5817" i="1"/>
  <c r="C5817" i="1"/>
  <c r="D5817" i="1"/>
  <c r="A5818" i="1"/>
  <c r="B5818" i="1"/>
  <c r="C5818" i="1"/>
  <c r="D5818" i="1"/>
  <c r="A5819" i="1"/>
  <c r="B5819" i="1"/>
  <c r="C5819" i="1"/>
  <c r="D5819" i="1"/>
  <c r="A5820" i="1"/>
  <c r="B5820" i="1"/>
  <c r="C5820" i="1"/>
  <c r="D5820" i="1"/>
  <c r="A5821" i="1"/>
  <c r="B5821" i="1"/>
  <c r="C5821" i="1"/>
  <c r="D5821" i="1"/>
  <c r="A5822" i="1"/>
  <c r="B5822" i="1"/>
  <c r="C5822" i="1"/>
  <c r="D5822" i="1"/>
  <c r="A5823" i="1"/>
  <c r="B5823" i="1"/>
  <c r="C5823" i="1"/>
  <c r="D5823" i="1"/>
  <c r="A5824" i="1"/>
  <c r="B5824" i="1"/>
  <c r="C5824" i="1"/>
  <c r="D5824" i="1"/>
  <c r="A5825" i="1"/>
  <c r="B5825" i="1"/>
  <c r="C5825" i="1"/>
  <c r="D5825" i="1"/>
  <c r="A5826" i="1"/>
  <c r="B5826" i="1"/>
  <c r="C5826" i="1"/>
  <c r="D5826" i="1"/>
  <c r="A5827" i="1"/>
  <c r="B5827" i="1"/>
  <c r="C5827" i="1"/>
  <c r="D5827" i="1"/>
  <c r="A5828" i="1"/>
  <c r="B5828" i="1"/>
  <c r="C5828" i="1"/>
  <c r="D5828" i="1"/>
  <c r="A5829" i="1"/>
  <c r="B5829" i="1"/>
  <c r="C5829" i="1"/>
  <c r="D5829" i="1"/>
  <c r="A5830" i="1"/>
  <c r="B5830" i="1"/>
  <c r="C5830" i="1"/>
  <c r="D5830" i="1"/>
  <c r="A5831" i="1"/>
  <c r="B5831" i="1"/>
  <c r="C5831" i="1"/>
  <c r="D5831" i="1"/>
  <c r="A5832" i="1"/>
  <c r="B5832" i="1"/>
  <c r="C5832" i="1"/>
  <c r="D5832" i="1"/>
  <c r="A5833" i="1"/>
  <c r="B5833" i="1"/>
  <c r="C5833" i="1"/>
  <c r="D5833" i="1"/>
  <c r="A5834" i="1"/>
  <c r="B5834" i="1"/>
  <c r="C5834" i="1"/>
  <c r="D5834" i="1"/>
  <c r="A5835" i="1"/>
  <c r="B5835" i="1"/>
  <c r="C5835" i="1"/>
  <c r="D5835" i="1"/>
  <c r="A5836" i="1"/>
  <c r="B5836" i="1"/>
  <c r="C5836" i="1"/>
  <c r="D5836" i="1"/>
  <c r="A5837" i="1"/>
  <c r="B5837" i="1"/>
  <c r="C5837" i="1"/>
  <c r="D5837" i="1"/>
  <c r="A5838" i="1"/>
  <c r="B5838" i="1"/>
  <c r="C5838" i="1"/>
  <c r="D5838" i="1"/>
  <c r="A5839" i="1"/>
  <c r="B5839" i="1"/>
  <c r="C5839" i="1"/>
  <c r="D5839" i="1"/>
  <c r="A5840" i="1"/>
  <c r="B5840" i="1"/>
  <c r="C5840" i="1"/>
  <c r="D5840" i="1"/>
  <c r="A5841" i="1"/>
  <c r="B5841" i="1"/>
  <c r="C5841" i="1"/>
  <c r="D5841" i="1"/>
  <c r="A5842" i="1"/>
  <c r="B5842" i="1"/>
  <c r="C5842" i="1"/>
  <c r="D5842" i="1"/>
  <c r="A5843" i="1"/>
  <c r="B5843" i="1"/>
  <c r="C5843" i="1"/>
  <c r="D5843" i="1"/>
  <c r="A5844" i="1"/>
  <c r="B5844" i="1"/>
  <c r="C5844" i="1"/>
  <c r="D5844" i="1"/>
  <c r="A5845" i="1"/>
  <c r="B5845" i="1"/>
  <c r="C5845" i="1"/>
  <c r="D5845" i="1"/>
  <c r="A5846" i="1"/>
  <c r="B5846" i="1"/>
  <c r="C5846" i="1"/>
  <c r="D5846" i="1"/>
  <c r="A5847" i="1"/>
  <c r="B5847" i="1"/>
  <c r="C5847" i="1"/>
  <c r="D5847" i="1"/>
  <c r="A5848" i="1"/>
  <c r="B5848" i="1"/>
  <c r="C5848" i="1"/>
  <c r="D5848" i="1"/>
  <c r="A5849" i="1"/>
  <c r="B5849" i="1"/>
  <c r="C5849" i="1"/>
  <c r="D5849" i="1"/>
  <c r="A5850" i="1"/>
  <c r="B5850" i="1"/>
  <c r="C5850" i="1"/>
  <c r="D5850" i="1"/>
  <c r="A5851" i="1"/>
  <c r="B5851" i="1"/>
  <c r="C5851" i="1"/>
  <c r="D5851" i="1"/>
  <c r="A5852" i="1"/>
  <c r="B5852" i="1"/>
  <c r="C5852" i="1"/>
  <c r="D5852" i="1"/>
  <c r="A5853" i="1"/>
  <c r="B5853" i="1"/>
  <c r="C5853" i="1"/>
  <c r="D5853" i="1"/>
  <c r="A5854" i="1"/>
  <c r="B5854" i="1"/>
  <c r="C5854" i="1"/>
  <c r="D5854" i="1"/>
  <c r="A5855" i="1"/>
  <c r="B5855" i="1"/>
  <c r="C5855" i="1"/>
  <c r="D5855" i="1"/>
  <c r="A5856" i="1"/>
  <c r="B5856" i="1"/>
  <c r="C5856" i="1"/>
  <c r="D5856" i="1"/>
  <c r="A5857" i="1"/>
  <c r="B5857" i="1"/>
  <c r="C5857" i="1"/>
  <c r="D5857" i="1"/>
  <c r="A5858" i="1"/>
  <c r="B5858" i="1"/>
  <c r="C5858" i="1"/>
  <c r="D5858" i="1"/>
  <c r="A5859" i="1"/>
  <c r="B5859" i="1"/>
  <c r="C5859" i="1"/>
  <c r="D5859" i="1"/>
  <c r="A5860" i="1"/>
  <c r="B5860" i="1"/>
  <c r="C5860" i="1"/>
  <c r="D5860" i="1"/>
  <c r="A5861" i="1"/>
  <c r="B5861" i="1"/>
  <c r="C5861" i="1"/>
  <c r="D5861" i="1"/>
  <c r="A5862" i="1"/>
  <c r="B5862" i="1"/>
  <c r="C5862" i="1"/>
  <c r="D5862" i="1"/>
  <c r="A5863" i="1"/>
  <c r="B5863" i="1"/>
  <c r="C5863" i="1"/>
  <c r="D5863" i="1"/>
  <c r="A5864" i="1"/>
  <c r="B5864" i="1"/>
  <c r="C5864" i="1"/>
  <c r="D5864" i="1"/>
  <c r="A5865" i="1"/>
  <c r="B5865" i="1"/>
  <c r="C5865" i="1"/>
  <c r="D5865" i="1"/>
  <c r="B5867" i="1"/>
  <c r="B5868" i="1"/>
  <c r="B5869" i="1"/>
  <c r="B5870" i="1"/>
  <c r="B5871" i="1"/>
  <c r="B5872" i="1"/>
</calcChain>
</file>

<file path=xl/sharedStrings.xml><?xml version="1.0" encoding="utf-8"?>
<sst xmlns="http://schemas.openxmlformats.org/spreadsheetml/2006/main" count="10" uniqueCount="8">
  <si>
    <t>Cidade</t>
  </si>
  <si>
    <t>UF</t>
  </si>
  <si>
    <t>País</t>
  </si>
  <si>
    <t>Sigla</t>
  </si>
  <si>
    <t xml:space="preserve"> </t>
  </si>
  <si>
    <t>?</t>
  </si>
  <si>
    <t xml:space="preserve">Cidade:: </t>
  </si>
  <si>
    <t xml:space="preserve">UF::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</si>
</sst>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0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6" fillId="33" borderId="10" xfId="0" applyFont="1" applyFill="1" applyBorder="1"/>
    <xf numFmtId="0" fontId="16" fillId="33" borderId="20" xfId="0" applyFont="1" applyFill="1" applyBorder="1"/>
    <xf numFmtId="0" fontId="16" fillId="33" borderId="2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6D71-0E36-4CE9-9CB2-EF6045ADF39D}">
  <dimension ref="A1:D5872"/>
  <sheetViews>
    <sheetView tabSelected="1" workbookViewId="0">
      <selection activeCell="A2" sqref="A2"/>
    </sheetView>
  </sheetViews>
  <sheetFormatPr defaultRowHeight="14.4" x14ac:dyDescent="0.3"/>
  <cols>
    <col min="1" max="1" width="28.77734375" bestFit="1" customWidth="1"/>
    <col min="2" max="2" width="46.44140625" bestFit="1" customWidth="1"/>
    <col min="3" max="3" width="20.44140625" bestFit="1" customWidth="1"/>
    <col min="4" max="4" width="7.77734375" bestFit="1" customWidth="1"/>
  </cols>
  <sheetData>
    <row r="1" spans="1:4" ht="15" thickBot="1" x14ac:dyDescent="0.35">
      <c r="A1" s="11" t="s">
        <v>0</v>
      </c>
      <c r="B1" s="12" t="s">
        <v>1</v>
      </c>
      <c r="C1" s="12" t="s">
        <v>2</v>
      </c>
      <c r="D1" s="13" t="s">
        <v>3</v>
      </c>
    </row>
    <row r="2" spans="1:4" x14ac:dyDescent="0.3">
      <c r="A2" s="8" t="str">
        <f>"AALEN"</f>
        <v>AALEN</v>
      </c>
      <c r="B2" s="9" t="str">
        <f>"EX"</f>
        <v>EX</v>
      </c>
      <c r="C2" s="9" t="str">
        <f>"ALEMANHA"</f>
        <v>ALEMANHA</v>
      </c>
      <c r="D2" s="10" t="str">
        <f>"AALEN"</f>
        <v>AALEN</v>
      </c>
    </row>
    <row r="3" spans="1:4" x14ac:dyDescent="0.3">
      <c r="A3" s="2" t="str">
        <f>"ABADIA DE GOIAS"</f>
        <v>ABADIA DE GOIAS</v>
      </c>
      <c r="B3" s="3" t="str">
        <f>"GO"</f>
        <v>GO</v>
      </c>
      <c r="C3" s="3" t="str">
        <f t="shared" ref="C3:C34" si="0">"BRASIL"</f>
        <v>BRASIL</v>
      </c>
      <c r="D3" s="4" t="str">
        <f>"GO001"</f>
        <v>GO001</v>
      </c>
    </row>
    <row r="4" spans="1:4" x14ac:dyDescent="0.3">
      <c r="A4" s="2" t="str">
        <f>"ABADIA DOS DOURADOS"</f>
        <v>ABADIA DOS DOURADOS</v>
      </c>
      <c r="B4" s="3" t="str">
        <f>"MG"</f>
        <v>MG</v>
      </c>
      <c r="C4" s="3" t="str">
        <f t="shared" si="0"/>
        <v>BRASIL</v>
      </c>
      <c r="D4" s="4" t="str">
        <f>"MG001"</f>
        <v>MG001</v>
      </c>
    </row>
    <row r="5" spans="1:4" x14ac:dyDescent="0.3">
      <c r="A5" s="2" t="str">
        <f>"ABADIANIA"</f>
        <v>ABADIANIA</v>
      </c>
      <c r="B5" s="3" t="str">
        <f>"GO"</f>
        <v>GO</v>
      </c>
      <c r="C5" s="3" t="str">
        <f t="shared" si="0"/>
        <v>BRASIL</v>
      </c>
      <c r="D5" s="4" t="str">
        <f>"GO002"</f>
        <v>GO002</v>
      </c>
    </row>
    <row r="6" spans="1:4" x14ac:dyDescent="0.3">
      <c r="A6" s="2" t="str">
        <f>"ABAETE"</f>
        <v>ABAETE</v>
      </c>
      <c r="B6" s="3" t="str">
        <f>"MG"</f>
        <v>MG</v>
      </c>
      <c r="C6" s="3" t="str">
        <f t="shared" si="0"/>
        <v>BRASIL</v>
      </c>
      <c r="D6" s="4" t="str">
        <f>"MG002"</f>
        <v>MG002</v>
      </c>
    </row>
    <row r="7" spans="1:4" x14ac:dyDescent="0.3">
      <c r="A7" s="2" t="str">
        <f>"ABAETETUBA"</f>
        <v>ABAETETUBA</v>
      </c>
      <c r="B7" s="3" t="str">
        <f>"PA"</f>
        <v>PA</v>
      </c>
      <c r="C7" s="3" t="str">
        <f t="shared" si="0"/>
        <v>BRASIL</v>
      </c>
      <c r="D7" s="4" t="str">
        <f>"PA001"</f>
        <v>PA001</v>
      </c>
    </row>
    <row r="8" spans="1:4" x14ac:dyDescent="0.3">
      <c r="A8" s="2" t="str">
        <f>"ABAIARA"</f>
        <v>ABAIARA</v>
      </c>
      <c r="B8" s="3" t="str">
        <f>"CE"</f>
        <v>CE</v>
      </c>
      <c r="C8" s="3" t="str">
        <f t="shared" si="0"/>
        <v>BRASIL</v>
      </c>
      <c r="D8" s="4" t="str">
        <f>"CE001"</f>
        <v>CE001</v>
      </c>
    </row>
    <row r="9" spans="1:4" x14ac:dyDescent="0.3">
      <c r="A9" s="2" t="str">
        <f>"ABAIRA"</f>
        <v>ABAIRA</v>
      </c>
      <c r="B9" s="3" t="str">
        <f>"BA"</f>
        <v>BA</v>
      </c>
      <c r="C9" s="3" t="str">
        <f t="shared" si="0"/>
        <v>BRASIL</v>
      </c>
      <c r="D9" s="4" t="str">
        <f>"BA001"</f>
        <v>BA001</v>
      </c>
    </row>
    <row r="10" spans="1:4" x14ac:dyDescent="0.3">
      <c r="A10" s="2" t="str">
        <f>"ABARE"</f>
        <v>ABARE</v>
      </c>
      <c r="B10" s="3" t="str">
        <f>"BA"</f>
        <v>BA</v>
      </c>
      <c r="C10" s="3" t="str">
        <f t="shared" si="0"/>
        <v>BRASIL</v>
      </c>
      <c r="D10" s="4" t="str">
        <f>"BA002"</f>
        <v>BA002</v>
      </c>
    </row>
    <row r="11" spans="1:4" x14ac:dyDescent="0.3">
      <c r="A11" s="2" t="str">
        <f>"ABATIA"</f>
        <v>ABATIA</v>
      </c>
      <c r="B11" s="3" t="str">
        <f>"PR"</f>
        <v>PR</v>
      </c>
      <c r="C11" s="3" t="str">
        <f t="shared" si="0"/>
        <v>BRASIL</v>
      </c>
      <c r="D11" s="4" t="str">
        <f>"PR001"</f>
        <v>PR001</v>
      </c>
    </row>
    <row r="12" spans="1:4" x14ac:dyDescent="0.3">
      <c r="A12" s="2" t="str">
        <f>"ABDON BATISTA"</f>
        <v>ABDON BATISTA</v>
      </c>
      <c r="B12" s="3" t="str">
        <f>"SC"</f>
        <v>SC</v>
      </c>
      <c r="C12" s="3" t="str">
        <f t="shared" si="0"/>
        <v>BRASIL</v>
      </c>
      <c r="D12" s="4" t="str">
        <f>"SC001"</f>
        <v>SC001</v>
      </c>
    </row>
    <row r="13" spans="1:4" x14ac:dyDescent="0.3">
      <c r="A13" s="2" t="str">
        <f>"ABEL FIGUEIREDO"</f>
        <v>ABEL FIGUEIREDO</v>
      </c>
      <c r="B13" s="3" t="str">
        <f>"PA"</f>
        <v>PA</v>
      </c>
      <c r="C13" s="3" t="str">
        <f t="shared" si="0"/>
        <v>BRASIL</v>
      </c>
      <c r="D13" s="4" t="str">
        <f>"PA002"</f>
        <v>PA002</v>
      </c>
    </row>
    <row r="14" spans="1:4" x14ac:dyDescent="0.3">
      <c r="A14" s="2" t="str">
        <f>"ABELARDO LUZ"</f>
        <v>ABELARDO LUZ</v>
      </c>
      <c r="B14" s="3" t="str">
        <f>"SC"</f>
        <v>SC</v>
      </c>
      <c r="C14" s="3" t="str">
        <f t="shared" si="0"/>
        <v>BRASIL</v>
      </c>
      <c r="D14" s="4" t="str">
        <f>"SC002"</f>
        <v>SC002</v>
      </c>
    </row>
    <row r="15" spans="1:4" x14ac:dyDescent="0.3">
      <c r="A15" s="2" t="str">
        <f>"ABRE CAMPO"</f>
        <v>ABRE CAMPO</v>
      </c>
      <c r="B15" s="3" t="str">
        <f>"MG"</f>
        <v>MG</v>
      </c>
      <c r="C15" s="3" t="str">
        <f t="shared" si="0"/>
        <v>BRASIL</v>
      </c>
      <c r="D15" s="4" t="str">
        <f>"MG003"</f>
        <v>MG003</v>
      </c>
    </row>
    <row r="16" spans="1:4" x14ac:dyDescent="0.3">
      <c r="A16" s="2" t="str">
        <f>"ABREU E LIMA"</f>
        <v>ABREU E LIMA</v>
      </c>
      <c r="B16" s="3" t="str">
        <f>"PE"</f>
        <v>PE</v>
      </c>
      <c r="C16" s="3" t="str">
        <f t="shared" si="0"/>
        <v>BRASIL</v>
      </c>
      <c r="D16" s="4" t="str">
        <f>"PE001"</f>
        <v>PE001</v>
      </c>
    </row>
    <row r="17" spans="1:4" x14ac:dyDescent="0.3">
      <c r="A17" s="2" t="str">
        <f>"ABREULANDIA"</f>
        <v>ABREULANDIA</v>
      </c>
      <c r="B17" s="3" t="str">
        <f>"TO"</f>
        <v>TO</v>
      </c>
      <c r="C17" s="3" t="str">
        <f t="shared" si="0"/>
        <v>BRASIL</v>
      </c>
      <c r="D17" s="4" t="str">
        <f>"TO001"</f>
        <v>TO001</v>
      </c>
    </row>
    <row r="18" spans="1:4" x14ac:dyDescent="0.3">
      <c r="A18" s="2" t="str">
        <f>"ACAIACA"</f>
        <v>ACAIACA</v>
      </c>
      <c r="B18" s="3" t="str">
        <f>"MG"</f>
        <v>MG</v>
      </c>
      <c r="C18" s="3" t="str">
        <f t="shared" si="0"/>
        <v>BRASIL</v>
      </c>
      <c r="D18" s="4" t="str">
        <f>"MG004"</f>
        <v>MG004</v>
      </c>
    </row>
    <row r="19" spans="1:4" x14ac:dyDescent="0.3">
      <c r="A19" s="2" t="str">
        <f>"ACAILANDIA"</f>
        <v>ACAILANDIA</v>
      </c>
      <c r="B19" s="3" t="str">
        <f>"MA"</f>
        <v>MA</v>
      </c>
      <c r="C19" s="3" t="str">
        <f t="shared" si="0"/>
        <v>BRASIL</v>
      </c>
      <c r="D19" s="4" t="str">
        <f>"MA001"</f>
        <v>MA001</v>
      </c>
    </row>
    <row r="20" spans="1:4" x14ac:dyDescent="0.3">
      <c r="A20" s="2" t="str">
        <f>"ACAJUTIBA"</f>
        <v>ACAJUTIBA</v>
      </c>
      <c r="B20" s="3" t="str">
        <f>"BA"</f>
        <v>BA</v>
      </c>
      <c r="C20" s="3" t="str">
        <f t="shared" si="0"/>
        <v>BRASIL</v>
      </c>
      <c r="D20" s="4" t="str">
        <f>"BA003"</f>
        <v>BA003</v>
      </c>
    </row>
    <row r="21" spans="1:4" x14ac:dyDescent="0.3">
      <c r="A21" s="2" t="str">
        <f>"ACARA"</f>
        <v>ACARA</v>
      </c>
      <c r="B21" s="3" t="str">
        <f>"PA"</f>
        <v>PA</v>
      </c>
      <c r="C21" s="3" t="str">
        <f t="shared" si="0"/>
        <v>BRASIL</v>
      </c>
      <c r="D21" s="4" t="str">
        <f>"PA003"</f>
        <v>PA003</v>
      </c>
    </row>
    <row r="22" spans="1:4" x14ac:dyDescent="0.3">
      <c r="A22" s="2" t="str">
        <f>"ACARAPE"</f>
        <v>ACARAPE</v>
      </c>
      <c r="B22" s="3" t="str">
        <f>"CE"</f>
        <v>CE</v>
      </c>
      <c r="C22" s="3" t="str">
        <f t="shared" si="0"/>
        <v>BRASIL</v>
      </c>
      <c r="D22" s="4" t="str">
        <f>"CE002"</f>
        <v>CE002</v>
      </c>
    </row>
    <row r="23" spans="1:4" x14ac:dyDescent="0.3">
      <c r="A23" s="2" t="str">
        <f>"ACARAU"</f>
        <v>ACARAU</v>
      </c>
      <c r="B23" s="3" t="str">
        <f>"CE"</f>
        <v>CE</v>
      </c>
      <c r="C23" s="3" t="str">
        <f t="shared" si="0"/>
        <v>BRASIL</v>
      </c>
      <c r="D23" s="4" t="str">
        <f>"CE003"</f>
        <v>CE003</v>
      </c>
    </row>
    <row r="24" spans="1:4" x14ac:dyDescent="0.3">
      <c r="A24" s="2" t="str">
        <f>"ACARI"</f>
        <v>ACARI</v>
      </c>
      <c r="B24" s="3" t="str">
        <f>"RN"</f>
        <v>RN</v>
      </c>
      <c r="C24" s="3" t="str">
        <f t="shared" si="0"/>
        <v>BRASIL</v>
      </c>
      <c r="D24" s="4" t="str">
        <f>"RN001"</f>
        <v>RN001</v>
      </c>
    </row>
    <row r="25" spans="1:4" x14ac:dyDescent="0.3">
      <c r="A25" s="2" t="str">
        <f>"ACAUA"</f>
        <v>ACAUA</v>
      </c>
      <c r="B25" s="3" t="str">
        <f>"PI"</f>
        <v>PI</v>
      </c>
      <c r="C25" s="3" t="str">
        <f t="shared" si="0"/>
        <v>BRASIL</v>
      </c>
      <c r="D25" s="4" t="str">
        <f>"PI001"</f>
        <v>PI001</v>
      </c>
    </row>
    <row r="26" spans="1:4" x14ac:dyDescent="0.3">
      <c r="A26" s="2" t="str">
        <f>"ACEGUA"</f>
        <v>ACEGUA</v>
      </c>
      <c r="B26" s="3" t="str">
        <f>"RS"</f>
        <v>RS</v>
      </c>
      <c r="C26" s="3" t="str">
        <f t="shared" si="0"/>
        <v>BRASIL</v>
      </c>
      <c r="D26" s="4" t="str">
        <f>"RS001"</f>
        <v>RS001</v>
      </c>
    </row>
    <row r="27" spans="1:4" x14ac:dyDescent="0.3">
      <c r="A27" s="2" t="str">
        <f>"ACOPIARA"</f>
        <v>ACOPIARA</v>
      </c>
      <c r="B27" s="3" t="str">
        <f>"CE"</f>
        <v>CE</v>
      </c>
      <c r="C27" s="3" t="str">
        <f t="shared" si="0"/>
        <v>BRASIL</v>
      </c>
      <c r="D27" s="4" t="str">
        <f>"CE004"</f>
        <v>CE004</v>
      </c>
    </row>
    <row r="28" spans="1:4" x14ac:dyDescent="0.3">
      <c r="A28" s="2" t="str">
        <f>"ACORIZAL"</f>
        <v>ACORIZAL</v>
      </c>
      <c r="B28" s="3" t="str">
        <f>"MT"</f>
        <v>MT</v>
      </c>
      <c r="C28" s="3" t="str">
        <f t="shared" si="0"/>
        <v>BRASIL</v>
      </c>
      <c r="D28" s="4" t="str">
        <f>"MT001"</f>
        <v>MT001</v>
      </c>
    </row>
    <row r="29" spans="1:4" x14ac:dyDescent="0.3">
      <c r="A29" s="2" t="str">
        <f>"ACRELANDIA"</f>
        <v>ACRELANDIA</v>
      </c>
      <c r="B29" s="3" t="str">
        <f>"AC"</f>
        <v>AC</v>
      </c>
      <c r="C29" s="3" t="str">
        <f t="shared" si="0"/>
        <v>BRASIL</v>
      </c>
      <c r="D29" s="4" t="str">
        <f>"AC001"</f>
        <v>AC001</v>
      </c>
    </row>
    <row r="30" spans="1:4" x14ac:dyDescent="0.3">
      <c r="A30" s="2" t="str">
        <f>"ACREUNA"</f>
        <v>ACREUNA</v>
      </c>
      <c r="B30" s="3" t="str">
        <f>"GO"</f>
        <v>GO</v>
      </c>
      <c r="C30" s="3" t="str">
        <f t="shared" si="0"/>
        <v>BRASIL</v>
      </c>
      <c r="D30" s="4" t="str">
        <f>"GO003"</f>
        <v>GO003</v>
      </c>
    </row>
    <row r="31" spans="1:4" x14ac:dyDescent="0.3">
      <c r="A31" s="2" t="str">
        <f>"ACU"</f>
        <v>ACU</v>
      </c>
      <c r="B31" s="3" t="str">
        <f>"RN"</f>
        <v>RN</v>
      </c>
      <c r="C31" s="3" t="str">
        <f t="shared" si="0"/>
        <v>BRASIL</v>
      </c>
      <c r="D31" s="4" t="str">
        <f>"RN002"</f>
        <v>RN002</v>
      </c>
    </row>
    <row r="32" spans="1:4" x14ac:dyDescent="0.3">
      <c r="A32" s="2" t="str">
        <f>"ACUCENA"</f>
        <v>ACUCENA</v>
      </c>
      <c r="B32" s="3" t="str">
        <f>"MG"</f>
        <v>MG</v>
      </c>
      <c r="C32" s="3" t="str">
        <f t="shared" si="0"/>
        <v>BRASIL</v>
      </c>
      <c r="D32" s="4" t="str">
        <f>"MG005"</f>
        <v>MG005</v>
      </c>
    </row>
    <row r="33" spans="1:4" x14ac:dyDescent="0.3">
      <c r="A33" s="2" t="str">
        <f>"ADAMANTINA"</f>
        <v>ADAMANTINA</v>
      </c>
      <c r="B33" s="3" t="str">
        <f>"SP"</f>
        <v>SP</v>
      </c>
      <c r="C33" s="3" t="str">
        <f t="shared" si="0"/>
        <v>BRASIL</v>
      </c>
      <c r="D33" s="4" t="str">
        <f>"SP001"</f>
        <v>SP001</v>
      </c>
    </row>
    <row r="34" spans="1:4" x14ac:dyDescent="0.3">
      <c r="A34" s="2" t="str">
        <f>"ADELANDIA"</f>
        <v>ADELANDIA</v>
      </c>
      <c r="B34" s="3" t="str">
        <f>"GO"</f>
        <v>GO</v>
      </c>
      <c r="C34" s="3" t="str">
        <f t="shared" si="0"/>
        <v>BRASIL</v>
      </c>
      <c r="D34" s="4" t="str">
        <f>"GO004"</f>
        <v>GO004</v>
      </c>
    </row>
    <row r="35" spans="1:4" x14ac:dyDescent="0.3">
      <c r="A35" s="2" t="str">
        <f>"ADOLFO"</f>
        <v>ADOLFO</v>
      </c>
      <c r="B35" s="3" t="str">
        <f>"SP"</f>
        <v>SP</v>
      </c>
      <c r="C35" s="3" t="str">
        <f t="shared" ref="C35:C66" si="1">"BRASIL"</f>
        <v>BRASIL</v>
      </c>
      <c r="D35" s="4" t="str">
        <f>"SP002"</f>
        <v>SP002</v>
      </c>
    </row>
    <row r="36" spans="1:4" x14ac:dyDescent="0.3">
      <c r="A36" s="2" t="str">
        <f>"ADRIANOPOLIS"</f>
        <v>ADRIANOPOLIS</v>
      </c>
      <c r="B36" s="3" t="str">
        <f>"PR"</f>
        <v>PR</v>
      </c>
      <c r="C36" s="3" t="str">
        <f t="shared" si="1"/>
        <v>BRASIL</v>
      </c>
      <c r="D36" s="4" t="str">
        <f>"PR002"</f>
        <v>PR002</v>
      </c>
    </row>
    <row r="37" spans="1:4" x14ac:dyDescent="0.3">
      <c r="A37" s="2" t="str">
        <f>"ADUSTINA"</f>
        <v>ADUSTINA</v>
      </c>
      <c r="B37" s="3" t="str">
        <f>"BA"</f>
        <v>BA</v>
      </c>
      <c r="C37" s="3" t="str">
        <f t="shared" si="1"/>
        <v>BRASIL</v>
      </c>
      <c r="D37" s="4" t="str">
        <f>"BA004"</f>
        <v>BA004</v>
      </c>
    </row>
    <row r="38" spans="1:4" x14ac:dyDescent="0.3">
      <c r="A38" s="2" t="str">
        <f>"AFOGADOS DA INGAZEIRA"</f>
        <v>AFOGADOS DA INGAZEIRA</v>
      </c>
      <c r="B38" s="3" t="str">
        <f>"PE"</f>
        <v>PE</v>
      </c>
      <c r="C38" s="3" t="str">
        <f t="shared" si="1"/>
        <v>BRASIL</v>
      </c>
      <c r="D38" s="4" t="str">
        <f>"PE002"</f>
        <v>PE002</v>
      </c>
    </row>
    <row r="39" spans="1:4" x14ac:dyDescent="0.3">
      <c r="A39" s="2" t="str">
        <f>"AFONSO BEZERRA"</f>
        <v>AFONSO BEZERRA</v>
      </c>
      <c r="B39" s="3" t="str">
        <f>"RN"</f>
        <v>RN</v>
      </c>
      <c r="C39" s="3" t="str">
        <f t="shared" si="1"/>
        <v>BRASIL</v>
      </c>
      <c r="D39" s="4" t="str">
        <f>"RN003"</f>
        <v>RN003</v>
      </c>
    </row>
    <row r="40" spans="1:4" x14ac:dyDescent="0.3">
      <c r="A40" s="2" t="str">
        <f>"AFONSO CLAUDIO"</f>
        <v>AFONSO CLAUDIO</v>
      </c>
      <c r="B40" s="3" t="str">
        <f>"ES"</f>
        <v>ES</v>
      </c>
      <c r="C40" s="3" t="str">
        <f t="shared" si="1"/>
        <v>BRASIL</v>
      </c>
      <c r="D40" s="4" t="str">
        <f>"ES001"</f>
        <v>ES001</v>
      </c>
    </row>
    <row r="41" spans="1:4" x14ac:dyDescent="0.3">
      <c r="A41" s="2" t="str">
        <f>"AFONSO CUNHA"</f>
        <v>AFONSO CUNHA</v>
      </c>
      <c r="B41" s="3" t="str">
        <f>"MA"</f>
        <v>MA</v>
      </c>
      <c r="C41" s="3" t="str">
        <f t="shared" si="1"/>
        <v>BRASIL</v>
      </c>
      <c r="D41" s="4" t="str">
        <f>"MA002"</f>
        <v>MA002</v>
      </c>
    </row>
    <row r="42" spans="1:4" x14ac:dyDescent="0.3">
      <c r="A42" s="2" t="str">
        <f>"AFRANIO"</f>
        <v>AFRANIO</v>
      </c>
      <c r="B42" s="3" t="str">
        <f>"PE"</f>
        <v>PE</v>
      </c>
      <c r="C42" s="3" t="str">
        <f t="shared" si="1"/>
        <v>BRASIL</v>
      </c>
      <c r="D42" s="4" t="str">
        <f>"PE003"</f>
        <v>PE003</v>
      </c>
    </row>
    <row r="43" spans="1:4" x14ac:dyDescent="0.3">
      <c r="A43" s="2" t="str">
        <f>"AFUA"</f>
        <v>AFUA</v>
      </c>
      <c r="B43" s="3" t="str">
        <f>"PA"</f>
        <v>PA</v>
      </c>
      <c r="C43" s="3" t="str">
        <f t="shared" si="1"/>
        <v>BRASIL</v>
      </c>
      <c r="D43" s="4" t="str">
        <f>"PA004"</f>
        <v>PA004</v>
      </c>
    </row>
    <row r="44" spans="1:4" x14ac:dyDescent="0.3">
      <c r="A44" s="2" t="str">
        <f>"AGRESTINA"</f>
        <v>AGRESTINA</v>
      </c>
      <c r="B44" s="3" t="str">
        <f>"PE"</f>
        <v>PE</v>
      </c>
      <c r="C44" s="3" t="str">
        <f t="shared" si="1"/>
        <v>BRASIL</v>
      </c>
      <c r="D44" s="4" t="str">
        <f>"PE004"</f>
        <v>PE004</v>
      </c>
    </row>
    <row r="45" spans="1:4" x14ac:dyDescent="0.3">
      <c r="A45" s="2" t="str">
        <f>"AGRICOLANDIA"</f>
        <v>AGRICOLANDIA</v>
      </c>
      <c r="B45" s="3" t="str">
        <f>"PI"</f>
        <v>PI</v>
      </c>
      <c r="C45" s="3" t="str">
        <f t="shared" si="1"/>
        <v>BRASIL</v>
      </c>
      <c r="D45" s="4" t="str">
        <f>"PI002"</f>
        <v>PI002</v>
      </c>
    </row>
    <row r="46" spans="1:4" x14ac:dyDescent="0.3">
      <c r="A46" s="2" t="str">
        <f>"AGROLANDIA"</f>
        <v>AGROLANDIA</v>
      </c>
      <c r="B46" s="3" t="str">
        <f>"SC"</f>
        <v>SC</v>
      </c>
      <c r="C46" s="3" t="str">
        <f t="shared" si="1"/>
        <v>BRASIL</v>
      </c>
      <c r="D46" s="4" t="str">
        <f>"SC003"</f>
        <v>SC003</v>
      </c>
    </row>
    <row r="47" spans="1:4" x14ac:dyDescent="0.3">
      <c r="A47" s="2" t="str">
        <f>"AGRONOMICA"</f>
        <v>AGRONOMICA</v>
      </c>
      <c r="B47" s="3" t="str">
        <f>"SC"</f>
        <v>SC</v>
      </c>
      <c r="C47" s="3" t="str">
        <f t="shared" si="1"/>
        <v>BRASIL</v>
      </c>
      <c r="D47" s="4" t="str">
        <f>"SC004"</f>
        <v>SC004</v>
      </c>
    </row>
    <row r="48" spans="1:4" x14ac:dyDescent="0.3">
      <c r="A48" s="2" t="str">
        <f>"AGUA AZUL DO NORTE"</f>
        <v>AGUA AZUL DO NORTE</v>
      </c>
      <c r="B48" s="3" t="str">
        <f>"PA"</f>
        <v>PA</v>
      </c>
      <c r="C48" s="3" t="str">
        <f t="shared" si="1"/>
        <v>BRASIL</v>
      </c>
      <c r="D48" s="4" t="str">
        <f>"PA005"</f>
        <v>PA005</v>
      </c>
    </row>
    <row r="49" spans="1:4" x14ac:dyDescent="0.3">
      <c r="A49" s="2" t="str">
        <f>"AGUA BOA"</f>
        <v>AGUA BOA</v>
      </c>
      <c r="B49" s="3" t="str">
        <f>"MG"</f>
        <v>MG</v>
      </c>
      <c r="C49" s="3" t="str">
        <f t="shared" si="1"/>
        <v>BRASIL</v>
      </c>
      <c r="D49" s="4" t="str">
        <f>"MG006"</f>
        <v>MG006</v>
      </c>
    </row>
    <row r="50" spans="1:4" x14ac:dyDescent="0.3">
      <c r="A50" s="2" t="str">
        <f>"AGUA BOA"</f>
        <v>AGUA BOA</v>
      </c>
      <c r="B50" s="3" t="str">
        <f>"MT"</f>
        <v>MT</v>
      </c>
      <c r="C50" s="3" t="str">
        <f t="shared" si="1"/>
        <v>BRASIL</v>
      </c>
      <c r="D50" s="4" t="str">
        <f>"MT002"</f>
        <v>MT002</v>
      </c>
    </row>
    <row r="51" spans="1:4" x14ac:dyDescent="0.3">
      <c r="A51" s="2" t="str">
        <f>"AGUA BRANCA"</f>
        <v>AGUA BRANCA</v>
      </c>
      <c r="B51" s="3" t="str">
        <f>"AL"</f>
        <v>AL</v>
      </c>
      <c r="C51" s="3" t="str">
        <f t="shared" si="1"/>
        <v>BRASIL</v>
      </c>
      <c r="D51" s="4" t="str">
        <f>"AL001"</f>
        <v>AL001</v>
      </c>
    </row>
    <row r="52" spans="1:4" x14ac:dyDescent="0.3">
      <c r="A52" s="2" t="str">
        <f>"AGUA BRANCA"</f>
        <v>AGUA BRANCA</v>
      </c>
      <c r="B52" s="3" t="str">
        <f>"PB"</f>
        <v>PB</v>
      </c>
      <c r="C52" s="3" t="str">
        <f t="shared" si="1"/>
        <v>BRASIL</v>
      </c>
      <c r="D52" s="4" t="str">
        <f>"PB001"</f>
        <v>PB001</v>
      </c>
    </row>
    <row r="53" spans="1:4" x14ac:dyDescent="0.3">
      <c r="A53" s="2" t="str">
        <f>"AGUA BRANCA"</f>
        <v>AGUA BRANCA</v>
      </c>
      <c r="B53" s="3" t="str">
        <f>"PI"</f>
        <v>PI</v>
      </c>
      <c r="C53" s="3" t="str">
        <f t="shared" si="1"/>
        <v>BRASIL</v>
      </c>
      <c r="D53" s="4" t="str">
        <f>"PI003"</f>
        <v>PI003</v>
      </c>
    </row>
    <row r="54" spans="1:4" x14ac:dyDescent="0.3">
      <c r="A54" s="2" t="str">
        <f>"AGUA CLARA"</f>
        <v>AGUA CLARA</v>
      </c>
      <c r="B54" s="3" t="str">
        <f>"MS"</f>
        <v>MS</v>
      </c>
      <c r="C54" s="3" t="str">
        <f t="shared" si="1"/>
        <v>BRASIL</v>
      </c>
      <c r="D54" s="4" t="str">
        <f>"MS001"</f>
        <v>MS001</v>
      </c>
    </row>
    <row r="55" spans="1:4" x14ac:dyDescent="0.3">
      <c r="A55" s="2" t="str">
        <f>"AGUA COMPRIDA"</f>
        <v>AGUA COMPRIDA</v>
      </c>
      <c r="B55" s="3" t="str">
        <f>"MG"</f>
        <v>MG</v>
      </c>
      <c r="C55" s="3" t="str">
        <f t="shared" si="1"/>
        <v>BRASIL</v>
      </c>
      <c r="D55" s="4" t="str">
        <f>"MG007"</f>
        <v>MG007</v>
      </c>
    </row>
    <row r="56" spans="1:4" x14ac:dyDescent="0.3">
      <c r="A56" s="2" t="str">
        <f>"AGUA DOCE"</f>
        <v>AGUA DOCE</v>
      </c>
      <c r="B56" s="3" t="str">
        <f>"SC"</f>
        <v>SC</v>
      </c>
      <c r="C56" s="3" t="str">
        <f t="shared" si="1"/>
        <v>BRASIL</v>
      </c>
      <c r="D56" s="4" t="str">
        <f>"SC005"</f>
        <v>SC005</v>
      </c>
    </row>
    <row r="57" spans="1:4" x14ac:dyDescent="0.3">
      <c r="A57" s="2" t="str">
        <f>"AGUA DOCE DO MARANHAO"</f>
        <v>AGUA DOCE DO MARANHAO</v>
      </c>
      <c r="B57" s="3" t="str">
        <f>"MA"</f>
        <v>MA</v>
      </c>
      <c r="C57" s="3" t="str">
        <f t="shared" si="1"/>
        <v>BRASIL</v>
      </c>
      <c r="D57" s="4" t="str">
        <f>"MA003"</f>
        <v>MA003</v>
      </c>
    </row>
    <row r="58" spans="1:4" x14ac:dyDescent="0.3">
      <c r="A58" s="2" t="str">
        <f>"AGUA DOCE DO NORTE"</f>
        <v>AGUA DOCE DO NORTE</v>
      </c>
      <c r="B58" s="3" t="str">
        <f>"ES"</f>
        <v>ES</v>
      </c>
      <c r="C58" s="3" t="str">
        <f t="shared" si="1"/>
        <v>BRASIL</v>
      </c>
      <c r="D58" s="4" t="str">
        <f>"ES003"</f>
        <v>ES003</v>
      </c>
    </row>
    <row r="59" spans="1:4" x14ac:dyDescent="0.3">
      <c r="A59" s="2" t="str">
        <f>"AGUA FRIA"</f>
        <v>AGUA FRIA</v>
      </c>
      <c r="B59" s="3" t="str">
        <f>"BA"</f>
        <v>BA</v>
      </c>
      <c r="C59" s="3" t="str">
        <f t="shared" si="1"/>
        <v>BRASIL</v>
      </c>
      <c r="D59" s="4" t="str">
        <f>"BA005"</f>
        <v>BA005</v>
      </c>
    </row>
    <row r="60" spans="1:4" x14ac:dyDescent="0.3">
      <c r="A60" s="2" t="str">
        <f>"AGUA FRIA DE GOIAS"</f>
        <v>AGUA FRIA DE GOIAS</v>
      </c>
      <c r="B60" s="3" t="str">
        <f>"GO"</f>
        <v>GO</v>
      </c>
      <c r="C60" s="3" t="str">
        <f t="shared" si="1"/>
        <v>BRASIL</v>
      </c>
      <c r="D60" s="4" t="str">
        <f>"GO005"</f>
        <v>GO005</v>
      </c>
    </row>
    <row r="61" spans="1:4" x14ac:dyDescent="0.3">
      <c r="A61" s="2" t="str">
        <f>"AGUA LIMPA"</f>
        <v>AGUA LIMPA</v>
      </c>
      <c r="B61" s="3" t="str">
        <f>"GO"</f>
        <v>GO</v>
      </c>
      <c r="C61" s="3" t="str">
        <f t="shared" si="1"/>
        <v>BRASIL</v>
      </c>
      <c r="D61" s="4" t="str">
        <f>"GO006"</f>
        <v>GO006</v>
      </c>
    </row>
    <row r="62" spans="1:4" x14ac:dyDescent="0.3">
      <c r="A62" s="2" t="str">
        <f>"AGUA NOVA"</f>
        <v>AGUA NOVA</v>
      </c>
      <c r="B62" s="3" t="str">
        <f>"RN"</f>
        <v>RN</v>
      </c>
      <c r="C62" s="3" t="str">
        <f t="shared" si="1"/>
        <v>BRASIL</v>
      </c>
      <c r="D62" s="4" t="str">
        <f>"RN004"</f>
        <v>RN004</v>
      </c>
    </row>
    <row r="63" spans="1:4" x14ac:dyDescent="0.3">
      <c r="A63" s="2" t="str">
        <f>"AGUA PRETA"</f>
        <v>AGUA PRETA</v>
      </c>
      <c r="B63" s="3" t="str">
        <f>"PE"</f>
        <v>PE</v>
      </c>
      <c r="C63" s="3" t="str">
        <f t="shared" si="1"/>
        <v>BRASIL</v>
      </c>
      <c r="D63" s="4" t="str">
        <f>"PE005"</f>
        <v>PE005</v>
      </c>
    </row>
    <row r="64" spans="1:4" x14ac:dyDescent="0.3">
      <c r="A64" s="2" t="str">
        <f>"AGUA SANTA"</f>
        <v>AGUA SANTA</v>
      </c>
      <c r="B64" s="3" t="str">
        <f>"RS"</f>
        <v>RS</v>
      </c>
      <c r="C64" s="3" t="str">
        <f t="shared" si="1"/>
        <v>BRASIL</v>
      </c>
      <c r="D64" s="4" t="str">
        <f>"RS002"</f>
        <v>RS002</v>
      </c>
    </row>
    <row r="65" spans="1:4" x14ac:dyDescent="0.3">
      <c r="A65" s="2" t="str">
        <f>"AGUAI"</f>
        <v>AGUAI</v>
      </c>
      <c r="B65" s="3" t="str">
        <f>"SP"</f>
        <v>SP</v>
      </c>
      <c r="C65" s="3" t="str">
        <f t="shared" si="1"/>
        <v>BRASIL</v>
      </c>
      <c r="D65" s="4" t="str">
        <f>"SP003"</f>
        <v>SP003</v>
      </c>
    </row>
    <row r="66" spans="1:4" x14ac:dyDescent="0.3">
      <c r="A66" s="2" t="str">
        <f>"AGUANIL"</f>
        <v>AGUANIL</v>
      </c>
      <c r="B66" s="3" t="str">
        <f>"MG"</f>
        <v>MG</v>
      </c>
      <c r="C66" s="3" t="str">
        <f t="shared" si="1"/>
        <v>BRASIL</v>
      </c>
      <c r="D66" s="4" t="str">
        <f>"MG008"</f>
        <v>MG008</v>
      </c>
    </row>
    <row r="67" spans="1:4" x14ac:dyDescent="0.3">
      <c r="A67" s="2" t="str">
        <f>"AGUAS BELAS"</f>
        <v>AGUAS BELAS</v>
      </c>
      <c r="B67" s="3" t="str">
        <f>"PE"</f>
        <v>PE</v>
      </c>
      <c r="C67" s="3" t="str">
        <f t="shared" ref="C67:C83" si="2">"BRASIL"</f>
        <v>BRASIL</v>
      </c>
      <c r="D67" s="4" t="str">
        <f>"PE006"</f>
        <v>PE006</v>
      </c>
    </row>
    <row r="68" spans="1:4" x14ac:dyDescent="0.3">
      <c r="A68" s="2" t="str">
        <f>"AGUAS DA PRATA"</f>
        <v>AGUAS DA PRATA</v>
      </c>
      <c r="B68" s="3" t="str">
        <f>"SP"</f>
        <v>SP</v>
      </c>
      <c r="C68" s="3" t="str">
        <f t="shared" si="2"/>
        <v>BRASIL</v>
      </c>
      <c r="D68" s="4" t="str">
        <f>"SP004"</f>
        <v>SP004</v>
      </c>
    </row>
    <row r="69" spans="1:4" x14ac:dyDescent="0.3">
      <c r="A69" s="2" t="str">
        <f>"AGUAS DE CHAPECO"</f>
        <v>AGUAS DE CHAPECO</v>
      </c>
      <c r="B69" s="3" t="str">
        <f>"SC"</f>
        <v>SC</v>
      </c>
      <c r="C69" s="3" t="str">
        <f t="shared" si="2"/>
        <v>BRASIL</v>
      </c>
      <c r="D69" s="4" t="str">
        <f>"SC006"</f>
        <v>SC006</v>
      </c>
    </row>
    <row r="70" spans="1:4" x14ac:dyDescent="0.3">
      <c r="A70" s="2" t="str">
        <f>"AGUAS DE LINDOIA"</f>
        <v>AGUAS DE LINDOIA</v>
      </c>
      <c r="B70" s="3" t="str">
        <f>"SP"</f>
        <v>SP</v>
      </c>
      <c r="C70" s="3" t="str">
        <f t="shared" si="2"/>
        <v>BRASIL</v>
      </c>
      <c r="D70" s="4" t="str">
        <f>"SP005"</f>
        <v>SP005</v>
      </c>
    </row>
    <row r="71" spans="1:4" x14ac:dyDescent="0.3">
      <c r="A71" s="2" t="str">
        <f>"AGUAS DE SANTA BARBARA"</f>
        <v>AGUAS DE SANTA BARBARA</v>
      </c>
      <c r="B71" s="3" t="str">
        <f>"SP"</f>
        <v>SP</v>
      </c>
      <c r="C71" s="3" t="str">
        <f t="shared" si="2"/>
        <v>BRASIL</v>
      </c>
      <c r="D71" s="4" t="str">
        <f>"SP006"</f>
        <v>SP006</v>
      </c>
    </row>
    <row r="72" spans="1:4" x14ac:dyDescent="0.3">
      <c r="A72" s="2" t="str">
        <f>"AGUAS DE SAO PEDRO"</f>
        <v>AGUAS DE SAO PEDRO</v>
      </c>
      <c r="B72" s="3" t="str">
        <f>"SP"</f>
        <v>SP</v>
      </c>
      <c r="C72" s="3" t="str">
        <f t="shared" si="2"/>
        <v>BRASIL</v>
      </c>
      <c r="D72" s="4" t="str">
        <f>"SP007"</f>
        <v>SP007</v>
      </c>
    </row>
    <row r="73" spans="1:4" x14ac:dyDescent="0.3">
      <c r="A73" s="2" t="str">
        <f>"AGUAS FORMOSAS"</f>
        <v>AGUAS FORMOSAS</v>
      </c>
      <c r="B73" s="3" t="str">
        <f>"MG"</f>
        <v>MG</v>
      </c>
      <c r="C73" s="3" t="str">
        <f t="shared" si="2"/>
        <v>BRASIL</v>
      </c>
      <c r="D73" s="4" t="str">
        <f>"MG009"</f>
        <v>MG009</v>
      </c>
    </row>
    <row r="74" spans="1:4" x14ac:dyDescent="0.3">
      <c r="A74" s="2" t="str">
        <f>"AGUAS FRIAS"</f>
        <v>AGUAS FRIAS</v>
      </c>
      <c r="B74" s="3" t="str">
        <f>"SC"</f>
        <v>SC</v>
      </c>
      <c r="C74" s="3" t="str">
        <f t="shared" si="2"/>
        <v>BRASIL</v>
      </c>
      <c r="D74" s="4" t="str">
        <f>"SC007"</f>
        <v>SC007</v>
      </c>
    </row>
    <row r="75" spans="1:4" x14ac:dyDescent="0.3">
      <c r="A75" s="2" t="str">
        <f>"AGUAS LINDAS DE GOIAS"</f>
        <v>AGUAS LINDAS DE GOIAS</v>
      </c>
      <c r="B75" s="3" t="str">
        <f>"GO"</f>
        <v>GO</v>
      </c>
      <c r="C75" s="3" t="str">
        <f t="shared" si="2"/>
        <v>BRASIL</v>
      </c>
      <c r="D75" s="4" t="str">
        <f>"GO007"</f>
        <v>GO007</v>
      </c>
    </row>
    <row r="76" spans="1:4" x14ac:dyDescent="0.3">
      <c r="A76" s="2" t="str">
        <f>"AGUAS MORNAS"</f>
        <v>AGUAS MORNAS</v>
      </c>
      <c r="B76" s="3" t="str">
        <f>"SC"</f>
        <v>SC</v>
      </c>
      <c r="C76" s="3" t="str">
        <f t="shared" si="2"/>
        <v>BRASIL</v>
      </c>
      <c r="D76" s="4" t="str">
        <f>"SC008"</f>
        <v>SC008</v>
      </c>
    </row>
    <row r="77" spans="1:4" x14ac:dyDescent="0.3">
      <c r="A77" s="2" t="str">
        <f>"AGUAS VERMELHAS"</f>
        <v>AGUAS VERMELHAS</v>
      </c>
      <c r="B77" s="3" t="str">
        <f>"MG"</f>
        <v>MG</v>
      </c>
      <c r="C77" s="3" t="str">
        <f t="shared" si="2"/>
        <v>BRASIL</v>
      </c>
      <c r="D77" s="4" t="str">
        <f>"MG010"</f>
        <v>MG010</v>
      </c>
    </row>
    <row r="78" spans="1:4" x14ac:dyDescent="0.3">
      <c r="A78" s="2" t="str">
        <f>"AGUDO"</f>
        <v>AGUDO</v>
      </c>
      <c r="B78" s="3" t="str">
        <f>"RS"</f>
        <v>RS</v>
      </c>
      <c r="C78" s="3" t="str">
        <f t="shared" si="2"/>
        <v>BRASIL</v>
      </c>
      <c r="D78" s="4" t="str">
        <f>"RS003"</f>
        <v>RS003</v>
      </c>
    </row>
    <row r="79" spans="1:4" x14ac:dyDescent="0.3">
      <c r="A79" s="2" t="str">
        <f>"AGUDOS"</f>
        <v>AGUDOS</v>
      </c>
      <c r="B79" s="3" t="str">
        <f>"SP"</f>
        <v>SP</v>
      </c>
      <c r="C79" s="3" t="str">
        <f t="shared" si="2"/>
        <v>BRASIL</v>
      </c>
      <c r="D79" s="4" t="str">
        <f>"AGU"</f>
        <v>AGU</v>
      </c>
    </row>
    <row r="80" spans="1:4" x14ac:dyDescent="0.3">
      <c r="A80" s="2" t="str">
        <f>"AGUDOS DO SUL"</f>
        <v>AGUDOS DO SUL</v>
      </c>
      <c r="B80" s="3" t="str">
        <f>"PR"</f>
        <v>PR</v>
      </c>
      <c r="C80" s="3" t="str">
        <f t="shared" si="2"/>
        <v>BRASIL</v>
      </c>
      <c r="D80" s="4" t="str">
        <f>"PR003"</f>
        <v>PR003</v>
      </c>
    </row>
    <row r="81" spans="1:4" x14ac:dyDescent="0.3">
      <c r="A81" s="2" t="str">
        <f>"AGUIA BRANCA"</f>
        <v>AGUIA BRANCA</v>
      </c>
      <c r="B81" s="3" t="str">
        <f>"ES"</f>
        <v>ES</v>
      </c>
      <c r="C81" s="3" t="str">
        <f t="shared" si="2"/>
        <v>BRASIL</v>
      </c>
      <c r="D81" s="4" t="str">
        <f>"ES002"</f>
        <v>ES002</v>
      </c>
    </row>
    <row r="82" spans="1:4" x14ac:dyDescent="0.3">
      <c r="A82" s="2" t="str">
        <f>"AGUIAR"</f>
        <v>AGUIAR</v>
      </c>
      <c r="B82" s="3" t="str">
        <f>"PB"</f>
        <v>PB</v>
      </c>
      <c r="C82" s="3" t="str">
        <f t="shared" si="2"/>
        <v>BRASIL</v>
      </c>
      <c r="D82" s="4" t="str">
        <f>"PB002"</f>
        <v>PB002</v>
      </c>
    </row>
    <row r="83" spans="1:4" x14ac:dyDescent="0.3">
      <c r="A83" s="2" t="str">
        <f>"AGUIARNOPOLIS"</f>
        <v>AGUIARNOPOLIS</v>
      </c>
      <c r="B83" s="3" t="str">
        <f>"TO"</f>
        <v>TO</v>
      </c>
      <c r="C83" s="3" t="str">
        <f t="shared" si="2"/>
        <v>BRASIL</v>
      </c>
      <c r="D83" s="4" t="str">
        <f>"TO002"</f>
        <v>TO002</v>
      </c>
    </row>
    <row r="84" spans="1:4" x14ac:dyDescent="0.3">
      <c r="A84" s="2" t="str">
        <f>"AHAUS"</f>
        <v>AHAUS</v>
      </c>
      <c r="B84" s="3" t="str">
        <f>"EX"</f>
        <v>EX</v>
      </c>
      <c r="C84" s="3" t="str">
        <f>"ALEMANHA"</f>
        <v>ALEMANHA</v>
      </c>
      <c r="D84" s="4" t="str">
        <f>"AHAU"</f>
        <v>AHAU</v>
      </c>
    </row>
    <row r="85" spans="1:4" x14ac:dyDescent="0.3">
      <c r="A85" s="2" t="str">
        <f>"AHAUS"</f>
        <v>AHAUS</v>
      </c>
      <c r="B85" s="3" t="str">
        <f>"GER"</f>
        <v>GER</v>
      </c>
      <c r="C85" s="3" t="str">
        <f>"ALEMANHA"</f>
        <v>ALEMANHA</v>
      </c>
      <c r="D85" s="4" t="str">
        <f>"AHAUS"</f>
        <v>AHAUS</v>
      </c>
    </row>
    <row r="86" spans="1:4" x14ac:dyDescent="0.3">
      <c r="A86" s="2" t="str">
        <f>"AIMORES"</f>
        <v>AIMORES</v>
      </c>
      <c r="B86" s="3" t="str">
        <f>"MG"</f>
        <v>MG</v>
      </c>
      <c r="C86" s="3" t="str">
        <f t="shared" ref="C86:C133" si="3">"BRASIL"</f>
        <v>BRASIL</v>
      </c>
      <c r="D86" s="4" t="str">
        <f>"MG011"</f>
        <v>MG011</v>
      </c>
    </row>
    <row r="87" spans="1:4" x14ac:dyDescent="0.3">
      <c r="A87" s="2" t="str">
        <f>"AIQUARA"</f>
        <v>AIQUARA</v>
      </c>
      <c r="B87" s="3" t="str">
        <f>"BA"</f>
        <v>BA</v>
      </c>
      <c r="C87" s="3" t="str">
        <f t="shared" si="3"/>
        <v>BRASIL</v>
      </c>
      <c r="D87" s="4" t="str">
        <f>"BA007"</f>
        <v>BA007</v>
      </c>
    </row>
    <row r="88" spans="1:4" x14ac:dyDescent="0.3">
      <c r="A88" s="2" t="str">
        <f>"AIUABA"</f>
        <v>AIUABA</v>
      </c>
      <c r="B88" s="3" t="str">
        <f>"CE"</f>
        <v>CE</v>
      </c>
      <c r="C88" s="3" t="str">
        <f t="shared" si="3"/>
        <v>BRASIL</v>
      </c>
      <c r="D88" s="4" t="str">
        <f>"CE005"</f>
        <v>CE005</v>
      </c>
    </row>
    <row r="89" spans="1:4" x14ac:dyDescent="0.3">
      <c r="A89" s="2" t="str">
        <f>"AIURUOCA"</f>
        <v>AIURUOCA</v>
      </c>
      <c r="B89" s="3" t="str">
        <f>"MG"</f>
        <v>MG</v>
      </c>
      <c r="C89" s="3" t="str">
        <f t="shared" si="3"/>
        <v>BRASIL</v>
      </c>
      <c r="D89" s="4" t="str">
        <f>"MG012"</f>
        <v>MG012</v>
      </c>
    </row>
    <row r="90" spans="1:4" x14ac:dyDescent="0.3">
      <c r="A90" s="2" t="str">
        <f>"AJURICABA"</f>
        <v>AJURICABA</v>
      </c>
      <c r="B90" s="3" t="str">
        <f>"RS"</f>
        <v>RS</v>
      </c>
      <c r="C90" s="3" t="str">
        <f t="shared" si="3"/>
        <v>BRASIL</v>
      </c>
      <c r="D90" s="4" t="str">
        <f>"RS004"</f>
        <v>RS004</v>
      </c>
    </row>
    <row r="91" spans="1:4" x14ac:dyDescent="0.3">
      <c r="A91" s="2" t="str">
        <f>"ALAGOA"</f>
        <v>ALAGOA</v>
      </c>
      <c r="B91" s="3" t="str">
        <f>"MG"</f>
        <v>MG</v>
      </c>
      <c r="C91" s="3" t="str">
        <f t="shared" si="3"/>
        <v>BRASIL</v>
      </c>
      <c r="D91" s="4" t="str">
        <f>"MG013"</f>
        <v>MG013</v>
      </c>
    </row>
    <row r="92" spans="1:4" x14ac:dyDescent="0.3">
      <c r="A92" s="2" t="str">
        <f>"ALAGOA GRANDE"</f>
        <v>ALAGOA GRANDE</v>
      </c>
      <c r="B92" s="3" t="str">
        <f>"PB"</f>
        <v>PB</v>
      </c>
      <c r="C92" s="3" t="str">
        <f t="shared" si="3"/>
        <v>BRASIL</v>
      </c>
      <c r="D92" s="4" t="str">
        <f>"PB003"</f>
        <v>PB003</v>
      </c>
    </row>
    <row r="93" spans="1:4" x14ac:dyDescent="0.3">
      <c r="A93" s="2" t="str">
        <f>"ALAGOA NOVA"</f>
        <v>ALAGOA NOVA</v>
      </c>
      <c r="B93" s="3" t="str">
        <f>"PB"</f>
        <v>PB</v>
      </c>
      <c r="C93" s="3" t="str">
        <f t="shared" si="3"/>
        <v>BRASIL</v>
      </c>
      <c r="D93" s="4" t="str">
        <f>"PB004"</f>
        <v>PB004</v>
      </c>
    </row>
    <row r="94" spans="1:4" x14ac:dyDescent="0.3">
      <c r="A94" s="2" t="str">
        <f>"ALAGOINHA"</f>
        <v>ALAGOINHA</v>
      </c>
      <c r="B94" s="3" t="str">
        <f>"PB"</f>
        <v>PB</v>
      </c>
      <c r="C94" s="3" t="str">
        <f t="shared" si="3"/>
        <v>BRASIL</v>
      </c>
      <c r="D94" s="4" t="str">
        <f>"PB005"</f>
        <v>PB005</v>
      </c>
    </row>
    <row r="95" spans="1:4" x14ac:dyDescent="0.3">
      <c r="A95" s="2" t="str">
        <f>"ALAGOINHA"</f>
        <v>ALAGOINHA</v>
      </c>
      <c r="B95" s="3" t="str">
        <f>"PE"</f>
        <v>PE</v>
      </c>
      <c r="C95" s="3" t="str">
        <f t="shared" si="3"/>
        <v>BRASIL</v>
      </c>
      <c r="D95" s="4" t="str">
        <f>"PE007"</f>
        <v>PE007</v>
      </c>
    </row>
    <row r="96" spans="1:4" x14ac:dyDescent="0.3">
      <c r="A96" s="2" t="str">
        <f>"ALAGOINHA DO PIAUI"</f>
        <v>ALAGOINHA DO PIAUI</v>
      </c>
      <c r="B96" s="3" t="str">
        <f>"PI"</f>
        <v>PI</v>
      </c>
      <c r="C96" s="3" t="str">
        <f t="shared" si="3"/>
        <v>BRASIL</v>
      </c>
      <c r="D96" s="4" t="str">
        <f>"PI004"</f>
        <v>PI004</v>
      </c>
    </row>
    <row r="97" spans="1:4" x14ac:dyDescent="0.3">
      <c r="A97" s="2" t="str">
        <f>"ALAGOINHAS"</f>
        <v>ALAGOINHAS</v>
      </c>
      <c r="B97" s="3" t="str">
        <f>"BA"</f>
        <v>BA</v>
      </c>
      <c r="C97" s="3" t="str">
        <f t="shared" si="3"/>
        <v>BRASIL</v>
      </c>
      <c r="D97" s="4" t="str">
        <f>"BA008"</f>
        <v>BA008</v>
      </c>
    </row>
    <row r="98" spans="1:4" x14ac:dyDescent="0.3">
      <c r="A98" s="2" t="str">
        <f>"ALAMBARI"</f>
        <v>ALAMBARI</v>
      </c>
      <c r="B98" s="3" t="str">
        <f>"SP"</f>
        <v>SP</v>
      </c>
      <c r="C98" s="3" t="str">
        <f t="shared" si="3"/>
        <v>BRASIL</v>
      </c>
      <c r="D98" s="4" t="str">
        <f>"SP009"</f>
        <v>SP009</v>
      </c>
    </row>
    <row r="99" spans="1:4" x14ac:dyDescent="0.3">
      <c r="A99" s="2" t="str">
        <f>"ALBERTINA"</f>
        <v>ALBERTINA</v>
      </c>
      <c r="B99" s="3" t="str">
        <f>"MG"</f>
        <v>MG</v>
      </c>
      <c r="C99" s="3" t="str">
        <f t="shared" si="3"/>
        <v>BRASIL</v>
      </c>
      <c r="D99" s="4" t="str">
        <f>"MG014"</f>
        <v>MG014</v>
      </c>
    </row>
    <row r="100" spans="1:4" x14ac:dyDescent="0.3">
      <c r="A100" s="2" t="str">
        <f>"ALCANTARA"</f>
        <v>ALCANTARA</v>
      </c>
      <c r="B100" s="3" t="str">
        <f>"MA"</f>
        <v>MA</v>
      </c>
      <c r="C100" s="3" t="str">
        <f t="shared" si="3"/>
        <v>BRASIL</v>
      </c>
      <c r="D100" s="4" t="str">
        <f>"MA004"</f>
        <v>MA004</v>
      </c>
    </row>
    <row r="101" spans="1:4" x14ac:dyDescent="0.3">
      <c r="A101" s="2" t="str">
        <f>"ALCANTARAS"</f>
        <v>ALCANTARAS</v>
      </c>
      <c r="B101" s="3" t="str">
        <f>"CE"</f>
        <v>CE</v>
      </c>
      <c r="C101" s="3" t="str">
        <f t="shared" si="3"/>
        <v>BRASIL</v>
      </c>
      <c r="D101" s="4" t="str">
        <f>"CE006"</f>
        <v>CE006</v>
      </c>
    </row>
    <row r="102" spans="1:4" x14ac:dyDescent="0.3">
      <c r="A102" s="2" t="str">
        <f>"ALCANTIL"</f>
        <v>ALCANTIL</v>
      </c>
      <c r="B102" s="3" t="str">
        <f>"PB"</f>
        <v>PB</v>
      </c>
      <c r="C102" s="3" t="str">
        <f t="shared" si="3"/>
        <v>BRASIL</v>
      </c>
      <c r="D102" s="4" t="str">
        <f>"PB006"</f>
        <v>PB006</v>
      </c>
    </row>
    <row r="103" spans="1:4" x14ac:dyDescent="0.3">
      <c r="A103" s="2" t="str">
        <f>"ALCINOPOLIS"</f>
        <v>ALCINOPOLIS</v>
      </c>
      <c r="B103" s="3" t="str">
        <f>"MS"</f>
        <v>MS</v>
      </c>
      <c r="C103" s="3" t="str">
        <f t="shared" si="3"/>
        <v>BRASIL</v>
      </c>
      <c r="D103" s="4" t="str">
        <f>"MS002"</f>
        <v>MS002</v>
      </c>
    </row>
    <row r="104" spans="1:4" x14ac:dyDescent="0.3">
      <c r="A104" s="2" t="str">
        <f>"ALCOBACA"</f>
        <v>ALCOBACA</v>
      </c>
      <c r="B104" s="3" t="str">
        <f>"BA"</f>
        <v>BA</v>
      </c>
      <c r="C104" s="3" t="str">
        <f t="shared" si="3"/>
        <v>BRASIL</v>
      </c>
      <c r="D104" s="4" t="str">
        <f>"BA009"</f>
        <v>BA009</v>
      </c>
    </row>
    <row r="105" spans="1:4" x14ac:dyDescent="0.3">
      <c r="A105" s="2" t="str">
        <f>"ALDEIAS ALTAS"</f>
        <v>ALDEIAS ALTAS</v>
      </c>
      <c r="B105" s="3" t="str">
        <f>"MA"</f>
        <v>MA</v>
      </c>
      <c r="C105" s="3" t="str">
        <f t="shared" si="3"/>
        <v>BRASIL</v>
      </c>
      <c r="D105" s="4" t="str">
        <f>"MA005"</f>
        <v>MA005</v>
      </c>
    </row>
    <row r="106" spans="1:4" x14ac:dyDescent="0.3">
      <c r="A106" s="2" t="str">
        <f>"ALECRIM"</f>
        <v>ALECRIM</v>
      </c>
      <c r="B106" s="3" t="str">
        <f>"RS"</f>
        <v>RS</v>
      </c>
      <c r="C106" s="3" t="str">
        <f t="shared" si="3"/>
        <v>BRASIL</v>
      </c>
      <c r="D106" s="4" t="str">
        <f>"RS005"</f>
        <v>RS005</v>
      </c>
    </row>
    <row r="107" spans="1:4" x14ac:dyDescent="0.3">
      <c r="A107" s="2" t="str">
        <f>"ALEGRE"</f>
        <v>ALEGRE</v>
      </c>
      <c r="B107" s="3" t="str">
        <f>"ES"</f>
        <v>ES</v>
      </c>
      <c r="C107" s="3" t="str">
        <f t="shared" si="3"/>
        <v>BRASIL</v>
      </c>
      <c r="D107" s="4" t="str">
        <f>"ES004"</f>
        <v>ES004</v>
      </c>
    </row>
    <row r="108" spans="1:4" x14ac:dyDescent="0.3">
      <c r="A108" s="2" t="str">
        <f>"ALEGRETE"</f>
        <v>ALEGRETE</v>
      </c>
      <c r="B108" s="3" t="str">
        <f>"RS"</f>
        <v>RS</v>
      </c>
      <c r="C108" s="3" t="str">
        <f t="shared" si="3"/>
        <v>BRASIL</v>
      </c>
      <c r="D108" s="4" t="str">
        <f>"RS006"</f>
        <v>RS006</v>
      </c>
    </row>
    <row r="109" spans="1:4" x14ac:dyDescent="0.3">
      <c r="A109" s="2" t="str">
        <f>"ALEGRETE DO PIAUI"</f>
        <v>ALEGRETE DO PIAUI</v>
      </c>
      <c r="B109" s="3" t="str">
        <f>"PI"</f>
        <v>PI</v>
      </c>
      <c r="C109" s="3" t="str">
        <f t="shared" si="3"/>
        <v>BRASIL</v>
      </c>
      <c r="D109" s="4" t="str">
        <f>"PI005"</f>
        <v>PI005</v>
      </c>
    </row>
    <row r="110" spans="1:4" x14ac:dyDescent="0.3">
      <c r="A110" s="2" t="str">
        <f>"ALEGRIA"</f>
        <v>ALEGRIA</v>
      </c>
      <c r="B110" s="3" t="str">
        <f>"RS"</f>
        <v>RS</v>
      </c>
      <c r="C110" s="3" t="str">
        <f t="shared" si="3"/>
        <v>BRASIL</v>
      </c>
      <c r="D110" s="4" t="str">
        <f>"RS007"</f>
        <v>RS007</v>
      </c>
    </row>
    <row r="111" spans="1:4" x14ac:dyDescent="0.3">
      <c r="A111" s="2" t="str">
        <f>"ALEM PARAIBA"</f>
        <v>ALEM PARAIBA</v>
      </c>
      <c r="B111" s="3" t="str">
        <f>"MG"</f>
        <v>MG</v>
      </c>
      <c r="C111" s="3" t="str">
        <f t="shared" si="3"/>
        <v>BRASIL</v>
      </c>
      <c r="D111" s="4" t="str">
        <f>"MG015"</f>
        <v>MG015</v>
      </c>
    </row>
    <row r="112" spans="1:4" x14ac:dyDescent="0.3">
      <c r="A112" s="2" t="str">
        <f>"ALENQUER"</f>
        <v>ALENQUER</v>
      </c>
      <c r="B112" s="3" t="str">
        <f>"PA"</f>
        <v>PA</v>
      </c>
      <c r="C112" s="3" t="str">
        <f t="shared" si="3"/>
        <v>BRASIL</v>
      </c>
      <c r="D112" s="4" t="str">
        <f>"PA006"</f>
        <v>PA006</v>
      </c>
    </row>
    <row r="113" spans="1:4" x14ac:dyDescent="0.3">
      <c r="A113" s="2" t="str">
        <f>"ALEXANDRIA"</f>
        <v>ALEXANDRIA</v>
      </c>
      <c r="B113" s="3" t="str">
        <f>"RN"</f>
        <v>RN</v>
      </c>
      <c r="C113" s="3" t="str">
        <f t="shared" si="3"/>
        <v>BRASIL</v>
      </c>
      <c r="D113" s="4" t="str">
        <f>"RN005"</f>
        <v>RN005</v>
      </c>
    </row>
    <row r="114" spans="1:4" x14ac:dyDescent="0.3">
      <c r="A114" s="2" t="str">
        <f>"ALEXANIA"</f>
        <v>ALEXANIA</v>
      </c>
      <c r="B114" s="3" t="str">
        <f>"GO"</f>
        <v>GO</v>
      </c>
      <c r="C114" s="3" t="str">
        <f t="shared" si="3"/>
        <v>BRASIL</v>
      </c>
      <c r="D114" s="4" t="str">
        <f>"GO008"</f>
        <v>GO008</v>
      </c>
    </row>
    <row r="115" spans="1:4" x14ac:dyDescent="0.3">
      <c r="A115" s="2" t="str">
        <f>"ALFENAS"</f>
        <v>ALFENAS</v>
      </c>
      <c r="B115" s="3" t="str">
        <f>"MG"</f>
        <v>MG</v>
      </c>
      <c r="C115" s="3" t="str">
        <f t="shared" si="3"/>
        <v>BRASIL</v>
      </c>
      <c r="D115" s="4" t="str">
        <f>"MG016"</f>
        <v>MG016</v>
      </c>
    </row>
    <row r="116" spans="1:4" x14ac:dyDescent="0.3">
      <c r="A116" s="2" t="str">
        <f>"ALFREDO CHAVES"</f>
        <v>ALFREDO CHAVES</v>
      </c>
      <c r="B116" s="3" t="str">
        <f>"ES"</f>
        <v>ES</v>
      </c>
      <c r="C116" s="3" t="str">
        <f t="shared" si="3"/>
        <v>BRASIL</v>
      </c>
      <c r="D116" s="4" t="str">
        <f>"ES005"</f>
        <v>ES005</v>
      </c>
    </row>
    <row r="117" spans="1:4" x14ac:dyDescent="0.3">
      <c r="A117" s="2" t="str">
        <f>"ALFREDO MARCONDES"</f>
        <v>ALFREDO MARCONDES</v>
      </c>
      <c r="B117" s="3" t="str">
        <f>"SP"</f>
        <v>SP</v>
      </c>
      <c r="C117" s="3" t="str">
        <f t="shared" si="3"/>
        <v>BRASIL</v>
      </c>
      <c r="D117" s="4" t="str">
        <f>"SP010"</f>
        <v>SP010</v>
      </c>
    </row>
    <row r="118" spans="1:4" x14ac:dyDescent="0.3">
      <c r="A118" s="2" t="str">
        <f>"ALFREDO VASCONCELOS"</f>
        <v>ALFREDO VASCONCELOS</v>
      </c>
      <c r="B118" s="3" t="str">
        <f>"MG"</f>
        <v>MG</v>
      </c>
      <c r="C118" s="3" t="str">
        <f t="shared" si="3"/>
        <v>BRASIL</v>
      </c>
      <c r="D118" s="4" t="str">
        <f>"MG017"</f>
        <v>MG017</v>
      </c>
    </row>
    <row r="119" spans="1:4" x14ac:dyDescent="0.3">
      <c r="A119" s="2" t="str">
        <f>"ALFREDO WAGNER"</f>
        <v>ALFREDO WAGNER</v>
      </c>
      <c r="B119" s="3" t="str">
        <f>"SC"</f>
        <v>SC</v>
      </c>
      <c r="C119" s="3" t="str">
        <f t="shared" si="3"/>
        <v>BRASIL</v>
      </c>
      <c r="D119" s="4" t="str">
        <f>"SC009"</f>
        <v>SC009</v>
      </c>
    </row>
    <row r="120" spans="1:4" x14ac:dyDescent="0.3">
      <c r="A120" s="2" t="str">
        <f>"ALGODAO DE JANDAIRA"</f>
        <v>ALGODAO DE JANDAIRA</v>
      </c>
      <c r="B120" s="3" t="str">
        <f>"PB"</f>
        <v>PB</v>
      </c>
      <c r="C120" s="3" t="str">
        <f t="shared" si="3"/>
        <v>BRASIL</v>
      </c>
      <c r="D120" s="4" t="str">
        <f>"PB007"</f>
        <v>PB007</v>
      </c>
    </row>
    <row r="121" spans="1:4" x14ac:dyDescent="0.3">
      <c r="A121" s="2" t="str">
        <f>"ALHANDRA"</f>
        <v>ALHANDRA</v>
      </c>
      <c r="B121" s="3" t="str">
        <f>"PB"</f>
        <v>PB</v>
      </c>
      <c r="C121" s="3" t="str">
        <f t="shared" si="3"/>
        <v>BRASIL</v>
      </c>
      <c r="D121" s="4" t="str">
        <f>"PB008"</f>
        <v>PB008</v>
      </c>
    </row>
    <row r="122" spans="1:4" x14ac:dyDescent="0.3">
      <c r="A122" s="2" t="str">
        <f>"ALIANCA"</f>
        <v>ALIANCA</v>
      </c>
      <c r="B122" s="3" t="str">
        <f>"PE"</f>
        <v>PE</v>
      </c>
      <c r="C122" s="3" t="str">
        <f t="shared" si="3"/>
        <v>BRASIL</v>
      </c>
      <c r="D122" s="4" t="str">
        <f>"PE008"</f>
        <v>PE008</v>
      </c>
    </row>
    <row r="123" spans="1:4" x14ac:dyDescent="0.3">
      <c r="A123" s="2" t="str">
        <f>"ALIANCA DO TOCANTINS"</f>
        <v>ALIANCA DO TOCANTINS</v>
      </c>
      <c r="B123" s="3" t="str">
        <f>"TO"</f>
        <v>TO</v>
      </c>
      <c r="C123" s="3" t="str">
        <f t="shared" si="3"/>
        <v>BRASIL</v>
      </c>
      <c r="D123" s="4" t="str">
        <f>"TO003"</f>
        <v>TO003</v>
      </c>
    </row>
    <row r="124" spans="1:4" x14ac:dyDescent="0.3">
      <c r="A124" s="2" t="str">
        <f>"ALMADINA"</f>
        <v>ALMADINA</v>
      </c>
      <c r="B124" s="3" t="str">
        <f>"BA"</f>
        <v>BA</v>
      </c>
      <c r="C124" s="3" t="str">
        <f t="shared" si="3"/>
        <v>BRASIL</v>
      </c>
      <c r="D124" s="4" t="str">
        <f>"BA010"</f>
        <v>BA010</v>
      </c>
    </row>
    <row r="125" spans="1:4" x14ac:dyDescent="0.3">
      <c r="A125" s="2" t="str">
        <f>"ALMAS"</f>
        <v>ALMAS</v>
      </c>
      <c r="B125" s="3" t="str">
        <f>"TO"</f>
        <v>TO</v>
      </c>
      <c r="C125" s="3" t="str">
        <f t="shared" si="3"/>
        <v>BRASIL</v>
      </c>
      <c r="D125" s="4" t="str">
        <f>"TO004"</f>
        <v>TO004</v>
      </c>
    </row>
    <row r="126" spans="1:4" x14ac:dyDescent="0.3">
      <c r="A126" s="2" t="str">
        <f>"ALMEIRIM"</f>
        <v>ALMEIRIM</v>
      </c>
      <c r="B126" s="3" t="str">
        <f>"PA"</f>
        <v>PA</v>
      </c>
      <c r="C126" s="3" t="str">
        <f t="shared" si="3"/>
        <v>BRASIL</v>
      </c>
      <c r="D126" s="4" t="str">
        <f>"PA007"</f>
        <v>PA007</v>
      </c>
    </row>
    <row r="127" spans="1:4" x14ac:dyDescent="0.3">
      <c r="A127" s="2" t="str">
        <f>"ALMENARA"</f>
        <v>ALMENARA</v>
      </c>
      <c r="B127" s="3" t="str">
        <f>"MG"</f>
        <v>MG</v>
      </c>
      <c r="C127" s="3" t="str">
        <f t="shared" si="3"/>
        <v>BRASIL</v>
      </c>
      <c r="D127" s="4" t="str">
        <f>"MG018"</f>
        <v>MG018</v>
      </c>
    </row>
    <row r="128" spans="1:4" x14ac:dyDescent="0.3">
      <c r="A128" s="2" t="str">
        <f>"ALMINO AFONSO"</f>
        <v>ALMINO AFONSO</v>
      </c>
      <c r="B128" s="3" t="str">
        <f>"RN"</f>
        <v>RN</v>
      </c>
      <c r="C128" s="3" t="str">
        <f t="shared" si="3"/>
        <v>BRASIL</v>
      </c>
      <c r="D128" s="4" t="str">
        <f>"RN006"</f>
        <v>RN006</v>
      </c>
    </row>
    <row r="129" spans="1:4" x14ac:dyDescent="0.3">
      <c r="A129" s="2" t="str">
        <f>"ALMIRANTE TAMANDARÉ"</f>
        <v>ALMIRANTE TAMANDARÉ</v>
      </c>
      <c r="B129" s="3" t="str">
        <f>"PR"</f>
        <v>PR</v>
      </c>
      <c r="C129" s="3" t="str">
        <f t="shared" si="3"/>
        <v>BRASIL</v>
      </c>
      <c r="D129" s="4" t="str">
        <f>"PR"</f>
        <v>PR</v>
      </c>
    </row>
    <row r="130" spans="1:4" x14ac:dyDescent="0.3">
      <c r="A130" s="2" t="str">
        <f>"ALMIRANTE TAMANDARE DO SU"</f>
        <v>ALMIRANTE TAMANDARE DO SU</v>
      </c>
      <c r="B130" s="3" t="str">
        <f>"RS"</f>
        <v>RS</v>
      </c>
      <c r="C130" s="3" t="str">
        <f t="shared" si="3"/>
        <v>BRASIL</v>
      </c>
      <c r="D130" s="4" t="str">
        <f>"RS008"</f>
        <v>RS008</v>
      </c>
    </row>
    <row r="131" spans="1:4" x14ac:dyDescent="0.3">
      <c r="A131" s="2" t="str">
        <f>"ALOANDIA"</f>
        <v>ALOANDIA</v>
      </c>
      <c r="B131" s="3" t="str">
        <f>"GO"</f>
        <v>GO</v>
      </c>
      <c r="C131" s="3" t="str">
        <f t="shared" si="3"/>
        <v>BRASIL</v>
      </c>
      <c r="D131" s="4" t="str">
        <f>"GO009"</f>
        <v>GO009</v>
      </c>
    </row>
    <row r="132" spans="1:4" x14ac:dyDescent="0.3">
      <c r="A132" s="2" t="str">
        <f>"ALPERCATA"</f>
        <v>ALPERCATA</v>
      </c>
      <c r="B132" s="3" t="str">
        <f>"MG"</f>
        <v>MG</v>
      </c>
      <c r="C132" s="3" t="str">
        <f t="shared" si="3"/>
        <v>BRASIL</v>
      </c>
      <c r="D132" s="4" t="str">
        <f>"MG019"</f>
        <v>MG019</v>
      </c>
    </row>
    <row r="133" spans="1:4" x14ac:dyDescent="0.3">
      <c r="A133" s="2" t="str">
        <f>"ALPESTRE"</f>
        <v>ALPESTRE</v>
      </c>
      <c r="B133" s="3" t="str">
        <f>"RS"</f>
        <v>RS</v>
      </c>
      <c r="C133" s="3" t="str">
        <f t="shared" si="3"/>
        <v>BRASIL</v>
      </c>
      <c r="D133" s="4" t="str">
        <f>"RS009"</f>
        <v>RS009</v>
      </c>
    </row>
    <row r="134" spans="1:4" x14ac:dyDescent="0.3">
      <c r="A134" s="2" t="str">
        <f>"ALPHARETTA-GEORGIA"</f>
        <v>ALPHARETTA-GEORGIA</v>
      </c>
      <c r="B134" s="3" t="str">
        <f>"EX"</f>
        <v>EX</v>
      </c>
      <c r="C134" s="3" t="str">
        <f>"ESTADOS UNIDOS"</f>
        <v>ESTADOS UNIDOS</v>
      </c>
      <c r="D134" s="4" t="str">
        <f>"ALPHA"</f>
        <v>ALPHA</v>
      </c>
    </row>
    <row r="135" spans="1:4" x14ac:dyDescent="0.3">
      <c r="A135" s="2" t="str">
        <f>"ALPINOPOLIS"</f>
        <v>ALPINOPOLIS</v>
      </c>
      <c r="B135" s="3" t="str">
        <f>"MG"</f>
        <v>MG</v>
      </c>
      <c r="C135" s="3" t="str">
        <f t="shared" ref="C135:C143" si="4">"BRASIL"</f>
        <v>BRASIL</v>
      </c>
      <c r="D135" s="4" t="str">
        <f>"MG020"</f>
        <v>MG020</v>
      </c>
    </row>
    <row r="136" spans="1:4" x14ac:dyDescent="0.3">
      <c r="A136" s="2" t="str">
        <f>"ALTA FLORESTA"</f>
        <v>ALTA FLORESTA</v>
      </c>
      <c r="B136" s="3" t="str">
        <f>"MT"</f>
        <v>MT</v>
      </c>
      <c r="C136" s="3" t="str">
        <f t="shared" si="4"/>
        <v>BRASIL</v>
      </c>
      <c r="D136" s="4" t="str">
        <f>"MT003"</f>
        <v>MT003</v>
      </c>
    </row>
    <row r="137" spans="1:4" x14ac:dyDescent="0.3">
      <c r="A137" s="2" t="str">
        <f>"ALTA FLORESTA D'OESTE"</f>
        <v>ALTA FLORESTA D'OESTE</v>
      </c>
      <c r="B137" s="3" t="str">
        <f>"RO"</f>
        <v>RO</v>
      </c>
      <c r="C137" s="3" t="str">
        <f t="shared" si="4"/>
        <v>BRASIL</v>
      </c>
      <c r="D137" s="4" t="str">
        <f>"RO001"</f>
        <v>RO001</v>
      </c>
    </row>
    <row r="138" spans="1:4" x14ac:dyDescent="0.3">
      <c r="A138" s="2" t="str">
        <f>"ALTAIR"</f>
        <v>ALTAIR</v>
      </c>
      <c r="B138" s="3" t="str">
        <f>"SP"</f>
        <v>SP</v>
      </c>
      <c r="C138" s="3" t="str">
        <f t="shared" si="4"/>
        <v>BRASIL</v>
      </c>
      <c r="D138" s="4" t="str">
        <f>"SP011"</f>
        <v>SP011</v>
      </c>
    </row>
    <row r="139" spans="1:4" x14ac:dyDescent="0.3">
      <c r="A139" s="2" t="str">
        <f>"ALTAMIRA"</f>
        <v>ALTAMIRA</v>
      </c>
      <c r="B139" s="3" t="str">
        <f>"PA"</f>
        <v>PA</v>
      </c>
      <c r="C139" s="3" t="str">
        <f t="shared" si="4"/>
        <v>BRASIL</v>
      </c>
      <c r="D139" s="4" t="str">
        <f>"PA008"</f>
        <v>PA008</v>
      </c>
    </row>
    <row r="140" spans="1:4" x14ac:dyDescent="0.3">
      <c r="A140" s="2" t="str">
        <f>"ALTAMIRA DO MARANHAO"</f>
        <v>ALTAMIRA DO MARANHAO</v>
      </c>
      <c r="B140" s="3" t="str">
        <f>"MA"</f>
        <v>MA</v>
      </c>
      <c r="C140" s="3" t="str">
        <f t="shared" si="4"/>
        <v>BRASIL</v>
      </c>
      <c r="D140" s="4" t="str">
        <f>"MA006"</f>
        <v>MA006</v>
      </c>
    </row>
    <row r="141" spans="1:4" x14ac:dyDescent="0.3">
      <c r="A141" s="2" t="str">
        <f>"ALTAMIRA DO PARANA"</f>
        <v>ALTAMIRA DO PARANA</v>
      </c>
      <c r="B141" s="3" t="str">
        <f>"PR"</f>
        <v>PR</v>
      </c>
      <c r="C141" s="3" t="str">
        <f t="shared" si="4"/>
        <v>BRASIL</v>
      </c>
      <c r="D141" s="4" t="str">
        <f>"PR005"</f>
        <v>PR005</v>
      </c>
    </row>
    <row r="142" spans="1:4" x14ac:dyDescent="0.3">
      <c r="A142" s="2" t="str">
        <f>"ALTANEIRA"</f>
        <v>ALTANEIRA</v>
      </c>
      <c r="B142" s="3" t="str">
        <f>"CE"</f>
        <v>CE</v>
      </c>
      <c r="C142" s="3" t="str">
        <f t="shared" si="4"/>
        <v>BRASIL</v>
      </c>
      <c r="D142" s="4" t="str">
        <f>"CE007"</f>
        <v>CE007</v>
      </c>
    </row>
    <row r="143" spans="1:4" x14ac:dyDescent="0.3">
      <c r="A143" s="2" t="str">
        <f>"ALTEROSA"</f>
        <v>ALTEROSA</v>
      </c>
      <c r="B143" s="3" t="str">
        <f>"MG"</f>
        <v>MG</v>
      </c>
      <c r="C143" s="3" t="str">
        <f t="shared" si="4"/>
        <v>BRASIL</v>
      </c>
      <c r="D143" s="4" t="str">
        <f>"MG021"</f>
        <v>MG021</v>
      </c>
    </row>
    <row r="144" spans="1:4" x14ac:dyDescent="0.3">
      <c r="A144" s="2" t="str">
        <f>"ALTHOFEN"</f>
        <v>ALTHOFEN</v>
      </c>
      <c r="B144" s="3" t="str">
        <f>"AUT"</f>
        <v>AUT</v>
      </c>
      <c r="C144" s="3" t="str">
        <f>"AUSTRIA"</f>
        <v>AUSTRIA</v>
      </c>
      <c r="D144" s="4" t="str">
        <f>"ALTHO"</f>
        <v>ALTHO</v>
      </c>
    </row>
    <row r="145" spans="1:4" x14ac:dyDescent="0.3">
      <c r="A145" s="2" t="str">
        <f>"ALTHOFEN"</f>
        <v>ALTHOFEN</v>
      </c>
      <c r="B145" s="3" t="str">
        <f>"EX"</f>
        <v>EX</v>
      </c>
      <c r="C145" s="3" t="str">
        <f>"AUSTRIA"</f>
        <v>AUSTRIA</v>
      </c>
      <c r="D145" s="4" t="str">
        <f>"ALTH"</f>
        <v>ALTH</v>
      </c>
    </row>
    <row r="146" spans="1:4" x14ac:dyDescent="0.3">
      <c r="A146" s="2" t="str">
        <f>"ALTINHO"</f>
        <v>ALTINHO</v>
      </c>
      <c r="B146" s="3" t="str">
        <f>"PE"</f>
        <v>PE</v>
      </c>
      <c r="C146" s="3" t="str">
        <f t="shared" ref="C146:C177" si="5">"BRASIL"</f>
        <v>BRASIL</v>
      </c>
      <c r="D146" s="4" t="str">
        <f>"PE009"</f>
        <v>PE009</v>
      </c>
    </row>
    <row r="147" spans="1:4" x14ac:dyDescent="0.3">
      <c r="A147" s="2" t="str">
        <f>"ALTINOPOLIS"</f>
        <v>ALTINOPOLIS</v>
      </c>
      <c r="B147" s="3" t="str">
        <f>"SP"</f>
        <v>SP</v>
      </c>
      <c r="C147" s="3" t="str">
        <f t="shared" si="5"/>
        <v>BRASIL</v>
      </c>
      <c r="D147" s="4" t="str">
        <f>"SP012"</f>
        <v>SP012</v>
      </c>
    </row>
    <row r="148" spans="1:4" x14ac:dyDescent="0.3">
      <c r="A148" s="2" t="str">
        <f>"ALTO ALEGRE"</f>
        <v>ALTO ALEGRE</v>
      </c>
      <c r="B148" s="3" t="str">
        <f>"RR"</f>
        <v>RR</v>
      </c>
      <c r="C148" s="3" t="str">
        <f t="shared" si="5"/>
        <v>BRASIL</v>
      </c>
      <c r="D148" s="4" t="str">
        <f>"RR002"</f>
        <v>RR002</v>
      </c>
    </row>
    <row r="149" spans="1:4" x14ac:dyDescent="0.3">
      <c r="A149" s="2" t="str">
        <f>"ALTO ALEGRE"</f>
        <v>ALTO ALEGRE</v>
      </c>
      <c r="B149" s="3" t="str">
        <f>"RS"</f>
        <v>RS</v>
      </c>
      <c r="C149" s="3" t="str">
        <f t="shared" si="5"/>
        <v>BRASIL</v>
      </c>
      <c r="D149" s="4" t="str">
        <f>"RS010"</f>
        <v>RS010</v>
      </c>
    </row>
    <row r="150" spans="1:4" x14ac:dyDescent="0.3">
      <c r="A150" s="2" t="str">
        <f>"ALTO ALEGRE"</f>
        <v>ALTO ALEGRE</v>
      </c>
      <c r="B150" s="3" t="str">
        <f>"SP"</f>
        <v>SP</v>
      </c>
      <c r="C150" s="3" t="str">
        <f t="shared" si="5"/>
        <v>BRASIL</v>
      </c>
      <c r="D150" s="4" t="str">
        <f>"SP013"</f>
        <v>SP013</v>
      </c>
    </row>
    <row r="151" spans="1:4" x14ac:dyDescent="0.3">
      <c r="A151" s="2" t="str">
        <f>"ALTO ALEGRE DO MARANHAO"</f>
        <v>ALTO ALEGRE DO MARANHAO</v>
      </c>
      <c r="B151" s="3" t="str">
        <f>"MA"</f>
        <v>MA</v>
      </c>
      <c r="C151" s="3" t="str">
        <f t="shared" si="5"/>
        <v>BRASIL</v>
      </c>
      <c r="D151" s="4" t="str">
        <f>"MA007"</f>
        <v>MA007</v>
      </c>
    </row>
    <row r="152" spans="1:4" x14ac:dyDescent="0.3">
      <c r="A152" s="2" t="str">
        <f>"ALTO ALEGRE DO PINDARE"</f>
        <v>ALTO ALEGRE DO PINDARE</v>
      </c>
      <c r="B152" s="3" t="str">
        <f>"MA"</f>
        <v>MA</v>
      </c>
      <c r="C152" s="3" t="str">
        <f t="shared" si="5"/>
        <v>BRASIL</v>
      </c>
      <c r="D152" s="4" t="str">
        <f>"MA008"</f>
        <v>MA008</v>
      </c>
    </row>
    <row r="153" spans="1:4" x14ac:dyDescent="0.3">
      <c r="A153" s="2" t="str">
        <f>"ALTO ALEGRE DOS PARECIS"</f>
        <v>ALTO ALEGRE DOS PARECIS</v>
      </c>
      <c r="B153" s="3" t="str">
        <f>"RO"</f>
        <v>RO</v>
      </c>
      <c r="C153" s="3" t="str">
        <f t="shared" si="5"/>
        <v>BRASIL</v>
      </c>
      <c r="D153" s="4" t="str">
        <f>"RO026"</f>
        <v>RO026</v>
      </c>
    </row>
    <row r="154" spans="1:4" x14ac:dyDescent="0.3">
      <c r="A154" s="2" t="str">
        <f>"ALTO ARAGUAIA"</f>
        <v>ALTO ARAGUAIA</v>
      </c>
      <c r="B154" s="3" t="str">
        <f>"MT"</f>
        <v>MT</v>
      </c>
      <c r="C154" s="3" t="str">
        <f t="shared" si="5"/>
        <v>BRASIL</v>
      </c>
      <c r="D154" s="4" t="str">
        <f>"MT004"</f>
        <v>MT004</v>
      </c>
    </row>
    <row r="155" spans="1:4" x14ac:dyDescent="0.3">
      <c r="A155" s="2" t="str">
        <f>"ALTO BELA VISTA"</f>
        <v>ALTO BELA VISTA</v>
      </c>
      <c r="B155" s="3" t="str">
        <f>"SC"</f>
        <v>SC</v>
      </c>
      <c r="C155" s="3" t="str">
        <f t="shared" si="5"/>
        <v>BRASIL</v>
      </c>
      <c r="D155" s="4" t="str">
        <f>"SC010"</f>
        <v>SC010</v>
      </c>
    </row>
    <row r="156" spans="1:4" x14ac:dyDescent="0.3">
      <c r="A156" s="2" t="str">
        <f>"ALTO BOA VISTA"</f>
        <v>ALTO BOA VISTA</v>
      </c>
      <c r="B156" s="3" t="str">
        <f>"MT"</f>
        <v>MT</v>
      </c>
      <c r="C156" s="3" t="str">
        <f t="shared" si="5"/>
        <v>BRASIL</v>
      </c>
      <c r="D156" s="4" t="str">
        <f>"MT005"</f>
        <v>MT005</v>
      </c>
    </row>
    <row r="157" spans="1:4" x14ac:dyDescent="0.3">
      <c r="A157" s="2" t="str">
        <f>"ALTO CAPARAO"</f>
        <v>ALTO CAPARAO</v>
      </c>
      <c r="B157" s="3" t="str">
        <f>"MG"</f>
        <v>MG</v>
      </c>
      <c r="C157" s="3" t="str">
        <f t="shared" si="5"/>
        <v>BRASIL</v>
      </c>
      <c r="D157" s="4" t="str">
        <f>"MG022"</f>
        <v>MG022</v>
      </c>
    </row>
    <row r="158" spans="1:4" x14ac:dyDescent="0.3">
      <c r="A158" s="2" t="str">
        <f>"ALTO DO RODRIGUES"</f>
        <v>ALTO DO RODRIGUES</v>
      </c>
      <c r="B158" s="3" t="str">
        <f>"RN"</f>
        <v>RN</v>
      </c>
      <c r="C158" s="3" t="str">
        <f t="shared" si="5"/>
        <v>BRASIL</v>
      </c>
      <c r="D158" s="4" t="str">
        <f>"RN007"</f>
        <v>RN007</v>
      </c>
    </row>
    <row r="159" spans="1:4" x14ac:dyDescent="0.3">
      <c r="A159" s="2" t="str">
        <f>"ALTO FELIZ"</f>
        <v>ALTO FELIZ</v>
      </c>
      <c r="B159" s="3" t="str">
        <f>"RS"</f>
        <v>RS</v>
      </c>
      <c r="C159" s="3" t="str">
        <f t="shared" si="5"/>
        <v>BRASIL</v>
      </c>
      <c r="D159" s="4" t="str">
        <f>"RS011"</f>
        <v>RS011</v>
      </c>
    </row>
    <row r="160" spans="1:4" x14ac:dyDescent="0.3">
      <c r="A160" s="2" t="str">
        <f>"ALTO GARCAS"</f>
        <v>ALTO GARCAS</v>
      </c>
      <c r="B160" s="3" t="str">
        <f>"MT"</f>
        <v>MT</v>
      </c>
      <c r="C160" s="3" t="str">
        <f t="shared" si="5"/>
        <v>BRASIL</v>
      </c>
      <c r="D160" s="4" t="str">
        <f>"MT006"</f>
        <v>MT006</v>
      </c>
    </row>
    <row r="161" spans="1:4" x14ac:dyDescent="0.3">
      <c r="A161" s="2" t="str">
        <f>"ALTO HORIZONTE"</f>
        <v>ALTO HORIZONTE</v>
      </c>
      <c r="B161" s="3" t="str">
        <f>"GO"</f>
        <v>GO</v>
      </c>
      <c r="C161" s="3" t="str">
        <f t="shared" si="5"/>
        <v>BRASIL</v>
      </c>
      <c r="D161" s="4" t="str">
        <f>"GO010"</f>
        <v>GO010</v>
      </c>
    </row>
    <row r="162" spans="1:4" x14ac:dyDescent="0.3">
      <c r="A162" s="2" t="str">
        <f>"ALTO JEQUITIBA"</f>
        <v>ALTO JEQUITIBA</v>
      </c>
      <c r="B162" s="3" t="str">
        <f>"MG"</f>
        <v>MG</v>
      </c>
      <c r="C162" s="3" t="str">
        <f t="shared" si="5"/>
        <v>BRASIL</v>
      </c>
      <c r="D162" s="4" t="str">
        <f>"MG624"</f>
        <v>MG624</v>
      </c>
    </row>
    <row r="163" spans="1:4" x14ac:dyDescent="0.3">
      <c r="A163" s="2" t="str">
        <f>"ALTO LONGA"</f>
        <v>ALTO LONGA</v>
      </c>
      <c r="B163" s="3" t="str">
        <f>"PI"</f>
        <v>PI</v>
      </c>
      <c r="C163" s="3" t="str">
        <f t="shared" si="5"/>
        <v>BRASIL</v>
      </c>
      <c r="D163" s="4" t="str">
        <f>"PI006"</f>
        <v>PI006</v>
      </c>
    </row>
    <row r="164" spans="1:4" x14ac:dyDescent="0.3">
      <c r="A164" s="2" t="str">
        <f>"ALTO PARAGUAI"</f>
        <v>ALTO PARAGUAI</v>
      </c>
      <c r="B164" s="3" t="str">
        <f>"MT"</f>
        <v>MT</v>
      </c>
      <c r="C164" s="3" t="str">
        <f t="shared" si="5"/>
        <v>BRASIL</v>
      </c>
      <c r="D164" s="4" t="str">
        <f>"MT007"</f>
        <v>MT007</v>
      </c>
    </row>
    <row r="165" spans="1:4" x14ac:dyDescent="0.3">
      <c r="A165" s="2" t="str">
        <f>"ALTO PARAISO"</f>
        <v>ALTO PARAISO</v>
      </c>
      <c r="B165" s="3" t="str">
        <f>"PR"</f>
        <v>PR</v>
      </c>
      <c r="C165" s="3" t="str">
        <f t="shared" si="5"/>
        <v>BRASIL</v>
      </c>
      <c r="D165" s="4" t="str">
        <f>"PR395"</f>
        <v>PR395</v>
      </c>
    </row>
    <row r="166" spans="1:4" x14ac:dyDescent="0.3">
      <c r="A166" s="2" t="str">
        <f>"ALTO PARAISO"</f>
        <v>ALTO PARAISO</v>
      </c>
      <c r="B166" s="3" t="str">
        <f>"RO"</f>
        <v>RO</v>
      </c>
      <c r="C166" s="3" t="str">
        <f t="shared" si="5"/>
        <v>BRASIL</v>
      </c>
      <c r="D166" s="4" t="str">
        <f>"RO027"</f>
        <v>RO027</v>
      </c>
    </row>
    <row r="167" spans="1:4" x14ac:dyDescent="0.3">
      <c r="A167" s="2" t="str">
        <f>"ALTO PARAISO DE GOIAS"</f>
        <v>ALTO PARAISO DE GOIAS</v>
      </c>
      <c r="B167" s="3" t="str">
        <f>"GO"</f>
        <v>GO</v>
      </c>
      <c r="C167" s="3" t="str">
        <f t="shared" si="5"/>
        <v>BRASIL</v>
      </c>
      <c r="D167" s="4" t="str">
        <f>"GO011"</f>
        <v>GO011</v>
      </c>
    </row>
    <row r="168" spans="1:4" x14ac:dyDescent="0.3">
      <c r="A168" s="2" t="str">
        <f>"ALTO PARANA"</f>
        <v>ALTO PARANA</v>
      </c>
      <c r="B168" s="3" t="str">
        <f>"PR"</f>
        <v>PR</v>
      </c>
      <c r="C168" s="3" t="str">
        <f t="shared" si="5"/>
        <v>BRASIL</v>
      </c>
      <c r="D168" s="4" t="str">
        <f>"PR007"</f>
        <v>PR007</v>
      </c>
    </row>
    <row r="169" spans="1:4" x14ac:dyDescent="0.3">
      <c r="A169" s="2" t="str">
        <f>"ALTO PARNAIBA"</f>
        <v>ALTO PARNAIBA</v>
      </c>
      <c r="B169" s="3" t="str">
        <f>"MA"</f>
        <v>MA</v>
      </c>
      <c r="C169" s="3" t="str">
        <f t="shared" si="5"/>
        <v>BRASIL</v>
      </c>
      <c r="D169" s="4" t="str">
        <f>"MA009"</f>
        <v>MA009</v>
      </c>
    </row>
    <row r="170" spans="1:4" x14ac:dyDescent="0.3">
      <c r="A170" s="2" t="str">
        <f>"ALTO PIQUIRI"</f>
        <v>ALTO PIQUIRI</v>
      </c>
      <c r="B170" s="3" t="str">
        <f>"PR"</f>
        <v>PR</v>
      </c>
      <c r="C170" s="3" t="str">
        <f t="shared" si="5"/>
        <v>BRASIL</v>
      </c>
      <c r="D170" s="4" t="str">
        <f>"PR008"</f>
        <v>PR008</v>
      </c>
    </row>
    <row r="171" spans="1:4" x14ac:dyDescent="0.3">
      <c r="A171" s="2" t="str">
        <f>"ALTO RIO DOCE"</f>
        <v>ALTO RIO DOCE</v>
      </c>
      <c r="B171" s="3" t="str">
        <f>"MG"</f>
        <v>MG</v>
      </c>
      <c r="C171" s="3" t="str">
        <f t="shared" si="5"/>
        <v>BRASIL</v>
      </c>
      <c r="D171" s="4" t="str">
        <f>"MG023"</f>
        <v>MG023</v>
      </c>
    </row>
    <row r="172" spans="1:4" x14ac:dyDescent="0.3">
      <c r="A172" s="2" t="str">
        <f>"ALTO RIO NOVO"</f>
        <v>ALTO RIO NOVO</v>
      </c>
      <c r="B172" s="3" t="str">
        <f>"ES"</f>
        <v>ES</v>
      </c>
      <c r="C172" s="3" t="str">
        <f t="shared" si="5"/>
        <v>BRASIL</v>
      </c>
      <c r="D172" s="4" t="str">
        <f>"ES006"</f>
        <v>ES006</v>
      </c>
    </row>
    <row r="173" spans="1:4" x14ac:dyDescent="0.3">
      <c r="A173" s="2" t="str">
        <f>"ALTO SANTO"</f>
        <v>ALTO SANTO</v>
      </c>
      <c r="B173" s="3" t="str">
        <f>"CE"</f>
        <v>CE</v>
      </c>
      <c r="C173" s="3" t="str">
        <f t="shared" si="5"/>
        <v>BRASIL</v>
      </c>
      <c r="D173" s="4" t="str">
        <f>"CE008"</f>
        <v>CE008</v>
      </c>
    </row>
    <row r="174" spans="1:4" x14ac:dyDescent="0.3">
      <c r="A174" s="2" t="str">
        <f>"ALTO TAQUARI"</f>
        <v>ALTO TAQUARI</v>
      </c>
      <c r="B174" s="3" t="str">
        <f>"MT"</f>
        <v>MT</v>
      </c>
      <c r="C174" s="3" t="str">
        <f t="shared" si="5"/>
        <v>BRASIL</v>
      </c>
      <c r="D174" s="4" t="str">
        <f>"MT008"</f>
        <v>MT008</v>
      </c>
    </row>
    <row r="175" spans="1:4" x14ac:dyDescent="0.3">
      <c r="A175" s="2" t="str">
        <f>"ALTONIA"</f>
        <v>ALTONIA</v>
      </c>
      <c r="B175" s="3" t="str">
        <f>"PR"</f>
        <v>PR</v>
      </c>
      <c r="C175" s="3" t="str">
        <f t="shared" si="5"/>
        <v>BRASIL</v>
      </c>
      <c r="D175" s="4" t="str">
        <f>"PR006"</f>
        <v>PR006</v>
      </c>
    </row>
    <row r="176" spans="1:4" x14ac:dyDescent="0.3">
      <c r="A176" s="2" t="str">
        <f>"ALTOS"</f>
        <v>ALTOS</v>
      </c>
      <c r="B176" s="3" t="str">
        <f>"PI"</f>
        <v>PI</v>
      </c>
      <c r="C176" s="3" t="str">
        <f t="shared" si="5"/>
        <v>BRASIL</v>
      </c>
      <c r="D176" s="4" t="str">
        <f>"PI007"</f>
        <v>PI007</v>
      </c>
    </row>
    <row r="177" spans="1:4" x14ac:dyDescent="0.3">
      <c r="A177" s="2" t="str">
        <f>"ALUMINIO"</f>
        <v>ALUMINIO</v>
      </c>
      <c r="B177" s="3" t="str">
        <f>"SP"</f>
        <v>SP</v>
      </c>
      <c r="C177" s="3" t="str">
        <f t="shared" si="5"/>
        <v>BRASIL</v>
      </c>
      <c r="D177" s="4" t="str">
        <f>"SP014"</f>
        <v>SP014</v>
      </c>
    </row>
    <row r="178" spans="1:4" x14ac:dyDescent="0.3">
      <c r="A178" s="2" t="str">
        <f>"ALVARAES"</f>
        <v>ALVARAES</v>
      </c>
      <c r="B178" s="3" t="str">
        <f>"AM"</f>
        <v>AM</v>
      </c>
      <c r="C178" s="3" t="str">
        <f t="shared" ref="C178:C209" si="6">"BRASIL"</f>
        <v>BRASIL</v>
      </c>
      <c r="D178" s="4" t="str">
        <f>"AM001"</f>
        <v>AM001</v>
      </c>
    </row>
    <row r="179" spans="1:4" x14ac:dyDescent="0.3">
      <c r="A179" s="2" t="str">
        <f>"ALVARENGA"</f>
        <v>ALVARENGA</v>
      </c>
      <c r="B179" s="3" t="str">
        <f>"MG"</f>
        <v>MG</v>
      </c>
      <c r="C179" s="3" t="str">
        <f t="shared" si="6"/>
        <v>BRASIL</v>
      </c>
      <c r="D179" s="4" t="str">
        <f>"MG024"</f>
        <v>MG024</v>
      </c>
    </row>
    <row r="180" spans="1:4" x14ac:dyDescent="0.3">
      <c r="A180" s="2" t="str">
        <f>"ALVARES FLORENCE"</f>
        <v>ALVARES FLORENCE</v>
      </c>
      <c r="B180" s="3" t="str">
        <f>"SP"</f>
        <v>SP</v>
      </c>
      <c r="C180" s="3" t="str">
        <f t="shared" si="6"/>
        <v>BRASIL</v>
      </c>
      <c r="D180" s="4" t="str">
        <f>"SP015"</f>
        <v>SP015</v>
      </c>
    </row>
    <row r="181" spans="1:4" x14ac:dyDescent="0.3">
      <c r="A181" s="2" t="str">
        <f>"ALVARES MACHADO"</f>
        <v>ALVARES MACHADO</v>
      </c>
      <c r="B181" s="3" t="str">
        <f>"SP"</f>
        <v>SP</v>
      </c>
      <c r="C181" s="3" t="str">
        <f t="shared" si="6"/>
        <v>BRASIL</v>
      </c>
      <c r="D181" s="4" t="str">
        <f>"SP016"</f>
        <v>SP016</v>
      </c>
    </row>
    <row r="182" spans="1:4" x14ac:dyDescent="0.3">
      <c r="A182" s="2" t="str">
        <f>"ALVARO DE CARVALHO"</f>
        <v>ALVARO DE CARVALHO</v>
      </c>
      <c r="B182" s="3" t="str">
        <f>"SP"</f>
        <v>SP</v>
      </c>
      <c r="C182" s="3" t="str">
        <f t="shared" si="6"/>
        <v>BRASIL</v>
      </c>
      <c r="D182" s="4" t="str">
        <f>"SP017"</f>
        <v>SP017</v>
      </c>
    </row>
    <row r="183" spans="1:4" x14ac:dyDescent="0.3">
      <c r="A183" s="2" t="str">
        <f>"ALVINLANDIA"</f>
        <v>ALVINLANDIA</v>
      </c>
      <c r="B183" s="3" t="str">
        <f>"SP"</f>
        <v>SP</v>
      </c>
      <c r="C183" s="3" t="str">
        <f t="shared" si="6"/>
        <v>BRASIL</v>
      </c>
      <c r="D183" s="4" t="str">
        <f>"SP018"</f>
        <v>SP018</v>
      </c>
    </row>
    <row r="184" spans="1:4" x14ac:dyDescent="0.3">
      <c r="A184" s="2" t="str">
        <f>"ALVINOPOLIS"</f>
        <v>ALVINOPOLIS</v>
      </c>
      <c r="B184" s="3" t="str">
        <f>"MG"</f>
        <v>MG</v>
      </c>
      <c r="C184" s="3" t="str">
        <f t="shared" si="6"/>
        <v>BRASIL</v>
      </c>
      <c r="D184" s="4" t="str">
        <f>"MG025"</f>
        <v>MG025</v>
      </c>
    </row>
    <row r="185" spans="1:4" x14ac:dyDescent="0.3">
      <c r="A185" s="2" t="str">
        <f>"ALVORADA"</f>
        <v>ALVORADA</v>
      </c>
      <c r="B185" s="3" t="str">
        <f>"RS"</f>
        <v>RS</v>
      </c>
      <c r="C185" s="3" t="str">
        <f t="shared" si="6"/>
        <v>BRASIL</v>
      </c>
      <c r="D185" s="4" t="str">
        <f>"RS012"</f>
        <v>RS012</v>
      </c>
    </row>
    <row r="186" spans="1:4" x14ac:dyDescent="0.3">
      <c r="A186" s="2" t="str">
        <f>"ALVORADA"</f>
        <v>ALVORADA</v>
      </c>
      <c r="B186" s="3" t="str">
        <f>"TO"</f>
        <v>TO</v>
      </c>
      <c r="C186" s="3" t="str">
        <f t="shared" si="6"/>
        <v>BRASIL</v>
      </c>
      <c r="D186" s="4" t="str">
        <f>"TO005"</f>
        <v>TO005</v>
      </c>
    </row>
    <row r="187" spans="1:4" x14ac:dyDescent="0.3">
      <c r="A187" s="2" t="str">
        <f>"ALVORADA D'OESTE"</f>
        <v>ALVORADA D'OESTE</v>
      </c>
      <c r="B187" s="3" t="str">
        <f>"RO"</f>
        <v>RO</v>
      </c>
      <c r="C187" s="3" t="str">
        <f t="shared" si="6"/>
        <v>BRASIL</v>
      </c>
      <c r="D187" s="4" t="str">
        <f>"RO025"</f>
        <v>RO025</v>
      </c>
    </row>
    <row r="188" spans="1:4" x14ac:dyDescent="0.3">
      <c r="A188" s="2" t="str">
        <f>"ALVORADA DE MINAS"</f>
        <v>ALVORADA DE MINAS</v>
      </c>
      <c r="B188" s="3" t="str">
        <f>"MG"</f>
        <v>MG</v>
      </c>
      <c r="C188" s="3" t="str">
        <f t="shared" si="6"/>
        <v>BRASIL</v>
      </c>
      <c r="D188" s="4" t="str">
        <f>"MG026"</f>
        <v>MG026</v>
      </c>
    </row>
    <row r="189" spans="1:4" x14ac:dyDescent="0.3">
      <c r="A189" s="2" t="str">
        <f>"ALVORADA DO GURGUEIA"</f>
        <v>ALVORADA DO GURGUEIA</v>
      </c>
      <c r="B189" s="3" t="str">
        <f>"PI"</f>
        <v>PI</v>
      </c>
      <c r="C189" s="3" t="str">
        <f t="shared" si="6"/>
        <v>BRASIL</v>
      </c>
      <c r="D189" s="4" t="str">
        <f>"PI008"</f>
        <v>PI008</v>
      </c>
    </row>
    <row r="190" spans="1:4" x14ac:dyDescent="0.3">
      <c r="A190" s="2" t="str">
        <f>"ALVORADA DO NORTE"</f>
        <v>ALVORADA DO NORTE</v>
      </c>
      <c r="B190" s="3" t="str">
        <f>"GO"</f>
        <v>GO</v>
      </c>
      <c r="C190" s="3" t="str">
        <f t="shared" si="6"/>
        <v>BRASIL</v>
      </c>
      <c r="D190" s="4" t="str">
        <f>"GO012"</f>
        <v>GO012</v>
      </c>
    </row>
    <row r="191" spans="1:4" x14ac:dyDescent="0.3">
      <c r="A191" s="2" t="str">
        <f>"ALVORADA DO SUL"</f>
        <v>ALVORADA DO SUL</v>
      </c>
      <c r="B191" s="3" t="str">
        <f>"PR"</f>
        <v>PR</v>
      </c>
      <c r="C191" s="3" t="str">
        <f t="shared" si="6"/>
        <v>BRASIL</v>
      </c>
      <c r="D191" s="4" t="str">
        <f>"PR009"</f>
        <v>PR009</v>
      </c>
    </row>
    <row r="192" spans="1:4" x14ac:dyDescent="0.3">
      <c r="A192" s="2" t="str">
        <f>"AMAJARI"</f>
        <v>AMAJARI</v>
      </c>
      <c r="B192" s="3" t="str">
        <f>"RR"</f>
        <v>RR</v>
      </c>
      <c r="C192" s="3" t="str">
        <f t="shared" si="6"/>
        <v>BRASIL</v>
      </c>
      <c r="D192" s="4" t="str">
        <f>"RR001"</f>
        <v>RR001</v>
      </c>
    </row>
    <row r="193" spans="1:4" x14ac:dyDescent="0.3">
      <c r="A193" s="2" t="str">
        <f>"AMAMBAI"</f>
        <v>AMAMBAI</v>
      </c>
      <c r="B193" s="3" t="str">
        <f>"MS"</f>
        <v>MS</v>
      </c>
      <c r="C193" s="3" t="str">
        <f t="shared" si="6"/>
        <v>BRASIL</v>
      </c>
      <c r="D193" s="4" t="str">
        <f>"MS003"</f>
        <v>MS003</v>
      </c>
    </row>
    <row r="194" spans="1:4" x14ac:dyDescent="0.3">
      <c r="A194" s="2" t="str">
        <f>"AMAPA"</f>
        <v>AMAPA</v>
      </c>
      <c r="B194" s="3" t="str">
        <f>"AP"</f>
        <v>AP</v>
      </c>
      <c r="C194" s="3" t="str">
        <f t="shared" si="6"/>
        <v>BRASIL</v>
      </c>
      <c r="D194" s="4" t="str">
        <f>"AP002"</f>
        <v>AP002</v>
      </c>
    </row>
    <row r="195" spans="1:4" x14ac:dyDescent="0.3">
      <c r="A195" s="2" t="str">
        <f>"AMAPA DO MARANHAO"</f>
        <v>AMAPA DO MARANHAO</v>
      </c>
      <c r="B195" s="3" t="str">
        <f>"MA"</f>
        <v>MA</v>
      </c>
      <c r="C195" s="3" t="str">
        <f t="shared" si="6"/>
        <v>BRASIL</v>
      </c>
      <c r="D195" s="4" t="str">
        <f>"MA010"</f>
        <v>MA010</v>
      </c>
    </row>
    <row r="196" spans="1:4" x14ac:dyDescent="0.3">
      <c r="A196" s="2" t="str">
        <f>"AMAPORA"</f>
        <v>AMAPORA</v>
      </c>
      <c r="B196" s="3" t="str">
        <f>"PR"</f>
        <v>PR</v>
      </c>
      <c r="C196" s="3" t="str">
        <f t="shared" si="6"/>
        <v>BRASIL</v>
      </c>
      <c r="D196" s="4" t="str">
        <f>"PR010"</f>
        <v>PR010</v>
      </c>
    </row>
    <row r="197" spans="1:4" x14ac:dyDescent="0.3">
      <c r="A197" s="2" t="str">
        <f>"AMARAJI"</f>
        <v>AMARAJI</v>
      </c>
      <c r="B197" s="3" t="str">
        <f>"PE"</f>
        <v>PE</v>
      </c>
      <c r="C197" s="3" t="str">
        <f t="shared" si="6"/>
        <v>BRASIL</v>
      </c>
      <c r="D197" s="4" t="str">
        <f>"PE010"</f>
        <v>PE010</v>
      </c>
    </row>
    <row r="198" spans="1:4" x14ac:dyDescent="0.3">
      <c r="A198" s="2" t="str">
        <f>"AMARAL FERRADOR"</f>
        <v>AMARAL FERRADOR</v>
      </c>
      <c r="B198" s="3" t="str">
        <f>"RS"</f>
        <v>RS</v>
      </c>
      <c r="C198" s="3" t="str">
        <f t="shared" si="6"/>
        <v>BRASIL</v>
      </c>
      <c r="D198" s="4" t="str">
        <f>"RS013"</f>
        <v>RS013</v>
      </c>
    </row>
    <row r="199" spans="1:4" x14ac:dyDescent="0.3">
      <c r="A199" s="2" t="str">
        <f>"AMARALINA"</f>
        <v>AMARALINA</v>
      </c>
      <c r="B199" s="3" t="str">
        <f>"GO"</f>
        <v>GO</v>
      </c>
      <c r="C199" s="3" t="str">
        <f t="shared" si="6"/>
        <v>BRASIL</v>
      </c>
      <c r="D199" s="4" t="str">
        <f>"GO013"</f>
        <v>GO013</v>
      </c>
    </row>
    <row r="200" spans="1:4" x14ac:dyDescent="0.3">
      <c r="A200" s="2" t="str">
        <f>"AMARANTE"</f>
        <v>AMARANTE</v>
      </c>
      <c r="B200" s="3" t="str">
        <f>"PI"</f>
        <v>PI</v>
      </c>
      <c r="C200" s="3" t="str">
        <f t="shared" si="6"/>
        <v>BRASIL</v>
      </c>
      <c r="D200" s="4" t="str">
        <f>"PI009"</f>
        <v>PI009</v>
      </c>
    </row>
    <row r="201" spans="1:4" x14ac:dyDescent="0.3">
      <c r="A201" s="2" t="str">
        <f>"AMARANTE DO MARANHAO"</f>
        <v>AMARANTE DO MARANHAO</v>
      </c>
      <c r="B201" s="3" t="str">
        <f>"MA"</f>
        <v>MA</v>
      </c>
      <c r="C201" s="3" t="str">
        <f t="shared" si="6"/>
        <v>BRASIL</v>
      </c>
      <c r="D201" s="4" t="str">
        <f>"MA011"</f>
        <v>MA011</v>
      </c>
    </row>
    <row r="202" spans="1:4" x14ac:dyDescent="0.3">
      <c r="A202" s="2" t="str">
        <f>"AMARGOSA"</f>
        <v>AMARGOSA</v>
      </c>
      <c r="B202" s="3" t="str">
        <f>"BA"</f>
        <v>BA</v>
      </c>
      <c r="C202" s="3" t="str">
        <f t="shared" si="6"/>
        <v>BRASIL</v>
      </c>
      <c r="D202" s="4" t="str">
        <f>"BA011"</f>
        <v>BA011</v>
      </c>
    </row>
    <row r="203" spans="1:4" x14ac:dyDescent="0.3">
      <c r="A203" s="2" t="str">
        <f>"AMATURA"</f>
        <v>AMATURA</v>
      </c>
      <c r="B203" s="3" t="str">
        <f>"AM"</f>
        <v>AM</v>
      </c>
      <c r="C203" s="3" t="str">
        <f t="shared" si="6"/>
        <v>BRASIL</v>
      </c>
      <c r="D203" s="4" t="str">
        <f>"AM002"</f>
        <v>AM002</v>
      </c>
    </row>
    <row r="204" spans="1:4" x14ac:dyDescent="0.3">
      <c r="A204" s="2" t="str">
        <f>"AMELIA RODRIGUES"</f>
        <v>AMELIA RODRIGUES</v>
      </c>
      <c r="B204" s="3" t="str">
        <f>"BA"</f>
        <v>BA</v>
      </c>
      <c r="C204" s="3" t="str">
        <f t="shared" si="6"/>
        <v>BRASIL</v>
      </c>
      <c r="D204" s="4" t="str">
        <f>"BA012"</f>
        <v>BA012</v>
      </c>
    </row>
    <row r="205" spans="1:4" x14ac:dyDescent="0.3">
      <c r="A205" s="2" t="str">
        <f>"AMERICA DOURADA"</f>
        <v>AMERICA DOURADA</v>
      </c>
      <c r="B205" s="3" t="str">
        <f>"BA"</f>
        <v>BA</v>
      </c>
      <c r="C205" s="3" t="str">
        <f t="shared" si="6"/>
        <v>BRASIL</v>
      </c>
      <c r="D205" s="4" t="str">
        <f>"BA013"</f>
        <v>BA013</v>
      </c>
    </row>
    <row r="206" spans="1:4" x14ac:dyDescent="0.3">
      <c r="A206" s="2" t="str">
        <f>"AMERICANA"</f>
        <v>AMERICANA</v>
      </c>
      <c r="B206" s="3" t="str">
        <f>"SP"</f>
        <v>SP</v>
      </c>
      <c r="C206" s="3" t="str">
        <f t="shared" si="6"/>
        <v>BRASIL</v>
      </c>
      <c r="D206" s="4" t="str">
        <f>"SP019"</f>
        <v>SP019</v>
      </c>
    </row>
    <row r="207" spans="1:4" x14ac:dyDescent="0.3">
      <c r="A207" s="2" t="str">
        <f>"AMERICANO DO BRASIL"</f>
        <v>AMERICANO DO BRASIL</v>
      </c>
      <c r="B207" s="3" t="str">
        <f>"GO"</f>
        <v>GO</v>
      </c>
      <c r="C207" s="3" t="str">
        <f t="shared" si="6"/>
        <v>BRASIL</v>
      </c>
      <c r="D207" s="4" t="str">
        <f>"GO014"</f>
        <v>GO014</v>
      </c>
    </row>
    <row r="208" spans="1:4" x14ac:dyDescent="0.3">
      <c r="A208" s="2" t="str">
        <f>"AMERICO BRASILIENSE"</f>
        <v>AMERICO BRASILIENSE</v>
      </c>
      <c r="B208" s="3" t="str">
        <f>"SP"</f>
        <v>SP</v>
      </c>
      <c r="C208" s="3" t="str">
        <f t="shared" si="6"/>
        <v>BRASIL</v>
      </c>
      <c r="D208" s="4" t="str">
        <f>"SP020"</f>
        <v>SP020</v>
      </c>
    </row>
    <row r="209" spans="1:4" x14ac:dyDescent="0.3">
      <c r="A209" s="2" t="str">
        <f>"AMERICO DE CAMPOS"</f>
        <v>AMERICO DE CAMPOS</v>
      </c>
      <c r="B209" s="3" t="str">
        <f>"SP"</f>
        <v>SP</v>
      </c>
      <c r="C209" s="3" t="str">
        <f t="shared" si="6"/>
        <v>BRASIL</v>
      </c>
      <c r="D209" s="4" t="str">
        <f>"SP021"</f>
        <v>SP021</v>
      </c>
    </row>
    <row r="210" spans="1:4" x14ac:dyDescent="0.3">
      <c r="A210" s="2" t="str">
        <f>"AMETISTA DO SUL"</f>
        <v>AMETISTA DO SUL</v>
      </c>
      <c r="B210" s="3" t="str">
        <f>"RS"</f>
        <v>RS</v>
      </c>
      <c r="C210" s="3" t="str">
        <f t="shared" ref="C210:C241" si="7">"BRASIL"</f>
        <v>BRASIL</v>
      </c>
      <c r="D210" s="4" t="str">
        <f>"RS014"</f>
        <v>RS014</v>
      </c>
    </row>
    <row r="211" spans="1:4" x14ac:dyDescent="0.3">
      <c r="A211" s="2" t="str">
        <f>"AMONTADA"</f>
        <v>AMONTADA</v>
      </c>
      <c r="B211" s="3" t="str">
        <f>"CE"</f>
        <v>CE</v>
      </c>
      <c r="C211" s="3" t="str">
        <f t="shared" si="7"/>
        <v>BRASIL</v>
      </c>
      <c r="D211" s="4" t="str">
        <f>"CE009"</f>
        <v>CE009</v>
      </c>
    </row>
    <row r="212" spans="1:4" x14ac:dyDescent="0.3">
      <c r="A212" s="2" t="str">
        <f>"AMORINOPOLIS"</f>
        <v>AMORINOPOLIS</v>
      </c>
      <c r="B212" s="3" t="str">
        <f>"GO"</f>
        <v>GO</v>
      </c>
      <c r="C212" s="3" t="str">
        <f t="shared" si="7"/>
        <v>BRASIL</v>
      </c>
      <c r="D212" s="4" t="str">
        <f>"GO015"</f>
        <v>GO015</v>
      </c>
    </row>
    <row r="213" spans="1:4" x14ac:dyDescent="0.3">
      <c r="A213" s="2" t="str">
        <f>"AMPARO"</f>
        <v>AMPARO</v>
      </c>
      <c r="B213" s="3" t="str">
        <f>"PB"</f>
        <v>PB</v>
      </c>
      <c r="C213" s="3" t="str">
        <f t="shared" si="7"/>
        <v>BRASIL</v>
      </c>
      <c r="D213" s="4" t="str">
        <f>"PB010"</f>
        <v>PB010</v>
      </c>
    </row>
    <row r="214" spans="1:4" x14ac:dyDescent="0.3">
      <c r="A214" s="2" t="str">
        <f>"AMPARO"</f>
        <v>AMPARO</v>
      </c>
      <c r="B214" s="3" t="str">
        <f>"SP"</f>
        <v>SP</v>
      </c>
      <c r="C214" s="3" t="str">
        <f t="shared" si="7"/>
        <v>BRASIL</v>
      </c>
      <c r="D214" s="4" t="str">
        <f>"SP022"</f>
        <v>SP022</v>
      </c>
    </row>
    <row r="215" spans="1:4" x14ac:dyDescent="0.3">
      <c r="A215" s="2" t="str">
        <f>"AMPARO DE SAO FRANCISCO"</f>
        <v>AMPARO DE SAO FRANCISCO</v>
      </c>
      <c r="B215" s="3" t="str">
        <f>"SE"</f>
        <v>SE</v>
      </c>
      <c r="C215" s="3" t="str">
        <f t="shared" si="7"/>
        <v>BRASIL</v>
      </c>
      <c r="D215" s="4" t="str">
        <f>"SE001"</f>
        <v>SE001</v>
      </c>
    </row>
    <row r="216" spans="1:4" x14ac:dyDescent="0.3">
      <c r="A216" s="2" t="str">
        <f>"AMPARO DO SERRA"</f>
        <v>AMPARO DO SERRA</v>
      </c>
      <c r="B216" s="3" t="str">
        <f>"MG"</f>
        <v>MG</v>
      </c>
      <c r="C216" s="3" t="str">
        <f t="shared" si="7"/>
        <v>BRASIL</v>
      </c>
      <c r="D216" s="4" t="str">
        <f>"MG027"</f>
        <v>MG027</v>
      </c>
    </row>
    <row r="217" spans="1:4" x14ac:dyDescent="0.3">
      <c r="A217" s="2" t="str">
        <f>"AMPERE"</f>
        <v>AMPERE</v>
      </c>
      <c r="B217" s="3" t="str">
        <f>"PR"</f>
        <v>PR</v>
      </c>
      <c r="C217" s="3" t="str">
        <f t="shared" si="7"/>
        <v>BRASIL</v>
      </c>
      <c r="D217" s="4" t="str">
        <f>"PR011"</f>
        <v>PR011</v>
      </c>
    </row>
    <row r="218" spans="1:4" x14ac:dyDescent="0.3">
      <c r="A218" s="2" t="str">
        <f>"ANADIA"</f>
        <v>ANADIA</v>
      </c>
      <c r="B218" s="3" t="str">
        <f>"AL"</f>
        <v>AL</v>
      </c>
      <c r="C218" s="3" t="str">
        <f t="shared" si="7"/>
        <v>BRASIL</v>
      </c>
      <c r="D218" s="4" t="str">
        <f>"AL002"</f>
        <v>AL002</v>
      </c>
    </row>
    <row r="219" spans="1:4" x14ac:dyDescent="0.3">
      <c r="A219" s="2" t="str">
        <f>"ANAGE"</f>
        <v>ANAGE</v>
      </c>
      <c r="B219" s="3" t="str">
        <f>"BA"</f>
        <v>BA</v>
      </c>
      <c r="C219" s="3" t="str">
        <f t="shared" si="7"/>
        <v>BRASIL</v>
      </c>
      <c r="D219" s="4" t="str">
        <f>"BA014"</f>
        <v>BA014</v>
      </c>
    </row>
    <row r="220" spans="1:4" x14ac:dyDescent="0.3">
      <c r="A220" s="2" t="str">
        <f>"ANAHY"</f>
        <v>ANAHY</v>
      </c>
      <c r="B220" s="3" t="str">
        <f>"PR"</f>
        <v>PR</v>
      </c>
      <c r="C220" s="3" t="str">
        <f t="shared" si="7"/>
        <v>BRASIL</v>
      </c>
      <c r="D220" s="4" t="str">
        <f>"PR012"</f>
        <v>PR012</v>
      </c>
    </row>
    <row r="221" spans="1:4" x14ac:dyDescent="0.3">
      <c r="A221" s="2" t="str">
        <f>"ANAJAS"</f>
        <v>ANAJAS</v>
      </c>
      <c r="B221" s="3" t="str">
        <f>"PA"</f>
        <v>PA</v>
      </c>
      <c r="C221" s="3" t="str">
        <f t="shared" si="7"/>
        <v>BRASIL</v>
      </c>
      <c r="D221" s="4" t="str">
        <f>"PA009"</f>
        <v>PA009</v>
      </c>
    </row>
    <row r="222" spans="1:4" x14ac:dyDescent="0.3">
      <c r="A222" s="2" t="str">
        <f>"ANAJATUBA"</f>
        <v>ANAJATUBA</v>
      </c>
      <c r="B222" s="3" t="str">
        <f>"MA"</f>
        <v>MA</v>
      </c>
      <c r="C222" s="3" t="str">
        <f t="shared" si="7"/>
        <v>BRASIL</v>
      </c>
      <c r="D222" s="4" t="str">
        <f>"MA012"</f>
        <v>MA012</v>
      </c>
    </row>
    <row r="223" spans="1:4" x14ac:dyDescent="0.3">
      <c r="A223" s="2" t="str">
        <f>"ANALANDIA"</f>
        <v>ANALANDIA</v>
      </c>
      <c r="B223" s="3" t="str">
        <f>"SP"</f>
        <v>SP</v>
      </c>
      <c r="C223" s="3" t="str">
        <f t="shared" si="7"/>
        <v>BRASIL</v>
      </c>
      <c r="D223" s="4" t="str">
        <f>"SP023"</f>
        <v>SP023</v>
      </c>
    </row>
    <row r="224" spans="1:4" x14ac:dyDescent="0.3">
      <c r="A224" s="2" t="str">
        <f>"ANAMA"</f>
        <v>ANAMA</v>
      </c>
      <c r="B224" s="3" t="str">
        <f>"AM"</f>
        <v>AM</v>
      </c>
      <c r="C224" s="3" t="str">
        <f t="shared" si="7"/>
        <v>BRASIL</v>
      </c>
      <c r="D224" s="4" t="str">
        <f>"AM003"</f>
        <v>AM003</v>
      </c>
    </row>
    <row r="225" spans="1:4" x14ac:dyDescent="0.3">
      <c r="A225" s="2" t="str">
        <f>"ANANAS"</f>
        <v>ANANAS</v>
      </c>
      <c r="B225" s="3" t="str">
        <f>"TO"</f>
        <v>TO</v>
      </c>
      <c r="C225" s="3" t="str">
        <f t="shared" si="7"/>
        <v>BRASIL</v>
      </c>
      <c r="D225" s="4" t="str">
        <f>"TO006"</f>
        <v>TO006</v>
      </c>
    </row>
    <row r="226" spans="1:4" x14ac:dyDescent="0.3">
      <c r="A226" s="2" t="str">
        <f>"ANANINDEUA"</f>
        <v>ANANINDEUA</v>
      </c>
      <c r="B226" s="3" t="str">
        <f>"PA"</f>
        <v>PA</v>
      </c>
      <c r="C226" s="3" t="str">
        <f t="shared" si="7"/>
        <v>BRASIL</v>
      </c>
      <c r="D226" s="4" t="str">
        <f>"PA010"</f>
        <v>PA010</v>
      </c>
    </row>
    <row r="227" spans="1:4" x14ac:dyDescent="0.3">
      <c r="A227" s="2" t="str">
        <f>"ANAPOLIS"</f>
        <v>ANAPOLIS</v>
      </c>
      <c r="B227" s="3" t="str">
        <f>"GO"</f>
        <v>GO</v>
      </c>
      <c r="C227" s="3" t="str">
        <f t="shared" si="7"/>
        <v>BRASIL</v>
      </c>
      <c r="D227" s="4" t="str">
        <f>"GO016"</f>
        <v>GO016</v>
      </c>
    </row>
    <row r="228" spans="1:4" x14ac:dyDescent="0.3">
      <c r="A228" s="2" t="str">
        <f>"ANAPU"</f>
        <v>ANAPU</v>
      </c>
      <c r="B228" s="3" t="str">
        <f>"PA"</f>
        <v>PA</v>
      </c>
      <c r="C228" s="3" t="str">
        <f t="shared" si="7"/>
        <v>BRASIL</v>
      </c>
      <c r="D228" s="4" t="str">
        <f>"PA011"</f>
        <v>PA011</v>
      </c>
    </row>
    <row r="229" spans="1:4" x14ac:dyDescent="0.3">
      <c r="A229" s="2" t="str">
        <f>"ANAPURUS"</f>
        <v>ANAPURUS</v>
      </c>
      <c r="B229" s="3" t="str">
        <f>"MA"</f>
        <v>MA</v>
      </c>
      <c r="C229" s="3" t="str">
        <f t="shared" si="7"/>
        <v>BRASIL</v>
      </c>
      <c r="D229" s="4" t="str">
        <f>"MA013"</f>
        <v>MA013</v>
      </c>
    </row>
    <row r="230" spans="1:4" x14ac:dyDescent="0.3">
      <c r="A230" s="2" t="str">
        <f>"ANASTACIO"</f>
        <v>ANASTACIO</v>
      </c>
      <c r="B230" s="3" t="str">
        <f>"MS"</f>
        <v>MS</v>
      </c>
      <c r="C230" s="3" t="str">
        <f t="shared" si="7"/>
        <v>BRASIL</v>
      </c>
      <c r="D230" s="4" t="str">
        <f>"MS004"</f>
        <v>MS004</v>
      </c>
    </row>
    <row r="231" spans="1:4" x14ac:dyDescent="0.3">
      <c r="A231" s="2" t="str">
        <f>"ANAURILANDIA"</f>
        <v>ANAURILANDIA</v>
      </c>
      <c r="B231" s="3" t="str">
        <f>"MS"</f>
        <v>MS</v>
      </c>
      <c r="C231" s="3" t="str">
        <f t="shared" si="7"/>
        <v>BRASIL</v>
      </c>
      <c r="D231" s="4" t="str">
        <f>"MS005"</f>
        <v>MS005</v>
      </c>
    </row>
    <row r="232" spans="1:4" x14ac:dyDescent="0.3">
      <c r="A232" s="2" t="str">
        <f>"ANCHIETA"</f>
        <v>ANCHIETA</v>
      </c>
      <c r="B232" s="3" t="str">
        <f>"ES"</f>
        <v>ES</v>
      </c>
      <c r="C232" s="3" t="str">
        <f t="shared" si="7"/>
        <v>BRASIL</v>
      </c>
      <c r="D232" s="4" t="str">
        <f>"ES007"</f>
        <v>ES007</v>
      </c>
    </row>
    <row r="233" spans="1:4" x14ac:dyDescent="0.3">
      <c r="A233" s="2" t="str">
        <f>"ANCHIETA"</f>
        <v>ANCHIETA</v>
      </c>
      <c r="B233" s="3" t="str">
        <f>"SC"</f>
        <v>SC</v>
      </c>
      <c r="C233" s="3" t="str">
        <f t="shared" si="7"/>
        <v>BRASIL</v>
      </c>
      <c r="D233" s="4" t="str">
        <f>"SC011"</f>
        <v>SC011</v>
      </c>
    </row>
    <row r="234" spans="1:4" x14ac:dyDescent="0.3">
      <c r="A234" s="2" t="str">
        <f>"ANDARAI"</f>
        <v>ANDARAI</v>
      </c>
      <c r="B234" s="3" t="str">
        <f>"BA"</f>
        <v>BA</v>
      </c>
      <c r="C234" s="3" t="str">
        <f t="shared" si="7"/>
        <v>BRASIL</v>
      </c>
      <c r="D234" s="4" t="str">
        <f>"BA015"</f>
        <v>BA015</v>
      </c>
    </row>
    <row r="235" spans="1:4" x14ac:dyDescent="0.3">
      <c r="A235" s="2" t="str">
        <f>"ANDIRA"</f>
        <v>ANDIRA</v>
      </c>
      <c r="B235" s="3" t="str">
        <f>"PR"</f>
        <v>PR</v>
      </c>
      <c r="C235" s="3" t="str">
        <f t="shared" si="7"/>
        <v>BRASIL</v>
      </c>
      <c r="D235" s="4" t="str">
        <f>"PR013"</f>
        <v>PR013</v>
      </c>
    </row>
    <row r="236" spans="1:4" x14ac:dyDescent="0.3">
      <c r="A236" s="2" t="str">
        <f>"ANDORINHA"</f>
        <v>ANDORINHA</v>
      </c>
      <c r="B236" s="3" t="str">
        <f>"BA"</f>
        <v>BA</v>
      </c>
      <c r="C236" s="3" t="str">
        <f t="shared" si="7"/>
        <v>BRASIL</v>
      </c>
      <c r="D236" s="4" t="str">
        <f>"BA016"</f>
        <v>BA016</v>
      </c>
    </row>
    <row r="237" spans="1:4" x14ac:dyDescent="0.3">
      <c r="A237" s="2" t="str">
        <f>"ANDRADAS"</f>
        <v>ANDRADAS</v>
      </c>
      <c r="B237" s="3" t="str">
        <f>"MG"</f>
        <v>MG</v>
      </c>
      <c r="C237" s="3" t="str">
        <f t="shared" si="7"/>
        <v>BRASIL</v>
      </c>
      <c r="D237" s="4" t="str">
        <f>"MG028"</f>
        <v>MG028</v>
      </c>
    </row>
    <row r="238" spans="1:4" x14ac:dyDescent="0.3">
      <c r="A238" s="2" t="str">
        <f>"ANDRADINA"</f>
        <v>ANDRADINA</v>
      </c>
      <c r="B238" s="3" t="str">
        <f>"SP"</f>
        <v>SP</v>
      </c>
      <c r="C238" s="3" t="str">
        <f t="shared" si="7"/>
        <v>BRASIL</v>
      </c>
      <c r="D238" s="4" t="str">
        <f>"SP024"</f>
        <v>SP024</v>
      </c>
    </row>
    <row r="239" spans="1:4" x14ac:dyDescent="0.3">
      <c r="A239" s="2" t="str">
        <f>"ANDRE DA ROCHA"</f>
        <v>ANDRE DA ROCHA</v>
      </c>
      <c r="B239" s="3" t="str">
        <f>"RS"</f>
        <v>RS</v>
      </c>
      <c r="C239" s="3" t="str">
        <f t="shared" si="7"/>
        <v>BRASIL</v>
      </c>
      <c r="D239" s="4" t="str">
        <f>"RS015"</f>
        <v>RS015</v>
      </c>
    </row>
    <row r="240" spans="1:4" x14ac:dyDescent="0.3">
      <c r="A240" s="2" t="str">
        <f>"ANDRELANDIA"</f>
        <v>ANDRELANDIA</v>
      </c>
      <c r="B240" s="3" t="str">
        <f>"MG"</f>
        <v>MG</v>
      </c>
      <c r="C240" s="3" t="str">
        <f t="shared" si="7"/>
        <v>BRASIL</v>
      </c>
      <c r="D240" s="4" t="str">
        <f>"MG030"</f>
        <v>MG030</v>
      </c>
    </row>
    <row r="241" spans="1:4" x14ac:dyDescent="0.3">
      <c r="A241" s="2" t="str">
        <f>"ANGATUBA"</f>
        <v>ANGATUBA</v>
      </c>
      <c r="B241" s="3" t="str">
        <f>"SP"</f>
        <v>SP</v>
      </c>
      <c r="C241" s="3" t="str">
        <f t="shared" si="7"/>
        <v>BRASIL</v>
      </c>
      <c r="D241" s="4" t="str">
        <f>"SP025"</f>
        <v>SP025</v>
      </c>
    </row>
    <row r="242" spans="1:4" x14ac:dyDescent="0.3">
      <c r="A242" s="2" t="str">
        <f>"ANGELANDIA"</f>
        <v>ANGELANDIA</v>
      </c>
      <c r="B242" s="3" t="str">
        <f>"MG"</f>
        <v>MG</v>
      </c>
      <c r="C242" s="3" t="str">
        <f t="shared" ref="C242:C275" si="8">"BRASIL"</f>
        <v>BRASIL</v>
      </c>
      <c r="D242" s="4" t="str">
        <f>"MG031"</f>
        <v>MG031</v>
      </c>
    </row>
    <row r="243" spans="1:4" x14ac:dyDescent="0.3">
      <c r="A243" s="2" t="str">
        <f>"ANGELICA"</f>
        <v>ANGELICA</v>
      </c>
      <c r="B243" s="3" t="str">
        <f>"MS"</f>
        <v>MS</v>
      </c>
      <c r="C243" s="3" t="str">
        <f t="shared" si="8"/>
        <v>BRASIL</v>
      </c>
      <c r="D243" s="4" t="str">
        <f>"MS006"</f>
        <v>MS006</v>
      </c>
    </row>
    <row r="244" spans="1:4" x14ac:dyDescent="0.3">
      <c r="A244" s="2" t="str">
        <f>"ANGELIM"</f>
        <v>ANGELIM</v>
      </c>
      <c r="B244" s="3" t="str">
        <f>"PE"</f>
        <v>PE</v>
      </c>
      <c r="C244" s="3" t="str">
        <f t="shared" si="8"/>
        <v>BRASIL</v>
      </c>
      <c r="D244" s="4" t="str">
        <f>"PE011"</f>
        <v>PE011</v>
      </c>
    </row>
    <row r="245" spans="1:4" x14ac:dyDescent="0.3">
      <c r="A245" s="2" t="str">
        <f>"ANGELINA"</f>
        <v>ANGELINA</v>
      </c>
      <c r="B245" s="3" t="str">
        <f>"SC"</f>
        <v>SC</v>
      </c>
      <c r="C245" s="3" t="str">
        <f t="shared" si="8"/>
        <v>BRASIL</v>
      </c>
      <c r="D245" s="4" t="str">
        <f>"SC012"</f>
        <v>SC012</v>
      </c>
    </row>
    <row r="246" spans="1:4" x14ac:dyDescent="0.3">
      <c r="A246" s="2" t="str">
        <f>"ANGICAL"</f>
        <v>ANGICAL</v>
      </c>
      <c r="B246" s="3" t="str">
        <f>"BA"</f>
        <v>BA</v>
      </c>
      <c r="C246" s="3" t="str">
        <f t="shared" si="8"/>
        <v>BRASIL</v>
      </c>
      <c r="D246" s="4" t="str">
        <f>"BA017"</f>
        <v>BA017</v>
      </c>
    </row>
    <row r="247" spans="1:4" x14ac:dyDescent="0.3">
      <c r="A247" s="2" t="str">
        <f>"ANGICAL DO PIAUI"</f>
        <v>ANGICAL DO PIAUI</v>
      </c>
      <c r="B247" s="3" t="str">
        <f>"PI"</f>
        <v>PI</v>
      </c>
      <c r="C247" s="3" t="str">
        <f t="shared" si="8"/>
        <v>BRASIL</v>
      </c>
      <c r="D247" s="4" t="str">
        <f>"PI010"</f>
        <v>PI010</v>
      </c>
    </row>
    <row r="248" spans="1:4" x14ac:dyDescent="0.3">
      <c r="A248" s="2" t="str">
        <f>"ANGICO"</f>
        <v>ANGICO</v>
      </c>
      <c r="B248" s="3" t="str">
        <f>"TO"</f>
        <v>TO</v>
      </c>
      <c r="C248" s="3" t="str">
        <f t="shared" si="8"/>
        <v>BRASIL</v>
      </c>
      <c r="D248" s="4" t="str">
        <f>"TO007"</f>
        <v>TO007</v>
      </c>
    </row>
    <row r="249" spans="1:4" x14ac:dyDescent="0.3">
      <c r="A249" s="2" t="str">
        <f>"ANGICOS"</f>
        <v>ANGICOS</v>
      </c>
      <c r="B249" s="3" t="str">
        <f>"RN"</f>
        <v>RN</v>
      </c>
      <c r="C249" s="3" t="str">
        <f t="shared" si="8"/>
        <v>BRASIL</v>
      </c>
      <c r="D249" s="4" t="str">
        <f>"RN008"</f>
        <v>RN008</v>
      </c>
    </row>
    <row r="250" spans="1:4" x14ac:dyDescent="0.3">
      <c r="A250" s="2" t="str">
        <f>"ANGRA DOS REIS"</f>
        <v>ANGRA DOS REIS</v>
      </c>
      <c r="B250" s="3" t="str">
        <f>"RJ"</f>
        <v>RJ</v>
      </c>
      <c r="C250" s="3" t="str">
        <f t="shared" si="8"/>
        <v>BRASIL</v>
      </c>
      <c r="D250" s="4" t="str">
        <f>"RJ001"</f>
        <v>RJ001</v>
      </c>
    </row>
    <row r="251" spans="1:4" x14ac:dyDescent="0.3">
      <c r="A251" s="2" t="str">
        <f>"ANGUERA"</f>
        <v>ANGUERA</v>
      </c>
      <c r="B251" s="3" t="str">
        <f>"BA"</f>
        <v>BA</v>
      </c>
      <c r="C251" s="3" t="str">
        <f t="shared" si="8"/>
        <v>BRASIL</v>
      </c>
      <c r="D251" s="4" t="str">
        <f>"BA018"</f>
        <v>BA018</v>
      </c>
    </row>
    <row r="252" spans="1:4" x14ac:dyDescent="0.3">
      <c r="A252" s="2" t="str">
        <f>"ANGULO"</f>
        <v>ANGULO</v>
      </c>
      <c r="B252" s="3" t="str">
        <f>"PR"</f>
        <v>PR</v>
      </c>
      <c r="C252" s="3" t="str">
        <f t="shared" si="8"/>
        <v>BRASIL</v>
      </c>
      <c r="D252" s="4" t="str">
        <f>"PR014"</f>
        <v>PR014</v>
      </c>
    </row>
    <row r="253" spans="1:4" x14ac:dyDescent="0.3">
      <c r="A253" s="2" t="str">
        <f>"ANHANGUERA"</f>
        <v>ANHANGUERA</v>
      </c>
      <c r="B253" s="3" t="str">
        <f>"GO"</f>
        <v>GO</v>
      </c>
      <c r="C253" s="3" t="str">
        <f t="shared" si="8"/>
        <v>BRASIL</v>
      </c>
      <c r="D253" s="4" t="str">
        <f>"GO017"</f>
        <v>GO017</v>
      </c>
    </row>
    <row r="254" spans="1:4" x14ac:dyDescent="0.3">
      <c r="A254" s="2" t="str">
        <f>"ANHEMBI"</f>
        <v>ANHEMBI</v>
      </c>
      <c r="B254" s="3" t="str">
        <f>"SP"</f>
        <v>SP</v>
      </c>
      <c r="C254" s="3" t="str">
        <f t="shared" si="8"/>
        <v>BRASIL</v>
      </c>
      <c r="D254" s="4" t="str">
        <f>"SP026"</f>
        <v>SP026</v>
      </c>
    </row>
    <row r="255" spans="1:4" x14ac:dyDescent="0.3">
      <c r="A255" s="2" t="str">
        <f>"ANHUMAS"</f>
        <v>ANHUMAS</v>
      </c>
      <c r="B255" s="3" t="str">
        <f>"SP"</f>
        <v>SP</v>
      </c>
      <c r="C255" s="3" t="str">
        <f t="shared" si="8"/>
        <v>BRASIL</v>
      </c>
      <c r="D255" s="4" t="str">
        <f>"SP027"</f>
        <v>SP027</v>
      </c>
    </row>
    <row r="256" spans="1:4" x14ac:dyDescent="0.3">
      <c r="A256" s="2" t="str">
        <f>"ANICUNS"</f>
        <v>ANICUNS</v>
      </c>
      <c r="B256" s="3" t="str">
        <f>"GO"</f>
        <v>GO</v>
      </c>
      <c r="C256" s="3" t="str">
        <f t="shared" si="8"/>
        <v>BRASIL</v>
      </c>
      <c r="D256" s="4" t="str">
        <f>"GO018"</f>
        <v>GO018</v>
      </c>
    </row>
    <row r="257" spans="1:4" x14ac:dyDescent="0.3">
      <c r="A257" s="2" t="str">
        <f>"ANISIO DE ABREU"</f>
        <v>ANISIO DE ABREU</v>
      </c>
      <c r="B257" s="3" t="str">
        <f>"PI"</f>
        <v>PI</v>
      </c>
      <c r="C257" s="3" t="str">
        <f t="shared" si="8"/>
        <v>BRASIL</v>
      </c>
      <c r="D257" s="4" t="str">
        <f>"PI011"</f>
        <v>PI011</v>
      </c>
    </row>
    <row r="258" spans="1:4" x14ac:dyDescent="0.3">
      <c r="A258" s="2" t="str">
        <f>"ANITA GARIBALDI"</f>
        <v>ANITA GARIBALDI</v>
      </c>
      <c r="B258" s="3" t="str">
        <f>"SC"</f>
        <v>SC</v>
      </c>
      <c r="C258" s="3" t="str">
        <f t="shared" si="8"/>
        <v>BRASIL</v>
      </c>
      <c r="D258" s="4" t="str">
        <f>"SC013"</f>
        <v>SC013</v>
      </c>
    </row>
    <row r="259" spans="1:4" x14ac:dyDescent="0.3">
      <c r="A259" s="2" t="str">
        <f>"ANITAPOLIS"</f>
        <v>ANITAPOLIS</v>
      </c>
      <c r="B259" s="3" t="str">
        <f>"SC"</f>
        <v>SC</v>
      </c>
      <c r="C259" s="3" t="str">
        <f t="shared" si="8"/>
        <v>BRASIL</v>
      </c>
      <c r="D259" s="4" t="str">
        <f>"SC014"</f>
        <v>SC014</v>
      </c>
    </row>
    <row r="260" spans="1:4" x14ac:dyDescent="0.3">
      <c r="A260" s="2" t="str">
        <f>"ANORI"</f>
        <v>ANORI</v>
      </c>
      <c r="B260" s="3" t="str">
        <f>"AM"</f>
        <v>AM</v>
      </c>
      <c r="C260" s="3" t="str">
        <f t="shared" si="8"/>
        <v>BRASIL</v>
      </c>
      <c r="D260" s="4" t="str">
        <f>"AM004"</f>
        <v>AM004</v>
      </c>
    </row>
    <row r="261" spans="1:4" x14ac:dyDescent="0.3">
      <c r="A261" s="2" t="str">
        <f>"ANTA GORDA"</f>
        <v>ANTA GORDA</v>
      </c>
      <c r="B261" s="3" t="str">
        <f>"RS"</f>
        <v>RS</v>
      </c>
      <c r="C261" s="3" t="str">
        <f t="shared" si="8"/>
        <v>BRASIL</v>
      </c>
      <c r="D261" s="4" t="str">
        <f>"RS016"</f>
        <v>RS016</v>
      </c>
    </row>
    <row r="262" spans="1:4" x14ac:dyDescent="0.3">
      <c r="A262" s="2" t="str">
        <f>"ANTAS"</f>
        <v>ANTAS</v>
      </c>
      <c r="B262" s="3" t="str">
        <f>"BA"</f>
        <v>BA</v>
      </c>
      <c r="C262" s="3" t="str">
        <f t="shared" si="8"/>
        <v>BRASIL</v>
      </c>
      <c r="D262" s="4" t="str">
        <f>"BA019"</f>
        <v>BA019</v>
      </c>
    </row>
    <row r="263" spans="1:4" x14ac:dyDescent="0.3">
      <c r="A263" s="2" t="str">
        <f>"ANTONINA"</f>
        <v>ANTONINA</v>
      </c>
      <c r="B263" s="3" t="str">
        <f>"PR"</f>
        <v>PR</v>
      </c>
      <c r="C263" s="3" t="str">
        <f t="shared" si="8"/>
        <v>BRASIL</v>
      </c>
      <c r="D263" s="4" t="str">
        <f>"PR015"</f>
        <v>PR015</v>
      </c>
    </row>
    <row r="264" spans="1:4" x14ac:dyDescent="0.3">
      <c r="A264" s="2" t="str">
        <f>"ANTONINA DO NORTE"</f>
        <v>ANTONINA DO NORTE</v>
      </c>
      <c r="B264" s="3" t="str">
        <f>"CE"</f>
        <v>CE</v>
      </c>
      <c r="C264" s="3" t="str">
        <f t="shared" si="8"/>
        <v>BRASIL</v>
      </c>
      <c r="D264" s="4" t="str">
        <f>"CE010"</f>
        <v>CE010</v>
      </c>
    </row>
    <row r="265" spans="1:4" x14ac:dyDescent="0.3">
      <c r="A265" s="2" t="str">
        <f>"ANTONIO ALMEIDA"</f>
        <v>ANTONIO ALMEIDA</v>
      </c>
      <c r="B265" s="3" t="str">
        <f>"PI"</f>
        <v>PI</v>
      </c>
      <c r="C265" s="3" t="str">
        <f t="shared" si="8"/>
        <v>BRASIL</v>
      </c>
      <c r="D265" s="4" t="str">
        <f>"PI012"</f>
        <v>PI012</v>
      </c>
    </row>
    <row r="266" spans="1:4" x14ac:dyDescent="0.3">
      <c r="A266" s="2" t="str">
        <f>"ANTONIO CARDOSO"</f>
        <v>ANTONIO CARDOSO</v>
      </c>
      <c r="B266" s="3" t="str">
        <f>"BA"</f>
        <v>BA</v>
      </c>
      <c r="C266" s="3" t="str">
        <f t="shared" si="8"/>
        <v>BRASIL</v>
      </c>
      <c r="D266" s="4" t="str">
        <f>"BA020"</f>
        <v>BA020</v>
      </c>
    </row>
    <row r="267" spans="1:4" x14ac:dyDescent="0.3">
      <c r="A267" s="2" t="str">
        <f>"ANTONIO CARLOS"</f>
        <v>ANTONIO CARLOS</v>
      </c>
      <c r="B267" s="3" t="str">
        <f>"MG"</f>
        <v>MG</v>
      </c>
      <c r="C267" s="3" t="str">
        <f t="shared" si="8"/>
        <v>BRASIL</v>
      </c>
      <c r="D267" s="4" t="str">
        <f>"MG032"</f>
        <v>MG032</v>
      </c>
    </row>
    <row r="268" spans="1:4" x14ac:dyDescent="0.3">
      <c r="A268" s="2" t="str">
        <f>"ANTONIO CARLOS"</f>
        <v>ANTONIO CARLOS</v>
      </c>
      <c r="B268" s="3" t="str">
        <f>"SC"</f>
        <v>SC</v>
      </c>
      <c r="C268" s="3" t="str">
        <f t="shared" si="8"/>
        <v>BRASIL</v>
      </c>
      <c r="D268" s="4" t="str">
        <f>"SC015"</f>
        <v>SC015</v>
      </c>
    </row>
    <row r="269" spans="1:4" x14ac:dyDescent="0.3">
      <c r="A269" s="2" t="str">
        <f>"ANTONIO DIAS"</f>
        <v>ANTONIO DIAS</v>
      </c>
      <c r="B269" s="3" t="str">
        <f>"MG"</f>
        <v>MG</v>
      </c>
      <c r="C269" s="3" t="str">
        <f t="shared" si="8"/>
        <v>BRASIL</v>
      </c>
      <c r="D269" s="4" t="str">
        <f>"MG033"</f>
        <v>MG033</v>
      </c>
    </row>
    <row r="270" spans="1:4" x14ac:dyDescent="0.3">
      <c r="A270" s="2" t="str">
        <f>"ANTONIO GONCALVES"</f>
        <v>ANTONIO GONCALVES</v>
      </c>
      <c r="B270" s="3" t="str">
        <f>"BA"</f>
        <v>BA</v>
      </c>
      <c r="C270" s="3" t="str">
        <f t="shared" si="8"/>
        <v>BRASIL</v>
      </c>
      <c r="D270" s="4" t="str">
        <f>"BA021"</f>
        <v>BA021</v>
      </c>
    </row>
    <row r="271" spans="1:4" x14ac:dyDescent="0.3">
      <c r="A271" s="2" t="str">
        <f>"ANTONIO JOAO"</f>
        <v>ANTONIO JOAO</v>
      </c>
      <c r="B271" s="3" t="str">
        <f>"MS"</f>
        <v>MS</v>
      </c>
      <c r="C271" s="3" t="str">
        <f t="shared" si="8"/>
        <v>BRASIL</v>
      </c>
      <c r="D271" s="4" t="str">
        <f>"MS007"</f>
        <v>MS007</v>
      </c>
    </row>
    <row r="272" spans="1:4" x14ac:dyDescent="0.3">
      <c r="A272" s="2" t="str">
        <f>"ANTONIO MARTINS"</f>
        <v>ANTONIO MARTINS</v>
      </c>
      <c r="B272" s="3" t="str">
        <f>"RN"</f>
        <v>RN</v>
      </c>
      <c r="C272" s="3" t="str">
        <f t="shared" si="8"/>
        <v>BRASIL</v>
      </c>
      <c r="D272" s="4" t="str">
        <f>"RN009"</f>
        <v>RN009</v>
      </c>
    </row>
    <row r="273" spans="1:4" x14ac:dyDescent="0.3">
      <c r="A273" s="2" t="str">
        <f>"ANTONIO OLINTO"</f>
        <v>ANTONIO OLINTO</v>
      </c>
      <c r="B273" s="3" t="str">
        <f>"PR"</f>
        <v>PR</v>
      </c>
      <c r="C273" s="3" t="str">
        <f t="shared" si="8"/>
        <v>BRASIL</v>
      </c>
      <c r="D273" s="4" t="str">
        <f>"PR016"</f>
        <v>PR016</v>
      </c>
    </row>
    <row r="274" spans="1:4" x14ac:dyDescent="0.3">
      <c r="A274" s="2" t="str">
        <f>"ANTONIO PRADO"</f>
        <v>ANTONIO PRADO</v>
      </c>
      <c r="B274" s="3" t="str">
        <f>"RS"</f>
        <v>RS</v>
      </c>
      <c r="C274" s="3" t="str">
        <f t="shared" si="8"/>
        <v>BRASIL</v>
      </c>
      <c r="D274" s="4" t="str">
        <f>"RS017"</f>
        <v>RS017</v>
      </c>
    </row>
    <row r="275" spans="1:4" x14ac:dyDescent="0.3">
      <c r="A275" s="2" t="str">
        <f>"ANTONIO PRADO DE MINAS"</f>
        <v>ANTONIO PRADO DE MINAS</v>
      </c>
      <c r="B275" s="3" t="str">
        <f>"MG"</f>
        <v>MG</v>
      </c>
      <c r="C275" s="3" t="str">
        <f t="shared" si="8"/>
        <v>BRASIL</v>
      </c>
      <c r="D275" s="4" t="str">
        <f>"MG034"</f>
        <v>MG034</v>
      </c>
    </row>
    <row r="276" spans="1:4" x14ac:dyDescent="0.3">
      <c r="A276" s="2" t="str">
        <f>"ANTUERPIA"</f>
        <v>ANTUERPIA</v>
      </c>
      <c r="B276" s="3" t="str">
        <f>"EX"</f>
        <v>EX</v>
      </c>
      <c r="C276" s="3" t="str">
        <f>"BELGICA"</f>
        <v>BELGICA</v>
      </c>
      <c r="D276" s="4" t="str">
        <f>"ANT"</f>
        <v>ANT</v>
      </c>
    </row>
    <row r="277" spans="1:4" x14ac:dyDescent="0.3">
      <c r="A277" s="2" t="str">
        <f>"ANTWEILER"</f>
        <v>ANTWEILER</v>
      </c>
      <c r="B277" s="3" t="str">
        <f>"EX"</f>
        <v>EX</v>
      </c>
      <c r="C277" s="3" t="str">
        <f>"ALEMANHA"</f>
        <v>ALEMANHA</v>
      </c>
      <c r="D277" s="4" t="str">
        <f>"ANTWE"</f>
        <v>ANTWE</v>
      </c>
    </row>
    <row r="278" spans="1:4" x14ac:dyDescent="0.3">
      <c r="A278" s="2" t="str">
        <f>"APARECIDA"</f>
        <v>APARECIDA</v>
      </c>
      <c r="B278" s="3" t="str">
        <f>"PB"</f>
        <v>PB</v>
      </c>
      <c r="C278" s="3" t="str">
        <f t="shared" ref="C278:C309" si="9">"BRASIL"</f>
        <v>BRASIL</v>
      </c>
      <c r="D278" s="4" t="str">
        <f>"PB011"</f>
        <v>PB011</v>
      </c>
    </row>
    <row r="279" spans="1:4" x14ac:dyDescent="0.3">
      <c r="A279" s="2" t="str">
        <f>"APARECIDA"</f>
        <v>APARECIDA</v>
      </c>
      <c r="B279" s="3" t="str">
        <f>"SP"</f>
        <v>SP</v>
      </c>
      <c r="C279" s="3" t="str">
        <f t="shared" si="9"/>
        <v>BRASIL</v>
      </c>
      <c r="D279" s="4" t="str">
        <f>"SP028"</f>
        <v>SP028</v>
      </c>
    </row>
    <row r="280" spans="1:4" x14ac:dyDescent="0.3">
      <c r="A280" s="2" t="str">
        <f>"APARECIDA D'OESTE"</f>
        <v>APARECIDA D'OESTE</v>
      </c>
      <c r="B280" s="3" t="str">
        <f>"SP"</f>
        <v>SP</v>
      </c>
      <c r="C280" s="3" t="str">
        <f t="shared" si="9"/>
        <v>BRASIL</v>
      </c>
      <c r="D280" s="4" t="str">
        <f>"SP029"</f>
        <v>SP029</v>
      </c>
    </row>
    <row r="281" spans="1:4" x14ac:dyDescent="0.3">
      <c r="A281" s="2" t="str">
        <f>"APARECIDA DE GOIANIA"</f>
        <v>APARECIDA DE GOIANIA</v>
      </c>
      <c r="B281" s="3" t="str">
        <f>"GO"</f>
        <v>GO</v>
      </c>
      <c r="C281" s="3" t="str">
        <f t="shared" si="9"/>
        <v>BRASIL</v>
      </c>
      <c r="D281" s="4" t="str">
        <f>"GO019"</f>
        <v>GO019</v>
      </c>
    </row>
    <row r="282" spans="1:4" x14ac:dyDescent="0.3">
      <c r="A282" s="2" t="str">
        <f>"APARECIDA DO RIO DOCE"</f>
        <v>APARECIDA DO RIO DOCE</v>
      </c>
      <c r="B282" s="3" t="str">
        <f>"GO"</f>
        <v>GO</v>
      </c>
      <c r="C282" s="3" t="str">
        <f t="shared" si="9"/>
        <v>BRASIL</v>
      </c>
      <c r="D282" s="4" t="str">
        <f>"GO020"</f>
        <v>GO020</v>
      </c>
    </row>
    <row r="283" spans="1:4" x14ac:dyDescent="0.3">
      <c r="A283" s="2" t="str">
        <f>"APARECIDA DO RIO NEGRO"</f>
        <v>APARECIDA DO RIO NEGRO</v>
      </c>
      <c r="B283" s="3" t="str">
        <f>"TO"</f>
        <v>TO</v>
      </c>
      <c r="C283" s="3" t="str">
        <f t="shared" si="9"/>
        <v>BRASIL</v>
      </c>
      <c r="D283" s="4" t="str">
        <f>"TO008"</f>
        <v>TO008</v>
      </c>
    </row>
    <row r="284" spans="1:4" x14ac:dyDescent="0.3">
      <c r="A284" s="2" t="str">
        <f>"APARECIDA DO TABOADO"</f>
        <v>APARECIDA DO TABOADO</v>
      </c>
      <c r="B284" s="3" t="str">
        <f>"MS"</f>
        <v>MS</v>
      </c>
      <c r="C284" s="3" t="str">
        <f t="shared" si="9"/>
        <v>BRASIL</v>
      </c>
      <c r="D284" s="4" t="str">
        <f>"MS008"</f>
        <v>MS008</v>
      </c>
    </row>
    <row r="285" spans="1:4" x14ac:dyDescent="0.3">
      <c r="A285" s="2" t="str">
        <f>"APERIBE"</f>
        <v>APERIBE</v>
      </c>
      <c r="B285" s="3" t="str">
        <f>"RJ"</f>
        <v>RJ</v>
      </c>
      <c r="C285" s="3" t="str">
        <f t="shared" si="9"/>
        <v>BRASIL</v>
      </c>
      <c r="D285" s="4" t="str">
        <f>"RJ002"</f>
        <v>RJ002</v>
      </c>
    </row>
    <row r="286" spans="1:4" x14ac:dyDescent="0.3">
      <c r="A286" s="2" t="str">
        <f>"APIACA"</f>
        <v>APIACA</v>
      </c>
      <c r="B286" s="3" t="str">
        <f>"ES"</f>
        <v>ES</v>
      </c>
      <c r="C286" s="3" t="str">
        <f t="shared" si="9"/>
        <v>BRASIL</v>
      </c>
      <c r="D286" s="4" t="str">
        <f>"ES008"</f>
        <v>ES008</v>
      </c>
    </row>
    <row r="287" spans="1:4" x14ac:dyDescent="0.3">
      <c r="A287" s="2" t="str">
        <f>"APIACAS"</f>
        <v>APIACAS</v>
      </c>
      <c r="B287" s="3" t="str">
        <f>"MT"</f>
        <v>MT</v>
      </c>
      <c r="C287" s="3" t="str">
        <f t="shared" si="9"/>
        <v>BRASIL</v>
      </c>
      <c r="D287" s="4" t="str">
        <f>"MT009"</f>
        <v>MT009</v>
      </c>
    </row>
    <row r="288" spans="1:4" x14ac:dyDescent="0.3">
      <c r="A288" s="2" t="str">
        <f>"APIAI"</f>
        <v>APIAI</v>
      </c>
      <c r="B288" s="3" t="str">
        <f>"SP"</f>
        <v>SP</v>
      </c>
      <c r="C288" s="3" t="str">
        <f t="shared" si="9"/>
        <v>BRASIL</v>
      </c>
      <c r="D288" s="4" t="str">
        <f>"SP030"</f>
        <v>SP030</v>
      </c>
    </row>
    <row r="289" spans="1:4" x14ac:dyDescent="0.3">
      <c r="A289" s="2" t="str">
        <f>"APICUM-ACU"</f>
        <v>APICUM-ACU</v>
      </c>
      <c r="B289" s="3" t="str">
        <f>"MA"</f>
        <v>MA</v>
      </c>
      <c r="C289" s="3" t="str">
        <f t="shared" si="9"/>
        <v>BRASIL</v>
      </c>
      <c r="D289" s="4" t="str">
        <f>"MA014"</f>
        <v>MA014</v>
      </c>
    </row>
    <row r="290" spans="1:4" x14ac:dyDescent="0.3">
      <c r="A290" s="2" t="str">
        <f>"APIUNA"</f>
        <v>APIUNA</v>
      </c>
      <c r="B290" s="3" t="str">
        <f>"SC"</f>
        <v>SC</v>
      </c>
      <c r="C290" s="3" t="str">
        <f t="shared" si="9"/>
        <v>BRASIL</v>
      </c>
      <c r="D290" s="4" t="str">
        <f>"SC016"</f>
        <v>SC016</v>
      </c>
    </row>
    <row r="291" spans="1:4" x14ac:dyDescent="0.3">
      <c r="A291" s="2" t="str">
        <f>"APODI"</f>
        <v>APODI</v>
      </c>
      <c r="B291" s="3" t="str">
        <f>"RN"</f>
        <v>RN</v>
      </c>
      <c r="C291" s="3" t="str">
        <f t="shared" si="9"/>
        <v>BRASIL</v>
      </c>
      <c r="D291" s="4" t="str">
        <f>"RN010"</f>
        <v>RN010</v>
      </c>
    </row>
    <row r="292" spans="1:4" x14ac:dyDescent="0.3">
      <c r="A292" s="2" t="str">
        <f>"APORA"</f>
        <v>APORA</v>
      </c>
      <c r="B292" s="3" t="str">
        <f>"BA"</f>
        <v>BA</v>
      </c>
      <c r="C292" s="3" t="str">
        <f t="shared" si="9"/>
        <v>BRASIL</v>
      </c>
      <c r="D292" s="4" t="str">
        <f>"BA022"</f>
        <v>BA022</v>
      </c>
    </row>
    <row r="293" spans="1:4" x14ac:dyDescent="0.3">
      <c r="A293" s="2" t="str">
        <f>"APORE"</f>
        <v>APORE</v>
      </c>
      <c r="B293" s="3" t="str">
        <f>"GO"</f>
        <v>GO</v>
      </c>
      <c r="C293" s="3" t="str">
        <f t="shared" si="9"/>
        <v>BRASIL</v>
      </c>
      <c r="D293" s="4" t="str">
        <f>"GO021"</f>
        <v>GO021</v>
      </c>
    </row>
    <row r="294" spans="1:4" x14ac:dyDescent="0.3">
      <c r="A294" s="2" t="str">
        <f>"APUAREMA"</f>
        <v>APUAREMA</v>
      </c>
      <c r="B294" s="3" t="str">
        <f>"BA"</f>
        <v>BA</v>
      </c>
      <c r="C294" s="3" t="str">
        <f t="shared" si="9"/>
        <v>BRASIL</v>
      </c>
      <c r="D294" s="4" t="str">
        <f>"BA023"</f>
        <v>BA023</v>
      </c>
    </row>
    <row r="295" spans="1:4" x14ac:dyDescent="0.3">
      <c r="A295" s="2" t="str">
        <f>"APUCARANA"</f>
        <v>APUCARANA</v>
      </c>
      <c r="B295" s="3" t="str">
        <f>"PR"</f>
        <v>PR</v>
      </c>
      <c r="C295" s="3" t="str">
        <f t="shared" si="9"/>
        <v>BRASIL</v>
      </c>
      <c r="D295" s="4" t="str">
        <f>"PR017"</f>
        <v>PR017</v>
      </c>
    </row>
    <row r="296" spans="1:4" x14ac:dyDescent="0.3">
      <c r="A296" s="2" t="str">
        <f>"APUI"</f>
        <v>APUI</v>
      </c>
      <c r="B296" s="3" t="str">
        <f>"AM"</f>
        <v>AM</v>
      </c>
      <c r="C296" s="3" t="str">
        <f t="shared" si="9"/>
        <v>BRASIL</v>
      </c>
      <c r="D296" s="4" t="str">
        <f>"AM005"</f>
        <v>AM005</v>
      </c>
    </row>
    <row r="297" spans="1:4" x14ac:dyDescent="0.3">
      <c r="A297" s="2" t="str">
        <f>"APUIARES"</f>
        <v>APUIARES</v>
      </c>
      <c r="B297" s="3" t="str">
        <f>"CE"</f>
        <v>CE</v>
      </c>
      <c r="C297" s="3" t="str">
        <f t="shared" si="9"/>
        <v>BRASIL</v>
      </c>
      <c r="D297" s="4" t="str">
        <f>"CE011"</f>
        <v>CE011</v>
      </c>
    </row>
    <row r="298" spans="1:4" x14ac:dyDescent="0.3">
      <c r="A298" s="2" t="str">
        <f>"AQUIDABA"</f>
        <v>AQUIDABA</v>
      </c>
      <c r="B298" s="3" t="str">
        <f>"SE"</f>
        <v>SE</v>
      </c>
      <c r="C298" s="3" t="str">
        <f t="shared" si="9"/>
        <v>BRASIL</v>
      </c>
      <c r="D298" s="4" t="str">
        <f>"SE002"</f>
        <v>SE002</v>
      </c>
    </row>
    <row r="299" spans="1:4" x14ac:dyDescent="0.3">
      <c r="A299" s="2" t="str">
        <f>"AQUIDAUANA"</f>
        <v>AQUIDAUANA</v>
      </c>
      <c r="B299" s="3" t="str">
        <f>"MS"</f>
        <v>MS</v>
      </c>
      <c r="C299" s="3" t="str">
        <f t="shared" si="9"/>
        <v>BRASIL</v>
      </c>
      <c r="D299" s="4" t="str">
        <f>"MS009"</f>
        <v>MS009</v>
      </c>
    </row>
    <row r="300" spans="1:4" x14ac:dyDescent="0.3">
      <c r="A300" s="2" t="str">
        <f>"AQUIRAZ"</f>
        <v>AQUIRAZ</v>
      </c>
      <c r="B300" s="3" t="str">
        <f>"CE"</f>
        <v>CE</v>
      </c>
      <c r="C300" s="3" t="str">
        <f t="shared" si="9"/>
        <v>BRASIL</v>
      </c>
      <c r="D300" s="4" t="str">
        <f>"CE012"</f>
        <v>CE012</v>
      </c>
    </row>
    <row r="301" spans="1:4" x14ac:dyDescent="0.3">
      <c r="A301" s="2" t="str">
        <f>"ARABUTA"</f>
        <v>ARABUTA</v>
      </c>
      <c r="B301" s="3" t="str">
        <f>"SC"</f>
        <v>SC</v>
      </c>
      <c r="C301" s="3" t="str">
        <f t="shared" si="9"/>
        <v>BRASIL</v>
      </c>
      <c r="D301" s="4" t="str">
        <f>"SC017"</f>
        <v>SC017</v>
      </c>
    </row>
    <row r="302" spans="1:4" x14ac:dyDescent="0.3">
      <c r="A302" s="2" t="str">
        <f>"ARACAGI"</f>
        <v>ARACAGI</v>
      </c>
      <c r="B302" s="3" t="str">
        <f>"PB"</f>
        <v>PB</v>
      </c>
      <c r="C302" s="3" t="str">
        <f t="shared" si="9"/>
        <v>BRASIL</v>
      </c>
      <c r="D302" s="4" t="str">
        <f>"PB012"</f>
        <v>PB012</v>
      </c>
    </row>
    <row r="303" spans="1:4" x14ac:dyDescent="0.3">
      <c r="A303" s="2" t="str">
        <f>"ARACAI"</f>
        <v>ARACAI</v>
      </c>
      <c r="B303" s="3" t="str">
        <f>"MG"</f>
        <v>MG</v>
      </c>
      <c r="C303" s="3" t="str">
        <f t="shared" si="9"/>
        <v>BRASIL</v>
      </c>
      <c r="D303" s="4" t="str">
        <f>"MG035"</f>
        <v>MG035</v>
      </c>
    </row>
    <row r="304" spans="1:4" x14ac:dyDescent="0.3">
      <c r="A304" s="2" t="str">
        <f>"ARACAJU"</f>
        <v>ARACAJU</v>
      </c>
      <c r="B304" s="3" t="str">
        <f>"SE"</f>
        <v>SE</v>
      </c>
      <c r="C304" s="3" t="str">
        <f t="shared" si="9"/>
        <v>BRASIL</v>
      </c>
      <c r="D304" s="4" t="str">
        <f>"SE003"</f>
        <v>SE003</v>
      </c>
    </row>
    <row r="305" spans="1:4" x14ac:dyDescent="0.3">
      <c r="A305" s="2" t="str">
        <f>"ARACARIGUAMA"</f>
        <v>ARACARIGUAMA</v>
      </c>
      <c r="B305" s="3" t="str">
        <f>"SP"</f>
        <v>SP</v>
      </c>
      <c r="C305" s="3" t="str">
        <f t="shared" si="9"/>
        <v>BRASIL</v>
      </c>
      <c r="D305" s="4" t="str">
        <f>"SP031"</f>
        <v>SP031</v>
      </c>
    </row>
    <row r="306" spans="1:4" x14ac:dyDescent="0.3">
      <c r="A306" s="2" t="str">
        <f>"ARACAS"</f>
        <v>ARACAS</v>
      </c>
      <c r="B306" s="3" t="str">
        <f>"BA"</f>
        <v>BA</v>
      </c>
      <c r="C306" s="3" t="str">
        <f t="shared" si="9"/>
        <v>BRASIL</v>
      </c>
      <c r="D306" s="4" t="str">
        <f>"BA025"</f>
        <v>BA025</v>
      </c>
    </row>
    <row r="307" spans="1:4" x14ac:dyDescent="0.3">
      <c r="A307" s="2" t="str">
        <f>"ARACATI"</f>
        <v>ARACATI</v>
      </c>
      <c r="B307" s="3" t="str">
        <f>"CE"</f>
        <v>CE</v>
      </c>
      <c r="C307" s="3" t="str">
        <f t="shared" si="9"/>
        <v>BRASIL</v>
      </c>
      <c r="D307" s="4" t="str">
        <f>"CE013"</f>
        <v>CE013</v>
      </c>
    </row>
    <row r="308" spans="1:4" x14ac:dyDescent="0.3">
      <c r="A308" s="2" t="str">
        <f>"ARACATU"</f>
        <v>ARACATU</v>
      </c>
      <c r="B308" s="3" t="str">
        <f>"BA"</f>
        <v>BA</v>
      </c>
      <c r="C308" s="3" t="str">
        <f t="shared" si="9"/>
        <v>BRASIL</v>
      </c>
      <c r="D308" s="4" t="str">
        <f>"BA024"</f>
        <v>BA024</v>
      </c>
    </row>
    <row r="309" spans="1:4" x14ac:dyDescent="0.3">
      <c r="A309" s="2" t="str">
        <f>"ARACATUBA"</f>
        <v>ARACATUBA</v>
      </c>
      <c r="B309" s="3" t="str">
        <f>"SP"</f>
        <v>SP</v>
      </c>
      <c r="C309" s="3" t="str">
        <f t="shared" si="9"/>
        <v>BRASIL</v>
      </c>
      <c r="D309" s="4" t="str">
        <f>"SP032"</f>
        <v>SP032</v>
      </c>
    </row>
    <row r="310" spans="1:4" x14ac:dyDescent="0.3">
      <c r="A310" s="2" t="str">
        <f>"ARACI"</f>
        <v>ARACI</v>
      </c>
      <c r="B310" s="3" t="str">
        <f>"BA"</f>
        <v>BA</v>
      </c>
      <c r="C310" s="3" t="str">
        <f t="shared" ref="C310:C341" si="10">"BRASIL"</f>
        <v>BRASIL</v>
      </c>
      <c r="D310" s="4" t="str">
        <f>"BA026"</f>
        <v>BA026</v>
      </c>
    </row>
    <row r="311" spans="1:4" x14ac:dyDescent="0.3">
      <c r="A311" s="2" t="str">
        <f>"ARACITABA"</f>
        <v>ARACITABA</v>
      </c>
      <c r="B311" s="3" t="str">
        <f>"MG"</f>
        <v>MG</v>
      </c>
      <c r="C311" s="3" t="str">
        <f t="shared" si="10"/>
        <v>BRASIL</v>
      </c>
      <c r="D311" s="4" t="str">
        <f>"MG036"</f>
        <v>MG036</v>
      </c>
    </row>
    <row r="312" spans="1:4" x14ac:dyDescent="0.3">
      <c r="A312" s="2" t="str">
        <f>"ARACOIABA"</f>
        <v>ARACOIABA</v>
      </c>
      <c r="B312" s="3" t="str">
        <f>"CE"</f>
        <v>CE</v>
      </c>
      <c r="C312" s="3" t="str">
        <f t="shared" si="10"/>
        <v>BRASIL</v>
      </c>
      <c r="D312" s="4" t="str">
        <f>"CE014"</f>
        <v>CE014</v>
      </c>
    </row>
    <row r="313" spans="1:4" x14ac:dyDescent="0.3">
      <c r="A313" s="2" t="str">
        <f>"ARACOIABA"</f>
        <v>ARACOIABA</v>
      </c>
      <c r="B313" s="3" t="str">
        <f>"PE"</f>
        <v>PE</v>
      </c>
      <c r="C313" s="3" t="str">
        <f t="shared" si="10"/>
        <v>BRASIL</v>
      </c>
      <c r="D313" s="4" t="str">
        <f>"PE012"</f>
        <v>PE012</v>
      </c>
    </row>
    <row r="314" spans="1:4" x14ac:dyDescent="0.3">
      <c r="A314" s="2" t="str">
        <f>"ARACOIABA DA SERRA"</f>
        <v>ARACOIABA DA SERRA</v>
      </c>
      <c r="B314" s="3" t="str">
        <f>"SP"</f>
        <v>SP</v>
      </c>
      <c r="C314" s="3" t="str">
        <f t="shared" si="10"/>
        <v>BRASIL</v>
      </c>
      <c r="D314" s="4" t="str">
        <f>"SP033"</f>
        <v>SP033</v>
      </c>
    </row>
    <row r="315" spans="1:4" x14ac:dyDescent="0.3">
      <c r="A315" s="2" t="str">
        <f>"ARACRUZ"</f>
        <v>ARACRUZ</v>
      </c>
      <c r="B315" s="3" t="str">
        <f>"ES"</f>
        <v>ES</v>
      </c>
      <c r="C315" s="3" t="str">
        <f t="shared" si="10"/>
        <v>BRASIL</v>
      </c>
      <c r="D315" s="4" t="str">
        <f>"ES009"</f>
        <v>ES009</v>
      </c>
    </row>
    <row r="316" spans="1:4" x14ac:dyDescent="0.3">
      <c r="A316" s="2" t="str">
        <f>"ARACU"</f>
        <v>ARACU</v>
      </c>
      <c r="B316" s="3" t="str">
        <f>"GO"</f>
        <v>GO</v>
      </c>
      <c r="C316" s="3" t="str">
        <f t="shared" si="10"/>
        <v>BRASIL</v>
      </c>
      <c r="D316" s="4" t="str">
        <f>"GO022"</f>
        <v>GO022</v>
      </c>
    </row>
    <row r="317" spans="1:4" x14ac:dyDescent="0.3">
      <c r="A317" s="2" t="str">
        <f>"ARACUAI"</f>
        <v>ARACUAI</v>
      </c>
      <c r="B317" s="3" t="str">
        <f>"MG"</f>
        <v>MG</v>
      </c>
      <c r="C317" s="3" t="str">
        <f t="shared" si="10"/>
        <v>BRASIL</v>
      </c>
      <c r="D317" s="4" t="str">
        <f>"MG037"</f>
        <v>MG037</v>
      </c>
    </row>
    <row r="318" spans="1:4" x14ac:dyDescent="0.3">
      <c r="A318" s="2" t="str">
        <f>"ARAGARCAS"</f>
        <v>ARAGARCAS</v>
      </c>
      <c r="B318" s="3" t="str">
        <f>"GO"</f>
        <v>GO</v>
      </c>
      <c r="C318" s="3" t="str">
        <f t="shared" si="10"/>
        <v>BRASIL</v>
      </c>
      <c r="D318" s="4" t="str">
        <f>"GO023"</f>
        <v>GO023</v>
      </c>
    </row>
    <row r="319" spans="1:4" x14ac:dyDescent="0.3">
      <c r="A319" s="2" t="str">
        <f>"ARAGOIANIA"</f>
        <v>ARAGOIANIA</v>
      </c>
      <c r="B319" s="3" t="str">
        <f>"GO"</f>
        <v>GO</v>
      </c>
      <c r="C319" s="3" t="str">
        <f t="shared" si="10"/>
        <v>BRASIL</v>
      </c>
      <c r="D319" s="4" t="str">
        <f>"GO024"</f>
        <v>GO024</v>
      </c>
    </row>
    <row r="320" spans="1:4" x14ac:dyDescent="0.3">
      <c r="A320" s="2" t="str">
        <f>"ARAGOMINAS"</f>
        <v>ARAGOMINAS</v>
      </c>
      <c r="B320" s="3" t="str">
        <f>"TO"</f>
        <v>TO</v>
      </c>
      <c r="C320" s="3" t="str">
        <f t="shared" si="10"/>
        <v>BRASIL</v>
      </c>
      <c r="D320" s="4" t="str">
        <f>"TO009"</f>
        <v>TO009</v>
      </c>
    </row>
    <row r="321" spans="1:4" x14ac:dyDescent="0.3">
      <c r="A321" s="2" t="str">
        <f>"ARAGUACEMA"</f>
        <v>ARAGUACEMA</v>
      </c>
      <c r="B321" s="3" t="str">
        <f>"TO"</f>
        <v>TO</v>
      </c>
      <c r="C321" s="3" t="str">
        <f t="shared" si="10"/>
        <v>BRASIL</v>
      </c>
      <c r="D321" s="4" t="str">
        <f>"TO010"</f>
        <v>TO010</v>
      </c>
    </row>
    <row r="322" spans="1:4" x14ac:dyDescent="0.3">
      <c r="A322" s="2" t="str">
        <f>"ARAGUACU"</f>
        <v>ARAGUACU</v>
      </c>
      <c r="B322" s="3" t="str">
        <f>"TO"</f>
        <v>TO</v>
      </c>
      <c r="C322" s="3" t="str">
        <f t="shared" si="10"/>
        <v>BRASIL</v>
      </c>
      <c r="D322" s="4" t="str">
        <f>"TO011"</f>
        <v>TO011</v>
      </c>
    </row>
    <row r="323" spans="1:4" x14ac:dyDescent="0.3">
      <c r="A323" s="2" t="str">
        <f>"ARAGUAIANA"</f>
        <v>ARAGUAIANA</v>
      </c>
      <c r="B323" s="3" t="str">
        <f>"MT"</f>
        <v>MT</v>
      </c>
      <c r="C323" s="3" t="str">
        <f t="shared" si="10"/>
        <v>BRASIL</v>
      </c>
      <c r="D323" s="4" t="str">
        <f>"MT010"</f>
        <v>MT010</v>
      </c>
    </row>
    <row r="324" spans="1:4" x14ac:dyDescent="0.3">
      <c r="A324" s="2" t="str">
        <f>"ARAGUAINA"</f>
        <v>ARAGUAINA</v>
      </c>
      <c r="B324" s="3" t="str">
        <f>"TO"</f>
        <v>TO</v>
      </c>
      <c r="C324" s="3" t="str">
        <f t="shared" si="10"/>
        <v>BRASIL</v>
      </c>
      <c r="D324" s="4" t="str">
        <f>"TO012"</f>
        <v>TO012</v>
      </c>
    </row>
    <row r="325" spans="1:4" x14ac:dyDescent="0.3">
      <c r="A325" s="2" t="str">
        <f>"ARAGUAINHA"</f>
        <v>ARAGUAINHA</v>
      </c>
      <c r="B325" s="3" t="str">
        <f>"MT"</f>
        <v>MT</v>
      </c>
      <c r="C325" s="3" t="str">
        <f t="shared" si="10"/>
        <v>BRASIL</v>
      </c>
      <c r="D325" s="4" t="str">
        <f>"MT011"</f>
        <v>MT011</v>
      </c>
    </row>
    <row r="326" spans="1:4" x14ac:dyDescent="0.3">
      <c r="A326" s="2" t="str">
        <f>"ARAGUANA"</f>
        <v>ARAGUANA</v>
      </c>
      <c r="B326" s="3" t="str">
        <f>"MA"</f>
        <v>MA</v>
      </c>
      <c r="C326" s="3" t="str">
        <f t="shared" si="10"/>
        <v>BRASIL</v>
      </c>
      <c r="D326" s="4" t="str">
        <f>"MA015"</f>
        <v>MA015</v>
      </c>
    </row>
    <row r="327" spans="1:4" x14ac:dyDescent="0.3">
      <c r="A327" s="2" t="str">
        <f>"ARAGUANA"</f>
        <v>ARAGUANA</v>
      </c>
      <c r="B327" s="3" t="str">
        <f>"TO"</f>
        <v>TO</v>
      </c>
      <c r="C327" s="3" t="str">
        <f t="shared" si="10"/>
        <v>BRASIL</v>
      </c>
      <c r="D327" s="4" t="str">
        <f>"TO013"</f>
        <v>TO013</v>
      </c>
    </row>
    <row r="328" spans="1:4" x14ac:dyDescent="0.3">
      <c r="A328" s="2" t="str">
        <f>"ARAGUAPAZ"</f>
        <v>ARAGUAPAZ</v>
      </c>
      <c r="B328" s="3" t="str">
        <f>"GO"</f>
        <v>GO</v>
      </c>
      <c r="C328" s="3" t="str">
        <f t="shared" si="10"/>
        <v>BRASIL</v>
      </c>
      <c r="D328" s="4" t="str">
        <f>"GO025"</f>
        <v>GO025</v>
      </c>
    </row>
    <row r="329" spans="1:4" x14ac:dyDescent="0.3">
      <c r="A329" s="2" t="str">
        <f>"ARAGUARI"</f>
        <v>ARAGUARI</v>
      </c>
      <c r="B329" s="3" t="str">
        <f>"MG"</f>
        <v>MG</v>
      </c>
      <c r="C329" s="3" t="str">
        <f t="shared" si="10"/>
        <v>BRASIL</v>
      </c>
      <c r="D329" s="4" t="str">
        <f>"MG038"</f>
        <v>MG038</v>
      </c>
    </row>
    <row r="330" spans="1:4" x14ac:dyDescent="0.3">
      <c r="A330" s="2" t="str">
        <f>"ARAGUATINS"</f>
        <v>ARAGUATINS</v>
      </c>
      <c r="B330" s="3" t="str">
        <f>"TO"</f>
        <v>TO</v>
      </c>
      <c r="C330" s="3" t="str">
        <f t="shared" si="10"/>
        <v>BRASIL</v>
      </c>
      <c r="D330" s="4" t="str">
        <f>"TO014"</f>
        <v>TO014</v>
      </c>
    </row>
    <row r="331" spans="1:4" x14ac:dyDescent="0.3">
      <c r="A331" s="2" t="str">
        <f>"ARAIOSES"</f>
        <v>ARAIOSES</v>
      </c>
      <c r="B331" s="3" t="str">
        <f>"MA"</f>
        <v>MA</v>
      </c>
      <c r="C331" s="3" t="str">
        <f t="shared" si="10"/>
        <v>BRASIL</v>
      </c>
      <c r="D331" s="4" t="str">
        <f>"MA016"</f>
        <v>MA016</v>
      </c>
    </row>
    <row r="332" spans="1:4" x14ac:dyDescent="0.3">
      <c r="A332" s="2" t="str">
        <f>"ARAL MOREIRA"</f>
        <v>ARAL MOREIRA</v>
      </c>
      <c r="B332" s="3" t="str">
        <f>"MS"</f>
        <v>MS</v>
      </c>
      <c r="C332" s="3" t="str">
        <f t="shared" si="10"/>
        <v>BRASIL</v>
      </c>
      <c r="D332" s="4" t="str">
        <f>"MS010"</f>
        <v>MS010</v>
      </c>
    </row>
    <row r="333" spans="1:4" x14ac:dyDescent="0.3">
      <c r="A333" s="2" t="str">
        <f>"ARAMARI"</f>
        <v>ARAMARI</v>
      </c>
      <c r="B333" s="3" t="str">
        <f>"BA"</f>
        <v>BA</v>
      </c>
      <c r="C333" s="3" t="str">
        <f t="shared" si="10"/>
        <v>BRASIL</v>
      </c>
      <c r="D333" s="4" t="str">
        <f>"BA027"</f>
        <v>BA027</v>
      </c>
    </row>
    <row r="334" spans="1:4" x14ac:dyDescent="0.3">
      <c r="A334" s="2" t="str">
        <f>"ARAMBARE"</f>
        <v>ARAMBARE</v>
      </c>
      <c r="B334" s="3" t="str">
        <f>"RS"</f>
        <v>RS</v>
      </c>
      <c r="C334" s="3" t="str">
        <f t="shared" si="10"/>
        <v>BRASIL</v>
      </c>
      <c r="D334" s="4" t="str">
        <f>"RS018"</f>
        <v>RS018</v>
      </c>
    </row>
    <row r="335" spans="1:4" x14ac:dyDescent="0.3">
      <c r="A335" s="2" t="str">
        <f>"ARAME"</f>
        <v>ARAME</v>
      </c>
      <c r="B335" s="3" t="str">
        <f>"MA"</f>
        <v>MA</v>
      </c>
      <c r="C335" s="3" t="str">
        <f t="shared" si="10"/>
        <v>BRASIL</v>
      </c>
      <c r="D335" s="4" t="str">
        <f>"MA017"</f>
        <v>MA017</v>
      </c>
    </row>
    <row r="336" spans="1:4" x14ac:dyDescent="0.3">
      <c r="A336" s="2" t="str">
        <f>"ARAMINA"</f>
        <v>ARAMINA</v>
      </c>
      <c r="B336" s="3" t="str">
        <f>"SP"</f>
        <v>SP</v>
      </c>
      <c r="C336" s="3" t="str">
        <f t="shared" si="10"/>
        <v>BRASIL</v>
      </c>
      <c r="D336" s="4" t="str">
        <f>"SP034"</f>
        <v>SP034</v>
      </c>
    </row>
    <row r="337" spans="1:4" x14ac:dyDescent="0.3">
      <c r="A337" s="2" t="str">
        <f>"ARANDU"</f>
        <v>ARANDU</v>
      </c>
      <c r="B337" s="3" t="str">
        <f>"SP"</f>
        <v>SP</v>
      </c>
      <c r="C337" s="3" t="str">
        <f t="shared" si="10"/>
        <v>BRASIL</v>
      </c>
      <c r="D337" s="4" t="str">
        <f>"SP035"</f>
        <v>SP035</v>
      </c>
    </row>
    <row r="338" spans="1:4" x14ac:dyDescent="0.3">
      <c r="A338" s="2" t="str">
        <f>"ARANTINA"</f>
        <v>ARANTINA</v>
      </c>
      <c r="B338" s="3" t="str">
        <f>"MG"</f>
        <v>MG</v>
      </c>
      <c r="C338" s="3" t="str">
        <f t="shared" si="10"/>
        <v>BRASIL</v>
      </c>
      <c r="D338" s="4" t="str">
        <f>"MG039"</f>
        <v>MG039</v>
      </c>
    </row>
    <row r="339" spans="1:4" x14ac:dyDescent="0.3">
      <c r="A339" s="2" t="str">
        <f>"ARAPEI"</f>
        <v>ARAPEI</v>
      </c>
      <c r="B339" s="3" t="str">
        <f>"SP"</f>
        <v>SP</v>
      </c>
      <c r="C339" s="3" t="str">
        <f t="shared" si="10"/>
        <v>BRASIL</v>
      </c>
      <c r="D339" s="4" t="str">
        <f>"SP036"</f>
        <v>SP036</v>
      </c>
    </row>
    <row r="340" spans="1:4" x14ac:dyDescent="0.3">
      <c r="A340" s="2" t="str">
        <f>"ARAPIRACA"</f>
        <v>ARAPIRACA</v>
      </c>
      <c r="B340" s="3" t="str">
        <f>"AL"</f>
        <v>AL</v>
      </c>
      <c r="C340" s="3" t="str">
        <f t="shared" si="10"/>
        <v>BRASIL</v>
      </c>
      <c r="D340" s="4" t="str">
        <f>"AL003"</f>
        <v>AL003</v>
      </c>
    </row>
    <row r="341" spans="1:4" x14ac:dyDescent="0.3">
      <c r="A341" s="2" t="str">
        <f>"ARAPOEMA"</f>
        <v>ARAPOEMA</v>
      </c>
      <c r="B341" s="3" t="str">
        <f>"TO"</f>
        <v>TO</v>
      </c>
      <c r="C341" s="3" t="str">
        <f t="shared" si="10"/>
        <v>BRASIL</v>
      </c>
      <c r="D341" s="4" t="str">
        <f>"TO015"</f>
        <v>TO015</v>
      </c>
    </row>
    <row r="342" spans="1:4" x14ac:dyDescent="0.3">
      <c r="A342" s="2" t="str">
        <f>"ARAPONGA"</f>
        <v>ARAPONGA</v>
      </c>
      <c r="B342" s="3" t="str">
        <f>"MG"</f>
        <v>MG</v>
      </c>
      <c r="C342" s="3" t="str">
        <f t="shared" ref="C342:C373" si="11">"BRASIL"</f>
        <v>BRASIL</v>
      </c>
      <c r="D342" s="4" t="str">
        <f>"MG040"</f>
        <v>MG040</v>
      </c>
    </row>
    <row r="343" spans="1:4" x14ac:dyDescent="0.3">
      <c r="A343" s="2" t="str">
        <f>"ARAPONGAS"</f>
        <v>ARAPONGAS</v>
      </c>
      <c r="B343" s="3" t="str">
        <f>"PR"</f>
        <v>PR</v>
      </c>
      <c r="C343" s="3" t="str">
        <f t="shared" si="11"/>
        <v>BRASIL</v>
      </c>
      <c r="D343" s="4" t="str">
        <f>"ARP"</f>
        <v>ARP</v>
      </c>
    </row>
    <row r="344" spans="1:4" x14ac:dyDescent="0.3">
      <c r="A344" s="2" t="str">
        <f>"ARAPORA"</f>
        <v>ARAPORA</v>
      </c>
      <c r="B344" s="3" t="str">
        <f>"MG"</f>
        <v>MG</v>
      </c>
      <c r="C344" s="3" t="str">
        <f t="shared" si="11"/>
        <v>BRASIL</v>
      </c>
      <c r="D344" s="4" t="str">
        <f>"MG041"</f>
        <v>MG041</v>
      </c>
    </row>
    <row r="345" spans="1:4" x14ac:dyDescent="0.3">
      <c r="A345" s="2" t="str">
        <f>"ARAPOTI"</f>
        <v>ARAPOTI</v>
      </c>
      <c r="B345" s="3" t="str">
        <f>"PR"</f>
        <v>PR</v>
      </c>
      <c r="C345" s="3" t="str">
        <f t="shared" si="11"/>
        <v>BRASIL</v>
      </c>
      <c r="D345" s="4" t="str">
        <f>"PR019"</f>
        <v>PR019</v>
      </c>
    </row>
    <row r="346" spans="1:4" x14ac:dyDescent="0.3">
      <c r="A346" s="2" t="str">
        <f>"ARAPUA"</f>
        <v>ARAPUA</v>
      </c>
      <c r="B346" s="3" t="str">
        <f>"MG"</f>
        <v>MG</v>
      </c>
      <c r="C346" s="3" t="str">
        <f t="shared" si="11"/>
        <v>BRASIL</v>
      </c>
      <c r="D346" s="4" t="str">
        <f>"MG042"</f>
        <v>MG042</v>
      </c>
    </row>
    <row r="347" spans="1:4" x14ac:dyDescent="0.3">
      <c r="A347" s="2" t="str">
        <f>"ARAPUA"</f>
        <v>ARAPUA</v>
      </c>
      <c r="B347" s="3" t="str">
        <f>"PR"</f>
        <v>PR</v>
      </c>
      <c r="C347" s="3" t="str">
        <f t="shared" si="11"/>
        <v>BRASIL</v>
      </c>
      <c r="D347" s="4" t="str">
        <f>"PR020"</f>
        <v>PR020</v>
      </c>
    </row>
    <row r="348" spans="1:4" x14ac:dyDescent="0.3">
      <c r="A348" s="2" t="str">
        <f>"ARAPUTANGA"</f>
        <v>ARAPUTANGA</v>
      </c>
      <c r="B348" s="3" t="str">
        <f>"MT"</f>
        <v>MT</v>
      </c>
      <c r="C348" s="3" t="str">
        <f t="shared" si="11"/>
        <v>BRASIL</v>
      </c>
      <c r="D348" s="4" t="str">
        <f>"MT012"</f>
        <v>MT012</v>
      </c>
    </row>
    <row r="349" spans="1:4" x14ac:dyDescent="0.3">
      <c r="A349" s="2" t="str">
        <f>"ARAQUARI"</f>
        <v>ARAQUARI</v>
      </c>
      <c r="B349" s="3" t="str">
        <f>"SC"</f>
        <v>SC</v>
      </c>
      <c r="C349" s="3" t="str">
        <f t="shared" si="11"/>
        <v>BRASIL</v>
      </c>
      <c r="D349" s="4" t="str">
        <f>"SC018"</f>
        <v>SC018</v>
      </c>
    </row>
    <row r="350" spans="1:4" x14ac:dyDescent="0.3">
      <c r="A350" s="2" t="str">
        <f>"ARARA"</f>
        <v>ARARA</v>
      </c>
      <c r="B350" s="3" t="str">
        <f>"PB"</f>
        <v>PB</v>
      </c>
      <c r="C350" s="3" t="str">
        <f t="shared" si="11"/>
        <v>BRASIL</v>
      </c>
      <c r="D350" s="4" t="str">
        <f>"PB013"</f>
        <v>PB013</v>
      </c>
    </row>
    <row r="351" spans="1:4" x14ac:dyDescent="0.3">
      <c r="A351" s="2" t="str">
        <f>"ARARANGUA"</f>
        <v>ARARANGUA</v>
      </c>
      <c r="B351" s="3" t="str">
        <f>"SC"</f>
        <v>SC</v>
      </c>
      <c r="C351" s="3" t="str">
        <f t="shared" si="11"/>
        <v>BRASIL</v>
      </c>
      <c r="D351" s="4" t="str">
        <f>"SC019"</f>
        <v>SC019</v>
      </c>
    </row>
    <row r="352" spans="1:4" x14ac:dyDescent="0.3">
      <c r="A352" s="2" t="str">
        <f>"ARARAQUARA"</f>
        <v>ARARAQUARA</v>
      </c>
      <c r="B352" s="3" t="str">
        <f>"SP"</f>
        <v>SP</v>
      </c>
      <c r="C352" s="3" t="str">
        <f t="shared" si="11"/>
        <v>BRASIL</v>
      </c>
      <c r="D352" s="4" t="str">
        <f>"SP037"</f>
        <v>SP037</v>
      </c>
    </row>
    <row r="353" spans="1:4" x14ac:dyDescent="0.3">
      <c r="A353" s="2" t="str">
        <f>"ARARAS"</f>
        <v>ARARAS</v>
      </c>
      <c r="B353" s="3" t="str">
        <f>"SP"</f>
        <v>SP</v>
      </c>
      <c r="C353" s="3" t="str">
        <f t="shared" si="11"/>
        <v>BRASIL</v>
      </c>
      <c r="D353" s="4" t="str">
        <f>"SP038"</f>
        <v>SP038</v>
      </c>
    </row>
    <row r="354" spans="1:4" x14ac:dyDescent="0.3">
      <c r="A354" s="2" t="str">
        <f>"ARARENDA"</f>
        <v>ARARENDA</v>
      </c>
      <c r="B354" s="3" t="str">
        <f>"CE"</f>
        <v>CE</v>
      </c>
      <c r="C354" s="3" t="str">
        <f t="shared" si="11"/>
        <v>BRASIL</v>
      </c>
      <c r="D354" s="4" t="str">
        <f>"CE015"</f>
        <v>CE015</v>
      </c>
    </row>
    <row r="355" spans="1:4" x14ac:dyDescent="0.3">
      <c r="A355" s="2" t="str">
        <f>"ARARI"</f>
        <v>ARARI</v>
      </c>
      <c r="B355" s="3" t="str">
        <f>"MA"</f>
        <v>MA</v>
      </c>
      <c r="C355" s="3" t="str">
        <f t="shared" si="11"/>
        <v>BRASIL</v>
      </c>
      <c r="D355" s="4" t="str">
        <f>"MA018"</f>
        <v>MA018</v>
      </c>
    </row>
    <row r="356" spans="1:4" x14ac:dyDescent="0.3">
      <c r="A356" s="2" t="str">
        <f>"ARARICA"</f>
        <v>ARARICA</v>
      </c>
      <c r="B356" s="3" t="str">
        <f>"RS"</f>
        <v>RS</v>
      </c>
      <c r="C356" s="3" t="str">
        <f t="shared" si="11"/>
        <v>BRASIL</v>
      </c>
      <c r="D356" s="4" t="str">
        <f>"RS019"</f>
        <v>RS019</v>
      </c>
    </row>
    <row r="357" spans="1:4" x14ac:dyDescent="0.3">
      <c r="A357" s="2" t="str">
        <f>"ARARIPE"</f>
        <v>ARARIPE</v>
      </c>
      <c r="B357" s="3" t="str">
        <f>"CE"</f>
        <v>CE</v>
      </c>
      <c r="C357" s="3" t="str">
        <f t="shared" si="11"/>
        <v>BRASIL</v>
      </c>
      <c r="D357" s="4" t="str">
        <f>"CE016"</f>
        <v>CE016</v>
      </c>
    </row>
    <row r="358" spans="1:4" x14ac:dyDescent="0.3">
      <c r="A358" s="2" t="str">
        <f>"ARARIPINA"</f>
        <v>ARARIPINA</v>
      </c>
      <c r="B358" s="3" t="str">
        <f>"PE"</f>
        <v>PE</v>
      </c>
      <c r="C358" s="3" t="str">
        <f t="shared" si="11"/>
        <v>BRASIL</v>
      </c>
      <c r="D358" s="4" t="str">
        <f>"PE013"</f>
        <v>PE013</v>
      </c>
    </row>
    <row r="359" spans="1:4" x14ac:dyDescent="0.3">
      <c r="A359" s="2" t="str">
        <f>"ARARUAMA"</f>
        <v>ARARUAMA</v>
      </c>
      <c r="B359" s="3" t="str">
        <f>"RJ"</f>
        <v>RJ</v>
      </c>
      <c r="C359" s="3" t="str">
        <f t="shared" si="11"/>
        <v>BRASIL</v>
      </c>
      <c r="D359" s="4" t="str">
        <f>"RJ003"</f>
        <v>RJ003</v>
      </c>
    </row>
    <row r="360" spans="1:4" x14ac:dyDescent="0.3">
      <c r="A360" s="2" t="str">
        <f>"ARARUNA"</f>
        <v>ARARUNA</v>
      </c>
      <c r="B360" s="3" t="str">
        <f>"PB"</f>
        <v>PB</v>
      </c>
      <c r="C360" s="3" t="str">
        <f t="shared" si="11"/>
        <v>BRASIL</v>
      </c>
      <c r="D360" s="4" t="str">
        <f>"PB014"</f>
        <v>PB014</v>
      </c>
    </row>
    <row r="361" spans="1:4" x14ac:dyDescent="0.3">
      <c r="A361" s="2" t="str">
        <f>"ARARUNA"</f>
        <v>ARARUNA</v>
      </c>
      <c r="B361" s="3" t="str">
        <f>"PR"</f>
        <v>PR</v>
      </c>
      <c r="C361" s="3" t="str">
        <f t="shared" si="11"/>
        <v>BRASIL</v>
      </c>
      <c r="D361" s="4" t="str">
        <f>"PR021"</f>
        <v>PR021</v>
      </c>
    </row>
    <row r="362" spans="1:4" x14ac:dyDescent="0.3">
      <c r="A362" s="2" t="str">
        <f>"ARATACA"</f>
        <v>ARATACA</v>
      </c>
      <c r="B362" s="3" t="str">
        <f>"BA"</f>
        <v>BA</v>
      </c>
      <c r="C362" s="3" t="str">
        <f t="shared" si="11"/>
        <v>BRASIL</v>
      </c>
      <c r="D362" s="4" t="str">
        <f>"BA028"</f>
        <v>BA028</v>
      </c>
    </row>
    <row r="363" spans="1:4" x14ac:dyDescent="0.3">
      <c r="A363" s="2" t="str">
        <f>"ARATIBA"</f>
        <v>ARATIBA</v>
      </c>
      <c r="B363" s="3" t="str">
        <f>"RS"</f>
        <v>RS</v>
      </c>
      <c r="C363" s="3" t="str">
        <f t="shared" si="11"/>
        <v>BRASIL</v>
      </c>
      <c r="D363" s="4" t="str">
        <f>"RS020"</f>
        <v>RS020</v>
      </c>
    </row>
    <row r="364" spans="1:4" x14ac:dyDescent="0.3">
      <c r="A364" s="2" t="str">
        <f>"ARATUBA"</f>
        <v>ARATUBA</v>
      </c>
      <c r="B364" s="3" t="str">
        <f>"CE"</f>
        <v>CE</v>
      </c>
      <c r="C364" s="3" t="str">
        <f t="shared" si="11"/>
        <v>BRASIL</v>
      </c>
      <c r="D364" s="4" t="str">
        <f>"CE017"</f>
        <v>CE017</v>
      </c>
    </row>
    <row r="365" spans="1:4" x14ac:dyDescent="0.3">
      <c r="A365" s="2" t="str">
        <f>"ARATUIPE"</f>
        <v>ARATUIPE</v>
      </c>
      <c r="B365" s="3" t="str">
        <f>"BA"</f>
        <v>BA</v>
      </c>
      <c r="C365" s="3" t="str">
        <f t="shared" si="11"/>
        <v>BRASIL</v>
      </c>
      <c r="D365" s="4" t="str">
        <f>"BA029"</f>
        <v>BA029</v>
      </c>
    </row>
    <row r="366" spans="1:4" x14ac:dyDescent="0.3">
      <c r="A366" s="2" t="str">
        <f>"ARAUA"</f>
        <v>ARAUA</v>
      </c>
      <c r="B366" s="3" t="str">
        <f>"SE"</f>
        <v>SE</v>
      </c>
      <c r="C366" s="3" t="str">
        <f t="shared" si="11"/>
        <v>BRASIL</v>
      </c>
      <c r="D366" s="4" t="str">
        <f>"SE004"</f>
        <v>SE004</v>
      </c>
    </row>
    <row r="367" spans="1:4" x14ac:dyDescent="0.3">
      <c r="A367" s="2" t="str">
        <f>"ARAUCARIA"</f>
        <v>ARAUCARIA</v>
      </c>
      <c r="B367" s="3" t="str">
        <f>"PR"</f>
        <v>PR</v>
      </c>
      <c r="C367" s="3" t="str">
        <f t="shared" si="11"/>
        <v>BRASIL</v>
      </c>
      <c r="D367" s="4" t="str">
        <f>"ARA"</f>
        <v>ARA</v>
      </c>
    </row>
    <row r="368" spans="1:4" x14ac:dyDescent="0.3">
      <c r="A368" s="2" t="str">
        <f>"ARAUJOS"</f>
        <v>ARAUJOS</v>
      </c>
      <c r="B368" s="3" t="str">
        <f>"MG"</f>
        <v>MG</v>
      </c>
      <c r="C368" s="3" t="str">
        <f t="shared" si="11"/>
        <v>BRASIL</v>
      </c>
      <c r="D368" s="4" t="str">
        <f>"MG043"</f>
        <v>MG043</v>
      </c>
    </row>
    <row r="369" spans="1:4" x14ac:dyDescent="0.3">
      <c r="A369" s="2" t="str">
        <f>"ARAXA"</f>
        <v>ARAXA</v>
      </c>
      <c r="B369" s="3" t="str">
        <f>"MG"</f>
        <v>MG</v>
      </c>
      <c r="C369" s="3" t="str">
        <f t="shared" si="11"/>
        <v>BRASIL</v>
      </c>
      <c r="D369" s="4" t="str">
        <f>"MG044"</f>
        <v>MG044</v>
      </c>
    </row>
    <row r="370" spans="1:4" x14ac:dyDescent="0.3">
      <c r="A370" s="2" t="str">
        <f>"ARCEBURGO"</f>
        <v>ARCEBURGO</v>
      </c>
      <c r="B370" s="3" t="str">
        <f>"MG"</f>
        <v>MG</v>
      </c>
      <c r="C370" s="3" t="str">
        <f t="shared" si="11"/>
        <v>BRASIL</v>
      </c>
      <c r="D370" s="4" t="str">
        <f>"MG045"</f>
        <v>MG045</v>
      </c>
    </row>
    <row r="371" spans="1:4" x14ac:dyDescent="0.3">
      <c r="A371" s="2" t="str">
        <f>"ARCO-IRIS"</f>
        <v>ARCO-IRIS</v>
      </c>
      <c r="B371" s="3" t="str">
        <f>"SP"</f>
        <v>SP</v>
      </c>
      <c r="C371" s="3" t="str">
        <f t="shared" si="11"/>
        <v>BRASIL</v>
      </c>
      <c r="D371" s="4" t="str">
        <f>"SP039"</f>
        <v>SP039</v>
      </c>
    </row>
    <row r="372" spans="1:4" x14ac:dyDescent="0.3">
      <c r="A372" s="2" t="str">
        <f>"ARCOS"</f>
        <v>ARCOS</v>
      </c>
      <c r="B372" s="3" t="str">
        <f>"MG"</f>
        <v>MG</v>
      </c>
      <c r="C372" s="3" t="str">
        <f t="shared" si="11"/>
        <v>BRASIL</v>
      </c>
      <c r="D372" s="4" t="str">
        <f>"MG046"</f>
        <v>MG046</v>
      </c>
    </row>
    <row r="373" spans="1:4" x14ac:dyDescent="0.3">
      <c r="A373" s="2" t="str">
        <f>"ARCOVERDE"</f>
        <v>ARCOVERDE</v>
      </c>
      <c r="B373" s="3" t="str">
        <f>"PE"</f>
        <v>PE</v>
      </c>
      <c r="C373" s="3" t="str">
        <f t="shared" si="11"/>
        <v>BRASIL</v>
      </c>
      <c r="D373" s="4" t="str">
        <f>"PE014"</f>
        <v>PE014</v>
      </c>
    </row>
    <row r="374" spans="1:4" x14ac:dyDescent="0.3">
      <c r="A374" s="2" t="str">
        <f>"AREADO"</f>
        <v>AREADO</v>
      </c>
      <c r="B374" s="3" t="str">
        <f>"MG"</f>
        <v>MG</v>
      </c>
      <c r="C374" s="3" t="str">
        <f t="shared" ref="C374:C393" si="12">"BRASIL"</f>
        <v>BRASIL</v>
      </c>
      <c r="D374" s="4" t="str">
        <f>"MG047"</f>
        <v>MG047</v>
      </c>
    </row>
    <row r="375" spans="1:4" x14ac:dyDescent="0.3">
      <c r="A375" s="2" t="str">
        <f>"AREAL"</f>
        <v>AREAL</v>
      </c>
      <c r="B375" s="3" t="str">
        <f>"RJ"</f>
        <v>RJ</v>
      </c>
      <c r="C375" s="3" t="str">
        <f t="shared" si="12"/>
        <v>BRASIL</v>
      </c>
      <c r="D375" s="4" t="str">
        <f>"RJ004"</f>
        <v>RJ004</v>
      </c>
    </row>
    <row r="376" spans="1:4" x14ac:dyDescent="0.3">
      <c r="A376" s="2" t="str">
        <f>"AREALVA"</f>
        <v>AREALVA</v>
      </c>
      <c r="B376" s="3" t="str">
        <f>"SP"</f>
        <v>SP</v>
      </c>
      <c r="C376" s="3" t="str">
        <f t="shared" si="12"/>
        <v>BRASIL</v>
      </c>
      <c r="D376" s="4" t="str">
        <f>"SP040"</f>
        <v>SP040</v>
      </c>
    </row>
    <row r="377" spans="1:4" x14ac:dyDescent="0.3">
      <c r="A377" s="2" t="str">
        <f>"AREIA"</f>
        <v>AREIA</v>
      </c>
      <c r="B377" s="3" t="str">
        <f>"PB"</f>
        <v>PB</v>
      </c>
      <c r="C377" s="3" t="str">
        <f t="shared" si="12"/>
        <v>BRASIL</v>
      </c>
      <c r="D377" s="4" t="str">
        <f>"PB015"</f>
        <v>PB015</v>
      </c>
    </row>
    <row r="378" spans="1:4" x14ac:dyDescent="0.3">
      <c r="A378" s="2" t="str">
        <f>"AREIA BRANCA"</f>
        <v>AREIA BRANCA</v>
      </c>
      <c r="B378" s="3" t="str">
        <f>"RN"</f>
        <v>RN</v>
      </c>
      <c r="C378" s="3" t="str">
        <f t="shared" si="12"/>
        <v>BRASIL</v>
      </c>
      <c r="D378" s="4" t="str">
        <f>"RN011"</f>
        <v>RN011</v>
      </c>
    </row>
    <row r="379" spans="1:4" x14ac:dyDescent="0.3">
      <c r="A379" s="2" t="str">
        <f>"AREIA BRANCA"</f>
        <v>AREIA BRANCA</v>
      </c>
      <c r="B379" s="3" t="str">
        <f>"SE"</f>
        <v>SE</v>
      </c>
      <c r="C379" s="3" t="str">
        <f t="shared" si="12"/>
        <v>BRASIL</v>
      </c>
      <c r="D379" s="4" t="str">
        <f>"SE005"</f>
        <v>SE005</v>
      </c>
    </row>
    <row r="380" spans="1:4" x14ac:dyDescent="0.3">
      <c r="A380" s="2" t="str">
        <f>"AREIA DE BARAUNAS"</f>
        <v>AREIA DE BARAUNAS</v>
      </c>
      <c r="B380" s="3" t="str">
        <f>"PB"</f>
        <v>PB</v>
      </c>
      <c r="C380" s="3" t="str">
        <f t="shared" si="12"/>
        <v>BRASIL</v>
      </c>
      <c r="D380" s="4" t="str">
        <f>"PB016"</f>
        <v>PB016</v>
      </c>
    </row>
    <row r="381" spans="1:4" x14ac:dyDescent="0.3">
      <c r="A381" s="2" t="str">
        <f>"AREIAL"</f>
        <v>AREIAL</v>
      </c>
      <c r="B381" s="3" t="str">
        <f>"PB"</f>
        <v>PB</v>
      </c>
      <c r="C381" s="3" t="str">
        <f t="shared" si="12"/>
        <v>BRASIL</v>
      </c>
      <c r="D381" s="4" t="str">
        <f>"PB017"</f>
        <v>PB017</v>
      </c>
    </row>
    <row r="382" spans="1:4" x14ac:dyDescent="0.3">
      <c r="A382" s="2" t="str">
        <f>"AREIAS"</f>
        <v>AREIAS</v>
      </c>
      <c r="B382" s="3" t="str">
        <f>"SP"</f>
        <v>SP</v>
      </c>
      <c r="C382" s="3" t="str">
        <f t="shared" si="12"/>
        <v>BRASIL</v>
      </c>
      <c r="D382" s="4" t="str">
        <f>"SP041"</f>
        <v>SP041</v>
      </c>
    </row>
    <row r="383" spans="1:4" x14ac:dyDescent="0.3">
      <c r="A383" s="2" t="str">
        <f>"AREIOPOLIS"</f>
        <v>AREIOPOLIS</v>
      </c>
      <c r="B383" s="3" t="str">
        <f>"SP"</f>
        <v>SP</v>
      </c>
      <c r="C383" s="3" t="str">
        <f t="shared" si="12"/>
        <v>BRASIL</v>
      </c>
      <c r="D383" s="4" t="str">
        <f>"SP042"</f>
        <v>SP042</v>
      </c>
    </row>
    <row r="384" spans="1:4" x14ac:dyDescent="0.3">
      <c r="A384" s="2" t="str">
        <f>"ARENAPOLIS"</f>
        <v>ARENAPOLIS</v>
      </c>
      <c r="B384" s="3" t="str">
        <f>"MT"</f>
        <v>MT</v>
      </c>
      <c r="C384" s="3" t="str">
        <f t="shared" si="12"/>
        <v>BRASIL</v>
      </c>
      <c r="D384" s="4" t="str">
        <f>"MT013"</f>
        <v>MT013</v>
      </c>
    </row>
    <row r="385" spans="1:4" x14ac:dyDescent="0.3">
      <c r="A385" s="2" t="str">
        <f>"ARENOPOLIS"</f>
        <v>ARENOPOLIS</v>
      </c>
      <c r="B385" s="3" t="str">
        <f>"GO"</f>
        <v>GO</v>
      </c>
      <c r="C385" s="3" t="str">
        <f t="shared" si="12"/>
        <v>BRASIL</v>
      </c>
      <c r="D385" s="4" t="str">
        <f>"GO026"</f>
        <v>GO026</v>
      </c>
    </row>
    <row r="386" spans="1:4" x14ac:dyDescent="0.3">
      <c r="A386" s="2" t="str">
        <f>"ARES"</f>
        <v>ARES</v>
      </c>
      <c r="B386" s="3" t="str">
        <f>"RN"</f>
        <v>RN</v>
      </c>
      <c r="C386" s="3" t="str">
        <f t="shared" si="12"/>
        <v>BRASIL</v>
      </c>
      <c r="D386" s="4" t="str">
        <f>"RN012"</f>
        <v>RN012</v>
      </c>
    </row>
    <row r="387" spans="1:4" x14ac:dyDescent="0.3">
      <c r="A387" s="2" t="str">
        <f>"ARGIRITA"</f>
        <v>ARGIRITA</v>
      </c>
      <c r="B387" s="3" t="str">
        <f>"MG"</f>
        <v>MG</v>
      </c>
      <c r="C387" s="3" t="str">
        <f t="shared" si="12"/>
        <v>BRASIL</v>
      </c>
      <c r="D387" s="4" t="str">
        <f>"MG048"</f>
        <v>MG048</v>
      </c>
    </row>
    <row r="388" spans="1:4" x14ac:dyDescent="0.3">
      <c r="A388" s="2" t="str">
        <f>"ARICANDUVA"</f>
        <v>ARICANDUVA</v>
      </c>
      <c r="B388" s="3" t="str">
        <f>"MG"</f>
        <v>MG</v>
      </c>
      <c r="C388" s="3" t="str">
        <f t="shared" si="12"/>
        <v>BRASIL</v>
      </c>
      <c r="D388" s="4" t="str">
        <f>"MG049"</f>
        <v>MG049</v>
      </c>
    </row>
    <row r="389" spans="1:4" x14ac:dyDescent="0.3">
      <c r="A389" s="2" t="str">
        <f>"ARINOS"</f>
        <v>ARINOS</v>
      </c>
      <c r="B389" s="3" t="str">
        <f>"MG"</f>
        <v>MG</v>
      </c>
      <c r="C389" s="3" t="str">
        <f t="shared" si="12"/>
        <v>BRASIL</v>
      </c>
      <c r="D389" s="4" t="str">
        <f>"MG050"</f>
        <v>MG050</v>
      </c>
    </row>
    <row r="390" spans="1:4" x14ac:dyDescent="0.3">
      <c r="A390" s="2" t="str">
        <f>"ARIPUANA"</f>
        <v>ARIPUANA</v>
      </c>
      <c r="B390" s="3" t="str">
        <f>"MT"</f>
        <v>MT</v>
      </c>
      <c r="C390" s="3" t="str">
        <f t="shared" si="12"/>
        <v>BRASIL</v>
      </c>
      <c r="D390" s="4" t="str">
        <f>"MT014"</f>
        <v>MT014</v>
      </c>
    </row>
    <row r="391" spans="1:4" x14ac:dyDescent="0.3">
      <c r="A391" s="2" t="str">
        <f>"ARIQUEMES"</f>
        <v>ARIQUEMES</v>
      </c>
      <c r="B391" s="3" t="str">
        <f>"RO"</f>
        <v>RO</v>
      </c>
      <c r="C391" s="3" t="str">
        <f t="shared" si="12"/>
        <v>BRASIL</v>
      </c>
      <c r="D391" s="4" t="str">
        <f>"RO002"</f>
        <v>RO002</v>
      </c>
    </row>
    <row r="392" spans="1:4" x14ac:dyDescent="0.3">
      <c r="A392" s="2" t="str">
        <f>"ARIRANHA"</f>
        <v>ARIRANHA</v>
      </c>
      <c r="B392" s="3" t="str">
        <f>"SP"</f>
        <v>SP</v>
      </c>
      <c r="C392" s="3" t="str">
        <f t="shared" si="12"/>
        <v>BRASIL</v>
      </c>
      <c r="D392" s="4" t="str">
        <f>"SP043"</f>
        <v>SP043</v>
      </c>
    </row>
    <row r="393" spans="1:4" x14ac:dyDescent="0.3">
      <c r="A393" s="2" t="str">
        <f>"ARIRANHA DO IVAI"</f>
        <v>ARIRANHA DO IVAI</v>
      </c>
      <c r="B393" s="3" t="str">
        <f>"PR"</f>
        <v>PR</v>
      </c>
      <c r="C393" s="3" t="str">
        <f t="shared" si="12"/>
        <v>BRASIL</v>
      </c>
      <c r="D393" s="4" t="str">
        <f>"PR023"</f>
        <v>PR023</v>
      </c>
    </row>
    <row r="394" spans="1:4" x14ac:dyDescent="0.3">
      <c r="A394" s="2" t="str">
        <f>"ARLINGTON HEIGHTS"</f>
        <v>ARLINGTON HEIGHTS</v>
      </c>
      <c r="B394" s="3" t="str">
        <f>"ex"</f>
        <v>ex</v>
      </c>
      <c r="C394" s="3" t="str">
        <f>"ESTADOS UNIDOS"</f>
        <v>ESTADOS UNIDOS</v>
      </c>
      <c r="D394" s="4" t="str">
        <f>"ARLIN"</f>
        <v>ARLIN</v>
      </c>
    </row>
    <row r="395" spans="1:4" x14ac:dyDescent="0.3">
      <c r="A395" s="2" t="str">
        <f>"ARMACAO DOS BUZIOS"</f>
        <v>ARMACAO DOS BUZIOS</v>
      </c>
      <c r="B395" s="3" t="str">
        <f>"RJ"</f>
        <v>RJ</v>
      </c>
      <c r="C395" s="3" t="str">
        <f t="shared" ref="C395:C415" si="13">"BRASIL"</f>
        <v>BRASIL</v>
      </c>
      <c r="D395" s="4" t="str">
        <f>"RJ005"</f>
        <v>RJ005</v>
      </c>
    </row>
    <row r="396" spans="1:4" x14ac:dyDescent="0.3">
      <c r="A396" s="2" t="str">
        <f>"ARMAZEM"</f>
        <v>ARMAZEM</v>
      </c>
      <c r="B396" s="3" t="str">
        <f>"SC"</f>
        <v>SC</v>
      </c>
      <c r="C396" s="3" t="str">
        <f t="shared" si="13"/>
        <v>BRASIL</v>
      </c>
      <c r="D396" s="4" t="str">
        <f>"SC020"</f>
        <v>SC020</v>
      </c>
    </row>
    <row r="397" spans="1:4" x14ac:dyDescent="0.3">
      <c r="A397" s="2" t="str">
        <f>"ARNEIROZ"</f>
        <v>ARNEIROZ</v>
      </c>
      <c r="B397" s="3" t="str">
        <f>"CE"</f>
        <v>CE</v>
      </c>
      <c r="C397" s="3" t="str">
        <f t="shared" si="13"/>
        <v>BRASIL</v>
      </c>
      <c r="D397" s="4" t="str">
        <f>"CE018"</f>
        <v>CE018</v>
      </c>
    </row>
    <row r="398" spans="1:4" x14ac:dyDescent="0.3">
      <c r="A398" s="2" t="str">
        <f>"AROAZES"</f>
        <v>AROAZES</v>
      </c>
      <c r="B398" s="3" t="str">
        <f>"PI"</f>
        <v>PI</v>
      </c>
      <c r="C398" s="3" t="str">
        <f t="shared" si="13"/>
        <v>BRASIL</v>
      </c>
      <c r="D398" s="4" t="str">
        <f>"PI013"</f>
        <v>PI013</v>
      </c>
    </row>
    <row r="399" spans="1:4" x14ac:dyDescent="0.3">
      <c r="A399" s="2" t="str">
        <f>"AROEIRAS"</f>
        <v>AROEIRAS</v>
      </c>
      <c r="B399" s="3" t="str">
        <f>"PB"</f>
        <v>PB</v>
      </c>
      <c r="C399" s="3" t="str">
        <f t="shared" si="13"/>
        <v>BRASIL</v>
      </c>
      <c r="D399" s="4" t="str">
        <f>"PB018"</f>
        <v>PB018</v>
      </c>
    </row>
    <row r="400" spans="1:4" x14ac:dyDescent="0.3">
      <c r="A400" s="2" t="str">
        <f>"AROEIRAS DO ITAIM"</f>
        <v>AROEIRAS DO ITAIM</v>
      </c>
      <c r="B400" s="3" t="str">
        <f>"PI"</f>
        <v>PI</v>
      </c>
      <c r="C400" s="3" t="str">
        <f t="shared" si="13"/>
        <v>BRASIL</v>
      </c>
      <c r="D400" s="4" t="str">
        <f>"PI014"</f>
        <v>PI014</v>
      </c>
    </row>
    <row r="401" spans="1:4" x14ac:dyDescent="0.3">
      <c r="A401" s="2" t="str">
        <f>"ARRAIAL"</f>
        <v>ARRAIAL</v>
      </c>
      <c r="B401" s="3" t="str">
        <f>"PI"</f>
        <v>PI</v>
      </c>
      <c r="C401" s="3" t="str">
        <f t="shared" si="13"/>
        <v>BRASIL</v>
      </c>
      <c r="D401" s="4" t="str">
        <f>"PI015"</f>
        <v>PI015</v>
      </c>
    </row>
    <row r="402" spans="1:4" x14ac:dyDescent="0.3">
      <c r="A402" s="2" t="str">
        <f>"ARRAIAL DO CABO"</f>
        <v>ARRAIAL DO CABO</v>
      </c>
      <c r="B402" s="3" t="str">
        <f>"RJ"</f>
        <v>RJ</v>
      </c>
      <c r="C402" s="3" t="str">
        <f t="shared" si="13"/>
        <v>BRASIL</v>
      </c>
      <c r="D402" s="4" t="str">
        <f>"RJ006"</f>
        <v>RJ006</v>
      </c>
    </row>
    <row r="403" spans="1:4" x14ac:dyDescent="0.3">
      <c r="A403" s="2" t="str">
        <f>"ARRAIAS"</f>
        <v>ARRAIAS</v>
      </c>
      <c r="B403" s="3" t="str">
        <f>"TO"</f>
        <v>TO</v>
      </c>
      <c r="C403" s="3" t="str">
        <f t="shared" si="13"/>
        <v>BRASIL</v>
      </c>
      <c r="D403" s="4" t="str">
        <f>"TO016"</f>
        <v>TO016</v>
      </c>
    </row>
    <row r="404" spans="1:4" x14ac:dyDescent="0.3">
      <c r="A404" s="2" t="str">
        <f>"ARROIO DO MEIO"</f>
        <v>ARROIO DO MEIO</v>
      </c>
      <c r="B404" s="3" t="str">
        <f t="shared" ref="B404:B409" si="14">"RS"</f>
        <v>RS</v>
      </c>
      <c r="C404" s="3" t="str">
        <f t="shared" si="13"/>
        <v>BRASIL</v>
      </c>
      <c r="D404" s="4" t="str">
        <f>"RS021"</f>
        <v>RS021</v>
      </c>
    </row>
    <row r="405" spans="1:4" x14ac:dyDescent="0.3">
      <c r="A405" s="2" t="str">
        <f>"ARROIO DO PADRE"</f>
        <v>ARROIO DO PADRE</v>
      </c>
      <c r="B405" s="3" t="str">
        <f t="shared" si="14"/>
        <v>RS</v>
      </c>
      <c r="C405" s="3" t="str">
        <f t="shared" si="13"/>
        <v>BRASIL</v>
      </c>
      <c r="D405" s="4" t="str">
        <f>"RS023"</f>
        <v>RS023</v>
      </c>
    </row>
    <row r="406" spans="1:4" x14ac:dyDescent="0.3">
      <c r="A406" s="2" t="str">
        <f>"ARROIO DO SAL"</f>
        <v>ARROIO DO SAL</v>
      </c>
      <c r="B406" s="3" t="str">
        <f t="shared" si="14"/>
        <v>RS</v>
      </c>
      <c r="C406" s="3" t="str">
        <f t="shared" si="13"/>
        <v>BRASIL</v>
      </c>
      <c r="D406" s="4" t="str">
        <f>"RS022"</f>
        <v>RS022</v>
      </c>
    </row>
    <row r="407" spans="1:4" x14ac:dyDescent="0.3">
      <c r="A407" s="2" t="str">
        <f>"ARROIO DO TIGRE"</f>
        <v>ARROIO DO TIGRE</v>
      </c>
      <c r="B407" s="3" t="str">
        <f t="shared" si="14"/>
        <v>RS</v>
      </c>
      <c r="C407" s="3" t="str">
        <f t="shared" si="13"/>
        <v>BRASIL</v>
      </c>
      <c r="D407" s="4" t="str">
        <f>"RS025"</f>
        <v>RS025</v>
      </c>
    </row>
    <row r="408" spans="1:4" x14ac:dyDescent="0.3">
      <c r="A408" s="2" t="str">
        <f>"ARROIO DOS RATOS"</f>
        <v>ARROIO DOS RATOS</v>
      </c>
      <c r="B408" s="3" t="str">
        <f t="shared" si="14"/>
        <v>RS</v>
      </c>
      <c r="C408" s="3" t="str">
        <f t="shared" si="13"/>
        <v>BRASIL</v>
      </c>
      <c r="D408" s="4" t="str">
        <f>"RS024"</f>
        <v>RS024</v>
      </c>
    </row>
    <row r="409" spans="1:4" x14ac:dyDescent="0.3">
      <c r="A409" s="2" t="str">
        <f>"ARROIO GRANDE"</f>
        <v>ARROIO GRANDE</v>
      </c>
      <c r="B409" s="3" t="str">
        <f t="shared" si="14"/>
        <v>RS</v>
      </c>
      <c r="C409" s="3" t="str">
        <f t="shared" si="13"/>
        <v>BRASIL</v>
      </c>
      <c r="D409" s="4" t="str">
        <f>"RS026"</f>
        <v>RS026</v>
      </c>
    </row>
    <row r="410" spans="1:4" x14ac:dyDescent="0.3">
      <c r="A410" s="2" t="str">
        <f>"ARROIO TRINTA"</f>
        <v>ARROIO TRINTA</v>
      </c>
      <c r="B410" s="3" t="str">
        <f>"SC"</f>
        <v>SC</v>
      </c>
      <c r="C410" s="3" t="str">
        <f t="shared" si="13"/>
        <v>BRASIL</v>
      </c>
      <c r="D410" s="4" t="str">
        <f>"SC021"</f>
        <v>SC021</v>
      </c>
    </row>
    <row r="411" spans="1:4" x14ac:dyDescent="0.3">
      <c r="A411" s="2" t="str">
        <f>"ARTUR NOGUEIRA"</f>
        <v>ARTUR NOGUEIRA</v>
      </c>
      <c r="B411" s="3" t="str">
        <f>"SP"</f>
        <v>SP</v>
      </c>
      <c r="C411" s="3" t="str">
        <f t="shared" si="13"/>
        <v>BRASIL</v>
      </c>
      <c r="D411" s="4" t="str">
        <f>"SP044"</f>
        <v>SP044</v>
      </c>
    </row>
    <row r="412" spans="1:4" x14ac:dyDescent="0.3">
      <c r="A412" s="2" t="str">
        <f>"ARUANA"</f>
        <v>ARUANA</v>
      </c>
      <c r="B412" s="3" t="str">
        <f>"GO"</f>
        <v>GO</v>
      </c>
      <c r="C412" s="3" t="str">
        <f t="shared" si="13"/>
        <v>BRASIL</v>
      </c>
      <c r="D412" s="4" t="str">
        <f>"GO027"</f>
        <v>GO027</v>
      </c>
    </row>
    <row r="413" spans="1:4" x14ac:dyDescent="0.3">
      <c r="A413" s="2" t="str">
        <f>"ARUJA"</f>
        <v>ARUJA</v>
      </c>
      <c r="B413" s="3" t="str">
        <f>"SP"</f>
        <v>SP</v>
      </c>
      <c r="C413" s="3" t="str">
        <f t="shared" si="13"/>
        <v>BRASIL</v>
      </c>
      <c r="D413" s="4" t="str">
        <f>"SP045"</f>
        <v>SP045</v>
      </c>
    </row>
    <row r="414" spans="1:4" x14ac:dyDescent="0.3">
      <c r="A414" s="2" t="str">
        <f>"ARVOREDO"</f>
        <v>ARVOREDO</v>
      </c>
      <c r="B414" s="3" t="str">
        <f>"SC"</f>
        <v>SC</v>
      </c>
      <c r="C414" s="3" t="str">
        <f t="shared" si="13"/>
        <v>BRASIL</v>
      </c>
      <c r="D414" s="4" t="str">
        <f>"SC022"</f>
        <v>SC022</v>
      </c>
    </row>
    <row r="415" spans="1:4" x14ac:dyDescent="0.3">
      <c r="A415" s="2" t="str">
        <f>"ARVOREZINHA"</f>
        <v>ARVOREZINHA</v>
      </c>
      <c r="B415" s="3" t="str">
        <f>"RS"</f>
        <v>RS</v>
      </c>
      <c r="C415" s="3" t="str">
        <f t="shared" si="13"/>
        <v>BRASIL</v>
      </c>
      <c r="D415" s="4" t="str">
        <f>"RS027"</f>
        <v>RS027</v>
      </c>
    </row>
    <row r="416" spans="1:4" x14ac:dyDescent="0.3">
      <c r="A416" s="2" t="str">
        <f>"ASCHAFFERNBURG"</f>
        <v>ASCHAFFERNBURG</v>
      </c>
      <c r="B416" s="3" t="str">
        <f>"EX"</f>
        <v>EX</v>
      </c>
      <c r="C416" s="3" t="str">
        <f>"ALEMANHA"</f>
        <v>ALEMANHA</v>
      </c>
      <c r="D416" s="4" t="str">
        <f>"ASCH"</f>
        <v>ASCH</v>
      </c>
    </row>
    <row r="417" spans="1:4" x14ac:dyDescent="0.3">
      <c r="A417" s="2" t="str">
        <f>"ASCURRA"</f>
        <v>ASCURRA</v>
      </c>
      <c r="B417" s="3" t="str">
        <f>"SC"</f>
        <v>SC</v>
      </c>
      <c r="C417" s="3" t="str">
        <f t="shared" ref="C417:C434" si="15">"BRASIL"</f>
        <v>BRASIL</v>
      </c>
      <c r="D417" s="4" t="str">
        <f>"SC023"</f>
        <v>SC023</v>
      </c>
    </row>
    <row r="418" spans="1:4" x14ac:dyDescent="0.3">
      <c r="A418" s="2" t="str">
        <f>"ASPASIA"</f>
        <v>ASPASIA</v>
      </c>
      <c r="B418" s="3" t="str">
        <f>"SP"</f>
        <v>SP</v>
      </c>
      <c r="C418" s="3" t="str">
        <f t="shared" si="15"/>
        <v>BRASIL</v>
      </c>
      <c r="D418" s="4" t="str">
        <f>"SP046"</f>
        <v>SP046</v>
      </c>
    </row>
    <row r="419" spans="1:4" x14ac:dyDescent="0.3">
      <c r="A419" s="2" t="str">
        <f>"ASSAI"</f>
        <v>ASSAI</v>
      </c>
      <c r="B419" s="3" t="str">
        <f>"PR"</f>
        <v>PR</v>
      </c>
      <c r="C419" s="3" t="str">
        <f t="shared" si="15"/>
        <v>BRASIL</v>
      </c>
      <c r="D419" s="4" t="str">
        <f>"PR024"</f>
        <v>PR024</v>
      </c>
    </row>
    <row r="420" spans="1:4" x14ac:dyDescent="0.3">
      <c r="A420" s="2" t="str">
        <f>"ASSARE"</f>
        <v>ASSARE</v>
      </c>
      <c r="B420" s="3" t="str">
        <f>"CE"</f>
        <v>CE</v>
      </c>
      <c r="C420" s="3" t="str">
        <f t="shared" si="15"/>
        <v>BRASIL</v>
      </c>
      <c r="D420" s="4" t="str">
        <f>"CE019"</f>
        <v>CE019</v>
      </c>
    </row>
    <row r="421" spans="1:4" x14ac:dyDescent="0.3">
      <c r="A421" s="2" t="str">
        <f>"ASSIS"</f>
        <v>ASSIS</v>
      </c>
      <c r="B421" s="3" t="str">
        <f>"SP"</f>
        <v>SP</v>
      </c>
      <c r="C421" s="3" t="str">
        <f t="shared" si="15"/>
        <v>BRASIL</v>
      </c>
      <c r="D421" s="4" t="str">
        <f>"SP047"</f>
        <v>SP047</v>
      </c>
    </row>
    <row r="422" spans="1:4" x14ac:dyDescent="0.3">
      <c r="A422" s="2" t="str">
        <f>"ASSIS BRASIL"</f>
        <v>ASSIS BRASIL</v>
      </c>
      <c r="B422" s="3" t="str">
        <f>"AC"</f>
        <v>AC</v>
      </c>
      <c r="C422" s="3" t="str">
        <f t="shared" si="15"/>
        <v>BRASIL</v>
      </c>
      <c r="D422" s="4" t="str">
        <f>"AC002"</f>
        <v>AC002</v>
      </c>
    </row>
    <row r="423" spans="1:4" x14ac:dyDescent="0.3">
      <c r="A423" s="2" t="str">
        <f>"ASSIS CHATEAUBRIAND"</f>
        <v>ASSIS CHATEAUBRIAND</v>
      </c>
      <c r="B423" s="3" t="str">
        <f>"PR"</f>
        <v>PR</v>
      </c>
      <c r="C423" s="3" t="str">
        <f t="shared" si="15"/>
        <v>BRASIL</v>
      </c>
      <c r="D423" s="4" t="str">
        <f>"PR025"</f>
        <v>PR025</v>
      </c>
    </row>
    <row r="424" spans="1:4" x14ac:dyDescent="0.3">
      <c r="A424" s="2" t="str">
        <f>"ASSUNCAO"</f>
        <v>ASSUNCAO</v>
      </c>
      <c r="B424" s="3" t="str">
        <f>"PB"</f>
        <v>PB</v>
      </c>
      <c r="C424" s="3" t="str">
        <f t="shared" si="15"/>
        <v>BRASIL</v>
      </c>
      <c r="D424" s="4" t="str">
        <f>"PB019"</f>
        <v>PB019</v>
      </c>
    </row>
    <row r="425" spans="1:4" x14ac:dyDescent="0.3">
      <c r="A425" s="2" t="str">
        <f>"ASSUNCAO DO PIAUI"</f>
        <v>ASSUNCAO DO PIAUI</v>
      </c>
      <c r="B425" s="3" t="str">
        <f>"PI"</f>
        <v>PI</v>
      </c>
      <c r="C425" s="3" t="str">
        <f t="shared" si="15"/>
        <v>BRASIL</v>
      </c>
      <c r="D425" s="4" t="str">
        <f>"PI016"</f>
        <v>PI016</v>
      </c>
    </row>
    <row r="426" spans="1:4" x14ac:dyDescent="0.3">
      <c r="A426" s="2" t="str">
        <f>"ASTOLFO DUTRA"</f>
        <v>ASTOLFO DUTRA</v>
      </c>
      <c r="B426" s="3" t="str">
        <f>"MG"</f>
        <v>MG</v>
      </c>
      <c r="C426" s="3" t="str">
        <f t="shared" si="15"/>
        <v>BRASIL</v>
      </c>
      <c r="D426" s="4" t="str">
        <f>"MG051"</f>
        <v>MG051</v>
      </c>
    </row>
    <row r="427" spans="1:4" x14ac:dyDescent="0.3">
      <c r="A427" s="2" t="str">
        <f>"ASTORGA"</f>
        <v>ASTORGA</v>
      </c>
      <c r="B427" s="3" t="str">
        <f>"PR"</f>
        <v>PR</v>
      </c>
      <c r="C427" s="3" t="str">
        <f t="shared" si="15"/>
        <v>BRASIL</v>
      </c>
      <c r="D427" s="4" t="str">
        <f>"PR026"</f>
        <v>PR026</v>
      </c>
    </row>
    <row r="428" spans="1:4" x14ac:dyDescent="0.3">
      <c r="A428" s="2" t="str">
        <f>"ATALAIA"</f>
        <v>ATALAIA</v>
      </c>
      <c r="B428" s="3" t="str">
        <f>"AL"</f>
        <v>AL</v>
      </c>
      <c r="C428" s="3" t="str">
        <f t="shared" si="15"/>
        <v>BRASIL</v>
      </c>
      <c r="D428" s="4" t="str">
        <f>"AL004"</f>
        <v>AL004</v>
      </c>
    </row>
    <row r="429" spans="1:4" x14ac:dyDescent="0.3">
      <c r="A429" s="2" t="str">
        <f>"ATALAIA"</f>
        <v>ATALAIA</v>
      </c>
      <c r="B429" s="3" t="str">
        <f>"PR"</f>
        <v>PR</v>
      </c>
      <c r="C429" s="3" t="str">
        <f t="shared" si="15"/>
        <v>BRASIL</v>
      </c>
      <c r="D429" s="4" t="str">
        <f>"PR027"</f>
        <v>PR027</v>
      </c>
    </row>
    <row r="430" spans="1:4" x14ac:dyDescent="0.3">
      <c r="A430" s="2" t="str">
        <f>"ATALAIA DO NORTE"</f>
        <v>ATALAIA DO NORTE</v>
      </c>
      <c r="B430" s="3" t="str">
        <f>"AM"</f>
        <v>AM</v>
      </c>
      <c r="C430" s="3" t="str">
        <f t="shared" si="15"/>
        <v>BRASIL</v>
      </c>
      <c r="D430" s="4" t="str">
        <f>"AM006"</f>
        <v>AM006</v>
      </c>
    </row>
    <row r="431" spans="1:4" x14ac:dyDescent="0.3">
      <c r="A431" s="2" t="str">
        <f>"ATALANTA"</f>
        <v>ATALANTA</v>
      </c>
      <c r="B431" s="3" t="str">
        <f>"SC"</f>
        <v>SC</v>
      </c>
      <c r="C431" s="3" t="str">
        <f t="shared" si="15"/>
        <v>BRASIL</v>
      </c>
      <c r="D431" s="4" t="str">
        <f>"SC024"</f>
        <v>SC024</v>
      </c>
    </row>
    <row r="432" spans="1:4" x14ac:dyDescent="0.3">
      <c r="A432" s="2" t="str">
        <f>"ATALEIA"</f>
        <v>ATALEIA</v>
      </c>
      <c r="B432" s="3" t="str">
        <f>"MG"</f>
        <v>MG</v>
      </c>
      <c r="C432" s="3" t="str">
        <f t="shared" si="15"/>
        <v>BRASIL</v>
      </c>
      <c r="D432" s="4" t="str">
        <f>"MG052"</f>
        <v>MG052</v>
      </c>
    </row>
    <row r="433" spans="1:4" x14ac:dyDescent="0.3">
      <c r="A433" s="2" t="str">
        <f>"ATIBAIA"</f>
        <v>ATIBAIA</v>
      </c>
      <c r="B433" s="3" t="str">
        <f>"SP"</f>
        <v>SP</v>
      </c>
      <c r="C433" s="3" t="str">
        <f t="shared" si="15"/>
        <v>BRASIL</v>
      </c>
      <c r="D433" s="4" t="str">
        <f>"SP048"</f>
        <v>SP048</v>
      </c>
    </row>
    <row r="434" spans="1:4" x14ac:dyDescent="0.3">
      <c r="A434" s="2" t="str">
        <f>"ATILIO VIVACQUA"</f>
        <v>ATILIO VIVACQUA</v>
      </c>
      <c r="B434" s="3" t="str">
        <f>"ES"</f>
        <v>ES</v>
      </c>
      <c r="C434" s="3" t="str">
        <f t="shared" si="15"/>
        <v>BRASIL</v>
      </c>
      <c r="D434" s="4" t="str">
        <f>"ES010"</f>
        <v>ES010</v>
      </c>
    </row>
    <row r="435" spans="1:4" x14ac:dyDescent="0.3">
      <c r="A435" s="2" t="str">
        <f>"ATLANTA"</f>
        <v>ATLANTA</v>
      </c>
      <c r="B435" s="3" t="str">
        <f>"EX"</f>
        <v>EX</v>
      </c>
      <c r="C435" s="3" t="str">
        <f>"ESTADOS UNIDOS"</f>
        <v>ESTADOS UNIDOS</v>
      </c>
      <c r="D435" s="4" t="str">
        <f>"ATLAN"</f>
        <v>ATLAN</v>
      </c>
    </row>
    <row r="436" spans="1:4" x14ac:dyDescent="0.3">
      <c r="A436" s="2" t="str">
        <f>"AUCKLAND"</f>
        <v>AUCKLAND</v>
      </c>
      <c r="B436" s="3" t="str">
        <f>"EX"</f>
        <v>EX</v>
      </c>
      <c r="C436" s="3" t="str">
        <f>"NOVA ZELANDIA"</f>
        <v>NOVA ZELANDIA</v>
      </c>
      <c r="D436" s="4" t="str">
        <f>"NZ001"</f>
        <v>NZ001</v>
      </c>
    </row>
    <row r="437" spans="1:4" x14ac:dyDescent="0.3">
      <c r="A437" s="2" t="str">
        <f>"AUGUSTINOPOLIS"</f>
        <v>AUGUSTINOPOLIS</v>
      </c>
      <c r="B437" s="3" t="str">
        <f>"TO"</f>
        <v>TO</v>
      </c>
      <c r="C437" s="3" t="str">
        <f t="shared" ref="C437:C463" si="16">"BRASIL"</f>
        <v>BRASIL</v>
      </c>
      <c r="D437" s="4" t="str">
        <f>"TO017"</f>
        <v>TO017</v>
      </c>
    </row>
    <row r="438" spans="1:4" x14ac:dyDescent="0.3">
      <c r="A438" s="2" t="str">
        <f>"AUGUSTO CORREA"</f>
        <v>AUGUSTO CORREA</v>
      </c>
      <c r="B438" s="3" t="str">
        <f>"PA"</f>
        <v>PA</v>
      </c>
      <c r="C438" s="3" t="str">
        <f t="shared" si="16"/>
        <v>BRASIL</v>
      </c>
      <c r="D438" s="4" t="str">
        <f>"PA012"</f>
        <v>PA012</v>
      </c>
    </row>
    <row r="439" spans="1:4" x14ac:dyDescent="0.3">
      <c r="A439" s="2" t="str">
        <f>"AUGUSTO DE LIMA"</f>
        <v>AUGUSTO DE LIMA</v>
      </c>
      <c r="B439" s="3" t="str">
        <f>"MG"</f>
        <v>MG</v>
      </c>
      <c r="C439" s="3" t="str">
        <f t="shared" si="16"/>
        <v>BRASIL</v>
      </c>
      <c r="D439" s="4" t="str">
        <f>"MG053"</f>
        <v>MG053</v>
      </c>
    </row>
    <row r="440" spans="1:4" x14ac:dyDescent="0.3">
      <c r="A440" s="2" t="str">
        <f>"AUGUSTO PESTANA"</f>
        <v>AUGUSTO PESTANA</v>
      </c>
      <c r="B440" s="3" t="str">
        <f>"RS"</f>
        <v>RS</v>
      </c>
      <c r="C440" s="3" t="str">
        <f t="shared" si="16"/>
        <v>BRASIL</v>
      </c>
      <c r="D440" s="4" t="str">
        <f>"RS028"</f>
        <v>RS028</v>
      </c>
    </row>
    <row r="441" spans="1:4" x14ac:dyDescent="0.3">
      <c r="A441" s="2" t="str">
        <f>"AUGUSTO SEVERO"</f>
        <v>AUGUSTO SEVERO</v>
      </c>
      <c r="B441" s="3" t="str">
        <f>"RN"</f>
        <v>RN</v>
      </c>
      <c r="C441" s="3" t="str">
        <f t="shared" si="16"/>
        <v>BRASIL</v>
      </c>
      <c r="D441" s="4" t="str">
        <f>"RN013"</f>
        <v>RN013</v>
      </c>
    </row>
    <row r="442" spans="1:4" x14ac:dyDescent="0.3">
      <c r="A442" s="2" t="str">
        <f>"AUREA"</f>
        <v>AUREA</v>
      </c>
      <c r="B442" s="3" t="str">
        <f>"RS"</f>
        <v>RS</v>
      </c>
      <c r="C442" s="3" t="str">
        <f t="shared" si="16"/>
        <v>BRASIL</v>
      </c>
      <c r="D442" s="4" t="str">
        <f>"RS029"</f>
        <v>RS029</v>
      </c>
    </row>
    <row r="443" spans="1:4" x14ac:dyDescent="0.3">
      <c r="A443" s="2" t="str">
        <f>"AURELINO LEAL"</f>
        <v>AURELINO LEAL</v>
      </c>
      <c r="B443" s="3" t="str">
        <f>"BA"</f>
        <v>BA</v>
      </c>
      <c r="C443" s="3" t="str">
        <f t="shared" si="16"/>
        <v>BRASIL</v>
      </c>
      <c r="D443" s="4" t="str">
        <f>"BA030"</f>
        <v>BA030</v>
      </c>
    </row>
    <row r="444" spans="1:4" x14ac:dyDescent="0.3">
      <c r="A444" s="2" t="str">
        <f>"AURIFLAMA"</f>
        <v>AURIFLAMA</v>
      </c>
      <c r="B444" s="3" t="str">
        <f>"SP"</f>
        <v>SP</v>
      </c>
      <c r="C444" s="3" t="str">
        <f t="shared" si="16"/>
        <v>BRASIL</v>
      </c>
      <c r="D444" s="4" t="str">
        <f>"SP049"</f>
        <v>SP049</v>
      </c>
    </row>
    <row r="445" spans="1:4" x14ac:dyDescent="0.3">
      <c r="A445" s="2" t="str">
        <f>"AURILANDIA"</f>
        <v>AURILANDIA</v>
      </c>
      <c r="B445" s="3" t="str">
        <f>"GO"</f>
        <v>GO</v>
      </c>
      <c r="C445" s="3" t="str">
        <f t="shared" si="16"/>
        <v>BRASIL</v>
      </c>
      <c r="D445" s="4" t="str">
        <f>"GO028"</f>
        <v>GO028</v>
      </c>
    </row>
    <row r="446" spans="1:4" x14ac:dyDescent="0.3">
      <c r="A446" s="2" t="str">
        <f>"AURORA"</f>
        <v>AURORA</v>
      </c>
      <c r="B446" s="3" t="str">
        <f>"CE"</f>
        <v>CE</v>
      </c>
      <c r="C446" s="3" t="str">
        <f t="shared" si="16"/>
        <v>BRASIL</v>
      </c>
      <c r="D446" s="4" t="str">
        <f>"CE020"</f>
        <v>CE020</v>
      </c>
    </row>
    <row r="447" spans="1:4" x14ac:dyDescent="0.3">
      <c r="A447" s="2" t="str">
        <f>"AURORA"</f>
        <v>AURORA</v>
      </c>
      <c r="B447" s="3" t="str">
        <f>"SC"</f>
        <v>SC</v>
      </c>
      <c r="C447" s="3" t="str">
        <f t="shared" si="16"/>
        <v>BRASIL</v>
      </c>
      <c r="D447" s="4" t="str">
        <f>"SC025"</f>
        <v>SC025</v>
      </c>
    </row>
    <row r="448" spans="1:4" x14ac:dyDescent="0.3">
      <c r="A448" s="2" t="str">
        <f>"AURORA DO PARA"</f>
        <v>AURORA DO PARA</v>
      </c>
      <c r="B448" s="3" t="str">
        <f>"PA"</f>
        <v>PA</v>
      </c>
      <c r="C448" s="3" t="str">
        <f t="shared" si="16"/>
        <v>BRASIL</v>
      </c>
      <c r="D448" s="4" t="str">
        <f>"PA013"</f>
        <v>PA013</v>
      </c>
    </row>
    <row r="449" spans="1:4" x14ac:dyDescent="0.3">
      <c r="A449" s="2" t="str">
        <f>"AURORA DO TOCANTINS"</f>
        <v>AURORA DO TOCANTINS</v>
      </c>
      <c r="B449" s="3" t="str">
        <f>"TO"</f>
        <v>TO</v>
      </c>
      <c r="C449" s="3" t="str">
        <f t="shared" si="16"/>
        <v>BRASIL</v>
      </c>
      <c r="D449" s="4" t="str">
        <f>"TO018"</f>
        <v>TO018</v>
      </c>
    </row>
    <row r="450" spans="1:4" x14ac:dyDescent="0.3">
      <c r="A450" s="2" t="str">
        <f>"AUTAZES"</f>
        <v>AUTAZES</v>
      </c>
      <c r="B450" s="3" t="str">
        <f>"AM"</f>
        <v>AM</v>
      </c>
      <c r="C450" s="3" t="str">
        <f t="shared" si="16"/>
        <v>BRASIL</v>
      </c>
      <c r="D450" s="4" t="str">
        <f>"AM007"</f>
        <v>AM007</v>
      </c>
    </row>
    <row r="451" spans="1:4" x14ac:dyDescent="0.3">
      <c r="A451" s="2" t="str">
        <f>"AVAI"</f>
        <v>AVAI</v>
      </c>
      <c r="B451" s="3" t="str">
        <f>"SP"</f>
        <v>SP</v>
      </c>
      <c r="C451" s="3" t="str">
        <f t="shared" si="16"/>
        <v>BRASIL</v>
      </c>
      <c r="D451" s="4" t="str">
        <f>"SP050"</f>
        <v>SP050</v>
      </c>
    </row>
    <row r="452" spans="1:4" x14ac:dyDescent="0.3">
      <c r="A452" s="2" t="str">
        <f>"AVANHANDAVA"</f>
        <v>AVANHANDAVA</v>
      </c>
      <c r="B452" s="3" t="str">
        <f>"SP"</f>
        <v>SP</v>
      </c>
      <c r="C452" s="3" t="str">
        <f t="shared" si="16"/>
        <v>BRASIL</v>
      </c>
      <c r="D452" s="4" t="str">
        <f>"SP051"</f>
        <v>SP051</v>
      </c>
    </row>
    <row r="453" spans="1:4" x14ac:dyDescent="0.3">
      <c r="A453" s="2" t="str">
        <f>"AVARE"</f>
        <v>AVARE</v>
      </c>
      <c r="B453" s="3" t="str">
        <f>"SP"</f>
        <v>SP</v>
      </c>
      <c r="C453" s="3" t="str">
        <f t="shared" si="16"/>
        <v>BRASIL</v>
      </c>
      <c r="D453" s="4" t="str">
        <f>"SP052"</f>
        <v>SP052</v>
      </c>
    </row>
    <row r="454" spans="1:4" x14ac:dyDescent="0.3">
      <c r="A454" s="2" t="str">
        <f>"AVEIRO"</f>
        <v>AVEIRO</v>
      </c>
      <c r="B454" s="3" t="str">
        <f>"PA"</f>
        <v>PA</v>
      </c>
      <c r="C454" s="3" t="str">
        <f t="shared" si="16"/>
        <v>BRASIL</v>
      </c>
      <c r="D454" s="4" t="str">
        <f>"PA014"</f>
        <v>PA014</v>
      </c>
    </row>
    <row r="455" spans="1:4" x14ac:dyDescent="0.3">
      <c r="A455" s="2" t="str">
        <f>"AVELINO LOPES"</f>
        <v>AVELINO LOPES</v>
      </c>
      <c r="B455" s="3" t="str">
        <f>"PI"</f>
        <v>PI</v>
      </c>
      <c r="C455" s="3" t="str">
        <f t="shared" si="16"/>
        <v>BRASIL</v>
      </c>
      <c r="D455" s="4" t="str">
        <f>"PI017"</f>
        <v>PI017</v>
      </c>
    </row>
    <row r="456" spans="1:4" x14ac:dyDescent="0.3">
      <c r="A456" s="2" t="str">
        <f>"AVELINOPOLIS"</f>
        <v>AVELINOPOLIS</v>
      </c>
      <c r="B456" s="3" t="str">
        <f>"GO"</f>
        <v>GO</v>
      </c>
      <c r="C456" s="3" t="str">
        <f t="shared" si="16"/>
        <v>BRASIL</v>
      </c>
      <c r="D456" s="4" t="str">
        <f>"GO029"</f>
        <v>GO029</v>
      </c>
    </row>
    <row r="457" spans="1:4" x14ac:dyDescent="0.3">
      <c r="A457" s="2" t="str">
        <f>"AXIXA"</f>
        <v>AXIXA</v>
      </c>
      <c r="B457" s="3" t="str">
        <f>"MA"</f>
        <v>MA</v>
      </c>
      <c r="C457" s="3" t="str">
        <f t="shared" si="16"/>
        <v>BRASIL</v>
      </c>
      <c r="D457" s="4" t="str">
        <f>"MA019"</f>
        <v>MA019</v>
      </c>
    </row>
    <row r="458" spans="1:4" x14ac:dyDescent="0.3">
      <c r="A458" s="2" t="str">
        <f>"AXIXA DO TOCANTINS"</f>
        <v>AXIXA DO TOCANTINS</v>
      </c>
      <c r="B458" s="3" t="str">
        <f>"TO"</f>
        <v>TO</v>
      </c>
      <c r="C458" s="3" t="str">
        <f t="shared" si="16"/>
        <v>BRASIL</v>
      </c>
      <c r="D458" s="4" t="str">
        <f>"TO019"</f>
        <v>TO019</v>
      </c>
    </row>
    <row r="459" spans="1:4" x14ac:dyDescent="0.3">
      <c r="A459" s="2" t="str">
        <f>"BABACULANDIA"</f>
        <v>BABACULANDIA</v>
      </c>
      <c r="B459" s="3" t="str">
        <f>"TO"</f>
        <v>TO</v>
      </c>
      <c r="C459" s="3" t="str">
        <f t="shared" si="16"/>
        <v>BRASIL</v>
      </c>
      <c r="D459" s="4" t="str">
        <f>"TO020"</f>
        <v>TO020</v>
      </c>
    </row>
    <row r="460" spans="1:4" x14ac:dyDescent="0.3">
      <c r="A460" s="2" t="str">
        <f>"BACABAL"</f>
        <v>BACABAL</v>
      </c>
      <c r="B460" s="3" t="str">
        <f>"MA"</f>
        <v>MA</v>
      </c>
      <c r="C460" s="3" t="str">
        <f t="shared" si="16"/>
        <v>BRASIL</v>
      </c>
      <c r="D460" s="4" t="str">
        <f>"MA020"</f>
        <v>MA020</v>
      </c>
    </row>
    <row r="461" spans="1:4" x14ac:dyDescent="0.3">
      <c r="A461" s="2" t="str">
        <f>"BACABEIRA"</f>
        <v>BACABEIRA</v>
      </c>
      <c r="B461" s="3" t="str">
        <f>"MA"</f>
        <v>MA</v>
      </c>
      <c r="C461" s="3" t="str">
        <f t="shared" si="16"/>
        <v>BRASIL</v>
      </c>
      <c r="D461" s="4" t="str">
        <f>"MA021"</f>
        <v>MA021</v>
      </c>
    </row>
    <row r="462" spans="1:4" x14ac:dyDescent="0.3">
      <c r="A462" s="2" t="str">
        <f>"BACURI"</f>
        <v>BACURI</v>
      </c>
      <c r="B462" s="3" t="str">
        <f>"MA"</f>
        <v>MA</v>
      </c>
      <c r="C462" s="3" t="str">
        <f t="shared" si="16"/>
        <v>BRASIL</v>
      </c>
      <c r="D462" s="4" t="str">
        <f>"MA022"</f>
        <v>MA022</v>
      </c>
    </row>
    <row r="463" spans="1:4" x14ac:dyDescent="0.3">
      <c r="A463" s="2" t="str">
        <f>"BACURITUBA"</f>
        <v>BACURITUBA</v>
      </c>
      <c r="B463" s="3" t="str">
        <f>"MA"</f>
        <v>MA</v>
      </c>
      <c r="C463" s="3" t="str">
        <f t="shared" si="16"/>
        <v>BRASIL</v>
      </c>
      <c r="D463" s="4" t="str">
        <f>"MA023"</f>
        <v>MA023</v>
      </c>
    </row>
    <row r="464" spans="1:4" x14ac:dyDescent="0.3">
      <c r="A464" s="2" t="str">
        <f>"BAD HOMBURG"</f>
        <v>BAD HOMBURG</v>
      </c>
      <c r="B464" s="3" t="str">
        <f>"EX"</f>
        <v>EX</v>
      </c>
      <c r="C464" s="3" t="str">
        <f>"ALEMANHA"</f>
        <v>ALEMANHA</v>
      </c>
      <c r="D464" s="4" t="str">
        <f>"BAD H"</f>
        <v>BAD H</v>
      </c>
    </row>
    <row r="465" spans="1:4" x14ac:dyDescent="0.3">
      <c r="A465" s="2" t="str">
        <f>"BADY BASSITT"</f>
        <v>BADY BASSITT</v>
      </c>
      <c r="B465" s="3" t="str">
        <f>"SP"</f>
        <v>SP</v>
      </c>
      <c r="C465" s="3" t="str">
        <f t="shared" ref="C465:C496" si="17">"BRASIL"</f>
        <v>BRASIL</v>
      </c>
      <c r="D465" s="4" t="str">
        <f>"SP053"</f>
        <v>SP053</v>
      </c>
    </row>
    <row r="466" spans="1:4" x14ac:dyDescent="0.3">
      <c r="A466" s="2" t="str">
        <f>"BAEPENDI"</f>
        <v>BAEPENDI</v>
      </c>
      <c r="B466" s="3" t="str">
        <f>"MG"</f>
        <v>MG</v>
      </c>
      <c r="C466" s="3" t="str">
        <f t="shared" si="17"/>
        <v>BRASIL</v>
      </c>
      <c r="D466" s="4" t="str">
        <f>"MG054"</f>
        <v>MG054</v>
      </c>
    </row>
    <row r="467" spans="1:4" x14ac:dyDescent="0.3">
      <c r="A467" s="2" t="str">
        <f>"BAGE"</f>
        <v>BAGE</v>
      </c>
      <c r="B467" s="3" t="str">
        <f>"RS"</f>
        <v>RS</v>
      </c>
      <c r="C467" s="3" t="str">
        <f t="shared" si="17"/>
        <v>BRASIL</v>
      </c>
      <c r="D467" s="4" t="str">
        <f>"RS030"</f>
        <v>RS030</v>
      </c>
    </row>
    <row r="468" spans="1:4" x14ac:dyDescent="0.3">
      <c r="A468" s="2" t="str">
        <f>"BAGRE"</f>
        <v>BAGRE</v>
      </c>
      <c r="B468" s="3" t="str">
        <f>"PA"</f>
        <v>PA</v>
      </c>
      <c r="C468" s="3" t="str">
        <f t="shared" si="17"/>
        <v>BRASIL</v>
      </c>
      <c r="D468" s="4" t="str">
        <f>"PA015"</f>
        <v>PA015</v>
      </c>
    </row>
    <row r="469" spans="1:4" x14ac:dyDescent="0.3">
      <c r="A469" s="2" t="str">
        <f>"BAIA DA TRAICAO"</f>
        <v>BAIA DA TRAICAO</v>
      </c>
      <c r="B469" s="3" t="str">
        <f>"PB"</f>
        <v>PB</v>
      </c>
      <c r="C469" s="3" t="str">
        <f t="shared" si="17"/>
        <v>BRASIL</v>
      </c>
      <c r="D469" s="4" t="str">
        <f>"PB020"</f>
        <v>PB020</v>
      </c>
    </row>
    <row r="470" spans="1:4" x14ac:dyDescent="0.3">
      <c r="A470" s="2" t="str">
        <f>"BAIA FORMOSA"</f>
        <v>BAIA FORMOSA</v>
      </c>
      <c r="B470" s="3" t="str">
        <f>"RN"</f>
        <v>RN</v>
      </c>
      <c r="C470" s="3" t="str">
        <f t="shared" si="17"/>
        <v>BRASIL</v>
      </c>
      <c r="D470" s="4" t="str">
        <f>"RN014"</f>
        <v>RN014</v>
      </c>
    </row>
    <row r="471" spans="1:4" x14ac:dyDescent="0.3">
      <c r="A471" s="2" t="str">
        <f>"BAIANOPOLIS"</f>
        <v>BAIANOPOLIS</v>
      </c>
      <c r="B471" s="3" t="str">
        <f>"BA"</f>
        <v>BA</v>
      </c>
      <c r="C471" s="3" t="str">
        <f t="shared" si="17"/>
        <v>BRASIL</v>
      </c>
      <c r="D471" s="4" t="str">
        <f>"BA031"</f>
        <v>BA031</v>
      </c>
    </row>
    <row r="472" spans="1:4" x14ac:dyDescent="0.3">
      <c r="A472" s="2" t="str">
        <f>"BAIAO"</f>
        <v>BAIAO</v>
      </c>
      <c r="B472" s="3" t="str">
        <f>"PA"</f>
        <v>PA</v>
      </c>
      <c r="C472" s="3" t="str">
        <f t="shared" si="17"/>
        <v>BRASIL</v>
      </c>
      <c r="D472" s="4" t="str">
        <f>"PA016"</f>
        <v>PA016</v>
      </c>
    </row>
    <row r="473" spans="1:4" x14ac:dyDescent="0.3">
      <c r="A473" s="2" t="str">
        <f>"BAIXA GRANDE"</f>
        <v>BAIXA GRANDE</v>
      </c>
      <c r="B473" s="3" t="str">
        <f>"BA"</f>
        <v>BA</v>
      </c>
      <c r="C473" s="3" t="str">
        <f t="shared" si="17"/>
        <v>BRASIL</v>
      </c>
      <c r="D473" s="4" t="str">
        <f>"BA032"</f>
        <v>BA032</v>
      </c>
    </row>
    <row r="474" spans="1:4" x14ac:dyDescent="0.3">
      <c r="A474" s="2" t="str">
        <f>"BAIXA GRANDE DO RIBEIRO"</f>
        <v>BAIXA GRANDE DO RIBEIRO</v>
      </c>
      <c r="B474" s="3" t="str">
        <f>"PI"</f>
        <v>PI</v>
      </c>
      <c r="C474" s="3" t="str">
        <f t="shared" si="17"/>
        <v>BRASIL</v>
      </c>
      <c r="D474" s="4" t="str">
        <f>"PI018"</f>
        <v>PI018</v>
      </c>
    </row>
    <row r="475" spans="1:4" x14ac:dyDescent="0.3">
      <c r="A475" s="2" t="str">
        <f>"BAIXIO"</f>
        <v>BAIXIO</v>
      </c>
      <c r="B475" s="3" t="str">
        <f>"CE"</f>
        <v>CE</v>
      </c>
      <c r="C475" s="3" t="str">
        <f t="shared" si="17"/>
        <v>BRASIL</v>
      </c>
      <c r="D475" s="4" t="str">
        <f>"CE021"</f>
        <v>CE021</v>
      </c>
    </row>
    <row r="476" spans="1:4" x14ac:dyDescent="0.3">
      <c r="A476" s="2" t="str">
        <f>"BAIXO GUANDU"</f>
        <v>BAIXO GUANDU</v>
      </c>
      <c r="B476" s="3" t="str">
        <f>"ES"</f>
        <v>ES</v>
      </c>
      <c r="C476" s="3" t="str">
        <f t="shared" si="17"/>
        <v>BRASIL</v>
      </c>
      <c r="D476" s="4" t="str">
        <f>"ES011"</f>
        <v>ES011</v>
      </c>
    </row>
    <row r="477" spans="1:4" x14ac:dyDescent="0.3">
      <c r="A477" s="2" t="str">
        <f>"BALBINOS"</f>
        <v>BALBINOS</v>
      </c>
      <c r="B477" s="3" t="str">
        <f>"SP"</f>
        <v>SP</v>
      </c>
      <c r="C477" s="3" t="str">
        <f t="shared" si="17"/>
        <v>BRASIL</v>
      </c>
      <c r="D477" s="4" t="str">
        <f>"SP054"</f>
        <v>SP054</v>
      </c>
    </row>
    <row r="478" spans="1:4" x14ac:dyDescent="0.3">
      <c r="A478" s="2" t="str">
        <f>"BALDIM"</f>
        <v>BALDIM</v>
      </c>
      <c r="B478" s="3" t="str">
        <f>"MG"</f>
        <v>MG</v>
      </c>
      <c r="C478" s="3" t="str">
        <f t="shared" si="17"/>
        <v>BRASIL</v>
      </c>
      <c r="D478" s="4" t="str">
        <f>"MG055"</f>
        <v>MG055</v>
      </c>
    </row>
    <row r="479" spans="1:4" x14ac:dyDescent="0.3">
      <c r="A479" s="2" t="str">
        <f>"BALIZA"</f>
        <v>BALIZA</v>
      </c>
      <c r="B479" s="3" t="str">
        <f>"GO"</f>
        <v>GO</v>
      </c>
      <c r="C479" s="3" t="str">
        <f t="shared" si="17"/>
        <v>BRASIL</v>
      </c>
      <c r="D479" s="4" t="str">
        <f>"GO030"</f>
        <v>GO030</v>
      </c>
    </row>
    <row r="480" spans="1:4" x14ac:dyDescent="0.3">
      <c r="A480" s="2" t="str">
        <f>"BALNEARIO ARROIO DO SILVA"</f>
        <v>BALNEARIO ARROIO DO SILVA</v>
      </c>
      <c r="B480" s="3" t="str">
        <f>"SC"</f>
        <v>SC</v>
      </c>
      <c r="C480" s="3" t="str">
        <f t="shared" si="17"/>
        <v>BRASIL</v>
      </c>
      <c r="D480" s="4" t="str">
        <f>"SC026"</f>
        <v>SC026</v>
      </c>
    </row>
    <row r="481" spans="1:4" x14ac:dyDescent="0.3">
      <c r="A481" s="2" t="str">
        <f>"BALNEARIO BARRA DO SUL"</f>
        <v>BALNEARIO BARRA DO SUL</v>
      </c>
      <c r="B481" s="3" t="str">
        <f>"SC"</f>
        <v>SC</v>
      </c>
      <c r="C481" s="3" t="str">
        <f t="shared" si="17"/>
        <v>BRASIL</v>
      </c>
      <c r="D481" s="4" t="str">
        <f>"SC028"</f>
        <v>SC028</v>
      </c>
    </row>
    <row r="482" spans="1:4" x14ac:dyDescent="0.3">
      <c r="A482" s="2" t="str">
        <f>"BALNEARIO CAMBORIU"</f>
        <v>BALNEARIO CAMBORIU</v>
      </c>
      <c r="B482" s="3" t="str">
        <f>"SC"</f>
        <v>SC</v>
      </c>
      <c r="C482" s="3" t="str">
        <f t="shared" si="17"/>
        <v>BRASIL</v>
      </c>
      <c r="D482" s="4" t="str">
        <f>"SC027"</f>
        <v>SC027</v>
      </c>
    </row>
    <row r="483" spans="1:4" x14ac:dyDescent="0.3">
      <c r="A483" s="2" t="str">
        <f>"BALNEARIO GAIVOTA"</f>
        <v>BALNEARIO GAIVOTA</v>
      </c>
      <c r="B483" s="3" t="str">
        <f>"SC"</f>
        <v>SC</v>
      </c>
      <c r="C483" s="3" t="str">
        <f t="shared" si="17"/>
        <v>BRASIL</v>
      </c>
      <c r="D483" s="4" t="str">
        <f>"SC029"</f>
        <v>SC029</v>
      </c>
    </row>
    <row r="484" spans="1:4" x14ac:dyDescent="0.3">
      <c r="A484" s="2" t="str">
        <f>"BALNEARIO PICARRAS"</f>
        <v>BALNEARIO PICARRAS</v>
      </c>
      <c r="B484" s="3" t="str">
        <f>"SC"</f>
        <v>SC</v>
      </c>
      <c r="C484" s="3" t="str">
        <f t="shared" si="17"/>
        <v>BRASIL</v>
      </c>
      <c r="D484" s="4" t="str">
        <f>"SC194"</f>
        <v>SC194</v>
      </c>
    </row>
    <row r="485" spans="1:4" x14ac:dyDescent="0.3">
      <c r="A485" s="2" t="str">
        <f>"BALNEARIO PINHAL"</f>
        <v>BALNEARIO PINHAL</v>
      </c>
      <c r="B485" s="3" t="str">
        <f>"RS"</f>
        <v>RS</v>
      </c>
      <c r="C485" s="3" t="str">
        <f t="shared" si="17"/>
        <v>BRASIL</v>
      </c>
      <c r="D485" s="4" t="str">
        <f>"RS031"</f>
        <v>RS031</v>
      </c>
    </row>
    <row r="486" spans="1:4" x14ac:dyDescent="0.3">
      <c r="A486" s="2" t="str">
        <f>"BALSA NOVA"</f>
        <v>BALSA NOVA</v>
      </c>
      <c r="B486" s="3" t="str">
        <f>"PR"</f>
        <v>PR</v>
      </c>
      <c r="C486" s="3" t="str">
        <f t="shared" si="17"/>
        <v>BRASIL</v>
      </c>
      <c r="D486" s="4" t="str">
        <f>"PR028"</f>
        <v>PR028</v>
      </c>
    </row>
    <row r="487" spans="1:4" x14ac:dyDescent="0.3">
      <c r="A487" s="2" t="str">
        <f>"BALSAMO"</f>
        <v>BALSAMO</v>
      </c>
      <c r="B487" s="3" t="str">
        <f>"SP"</f>
        <v>SP</v>
      </c>
      <c r="C487" s="3" t="str">
        <f t="shared" si="17"/>
        <v>BRASIL</v>
      </c>
      <c r="D487" s="4" t="str">
        <f>"SP055"</f>
        <v>SP055</v>
      </c>
    </row>
    <row r="488" spans="1:4" x14ac:dyDescent="0.3">
      <c r="A488" s="2" t="str">
        <f>"BALSAS"</f>
        <v>BALSAS</v>
      </c>
      <c r="B488" s="3" t="str">
        <f>"MA"</f>
        <v>MA</v>
      </c>
      <c r="C488" s="3" t="str">
        <f t="shared" si="17"/>
        <v>BRASIL</v>
      </c>
      <c r="D488" s="4" t="str">
        <f>"MA024"</f>
        <v>MA024</v>
      </c>
    </row>
    <row r="489" spans="1:4" x14ac:dyDescent="0.3">
      <c r="A489" s="2" t="str">
        <f>"BAMBUI"</f>
        <v>BAMBUI</v>
      </c>
      <c r="B489" s="3" t="str">
        <f>"MG"</f>
        <v>MG</v>
      </c>
      <c r="C489" s="3" t="str">
        <f t="shared" si="17"/>
        <v>BRASIL</v>
      </c>
      <c r="D489" s="4" t="str">
        <f>"MG056"</f>
        <v>MG056</v>
      </c>
    </row>
    <row r="490" spans="1:4" x14ac:dyDescent="0.3">
      <c r="A490" s="2" t="str">
        <f>"BANABUIU"</f>
        <v>BANABUIU</v>
      </c>
      <c r="B490" s="3" t="str">
        <f>"CE"</f>
        <v>CE</v>
      </c>
      <c r="C490" s="3" t="str">
        <f t="shared" si="17"/>
        <v>BRASIL</v>
      </c>
      <c r="D490" s="4" t="str">
        <f>"CE022"</f>
        <v>CE022</v>
      </c>
    </row>
    <row r="491" spans="1:4" x14ac:dyDescent="0.3">
      <c r="A491" s="2" t="str">
        <f>"BANANAL"</f>
        <v>BANANAL</v>
      </c>
      <c r="B491" s="3" t="str">
        <f>"SP"</f>
        <v>SP</v>
      </c>
      <c r="C491" s="3" t="str">
        <f t="shared" si="17"/>
        <v>BRASIL</v>
      </c>
      <c r="D491" s="4" t="str">
        <f>"SP056"</f>
        <v>SP056</v>
      </c>
    </row>
    <row r="492" spans="1:4" x14ac:dyDescent="0.3">
      <c r="A492" s="2" t="str">
        <f>"BANANEIRAS"</f>
        <v>BANANEIRAS</v>
      </c>
      <c r="B492" s="3" t="str">
        <f>"PB"</f>
        <v>PB</v>
      </c>
      <c r="C492" s="3" t="str">
        <f t="shared" si="17"/>
        <v>BRASIL</v>
      </c>
      <c r="D492" s="4" t="str">
        <f>"PB021"</f>
        <v>PB021</v>
      </c>
    </row>
    <row r="493" spans="1:4" x14ac:dyDescent="0.3">
      <c r="A493" s="2" t="str">
        <f>"BANDEIRA"</f>
        <v>BANDEIRA</v>
      </c>
      <c r="B493" s="3" t="str">
        <f>"MG"</f>
        <v>MG</v>
      </c>
      <c r="C493" s="3" t="str">
        <f t="shared" si="17"/>
        <v>BRASIL</v>
      </c>
      <c r="D493" s="4" t="str">
        <f>"MG057"</f>
        <v>MG057</v>
      </c>
    </row>
    <row r="494" spans="1:4" x14ac:dyDescent="0.3">
      <c r="A494" s="2" t="str">
        <f>"BANDEIRA DO SUL"</f>
        <v>BANDEIRA DO SUL</v>
      </c>
      <c r="B494" s="3" t="str">
        <f>"MG"</f>
        <v>MG</v>
      </c>
      <c r="C494" s="3" t="str">
        <f t="shared" si="17"/>
        <v>BRASIL</v>
      </c>
      <c r="D494" s="4" t="str">
        <f>"MG058"</f>
        <v>MG058</v>
      </c>
    </row>
    <row r="495" spans="1:4" x14ac:dyDescent="0.3">
      <c r="A495" s="2" t="str">
        <f>"BANDEIRANTE"</f>
        <v>BANDEIRANTE</v>
      </c>
      <c r="B495" s="3" t="str">
        <f>"SC"</f>
        <v>SC</v>
      </c>
      <c r="C495" s="3" t="str">
        <f t="shared" si="17"/>
        <v>BRASIL</v>
      </c>
      <c r="D495" s="4" t="str">
        <f>"SC030"</f>
        <v>SC030</v>
      </c>
    </row>
    <row r="496" spans="1:4" x14ac:dyDescent="0.3">
      <c r="A496" s="2" t="str">
        <f>"BANDEIRANTES"</f>
        <v>BANDEIRANTES</v>
      </c>
      <c r="B496" s="3" t="str">
        <f>"MS"</f>
        <v>MS</v>
      </c>
      <c r="C496" s="3" t="str">
        <f t="shared" si="17"/>
        <v>BRASIL</v>
      </c>
      <c r="D496" s="4" t="str">
        <f>"MS011"</f>
        <v>MS011</v>
      </c>
    </row>
    <row r="497" spans="1:4" x14ac:dyDescent="0.3">
      <c r="A497" s="2" t="str">
        <f>"BANDEIRANTES"</f>
        <v>BANDEIRANTES</v>
      </c>
      <c r="B497" s="3" t="str">
        <f>"PR"</f>
        <v>PR</v>
      </c>
      <c r="C497" s="3" t="str">
        <f t="shared" ref="C497:C515" si="18">"BRASIL"</f>
        <v>BRASIL</v>
      </c>
      <c r="D497" s="4" t="str">
        <f>"PR029"</f>
        <v>PR029</v>
      </c>
    </row>
    <row r="498" spans="1:4" x14ac:dyDescent="0.3">
      <c r="A498" s="2" t="str">
        <f>"BANDEIRANTES DO TOCANTINS"</f>
        <v>BANDEIRANTES DO TOCANTINS</v>
      </c>
      <c r="B498" s="3" t="str">
        <f>"TO"</f>
        <v>TO</v>
      </c>
      <c r="C498" s="3" t="str">
        <f t="shared" si="18"/>
        <v>BRASIL</v>
      </c>
      <c r="D498" s="4" t="str">
        <f>"TO021"</f>
        <v>TO021</v>
      </c>
    </row>
    <row r="499" spans="1:4" x14ac:dyDescent="0.3">
      <c r="A499" s="2" t="str">
        <f>"BANNACH"</f>
        <v>BANNACH</v>
      </c>
      <c r="B499" s="3" t="str">
        <f>"PA"</f>
        <v>PA</v>
      </c>
      <c r="C499" s="3" t="str">
        <f t="shared" si="18"/>
        <v>BRASIL</v>
      </c>
      <c r="D499" s="4" t="str">
        <f>"PA017"</f>
        <v>PA017</v>
      </c>
    </row>
    <row r="500" spans="1:4" x14ac:dyDescent="0.3">
      <c r="A500" s="2" t="str">
        <f>"BANZAE"</f>
        <v>BANZAE</v>
      </c>
      <c r="B500" s="3" t="str">
        <f>"BA"</f>
        <v>BA</v>
      </c>
      <c r="C500" s="3" t="str">
        <f t="shared" si="18"/>
        <v>BRASIL</v>
      </c>
      <c r="D500" s="4" t="str">
        <f>"BA033"</f>
        <v>BA033</v>
      </c>
    </row>
    <row r="501" spans="1:4" x14ac:dyDescent="0.3">
      <c r="A501" s="2" t="str">
        <f>"BARAO"</f>
        <v>BARAO</v>
      </c>
      <c r="B501" s="3" t="str">
        <f>"RS"</f>
        <v>RS</v>
      </c>
      <c r="C501" s="3" t="str">
        <f t="shared" si="18"/>
        <v>BRASIL</v>
      </c>
      <c r="D501" s="4" t="str">
        <f>"RS032"</f>
        <v>RS032</v>
      </c>
    </row>
    <row r="502" spans="1:4" x14ac:dyDescent="0.3">
      <c r="A502" s="2" t="str">
        <f>"BARAO DE ANTONINA"</f>
        <v>BARAO DE ANTONINA</v>
      </c>
      <c r="B502" s="3" t="str">
        <f>"SP"</f>
        <v>SP</v>
      </c>
      <c r="C502" s="3" t="str">
        <f t="shared" si="18"/>
        <v>BRASIL</v>
      </c>
      <c r="D502" s="4" t="str">
        <f>"SP057"</f>
        <v>SP057</v>
      </c>
    </row>
    <row r="503" spans="1:4" x14ac:dyDescent="0.3">
      <c r="A503" s="2" t="str">
        <f>"BARAO DE COCAIS"</f>
        <v>BARAO DE COCAIS</v>
      </c>
      <c r="B503" s="3" t="str">
        <f>"MG"</f>
        <v>MG</v>
      </c>
      <c r="C503" s="3" t="str">
        <f t="shared" si="18"/>
        <v>BRASIL</v>
      </c>
      <c r="D503" s="4" t="str">
        <f>"MG059"</f>
        <v>MG059</v>
      </c>
    </row>
    <row r="504" spans="1:4" x14ac:dyDescent="0.3">
      <c r="A504" s="2" t="str">
        <f>"BARAO DE COTEGIPE"</f>
        <v>BARAO DE COTEGIPE</v>
      </c>
      <c r="B504" s="3" t="str">
        <f>"RS"</f>
        <v>RS</v>
      </c>
      <c r="C504" s="3" t="str">
        <f t="shared" si="18"/>
        <v>BRASIL</v>
      </c>
      <c r="D504" s="4" t="str">
        <f>"RS033"</f>
        <v>RS033</v>
      </c>
    </row>
    <row r="505" spans="1:4" x14ac:dyDescent="0.3">
      <c r="A505" s="2" t="str">
        <f>"BARAO DE GRAJAU"</f>
        <v>BARAO DE GRAJAU</v>
      </c>
      <c r="B505" s="3" t="str">
        <f>"MA"</f>
        <v>MA</v>
      </c>
      <c r="C505" s="3" t="str">
        <f t="shared" si="18"/>
        <v>BRASIL</v>
      </c>
      <c r="D505" s="4" t="str">
        <f>"MA025"</f>
        <v>MA025</v>
      </c>
    </row>
    <row r="506" spans="1:4" x14ac:dyDescent="0.3">
      <c r="A506" s="2" t="str">
        <f>"BARAO DE MELGACO"</f>
        <v>BARAO DE MELGACO</v>
      </c>
      <c r="B506" s="3" t="str">
        <f>"MT"</f>
        <v>MT</v>
      </c>
      <c r="C506" s="3" t="str">
        <f t="shared" si="18"/>
        <v>BRASIL</v>
      </c>
      <c r="D506" s="4" t="str">
        <f>"MT015"</f>
        <v>MT015</v>
      </c>
    </row>
    <row r="507" spans="1:4" x14ac:dyDescent="0.3">
      <c r="A507" s="2" t="str">
        <f>"BARAO DE MONTE ALTO"</f>
        <v>BARAO DE MONTE ALTO</v>
      </c>
      <c r="B507" s="3" t="str">
        <f>"MG"</f>
        <v>MG</v>
      </c>
      <c r="C507" s="3" t="str">
        <f t="shared" si="18"/>
        <v>BRASIL</v>
      </c>
      <c r="D507" s="4" t="str">
        <f>"MG060"</f>
        <v>MG060</v>
      </c>
    </row>
    <row r="508" spans="1:4" x14ac:dyDescent="0.3">
      <c r="A508" s="2" t="str">
        <f>"BARAO DO TRIUNFO"</f>
        <v>BARAO DO TRIUNFO</v>
      </c>
      <c r="B508" s="3" t="str">
        <f>"RS"</f>
        <v>RS</v>
      </c>
      <c r="C508" s="3" t="str">
        <f t="shared" si="18"/>
        <v>BRASIL</v>
      </c>
      <c r="D508" s="4" t="str">
        <f>"RS034"</f>
        <v>RS034</v>
      </c>
    </row>
    <row r="509" spans="1:4" x14ac:dyDescent="0.3">
      <c r="A509" s="2" t="str">
        <f>"BARAUNA"</f>
        <v>BARAUNA</v>
      </c>
      <c r="B509" s="3" t="str">
        <f>"PB"</f>
        <v>PB</v>
      </c>
      <c r="C509" s="3" t="str">
        <f t="shared" si="18"/>
        <v>BRASIL</v>
      </c>
      <c r="D509" s="4" t="str">
        <f>"PB022"</f>
        <v>PB022</v>
      </c>
    </row>
    <row r="510" spans="1:4" x14ac:dyDescent="0.3">
      <c r="A510" s="2" t="str">
        <f>"BARAUNA"</f>
        <v>BARAUNA</v>
      </c>
      <c r="B510" s="3" t="str">
        <f>"RN"</f>
        <v>RN</v>
      </c>
      <c r="C510" s="3" t="str">
        <f t="shared" si="18"/>
        <v>BRASIL</v>
      </c>
      <c r="D510" s="4" t="str">
        <f>"RN015"</f>
        <v>RN015</v>
      </c>
    </row>
    <row r="511" spans="1:4" x14ac:dyDescent="0.3">
      <c r="A511" s="2" t="str">
        <f>"BARBACENA"</f>
        <v>BARBACENA</v>
      </c>
      <c r="B511" s="3" t="str">
        <f>"MG"</f>
        <v>MG</v>
      </c>
      <c r="C511" s="3" t="str">
        <f t="shared" si="18"/>
        <v>BRASIL</v>
      </c>
      <c r="D511" s="4" t="str">
        <f>"MG061"</f>
        <v>MG061</v>
      </c>
    </row>
    <row r="512" spans="1:4" x14ac:dyDescent="0.3">
      <c r="A512" s="2" t="str">
        <f>"BARBALHA"</f>
        <v>BARBALHA</v>
      </c>
      <c r="B512" s="3" t="str">
        <f>"CE"</f>
        <v>CE</v>
      </c>
      <c r="C512" s="3" t="str">
        <f t="shared" si="18"/>
        <v>BRASIL</v>
      </c>
      <c r="D512" s="4" t="str">
        <f>"CE023"</f>
        <v>CE023</v>
      </c>
    </row>
    <row r="513" spans="1:4" x14ac:dyDescent="0.3">
      <c r="A513" s="2" t="str">
        <f>"BARBOSA"</f>
        <v>BARBOSA</v>
      </c>
      <c r="B513" s="3" t="str">
        <f>"SP"</f>
        <v>SP</v>
      </c>
      <c r="C513" s="3" t="str">
        <f t="shared" si="18"/>
        <v>BRASIL</v>
      </c>
      <c r="D513" s="4" t="str">
        <f>"SP058"</f>
        <v>SP058</v>
      </c>
    </row>
    <row r="514" spans="1:4" x14ac:dyDescent="0.3">
      <c r="A514" s="2" t="str">
        <f>"BARBOSA FERRAZ"</f>
        <v>BARBOSA FERRAZ</v>
      </c>
      <c r="B514" s="3" t="str">
        <f>"PR"</f>
        <v>PR</v>
      </c>
      <c r="C514" s="3" t="str">
        <f t="shared" si="18"/>
        <v>BRASIL</v>
      </c>
      <c r="D514" s="4" t="str">
        <f>"PR030"</f>
        <v>PR030</v>
      </c>
    </row>
    <row r="515" spans="1:4" x14ac:dyDescent="0.3">
      <c r="A515" s="2" t="str">
        <f>"BARCARENA"</f>
        <v>BARCARENA</v>
      </c>
      <c r="B515" s="3" t="str">
        <f>"PA"</f>
        <v>PA</v>
      </c>
      <c r="C515" s="3" t="str">
        <f t="shared" si="18"/>
        <v>BRASIL</v>
      </c>
      <c r="D515" s="4" t="str">
        <f>"PA018"</f>
        <v>PA018</v>
      </c>
    </row>
    <row r="516" spans="1:4" x14ac:dyDescent="0.3">
      <c r="A516" s="2" t="str">
        <f>"BARCELONA"</f>
        <v>BARCELONA</v>
      </c>
      <c r="B516" s="3" t="str">
        <f>"EX"</f>
        <v>EX</v>
      </c>
      <c r="C516" s="3" t="str">
        <f>"ESPANHA"</f>
        <v>ESPANHA</v>
      </c>
      <c r="D516" s="4" t="str">
        <f>"BARC"</f>
        <v>BARC</v>
      </c>
    </row>
    <row r="517" spans="1:4" x14ac:dyDescent="0.3">
      <c r="A517" s="2" t="str">
        <f>"BARCELONA - ESPANHA"</f>
        <v>BARCELONA - ESPANHA</v>
      </c>
      <c r="B517" s="3" t="str">
        <f>"EX"</f>
        <v>EX</v>
      </c>
      <c r="C517" s="3" t="str">
        <f>"ESPANHA"</f>
        <v>ESPANHA</v>
      </c>
      <c r="D517" s="4" t="str">
        <f>"BARCE"</f>
        <v>BARCE</v>
      </c>
    </row>
    <row r="518" spans="1:4" x14ac:dyDescent="0.3">
      <c r="A518" s="2" t="str">
        <f>"BARCELOS"</f>
        <v>BARCELOS</v>
      </c>
      <c r="B518" s="3" t="str">
        <f>"AM"</f>
        <v>AM</v>
      </c>
      <c r="C518" s="3" t="str">
        <f t="shared" ref="C518:C549" si="19">"BRASIL"</f>
        <v>BRASIL</v>
      </c>
      <c r="D518" s="4" t="str">
        <f>"AM008"</f>
        <v>AM008</v>
      </c>
    </row>
    <row r="519" spans="1:4" x14ac:dyDescent="0.3">
      <c r="A519" s="2" t="str">
        <f>"BARIRI"</f>
        <v>BARIRI</v>
      </c>
      <c r="B519" s="3" t="str">
        <f>"SP"</f>
        <v>SP</v>
      </c>
      <c r="C519" s="3" t="str">
        <f t="shared" si="19"/>
        <v>BRASIL</v>
      </c>
      <c r="D519" s="4" t="str">
        <f>"SP059"</f>
        <v>SP059</v>
      </c>
    </row>
    <row r="520" spans="1:4" x14ac:dyDescent="0.3">
      <c r="A520" s="2" t="str">
        <f>"BARRA"</f>
        <v>BARRA</v>
      </c>
      <c r="B520" s="3" t="str">
        <f>"BA"</f>
        <v>BA</v>
      </c>
      <c r="C520" s="3" t="str">
        <f t="shared" si="19"/>
        <v>BRASIL</v>
      </c>
      <c r="D520" s="4" t="str">
        <f>"BA034"</f>
        <v>BA034</v>
      </c>
    </row>
    <row r="521" spans="1:4" x14ac:dyDescent="0.3">
      <c r="A521" s="2" t="str">
        <f>"BARRA BONITA"</f>
        <v>BARRA BONITA</v>
      </c>
      <c r="B521" s="3" t="str">
        <f>"SC"</f>
        <v>SC</v>
      </c>
      <c r="C521" s="3" t="str">
        <f t="shared" si="19"/>
        <v>BRASIL</v>
      </c>
      <c r="D521" s="4" t="str">
        <f>"SC031"</f>
        <v>SC031</v>
      </c>
    </row>
    <row r="522" spans="1:4" x14ac:dyDescent="0.3">
      <c r="A522" s="2" t="str">
        <f>"BARRA BONITA"</f>
        <v>BARRA BONITA</v>
      </c>
      <c r="B522" s="3" t="str">
        <f>"SP"</f>
        <v>SP</v>
      </c>
      <c r="C522" s="3" t="str">
        <f t="shared" si="19"/>
        <v>BRASIL</v>
      </c>
      <c r="D522" s="4" t="str">
        <f>"SP060"</f>
        <v>SP060</v>
      </c>
    </row>
    <row r="523" spans="1:4" x14ac:dyDescent="0.3">
      <c r="A523" s="2" t="str">
        <f>"BARRA D'ALCANTARA"</f>
        <v>BARRA D'ALCANTARA</v>
      </c>
      <c r="B523" s="3" t="str">
        <f>"PI"</f>
        <v>PI</v>
      </c>
      <c r="C523" s="3" t="str">
        <f t="shared" si="19"/>
        <v>BRASIL</v>
      </c>
      <c r="D523" s="4" t="str">
        <f>"PI019"</f>
        <v>PI019</v>
      </c>
    </row>
    <row r="524" spans="1:4" x14ac:dyDescent="0.3">
      <c r="A524" s="2" t="str">
        <f>"BARRA DA ESTIVA"</f>
        <v>BARRA DA ESTIVA</v>
      </c>
      <c r="B524" s="3" t="str">
        <f>"BA"</f>
        <v>BA</v>
      </c>
      <c r="C524" s="3" t="str">
        <f t="shared" si="19"/>
        <v>BRASIL</v>
      </c>
      <c r="D524" s="4" t="str">
        <f>"BA035"</f>
        <v>BA035</v>
      </c>
    </row>
    <row r="525" spans="1:4" x14ac:dyDescent="0.3">
      <c r="A525" s="2" t="str">
        <f>"BARRA DE GUABIRABA"</f>
        <v>BARRA DE GUABIRABA</v>
      </c>
      <c r="B525" s="3" t="str">
        <f>"PE"</f>
        <v>PE</v>
      </c>
      <c r="C525" s="3" t="str">
        <f t="shared" si="19"/>
        <v>BRASIL</v>
      </c>
      <c r="D525" s="4" t="str">
        <f>"PE015"</f>
        <v>PE015</v>
      </c>
    </row>
    <row r="526" spans="1:4" x14ac:dyDescent="0.3">
      <c r="A526" s="2" t="str">
        <f>"BARRA DE SANTA ROSA"</f>
        <v>BARRA DE SANTA ROSA</v>
      </c>
      <c r="B526" s="3" t="str">
        <f>"PB"</f>
        <v>PB</v>
      </c>
      <c r="C526" s="3" t="str">
        <f t="shared" si="19"/>
        <v>BRASIL</v>
      </c>
      <c r="D526" s="4" t="str">
        <f>"PB024"</f>
        <v>PB024</v>
      </c>
    </row>
    <row r="527" spans="1:4" x14ac:dyDescent="0.3">
      <c r="A527" s="2" t="str">
        <f>"BARRA DE SANTANA"</f>
        <v>BARRA DE SANTANA</v>
      </c>
      <c r="B527" s="3" t="str">
        <f>"PB"</f>
        <v>PB</v>
      </c>
      <c r="C527" s="3" t="str">
        <f t="shared" si="19"/>
        <v>BRASIL</v>
      </c>
      <c r="D527" s="4" t="str">
        <f>"PB023"</f>
        <v>PB023</v>
      </c>
    </row>
    <row r="528" spans="1:4" x14ac:dyDescent="0.3">
      <c r="A528" s="2" t="str">
        <f>"BARRA DE SANTO ANTONIO"</f>
        <v>BARRA DE SANTO ANTONIO</v>
      </c>
      <c r="B528" s="3" t="str">
        <f>"AL"</f>
        <v>AL</v>
      </c>
      <c r="C528" s="3" t="str">
        <f t="shared" si="19"/>
        <v>BRASIL</v>
      </c>
      <c r="D528" s="4" t="str">
        <f>"AL005"</f>
        <v>AL005</v>
      </c>
    </row>
    <row r="529" spans="1:4" x14ac:dyDescent="0.3">
      <c r="A529" s="2" t="str">
        <f>"BARRA DE SAO FRANCISCO"</f>
        <v>BARRA DE SAO FRANCISCO</v>
      </c>
      <c r="B529" s="3" t="str">
        <f>"ES"</f>
        <v>ES</v>
      </c>
      <c r="C529" s="3" t="str">
        <f t="shared" si="19"/>
        <v>BRASIL</v>
      </c>
      <c r="D529" s="4" t="str">
        <f>"ES012"</f>
        <v>ES012</v>
      </c>
    </row>
    <row r="530" spans="1:4" x14ac:dyDescent="0.3">
      <c r="A530" s="2" t="str">
        <f>"BARRA DE SAO MIGUEL"</f>
        <v>BARRA DE SAO MIGUEL</v>
      </c>
      <c r="B530" s="3" t="str">
        <f>"AL"</f>
        <v>AL</v>
      </c>
      <c r="C530" s="3" t="str">
        <f t="shared" si="19"/>
        <v>BRASIL</v>
      </c>
      <c r="D530" s="4" t="str">
        <f>"AL006"</f>
        <v>AL006</v>
      </c>
    </row>
    <row r="531" spans="1:4" x14ac:dyDescent="0.3">
      <c r="A531" s="2" t="str">
        <f>"BARRA DE SAO MIGUEL"</f>
        <v>BARRA DE SAO MIGUEL</v>
      </c>
      <c r="B531" s="3" t="str">
        <f>"PB"</f>
        <v>PB</v>
      </c>
      <c r="C531" s="3" t="str">
        <f t="shared" si="19"/>
        <v>BRASIL</v>
      </c>
      <c r="D531" s="4" t="str">
        <f>"PB025"</f>
        <v>PB025</v>
      </c>
    </row>
    <row r="532" spans="1:4" x14ac:dyDescent="0.3">
      <c r="A532" s="2" t="str">
        <f>"BARRA DO BUGRES"</f>
        <v>BARRA DO BUGRES</v>
      </c>
      <c r="B532" s="3" t="str">
        <f>"MT"</f>
        <v>MT</v>
      </c>
      <c r="C532" s="3" t="str">
        <f t="shared" si="19"/>
        <v>BRASIL</v>
      </c>
      <c r="D532" s="4" t="str">
        <f>"MT016"</f>
        <v>MT016</v>
      </c>
    </row>
    <row r="533" spans="1:4" x14ac:dyDescent="0.3">
      <c r="A533" s="2" t="str">
        <f>"BARRA DO CHAPEU"</f>
        <v>BARRA DO CHAPEU</v>
      </c>
      <c r="B533" s="3" t="str">
        <f>"SP"</f>
        <v>SP</v>
      </c>
      <c r="C533" s="3" t="str">
        <f t="shared" si="19"/>
        <v>BRASIL</v>
      </c>
      <c r="D533" s="4" t="str">
        <f>"SP061"</f>
        <v>SP061</v>
      </c>
    </row>
    <row r="534" spans="1:4" x14ac:dyDescent="0.3">
      <c r="A534" s="2" t="str">
        <f>"BARRA DO CHOCA"</f>
        <v>BARRA DO CHOCA</v>
      </c>
      <c r="B534" s="3" t="str">
        <f>"BA"</f>
        <v>BA</v>
      </c>
      <c r="C534" s="3" t="str">
        <f t="shared" si="19"/>
        <v>BRASIL</v>
      </c>
      <c r="D534" s="4" t="str">
        <f>"BA036"</f>
        <v>BA036</v>
      </c>
    </row>
    <row r="535" spans="1:4" x14ac:dyDescent="0.3">
      <c r="A535" s="2" t="str">
        <f>"BARRA DO CORDA"</f>
        <v>BARRA DO CORDA</v>
      </c>
      <c r="B535" s="3" t="str">
        <f>"MA"</f>
        <v>MA</v>
      </c>
      <c r="C535" s="3" t="str">
        <f t="shared" si="19"/>
        <v>BRASIL</v>
      </c>
      <c r="D535" s="4" t="str">
        <f>"MA026"</f>
        <v>MA026</v>
      </c>
    </row>
    <row r="536" spans="1:4" x14ac:dyDescent="0.3">
      <c r="A536" s="2" t="str">
        <f>"BARRA DO GARCAS"</f>
        <v>BARRA DO GARCAS</v>
      </c>
      <c r="B536" s="3" t="str">
        <f>"MT"</f>
        <v>MT</v>
      </c>
      <c r="C536" s="3" t="str">
        <f t="shared" si="19"/>
        <v>BRASIL</v>
      </c>
      <c r="D536" s="4" t="str">
        <f>"MT017"</f>
        <v>MT017</v>
      </c>
    </row>
    <row r="537" spans="1:4" x14ac:dyDescent="0.3">
      <c r="A537" s="2" t="str">
        <f>"BARRA DO GUARITA"</f>
        <v>BARRA DO GUARITA</v>
      </c>
      <c r="B537" s="3" t="str">
        <f>"RS"</f>
        <v>RS</v>
      </c>
      <c r="C537" s="3" t="str">
        <f t="shared" si="19"/>
        <v>BRASIL</v>
      </c>
      <c r="D537" s="4" t="str">
        <f>"RS036"</f>
        <v>RS036</v>
      </c>
    </row>
    <row r="538" spans="1:4" x14ac:dyDescent="0.3">
      <c r="A538" s="2" t="str">
        <f>"BARRA DO JACARE"</f>
        <v>BARRA DO JACARE</v>
      </c>
      <c r="B538" s="3" t="str">
        <f>"PR"</f>
        <v>PR</v>
      </c>
      <c r="C538" s="3" t="str">
        <f t="shared" si="19"/>
        <v>BRASIL</v>
      </c>
      <c r="D538" s="4" t="str">
        <f>"PR032"</f>
        <v>PR032</v>
      </c>
    </row>
    <row r="539" spans="1:4" x14ac:dyDescent="0.3">
      <c r="A539" s="2" t="str">
        <f>"BARRA DO MENDES"</f>
        <v>BARRA DO MENDES</v>
      </c>
      <c r="B539" s="3" t="str">
        <f>"BA"</f>
        <v>BA</v>
      </c>
      <c r="C539" s="3" t="str">
        <f t="shared" si="19"/>
        <v>BRASIL</v>
      </c>
      <c r="D539" s="4" t="str">
        <f>"BA037"</f>
        <v>BA037</v>
      </c>
    </row>
    <row r="540" spans="1:4" x14ac:dyDescent="0.3">
      <c r="A540" s="2" t="str">
        <f>"BARRA DO OURO"</f>
        <v>BARRA DO OURO</v>
      </c>
      <c r="B540" s="3" t="str">
        <f>"TO"</f>
        <v>TO</v>
      </c>
      <c r="C540" s="3" t="str">
        <f t="shared" si="19"/>
        <v>BRASIL</v>
      </c>
      <c r="D540" s="4" t="str">
        <f>"TO022"</f>
        <v>TO022</v>
      </c>
    </row>
    <row r="541" spans="1:4" x14ac:dyDescent="0.3">
      <c r="A541" s="2" t="str">
        <f>"BARRA DO PIRAI"</f>
        <v>BARRA DO PIRAI</v>
      </c>
      <c r="B541" s="3" t="str">
        <f>"RJ"</f>
        <v>RJ</v>
      </c>
      <c r="C541" s="3" t="str">
        <f t="shared" si="19"/>
        <v>BRASIL</v>
      </c>
      <c r="D541" s="4" t="str">
        <f>"RJ007"</f>
        <v>RJ007</v>
      </c>
    </row>
    <row r="542" spans="1:4" x14ac:dyDescent="0.3">
      <c r="A542" s="2" t="str">
        <f>"BARRA DO QUARAI"</f>
        <v>BARRA DO QUARAI</v>
      </c>
      <c r="B542" s="3" t="str">
        <f>"RS"</f>
        <v>RS</v>
      </c>
      <c r="C542" s="3" t="str">
        <f t="shared" si="19"/>
        <v>BRASIL</v>
      </c>
      <c r="D542" s="4" t="str">
        <f>"RS037"</f>
        <v>RS037</v>
      </c>
    </row>
    <row r="543" spans="1:4" x14ac:dyDescent="0.3">
      <c r="A543" s="2" t="str">
        <f>"BARRA DO RIBEIRO"</f>
        <v>BARRA DO RIBEIRO</v>
      </c>
      <c r="B543" s="3" t="str">
        <f>"RS"</f>
        <v>RS</v>
      </c>
      <c r="C543" s="3" t="str">
        <f t="shared" si="19"/>
        <v>BRASIL</v>
      </c>
      <c r="D543" s="4" t="str">
        <f>"RS038"</f>
        <v>RS038</v>
      </c>
    </row>
    <row r="544" spans="1:4" x14ac:dyDescent="0.3">
      <c r="A544" s="2" t="str">
        <f>"BARRA DO RIO AZUL"</f>
        <v>BARRA DO RIO AZUL</v>
      </c>
      <c r="B544" s="3" t="str">
        <f>"RS"</f>
        <v>RS</v>
      </c>
      <c r="C544" s="3" t="str">
        <f t="shared" si="19"/>
        <v>BRASIL</v>
      </c>
      <c r="D544" s="4" t="str">
        <f>"RS039"</f>
        <v>RS039</v>
      </c>
    </row>
    <row r="545" spans="1:4" x14ac:dyDescent="0.3">
      <c r="A545" s="2" t="str">
        <f>"BARRA DO ROCHA"</f>
        <v>BARRA DO ROCHA</v>
      </c>
      <c r="B545" s="3" t="str">
        <f>"BA"</f>
        <v>BA</v>
      </c>
      <c r="C545" s="3" t="str">
        <f t="shared" si="19"/>
        <v>BRASIL</v>
      </c>
      <c r="D545" s="4" t="str">
        <f>"BA038"</f>
        <v>BA038</v>
      </c>
    </row>
    <row r="546" spans="1:4" x14ac:dyDescent="0.3">
      <c r="A546" s="2" t="str">
        <f>"BARRA DO TURVO"</f>
        <v>BARRA DO TURVO</v>
      </c>
      <c r="B546" s="3" t="str">
        <f>"SP"</f>
        <v>SP</v>
      </c>
      <c r="C546" s="3" t="str">
        <f t="shared" si="19"/>
        <v>BRASIL</v>
      </c>
      <c r="D546" s="4" t="str">
        <f>"SP062"</f>
        <v>SP062</v>
      </c>
    </row>
    <row r="547" spans="1:4" x14ac:dyDescent="0.3">
      <c r="A547" s="2" t="str">
        <f>"BARRA DOS COQUEIROS"</f>
        <v>BARRA DOS COQUEIROS</v>
      </c>
      <c r="B547" s="3" t="str">
        <f>"SE"</f>
        <v>SE</v>
      </c>
      <c r="C547" s="3" t="str">
        <f t="shared" si="19"/>
        <v>BRASIL</v>
      </c>
      <c r="D547" s="4" t="str">
        <f>"SE006"</f>
        <v>SE006</v>
      </c>
    </row>
    <row r="548" spans="1:4" x14ac:dyDescent="0.3">
      <c r="A548" s="2" t="str">
        <f>"BARRA FUNDA"</f>
        <v>BARRA FUNDA</v>
      </c>
      <c r="B548" s="3" t="str">
        <f>"RS"</f>
        <v>RS</v>
      </c>
      <c r="C548" s="3" t="str">
        <f t="shared" si="19"/>
        <v>BRASIL</v>
      </c>
      <c r="D548" s="4" t="str">
        <f>"RS040"</f>
        <v>RS040</v>
      </c>
    </row>
    <row r="549" spans="1:4" x14ac:dyDescent="0.3">
      <c r="A549" s="2" t="str">
        <f>"BARRA LONGA"</f>
        <v>BARRA LONGA</v>
      </c>
      <c r="B549" s="3" t="str">
        <f>"MG"</f>
        <v>MG</v>
      </c>
      <c r="C549" s="3" t="str">
        <f t="shared" si="19"/>
        <v>BRASIL</v>
      </c>
      <c r="D549" s="4" t="str">
        <f>"MG062"</f>
        <v>MG062</v>
      </c>
    </row>
    <row r="550" spans="1:4" x14ac:dyDescent="0.3">
      <c r="A550" s="2" t="str">
        <f>"BARRA MANSA"</f>
        <v>BARRA MANSA</v>
      </c>
      <c r="B550" s="3" t="str">
        <f>"RJ"</f>
        <v>RJ</v>
      </c>
      <c r="C550" s="3" t="str">
        <f t="shared" ref="C550:C584" si="20">"BRASIL"</f>
        <v>BRASIL</v>
      </c>
      <c r="D550" s="4" t="str">
        <f>"RJ008"</f>
        <v>RJ008</v>
      </c>
    </row>
    <row r="551" spans="1:4" x14ac:dyDescent="0.3">
      <c r="A551" s="2" t="str">
        <f>"BARRA VELHA"</f>
        <v>BARRA VELHA</v>
      </c>
      <c r="B551" s="3" t="str">
        <f>"SC"</f>
        <v>SC</v>
      </c>
      <c r="C551" s="3" t="str">
        <f t="shared" si="20"/>
        <v>BRASIL</v>
      </c>
      <c r="D551" s="4" t="str">
        <f>"SC032"</f>
        <v>SC032</v>
      </c>
    </row>
    <row r="552" spans="1:4" x14ac:dyDescent="0.3">
      <c r="A552" s="2" t="str">
        <f>"BARRACAO"</f>
        <v>BARRACAO</v>
      </c>
      <c r="B552" s="3" t="str">
        <f>"PR"</f>
        <v>PR</v>
      </c>
      <c r="C552" s="3" t="str">
        <f t="shared" si="20"/>
        <v>BRASIL</v>
      </c>
      <c r="D552" s="4" t="str">
        <f>"PR031"</f>
        <v>PR031</v>
      </c>
    </row>
    <row r="553" spans="1:4" x14ac:dyDescent="0.3">
      <c r="A553" s="2" t="str">
        <f>"BARRACAO"</f>
        <v>BARRACAO</v>
      </c>
      <c r="B553" s="3" t="str">
        <f>"RS"</f>
        <v>RS</v>
      </c>
      <c r="C553" s="3" t="str">
        <f t="shared" si="20"/>
        <v>BRASIL</v>
      </c>
      <c r="D553" s="4" t="str">
        <f>"RS035"</f>
        <v>RS035</v>
      </c>
    </row>
    <row r="554" spans="1:4" x14ac:dyDescent="0.3">
      <c r="A554" s="2" t="str">
        <f>"BARRAS"</f>
        <v>BARRAS</v>
      </c>
      <c r="B554" s="3" t="str">
        <f>"PI"</f>
        <v>PI</v>
      </c>
      <c r="C554" s="3" t="str">
        <f t="shared" si="20"/>
        <v>BRASIL</v>
      </c>
      <c r="D554" s="4" t="str">
        <f>"PI020"</f>
        <v>PI020</v>
      </c>
    </row>
    <row r="555" spans="1:4" x14ac:dyDescent="0.3">
      <c r="A555" s="2" t="str">
        <f>"BARREIRA"</f>
        <v>BARREIRA</v>
      </c>
      <c r="B555" s="3" t="str">
        <f>"CE"</f>
        <v>CE</v>
      </c>
      <c r="C555" s="3" t="str">
        <f t="shared" si="20"/>
        <v>BRASIL</v>
      </c>
      <c r="D555" s="4" t="str">
        <f>"CE024"</f>
        <v>CE024</v>
      </c>
    </row>
    <row r="556" spans="1:4" x14ac:dyDescent="0.3">
      <c r="A556" s="2" t="str">
        <f>"BARREIRAS"</f>
        <v>BARREIRAS</v>
      </c>
      <c r="B556" s="3" t="str">
        <f>"BA"</f>
        <v>BA</v>
      </c>
      <c r="C556" s="3" t="str">
        <f t="shared" si="20"/>
        <v>BRASIL</v>
      </c>
      <c r="D556" s="4" t="str">
        <f>"BA039"</f>
        <v>BA039</v>
      </c>
    </row>
    <row r="557" spans="1:4" x14ac:dyDescent="0.3">
      <c r="A557" s="2" t="str">
        <f>"BARREIRAS DO PIAUI"</f>
        <v>BARREIRAS DO PIAUI</v>
      </c>
      <c r="B557" s="3" t="str">
        <f>"PI"</f>
        <v>PI</v>
      </c>
      <c r="C557" s="3" t="str">
        <f t="shared" si="20"/>
        <v>BRASIL</v>
      </c>
      <c r="D557" s="4" t="str">
        <f>"PI021"</f>
        <v>PI021</v>
      </c>
    </row>
    <row r="558" spans="1:4" x14ac:dyDescent="0.3">
      <c r="A558" s="2" t="str">
        <f>"BARREIRINHA"</f>
        <v>BARREIRINHA</v>
      </c>
      <c r="B558" s="3" t="str">
        <f>"AM"</f>
        <v>AM</v>
      </c>
      <c r="C558" s="3" t="str">
        <f t="shared" si="20"/>
        <v>BRASIL</v>
      </c>
      <c r="D558" s="4" t="str">
        <f>"AM009"</f>
        <v>AM009</v>
      </c>
    </row>
    <row r="559" spans="1:4" x14ac:dyDescent="0.3">
      <c r="A559" s="2" t="str">
        <f>"BARREIRINHAS"</f>
        <v>BARREIRINHAS</v>
      </c>
      <c r="B559" s="3" t="str">
        <f>"MA"</f>
        <v>MA</v>
      </c>
      <c r="C559" s="3" t="str">
        <f t="shared" si="20"/>
        <v>BRASIL</v>
      </c>
      <c r="D559" s="4" t="str">
        <f>"MA027"</f>
        <v>MA027</v>
      </c>
    </row>
    <row r="560" spans="1:4" x14ac:dyDescent="0.3">
      <c r="A560" s="2" t="str">
        <f>"BARREIROS"</f>
        <v>BARREIROS</v>
      </c>
      <c r="B560" s="3" t="str">
        <f>"PE"</f>
        <v>PE</v>
      </c>
      <c r="C560" s="3" t="str">
        <f t="shared" si="20"/>
        <v>BRASIL</v>
      </c>
      <c r="D560" s="4" t="str">
        <f>"PE016"</f>
        <v>PE016</v>
      </c>
    </row>
    <row r="561" spans="1:4" x14ac:dyDescent="0.3">
      <c r="A561" s="2" t="str">
        <f>"BARRETOS"</f>
        <v>BARRETOS</v>
      </c>
      <c r="B561" s="3" t="str">
        <f>"SP"</f>
        <v>SP</v>
      </c>
      <c r="C561" s="3" t="str">
        <f t="shared" si="20"/>
        <v>BRASIL</v>
      </c>
      <c r="D561" s="4" t="str">
        <f>"SP063"</f>
        <v>SP063</v>
      </c>
    </row>
    <row r="562" spans="1:4" x14ac:dyDescent="0.3">
      <c r="A562" s="2" t="str">
        <f>"BARRINHA"</f>
        <v>BARRINHA</v>
      </c>
      <c r="B562" s="3" t="str">
        <f>"SP"</f>
        <v>SP</v>
      </c>
      <c r="C562" s="3" t="str">
        <f t="shared" si="20"/>
        <v>BRASIL</v>
      </c>
      <c r="D562" s="4" t="str">
        <f>"SP064"</f>
        <v>SP064</v>
      </c>
    </row>
    <row r="563" spans="1:4" x14ac:dyDescent="0.3">
      <c r="A563" s="2" t="str">
        <f>"BARRO"</f>
        <v>BARRO</v>
      </c>
      <c r="B563" s="3" t="str">
        <f>"CE"</f>
        <v>CE</v>
      </c>
      <c r="C563" s="3" t="str">
        <f t="shared" si="20"/>
        <v>BRASIL</v>
      </c>
      <c r="D563" s="4" t="str">
        <f>"CE025"</f>
        <v>CE025</v>
      </c>
    </row>
    <row r="564" spans="1:4" x14ac:dyDescent="0.3">
      <c r="A564" s="2" t="str">
        <f>"BARRO ALTO"</f>
        <v>BARRO ALTO</v>
      </c>
      <c r="B564" s="3" t="str">
        <f>"BA"</f>
        <v>BA</v>
      </c>
      <c r="C564" s="3" t="str">
        <f t="shared" si="20"/>
        <v>BRASIL</v>
      </c>
      <c r="D564" s="4" t="str">
        <f>"BA040"</f>
        <v>BA040</v>
      </c>
    </row>
    <row r="565" spans="1:4" x14ac:dyDescent="0.3">
      <c r="A565" s="2" t="str">
        <f>"BARRO ALTO"</f>
        <v>BARRO ALTO</v>
      </c>
      <c r="B565" s="3" t="str">
        <f>"GO"</f>
        <v>GO</v>
      </c>
      <c r="C565" s="3" t="str">
        <f t="shared" si="20"/>
        <v>BRASIL</v>
      </c>
      <c r="D565" s="4" t="str">
        <f>"GO031"</f>
        <v>GO031</v>
      </c>
    </row>
    <row r="566" spans="1:4" x14ac:dyDescent="0.3">
      <c r="A566" s="2" t="str">
        <f>"BARRO DURO"</f>
        <v>BARRO DURO</v>
      </c>
      <c r="B566" s="3" t="str">
        <f>"PI"</f>
        <v>PI</v>
      </c>
      <c r="C566" s="3" t="str">
        <f t="shared" si="20"/>
        <v>BRASIL</v>
      </c>
      <c r="D566" s="4" t="str">
        <f>"PI022"</f>
        <v>PI022</v>
      </c>
    </row>
    <row r="567" spans="1:4" x14ac:dyDescent="0.3">
      <c r="A567" s="2" t="str">
        <f>"BARRO PRETO"</f>
        <v>BARRO PRETO</v>
      </c>
      <c r="B567" s="3" t="str">
        <f>"BA"</f>
        <v>BA</v>
      </c>
      <c r="C567" s="3" t="str">
        <f t="shared" si="20"/>
        <v>BRASIL</v>
      </c>
      <c r="D567" s="4" t="str">
        <f>"BA042"</f>
        <v>BA042</v>
      </c>
    </row>
    <row r="568" spans="1:4" x14ac:dyDescent="0.3">
      <c r="A568" s="2" t="str">
        <f>"BARROCAS"</f>
        <v>BARROCAS</v>
      </c>
      <c r="B568" s="3" t="str">
        <f>"BA"</f>
        <v>BA</v>
      </c>
      <c r="C568" s="3" t="str">
        <f t="shared" si="20"/>
        <v>BRASIL</v>
      </c>
      <c r="D568" s="4" t="str">
        <f>"BA041"</f>
        <v>BA041</v>
      </c>
    </row>
    <row r="569" spans="1:4" x14ac:dyDescent="0.3">
      <c r="A569" s="2" t="str">
        <f>"BARROLANDIA"</f>
        <v>BARROLANDIA</v>
      </c>
      <c r="B569" s="3" t="str">
        <f>"TO"</f>
        <v>TO</v>
      </c>
      <c r="C569" s="3" t="str">
        <f t="shared" si="20"/>
        <v>BRASIL</v>
      </c>
      <c r="D569" s="4" t="str">
        <f>"TO023"</f>
        <v>TO023</v>
      </c>
    </row>
    <row r="570" spans="1:4" x14ac:dyDescent="0.3">
      <c r="A570" s="2" t="str">
        <f>"BARROQUINHA"</f>
        <v>BARROQUINHA</v>
      </c>
      <c r="B570" s="3" t="str">
        <f>"CE"</f>
        <v>CE</v>
      </c>
      <c r="C570" s="3" t="str">
        <f t="shared" si="20"/>
        <v>BRASIL</v>
      </c>
      <c r="D570" s="4" t="str">
        <f>"CE026"</f>
        <v>CE026</v>
      </c>
    </row>
    <row r="571" spans="1:4" x14ac:dyDescent="0.3">
      <c r="A571" s="2" t="str">
        <f>"BARROS CASSAL"</f>
        <v>BARROS CASSAL</v>
      </c>
      <c r="B571" s="3" t="str">
        <f>"RS"</f>
        <v>RS</v>
      </c>
      <c r="C571" s="3" t="str">
        <f t="shared" si="20"/>
        <v>BRASIL</v>
      </c>
      <c r="D571" s="4" t="str">
        <f>"RS041"</f>
        <v>RS041</v>
      </c>
    </row>
    <row r="572" spans="1:4" x14ac:dyDescent="0.3">
      <c r="A572" s="2" t="str">
        <f>"BARROSO"</f>
        <v>BARROSO</v>
      </c>
      <c r="B572" s="3" t="str">
        <f>"MG"</f>
        <v>MG</v>
      </c>
      <c r="C572" s="3" t="str">
        <f t="shared" si="20"/>
        <v>BRASIL</v>
      </c>
      <c r="D572" s="4" t="str">
        <f>"MG063"</f>
        <v>MG063</v>
      </c>
    </row>
    <row r="573" spans="1:4" x14ac:dyDescent="0.3">
      <c r="A573" s="2" t="str">
        <f>"BARUERI"</f>
        <v>BARUERI</v>
      </c>
      <c r="B573" s="3" t="str">
        <f>"SP"</f>
        <v>SP</v>
      </c>
      <c r="C573" s="3" t="str">
        <f t="shared" si="20"/>
        <v>BRASIL</v>
      </c>
      <c r="D573" s="4" t="str">
        <f>"BAR"</f>
        <v>BAR</v>
      </c>
    </row>
    <row r="574" spans="1:4" x14ac:dyDescent="0.3">
      <c r="A574" s="2" t="str">
        <f>"BASTOS"</f>
        <v>BASTOS</v>
      </c>
      <c r="B574" s="3" t="str">
        <f>"SP"</f>
        <v>SP</v>
      </c>
      <c r="C574" s="3" t="str">
        <f t="shared" si="20"/>
        <v>BRASIL</v>
      </c>
      <c r="D574" s="4" t="str">
        <f>"SP066"</f>
        <v>SP066</v>
      </c>
    </row>
    <row r="575" spans="1:4" x14ac:dyDescent="0.3">
      <c r="A575" s="2" t="str">
        <f>"BATAGUASSU"</f>
        <v>BATAGUASSU</v>
      </c>
      <c r="B575" s="3" t="str">
        <f>"MS"</f>
        <v>MS</v>
      </c>
      <c r="C575" s="3" t="str">
        <f t="shared" si="20"/>
        <v>BRASIL</v>
      </c>
      <c r="D575" s="4" t="str">
        <f>"MS012"</f>
        <v>MS012</v>
      </c>
    </row>
    <row r="576" spans="1:4" x14ac:dyDescent="0.3">
      <c r="A576" s="2" t="str">
        <f>"BATALHA"</f>
        <v>BATALHA</v>
      </c>
      <c r="B576" s="3" t="str">
        <f>"AL"</f>
        <v>AL</v>
      </c>
      <c r="C576" s="3" t="str">
        <f t="shared" si="20"/>
        <v>BRASIL</v>
      </c>
      <c r="D576" s="4" t="str">
        <f>"AL007"</f>
        <v>AL007</v>
      </c>
    </row>
    <row r="577" spans="1:4" x14ac:dyDescent="0.3">
      <c r="A577" s="2" t="str">
        <f>"BATALHA"</f>
        <v>BATALHA</v>
      </c>
      <c r="B577" s="3" t="str">
        <f>"PI"</f>
        <v>PI</v>
      </c>
      <c r="C577" s="3" t="str">
        <f t="shared" si="20"/>
        <v>BRASIL</v>
      </c>
      <c r="D577" s="4" t="str">
        <f>"PI023"</f>
        <v>PI023</v>
      </c>
    </row>
    <row r="578" spans="1:4" x14ac:dyDescent="0.3">
      <c r="A578" s="2" t="str">
        <f>"BATATAIS"</f>
        <v>BATATAIS</v>
      </c>
      <c r="B578" s="3" t="str">
        <f>"SP"</f>
        <v>SP</v>
      </c>
      <c r="C578" s="3" t="str">
        <f t="shared" si="20"/>
        <v>BRASIL</v>
      </c>
      <c r="D578" s="4" t="str">
        <f>"SP067"</f>
        <v>SP067</v>
      </c>
    </row>
    <row r="579" spans="1:4" x14ac:dyDescent="0.3">
      <c r="A579" s="2" t="str">
        <f>"BATAYPORA"</f>
        <v>BATAYPORA</v>
      </c>
      <c r="B579" s="3" t="str">
        <f>"MS"</f>
        <v>MS</v>
      </c>
      <c r="C579" s="3" t="str">
        <f t="shared" si="20"/>
        <v>BRASIL</v>
      </c>
      <c r="D579" s="4" t="str">
        <f>"MS013"</f>
        <v>MS013</v>
      </c>
    </row>
    <row r="580" spans="1:4" x14ac:dyDescent="0.3">
      <c r="A580" s="2" t="str">
        <f>"BATURITE"</f>
        <v>BATURITE</v>
      </c>
      <c r="B580" s="3" t="str">
        <f>"CE"</f>
        <v>CE</v>
      </c>
      <c r="C580" s="3" t="str">
        <f t="shared" si="20"/>
        <v>BRASIL</v>
      </c>
      <c r="D580" s="4" t="str">
        <f>"CE027"</f>
        <v>CE027</v>
      </c>
    </row>
    <row r="581" spans="1:4" x14ac:dyDescent="0.3">
      <c r="A581" s="2" t="str">
        <f>"BAURU"</f>
        <v>BAURU</v>
      </c>
      <c r="B581" s="3" t="str">
        <f>"SP"</f>
        <v>SP</v>
      </c>
      <c r="C581" s="3" t="str">
        <f t="shared" si="20"/>
        <v>BRASIL</v>
      </c>
      <c r="D581" s="4" t="str">
        <f>"SP068"</f>
        <v>SP068</v>
      </c>
    </row>
    <row r="582" spans="1:4" x14ac:dyDescent="0.3">
      <c r="A582" s="2" t="str">
        <f>"BAYEUX"</f>
        <v>BAYEUX</v>
      </c>
      <c r="B582" s="3" t="str">
        <f>"PB"</f>
        <v>PB</v>
      </c>
      <c r="C582" s="3" t="str">
        <f t="shared" si="20"/>
        <v>BRASIL</v>
      </c>
      <c r="D582" s="4" t="str">
        <f>"PB026"</f>
        <v>PB026</v>
      </c>
    </row>
    <row r="583" spans="1:4" x14ac:dyDescent="0.3">
      <c r="A583" s="2" t="str">
        <f>"BEBEDOURO"</f>
        <v>BEBEDOURO</v>
      </c>
      <c r="B583" s="3" t="str">
        <f>"SP"</f>
        <v>SP</v>
      </c>
      <c r="C583" s="3" t="str">
        <f t="shared" si="20"/>
        <v>BRASIL</v>
      </c>
      <c r="D583" s="4" t="str">
        <f>"SP069"</f>
        <v>SP069</v>
      </c>
    </row>
    <row r="584" spans="1:4" x14ac:dyDescent="0.3">
      <c r="A584" s="2" t="str">
        <f>"BEBERIBE"</f>
        <v>BEBERIBE</v>
      </c>
      <c r="B584" s="3" t="str">
        <f>"CE"</f>
        <v>CE</v>
      </c>
      <c r="C584" s="3" t="str">
        <f t="shared" si="20"/>
        <v>BRASIL</v>
      </c>
      <c r="D584" s="4" t="str">
        <f>"CE028"</f>
        <v>CE028</v>
      </c>
    </row>
    <row r="585" spans="1:4" x14ac:dyDescent="0.3">
      <c r="A585" s="2" t="str">
        <f>"BEERFELDEN"</f>
        <v>BEERFELDEN</v>
      </c>
      <c r="B585" s="3" t="str">
        <f>"EX"</f>
        <v>EX</v>
      </c>
      <c r="C585" s="3" t="str">
        <f>"ALEMANHA"</f>
        <v>ALEMANHA</v>
      </c>
      <c r="D585" s="4" t="str">
        <f>"BEERF"</f>
        <v>BEERF</v>
      </c>
    </row>
    <row r="586" spans="1:4" x14ac:dyDescent="0.3">
      <c r="A586" s="2" t="str">
        <f>"BELA CRUZ"</f>
        <v>BELA CRUZ</v>
      </c>
      <c r="B586" s="3" t="str">
        <f>"CE"</f>
        <v>CE</v>
      </c>
      <c r="C586" s="3" t="str">
        <f t="shared" ref="C586:C623" si="21">"BRASIL"</f>
        <v>BRASIL</v>
      </c>
      <c r="D586" s="4" t="str">
        <f>"CE029"</f>
        <v>CE029</v>
      </c>
    </row>
    <row r="587" spans="1:4" x14ac:dyDescent="0.3">
      <c r="A587" s="2" t="str">
        <f>"BELA VISTA"</f>
        <v>BELA VISTA</v>
      </c>
      <c r="B587" s="3" t="str">
        <f>"MS"</f>
        <v>MS</v>
      </c>
      <c r="C587" s="3" t="str">
        <f t="shared" si="21"/>
        <v>BRASIL</v>
      </c>
      <c r="D587" s="4" t="str">
        <f>"MS014"</f>
        <v>MS014</v>
      </c>
    </row>
    <row r="588" spans="1:4" x14ac:dyDescent="0.3">
      <c r="A588" s="2" t="str">
        <f>"BELA VISTA DA CAROBA"</f>
        <v>BELA VISTA DA CAROBA</v>
      </c>
      <c r="B588" s="3" t="str">
        <f>"PR"</f>
        <v>PR</v>
      </c>
      <c r="C588" s="3" t="str">
        <f t="shared" si="21"/>
        <v>BRASIL</v>
      </c>
      <c r="D588" s="4" t="str">
        <f>"PR033"</f>
        <v>PR033</v>
      </c>
    </row>
    <row r="589" spans="1:4" x14ac:dyDescent="0.3">
      <c r="A589" s="2" t="str">
        <f>"BELA VISTA DE GOIAS"</f>
        <v>BELA VISTA DE GOIAS</v>
      </c>
      <c r="B589" s="3" t="str">
        <f>"GO"</f>
        <v>GO</v>
      </c>
      <c r="C589" s="3" t="str">
        <f t="shared" si="21"/>
        <v>BRASIL</v>
      </c>
      <c r="D589" s="4" t="str">
        <f>"GO032"</f>
        <v>GO032</v>
      </c>
    </row>
    <row r="590" spans="1:4" x14ac:dyDescent="0.3">
      <c r="A590" s="2" t="str">
        <f>"BELA VISTA DE MINAS"</f>
        <v>BELA VISTA DE MINAS</v>
      </c>
      <c r="B590" s="3" t="str">
        <f>"MG"</f>
        <v>MG</v>
      </c>
      <c r="C590" s="3" t="str">
        <f t="shared" si="21"/>
        <v>BRASIL</v>
      </c>
      <c r="D590" s="4" t="str">
        <f>"MG064"</f>
        <v>MG064</v>
      </c>
    </row>
    <row r="591" spans="1:4" x14ac:dyDescent="0.3">
      <c r="A591" s="2" t="str">
        <f>"BELA VISTA DO MARANHAO"</f>
        <v>BELA VISTA DO MARANHAO</v>
      </c>
      <c r="B591" s="3" t="str">
        <f>"MA"</f>
        <v>MA</v>
      </c>
      <c r="C591" s="3" t="str">
        <f t="shared" si="21"/>
        <v>BRASIL</v>
      </c>
      <c r="D591" s="4" t="str">
        <f>"MA029"</f>
        <v>MA029</v>
      </c>
    </row>
    <row r="592" spans="1:4" x14ac:dyDescent="0.3">
      <c r="A592" s="2" t="str">
        <f>"BELA VISTA DO PARAISO"</f>
        <v>BELA VISTA DO PARAISO</v>
      </c>
      <c r="B592" s="3" t="str">
        <f>"PR"</f>
        <v>PR</v>
      </c>
      <c r="C592" s="3" t="str">
        <f t="shared" si="21"/>
        <v>BRASIL</v>
      </c>
      <c r="D592" s="4" t="str">
        <f>"PR034"</f>
        <v>PR034</v>
      </c>
    </row>
    <row r="593" spans="1:4" x14ac:dyDescent="0.3">
      <c r="A593" s="2" t="str">
        <f>"BELA VISTA DO PIAUI"</f>
        <v>BELA VISTA DO PIAUI</v>
      </c>
      <c r="B593" s="3" t="str">
        <f>"PI"</f>
        <v>PI</v>
      </c>
      <c r="C593" s="3" t="str">
        <f t="shared" si="21"/>
        <v>BRASIL</v>
      </c>
      <c r="D593" s="4" t="str">
        <f>"PI024"</f>
        <v>PI024</v>
      </c>
    </row>
    <row r="594" spans="1:4" x14ac:dyDescent="0.3">
      <c r="A594" s="2" t="str">
        <f>"BELA VISTA DO TOLDO"</f>
        <v>BELA VISTA DO TOLDO</v>
      </c>
      <c r="B594" s="3" t="str">
        <f>"SC"</f>
        <v>SC</v>
      </c>
      <c r="C594" s="3" t="str">
        <f t="shared" si="21"/>
        <v>BRASIL</v>
      </c>
      <c r="D594" s="4" t="str">
        <f>"SC033"</f>
        <v>SC033</v>
      </c>
    </row>
    <row r="595" spans="1:4" x14ac:dyDescent="0.3">
      <c r="A595" s="2" t="str">
        <f>"BELAGUA"</f>
        <v>BELAGUA</v>
      </c>
      <c r="B595" s="3" t="str">
        <f>"MA"</f>
        <v>MA</v>
      </c>
      <c r="C595" s="3" t="str">
        <f t="shared" si="21"/>
        <v>BRASIL</v>
      </c>
      <c r="D595" s="4" t="str">
        <f>"MA028"</f>
        <v>MA028</v>
      </c>
    </row>
    <row r="596" spans="1:4" x14ac:dyDescent="0.3">
      <c r="A596" s="2" t="str">
        <f>"BELEM"</f>
        <v>BELEM</v>
      </c>
      <c r="B596" s="3" t="str">
        <f>"AL"</f>
        <v>AL</v>
      </c>
      <c r="C596" s="3" t="str">
        <f t="shared" si="21"/>
        <v>BRASIL</v>
      </c>
      <c r="D596" s="4" t="str">
        <f>"AL008"</f>
        <v>AL008</v>
      </c>
    </row>
    <row r="597" spans="1:4" x14ac:dyDescent="0.3">
      <c r="A597" s="2" t="str">
        <f>"BELEM"</f>
        <v>BELEM</v>
      </c>
      <c r="B597" s="3" t="str">
        <f>"PA"</f>
        <v>PA</v>
      </c>
      <c r="C597" s="3" t="str">
        <f t="shared" si="21"/>
        <v>BRASIL</v>
      </c>
      <c r="D597" s="4" t="str">
        <f>"PA019"</f>
        <v>PA019</v>
      </c>
    </row>
    <row r="598" spans="1:4" x14ac:dyDescent="0.3">
      <c r="A598" s="2" t="str">
        <f>"BELEM"</f>
        <v>BELEM</v>
      </c>
      <c r="B598" s="3" t="str">
        <f>"PB"</f>
        <v>PB</v>
      </c>
      <c r="C598" s="3" t="str">
        <f t="shared" si="21"/>
        <v>BRASIL</v>
      </c>
      <c r="D598" s="4" t="str">
        <f>"PB027"</f>
        <v>PB027</v>
      </c>
    </row>
    <row r="599" spans="1:4" x14ac:dyDescent="0.3">
      <c r="A599" s="2" t="str">
        <f>"BELEM DE MARIA"</f>
        <v>BELEM DE MARIA</v>
      </c>
      <c r="B599" s="3" t="str">
        <f>"PE"</f>
        <v>PE</v>
      </c>
      <c r="C599" s="3" t="str">
        <f t="shared" si="21"/>
        <v>BRASIL</v>
      </c>
      <c r="D599" s="4" t="str">
        <f>"PE017"</f>
        <v>PE017</v>
      </c>
    </row>
    <row r="600" spans="1:4" x14ac:dyDescent="0.3">
      <c r="A600" s="2" t="str">
        <f>"BELEM DE SAO FRANCISCO"</f>
        <v>BELEM DE SAO FRANCISCO</v>
      </c>
      <c r="B600" s="3" t="str">
        <f>"PE"</f>
        <v>PE</v>
      </c>
      <c r="C600" s="3" t="str">
        <f t="shared" si="21"/>
        <v>BRASIL</v>
      </c>
      <c r="D600" s="4" t="str">
        <f>"PE018"</f>
        <v>PE018</v>
      </c>
    </row>
    <row r="601" spans="1:4" x14ac:dyDescent="0.3">
      <c r="A601" s="2" t="str">
        <f>"BELEM DO BREJO DO CRUZ"</f>
        <v>BELEM DO BREJO DO CRUZ</v>
      </c>
      <c r="B601" s="3" t="str">
        <f>"PB"</f>
        <v>PB</v>
      </c>
      <c r="C601" s="3" t="str">
        <f t="shared" si="21"/>
        <v>BRASIL</v>
      </c>
      <c r="D601" s="4" t="str">
        <f>"PB028"</f>
        <v>PB028</v>
      </c>
    </row>
    <row r="602" spans="1:4" x14ac:dyDescent="0.3">
      <c r="A602" s="2" t="str">
        <f>"BELEM DO PIAUI"</f>
        <v>BELEM DO PIAUI</v>
      </c>
      <c r="B602" s="3" t="str">
        <f>"PI"</f>
        <v>PI</v>
      </c>
      <c r="C602" s="3" t="str">
        <f t="shared" si="21"/>
        <v>BRASIL</v>
      </c>
      <c r="D602" s="4" t="str">
        <f>"PI025"</f>
        <v>PI025</v>
      </c>
    </row>
    <row r="603" spans="1:4" x14ac:dyDescent="0.3">
      <c r="A603" s="2" t="str">
        <f>"BELFORD ROXO"</f>
        <v>BELFORD ROXO</v>
      </c>
      <c r="B603" s="3" t="str">
        <f>"RJ"</f>
        <v>RJ</v>
      </c>
      <c r="C603" s="3" t="str">
        <f t="shared" si="21"/>
        <v>BRASIL</v>
      </c>
      <c r="D603" s="4" t="str">
        <f>"RJ009"</f>
        <v>RJ009</v>
      </c>
    </row>
    <row r="604" spans="1:4" x14ac:dyDescent="0.3">
      <c r="A604" s="2" t="str">
        <f>"BELMIRO BRAGA"</f>
        <v>BELMIRO BRAGA</v>
      </c>
      <c r="B604" s="3" t="str">
        <f>"MG"</f>
        <v>MG</v>
      </c>
      <c r="C604" s="3" t="str">
        <f t="shared" si="21"/>
        <v>BRASIL</v>
      </c>
      <c r="D604" s="4" t="str">
        <f>"MG065"</f>
        <v>MG065</v>
      </c>
    </row>
    <row r="605" spans="1:4" x14ac:dyDescent="0.3">
      <c r="A605" s="2" t="str">
        <f>"BELMONTE"</f>
        <v>BELMONTE</v>
      </c>
      <c r="B605" s="3" t="str">
        <f>"BA"</f>
        <v>BA</v>
      </c>
      <c r="C605" s="3" t="str">
        <f t="shared" si="21"/>
        <v>BRASIL</v>
      </c>
      <c r="D605" s="4" t="str">
        <f>"BA043"</f>
        <v>BA043</v>
      </c>
    </row>
    <row r="606" spans="1:4" x14ac:dyDescent="0.3">
      <c r="A606" s="2" t="str">
        <f>"BELMONTE"</f>
        <v>BELMONTE</v>
      </c>
      <c r="B606" s="3" t="str">
        <f>"SC"</f>
        <v>SC</v>
      </c>
      <c r="C606" s="3" t="str">
        <f t="shared" si="21"/>
        <v>BRASIL</v>
      </c>
      <c r="D606" s="4" t="str">
        <f>"SC034"</f>
        <v>SC034</v>
      </c>
    </row>
    <row r="607" spans="1:4" x14ac:dyDescent="0.3">
      <c r="A607" s="2" t="str">
        <f>"BELO CAMPO"</f>
        <v>BELO CAMPO</v>
      </c>
      <c r="B607" s="3" t="str">
        <f>"BA"</f>
        <v>BA</v>
      </c>
      <c r="C607" s="3" t="str">
        <f t="shared" si="21"/>
        <v>BRASIL</v>
      </c>
      <c r="D607" s="4" t="str">
        <f>"BA044"</f>
        <v>BA044</v>
      </c>
    </row>
    <row r="608" spans="1:4" x14ac:dyDescent="0.3">
      <c r="A608" s="2" t="str">
        <f>"BELO HORIZONTE"</f>
        <v>BELO HORIZONTE</v>
      </c>
      <c r="B608" s="3" t="str">
        <f>"MG"</f>
        <v>MG</v>
      </c>
      <c r="C608" s="3" t="str">
        <f t="shared" si="21"/>
        <v>BRASIL</v>
      </c>
      <c r="D608" s="4" t="str">
        <f>"MG066"</f>
        <v>MG066</v>
      </c>
    </row>
    <row r="609" spans="1:4" x14ac:dyDescent="0.3">
      <c r="A609" s="2" t="str">
        <f>"BELO JARDIM"</f>
        <v>BELO JARDIM</v>
      </c>
      <c r="B609" s="3" t="str">
        <f>"PE"</f>
        <v>PE</v>
      </c>
      <c r="C609" s="3" t="str">
        <f t="shared" si="21"/>
        <v>BRASIL</v>
      </c>
      <c r="D609" s="4" t="str">
        <f>"PE019"</f>
        <v>PE019</v>
      </c>
    </row>
    <row r="610" spans="1:4" x14ac:dyDescent="0.3">
      <c r="A610" s="2" t="str">
        <f>"BELO MONTE"</f>
        <v>BELO MONTE</v>
      </c>
      <c r="B610" s="3" t="str">
        <f>"AL"</f>
        <v>AL</v>
      </c>
      <c r="C610" s="3" t="str">
        <f t="shared" si="21"/>
        <v>BRASIL</v>
      </c>
      <c r="D610" s="4" t="str">
        <f>"AL009"</f>
        <v>AL009</v>
      </c>
    </row>
    <row r="611" spans="1:4" x14ac:dyDescent="0.3">
      <c r="A611" s="2" t="str">
        <f>"BELO ORIENTE"</f>
        <v>BELO ORIENTE</v>
      </c>
      <c r="B611" s="3" t="str">
        <f>"MG"</f>
        <v>MG</v>
      </c>
      <c r="C611" s="3" t="str">
        <f t="shared" si="21"/>
        <v>BRASIL</v>
      </c>
      <c r="D611" s="4" t="str">
        <f>"MG067"</f>
        <v>MG067</v>
      </c>
    </row>
    <row r="612" spans="1:4" x14ac:dyDescent="0.3">
      <c r="A612" s="2" t="str">
        <f>"BELO VALE"</f>
        <v>BELO VALE</v>
      </c>
      <c r="B612" s="3" t="str">
        <f>"MG"</f>
        <v>MG</v>
      </c>
      <c r="C612" s="3" t="str">
        <f t="shared" si="21"/>
        <v>BRASIL</v>
      </c>
      <c r="D612" s="4" t="str">
        <f>"MG068"</f>
        <v>MG068</v>
      </c>
    </row>
    <row r="613" spans="1:4" x14ac:dyDescent="0.3">
      <c r="A613" s="2" t="str">
        <f>"BELTERRA"</f>
        <v>BELTERRA</v>
      </c>
      <c r="B613" s="3" t="str">
        <f>"PA"</f>
        <v>PA</v>
      </c>
      <c r="C613" s="3" t="str">
        <f t="shared" si="21"/>
        <v>BRASIL</v>
      </c>
      <c r="D613" s="4" t="str">
        <f>"PA020"</f>
        <v>PA020</v>
      </c>
    </row>
    <row r="614" spans="1:4" x14ac:dyDescent="0.3">
      <c r="A614" s="2" t="str">
        <f>"BENEDITINOS"</f>
        <v>BENEDITINOS</v>
      </c>
      <c r="B614" s="3" t="str">
        <f>"PI"</f>
        <v>PI</v>
      </c>
      <c r="C614" s="3" t="str">
        <f t="shared" si="21"/>
        <v>BRASIL</v>
      </c>
      <c r="D614" s="4" t="str">
        <f>"PI026"</f>
        <v>PI026</v>
      </c>
    </row>
    <row r="615" spans="1:4" x14ac:dyDescent="0.3">
      <c r="A615" s="2" t="str">
        <f>"BENEDITO LEITE"</f>
        <v>BENEDITO LEITE</v>
      </c>
      <c r="B615" s="3" t="str">
        <f>"MA"</f>
        <v>MA</v>
      </c>
      <c r="C615" s="3" t="str">
        <f t="shared" si="21"/>
        <v>BRASIL</v>
      </c>
      <c r="D615" s="4" t="str">
        <f>"MA030"</f>
        <v>MA030</v>
      </c>
    </row>
    <row r="616" spans="1:4" x14ac:dyDescent="0.3">
      <c r="A616" s="2" t="str">
        <f>"BENEDITO NOVO"</f>
        <v>BENEDITO NOVO</v>
      </c>
      <c r="B616" s="3" t="str">
        <f>"SC"</f>
        <v>SC</v>
      </c>
      <c r="C616" s="3" t="str">
        <f t="shared" si="21"/>
        <v>BRASIL</v>
      </c>
      <c r="D616" s="4" t="str">
        <f>"SC035"</f>
        <v>SC035</v>
      </c>
    </row>
    <row r="617" spans="1:4" x14ac:dyDescent="0.3">
      <c r="A617" s="2" t="str">
        <f>"BENEVIDES"</f>
        <v>BENEVIDES</v>
      </c>
      <c r="B617" s="3" t="str">
        <f>"PA"</f>
        <v>PA</v>
      </c>
      <c r="C617" s="3" t="str">
        <f t="shared" si="21"/>
        <v>BRASIL</v>
      </c>
      <c r="D617" s="4" t="str">
        <f>"PA021"</f>
        <v>PA021</v>
      </c>
    </row>
    <row r="618" spans="1:4" x14ac:dyDescent="0.3">
      <c r="A618" s="2" t="str">
        <f>"BENJAMIN CONSTANT"</f>
        <v>BENJAMIN CONSTANT</v>
      </c>
      <c r="B618" s="3" t="str">
        <f>"AM"</f>
        <v>AM</v>
      </c>
      <c r="C618" s="3" t="str">
        <f t="shared" si="21"/>
        <v>BRASIL</v>
      </c>
      <c r="D618" s="4" t="str">
        <f>"AM010"</f>
        <v>AM010</v>
      </c>
    </row>
    <row r="619" spans="1:4" x14ac:dyDescent="0.3">
      <c r="A619" s="2" t="str">
        <f>"BENJAMIN CONSTANT DO SUL"</f>
        <v>BENJAMIN CONSTANT DO SUL</v>
      </c>
      <c r="B619" s="3" t="str">
        <f>"RS"</f>
        <v>RS</v>
      </c>
      <c r="C619" s="3" t="str">
        <f t="shared" si="21"/>
        <v>BRASIL</v>
      </c>
      <c r="D619" s="4" t="str">
        <f>"RS042"</f>
        <v>RS042</v>
      </c>
    </row>
    <row r="620" spans="1:4" x14ac:dyDescent="0.3">
      <c r="A620" s="2" t="str">
        <f>"BENTO DE ABREU"</f>
        <v>BENTO DE ABREU</v>
      </c>
      <c r="B620" s="3" t="str">
        <f>"SP"</f>
        <v>SP</v>
      </c>
      <c r="C620" s="3" t="str">
        <f t="shared" si="21"/>
        <v>BRASIL</v>
      </c>
      <c r="D620" s="4" t="str">
        <f>"SP070"</f>
        <v>SP070</v>
      </c>
    </row>
    <row r="621" spans="1:4" x14ac:dyDescent="0.3">
      <c r="A621" s="2" t="str">
        <f>"BENTO FERNANDES"</f>
        <v>BENTO FERNANDES</v>
      </c>
      <c r="B621" s="3" t="str">
        <f>"RN"</f>
        <v>RN</v>
      </c>
      <c r="C621" s="3" t="str">
        <f t="shared" si="21"/>
        <v>BRASIL</v>
      </c>
      <c r="D621" s="4" t="str">
        <f>"RN017"</f>
        <v>RN017</v>
      </c>
    </row>
    <row r="622" spans="1:4" x14ac:dyDescent="0.3">
      <c r="A622" s="2" t="str">
        <f>"BENTO GONCALVES"</f>
        <v>BENTO GONCALVES</v>
      </c>
      <c r="B622" s="3" t="str">
        <f>"RS"</f>
        <v>RS</v>
      </c>
      <c r="C622" s="3" t="str">
        <f t="shared" si="21"/>
        <v>BRASIL</v>
      </c>
      <c r="D622" s="4" t="str">
        <f>"RS043"</f>
        <v>RS043</v>
      </c>
    </row>
    <row r="623" spans="1:4" x14ac:dyDescent="0.3">
      <c r="A623" s="2" t="str">
        <f>"BEQUIMAO"</f>
        <v>BEQUIMAO</v>
      </c>
      <c r="B623" s="3" t="str">
        <f>"MA"</f>
        <v>MA</v>
      </c>
      <c r="C623" s="3" t="str">
        <f t="shared" si="21"/>
        <v>BRASIL</v>
      </c>
      <c r="D623" s="4" t="str">
        <f>"MA031"</f>
        <v>MA031</v>
      </c>
    </row>
    <row r="624" spans="1:4" x14ac:dyDescent="0.3">
      <c r="A624" s="2" t="str">
        <f>"BERÁSTEGUI"</f>
        <v>BERÁSTEGUI</v>
      </c>
      <c r="B624" s="3" t="str">
        <f>"EX"</f>
        <v>EX</v>
      </c>
      <c r="C624" s="3" t="str">
        <f>"ESPANHA"</f>
        <v>ESPANHA</v>
      </c>
      <c r="D624" s="4" t="str">
        <f>"BRTG"</f>
        <v>BRTG</v>
      </c>
    </row>
    <row r="625" spans="1:4" x14ac:dyDescent="0.3">
      <c r="A625" s="2" t="str">
        <f>"BERILO"</f>
        <v>BERILO</v>
      </c>
      <c r="B625" s="3" t="str">
        <f>"MG"</f>
        <v>MG</v>
      </c>
      <c r="C625" s="3" t="str">
        <f>"BRASIL"</f>
        <v>BRASIL</v>
      </c>
      <c r="D625" s="4" t="str">
        <f>"MG069"</f>
        <v>MG069</v>
      </c>
    </row>
    <row r="626" spans="1:4" x14ac:dyDescent="0.3">
      <c r="A626" s="2" t="str">
        <f>"BERIZAL"</f>
        <v>BERIZAL</v>
      </c>
      <c r="B626" s="3" t="str">
        <f>"MG"</f>
        <v>MG</v>
      </c>
      <c r="C626" s="3" t="str">
        <f>"BRASIL"</f>
        <v>BRASIL</v>
      </c>
      <c r="D626" s="4" t="str">
        <f>"MG071"</f>
        <v>MG071</v>
      </c>
    </row>
    <row r="627" spans="1:4" x14ac:dyDescent="0.3">
      <c r="A627" s="2" t="str">
        <f>"BERLIN"</f>
        <v>BERLIN</v>
      </c>
      <c r="B627" s="3" t="str">
        <f>"ex"</f>
        <v>ex</v>
      </c>
      <c r="C627" s="3" t="str">
        <f>"ALEMANHA"</f>
        <v>ALEMANHA</v>
      </c>
      <c r="D627" s="4" t="str">
        <f>"BER"</f>
        <v>BER</v>
      </c>
    </row>
    <row r="628" spans="1:4" x14ac:dyDescent="0.3">
      <c r="A628" s="2" t="str">
        <f>"BERNARDINO BATISTA"</f>
        <v>BERNARDINO BATISTA</v>
      </c>
      <c r="B628" s="3" t="str">
        <f>"PB"</f>
        <v>PB</v>
      </c>
      <c r="C628" s="3" t="str">
        <f>"BRASIL"</f>
        <v>BRASIL</v>
      </c>
      <c r="D628" s="4" t="str">
        <f>"PB029"</f>
        <v>PB029</v>
      </c>
    </row>
    <row r="629" spans="1:4" x14ac:dyDescent="0.3">
      <c r="A629" s="2" t="str">
        <f>"BERNARDINO DE CAMPOS"</f>
        <v>BERNARDINO DE CAMPOS</v>
      </c>
      <c r="B629" s="3" t="str">
        <f>"SP"</f>
        <v>SP</v>
      </c>
      <c r="C629" s="3" t="str">
        <f>"BRASIL"</f>
        <v>BRASIL</v>
      </c>
      <c r="D629" s="4" t="str">
        <f>"SP071"</f>
        <v>SP071</v>
      </c>
    </row>
    <row r="630" spans="1:4" x14ac:dyDescent="0.3">
      <c r="A630" s="2" t="str">
        <f>"BERNARDO DO MEARIM"</f>
        <v>BERNARDO DO MEARIM</v>
      </c>
      <c r="B630" s="3" t="str">
        <f>"MA"</f>
        <v>MA</v>
      </c>
      <c r="C630" s="3" t="str">
        <f>"BRASIL"</f>
        <v>BRASIL</v>
      </c>
      <c r="D630" s="4" t="str">
        <f>"MA032"</f>
        <v>MA032</v>
      </c>
    </row>
    <row r="631" spans="1:4" x14ac:dyDescent="0.3">
      <c r="A631" s="2" t="str">
        <f>"BERNARDO SAYAO"</f>
        <v>BERNARDO SAYAO</v>
      </c>
      <c r="B631" s="3" t="str">
        <f>"TO"</f>
        <v>TO</v>
      </c>
      <c r="C631" s="3" t="str">
        <f>"BRASIL"</f>
        <v>BRASIL</v>
      </c>
      <c r="D631" s="4" t="str">
        <f>"TO024"</f>
        <v>TO024</v>
      </c>
    </row>
    <row r="632" spans="1:4" x14ac:dyDescent="0.3">
      <c r="A632" s="2" t="str">
        <f>"BERNDORF"</f>
        <v>BERNDORF</v>
      </c>
      <c r="B632" s="3" t="str">
        <f>"EX"</f>
        <v>EX</v>
      </c>
      <c r="C632" s="3" t="str">
        <f>"AUSTRIA"</f>
        <v>AUSTRIA</v>
      </c>
      <c r="D632" s="4" t="str">
        <f>"BERND"</f>
        <v>BERND</v>
      </c>
    </row>
    <row r="633" spans="1:4" x14ac:dyDescent="0.3">
      <c r="A633" s="2" t="str">
        <f>"BERTIOGA"</f>
        <v>BERTIOGA</v>
      </c>
      <c r="B633" s="3" t="str">
        <f>"SP"</f>
        <v>SP</v>
      </c>
      <c r="C633" s="3" t="str">
        <f t="shared" ref="C633:C642" si="22">"BRASIL"</f>
        <v>BRASIL</v>
      </c>
      <c r="D633" s="4" t="str">
        <f>"SP072"</f>
        <v>SP072</v>
      </c>
    </row>
    <row r="634" spans="1:4" x14ac:dyDescent="0.3">
      <c r="A634" s="2" t="str">
        <f>"BERTOLINIA"</f>
        <v>BERTOLINIA</v>
      </c>
      <c r="B634" s="3" t="str">
        <f>"PI"</f>
        <v>PI</v>
      </c>
      <c r="C634" s="3" t="str">
        <f t="shared" si="22"/>
        <v>BRASIL</v>
      </c>
      <c r="D634" s="4" t="str">
        <f>"PI027"</f>
        <v>PI027</v>
      </c>
    </row>
    <row r="635" spans="1:4" x14ac:dyDescent="0.3">
      <c r="A635" s="2" t="str">
        <f>"BERTOPOLIS"</f>
        <v>BERTOPOLIS</v>
      </c>
      <c r="B635" s="3" t="str">
        <f>"MG"</f>
        <v>MG</v>
      </c>
      <c r="C635" s="3" t="str">
        <f t="shared" si="22"/>
        <v>BRASIL</v>
      </c>
      <c r="D635" s="4" t="str">
        <f>"MG070"</f>
        <v>MG070</v>
      </c>
    </row>
    <row r="636" spans="1:4" x14ac:dyDescent="0.3">
      <c r="A636" s="2" t="str">
        <f>"BERURI"</f>
        <v>BERURI</v>
      </c>
      <c r="B636" s="3" t="str">
        <f>"AM"</f>
        <v>AM</v>
      </c>
      <c r="C636" s="3" t="str">
        <f t="shared" si="22"/>
        <v>BRASIL</v>
      </c>
      <c r="D636" s="4" t="str">
        <f>"AM011"</f>
        <v>AM011</v>
      </c>
    </row>
    <row r="637" spans="1:4" x14ac:dyDescent="0.3">
      <c r="A637" s="2" t="str">
        <f>"BETANIA"</f>
        <v>BETANIA</v>
      </c>
      <c r="B637" s="3" t="str">
        <f>"PE"</f>
        <v>PE</v>
      </c>
      <c r="C637" s="3" t="str">
        <f t="shared" si="22"/>
        <v>BRASIL</v>
      </c>
      <c r="D637" s="4" t="str">
        <f>"PE020"</f>
        <v>PE020</v>
      </c>
    </row>
    <row r="638" spans="1:4" x14ac:dyDescent="0.3">
      <c r="A638" s="2" t="str">
        <f>"BETANIA DO PIAUI"</f>
        <v>BETANIA DO PIAUI</v>
      </c>
      <c r="B638" s="3" t="str">
        <f>"PI"</f>
        <v>PI</v>
      </c>
      <c r="C638" s="3" t="str">
        <f t="shared" si="22"/>
        <v>BRASIL</v>
      </c>
      <c r="D638" s="4" t="str">
        <f>"PI028"</f>
        <v>PI028</v>
      </c>
    </row>
    <row r="639" spans="1:4" x14ac:dyDescent="0.3">
      <c r="A639" s="2" t="str">
        <f>"BETIM"</f>
        <v>BETIM</v>
      </c>
      <c r="B639" s="3" t="str">
        <f>"MG"</f>
        <v>MG</v>
      </c>
      <c r="C639" s="3" t="str">
        <f t="shared" si="22"/>
        <v>BRASIL</v>
      </c>
      <c r="D639" s="4" t="str">
        <f>"MG072"</f>
        <v>MG072</v>
      </c>
    </row>
    <row r="640" spans="1:4" x14ac:dyDescent="0.3">
      <c r="A640" s="2" t="str">
        <f>"BEZERROS"</f>
        <v>BEZERROS</v>
      </c>
      <c r="B640" s="3" t="str">
        <f>"PE"</f>
        <v>PE</v>
      </c>
      <c r="C640" s="3" t="str">
        <f t="shared" si="22"/>
        <v>BRASIL</v>
      </c>
      <c r="D640" s="4" t="str">
        <f>"PE021"</f>
        <v>PE021</v>
      </c>
    </row>
    <row r="641" spans="1:4" x14ac:dyDescent="0.3">
      <c r="A641" s="2" t="str">
        <f>"BIAS FORTES"</f>
        <v>BIAS FORTES</v>
      </c>
      <c r="B641" s="3" t="str">
        <f>"MG"</f>
        <v>MG</v>
      </c>
      <c r="C641" s="3" t="str">
        <f t="shared" si="22"/>
        <v>BRASIL</v>
      </c>
      <c r="D641" s="4" t="str">
        <f>"MG073"</f>
        <v>MG073</v>
      </c>
    </row>
    <row r="642" spans="1:4" x14ac:dyDescent="0.3">
      <c r="A642" s="2" t="str">
        <f>"BICAS"</f>
        <v>BICAS</v>
      </c>
      <c r="B642" s="3" t="str">
        <f>"MG"</f>
        <v>MG</v>
      </c>
      <c r="C642" s="3" t="str">
        <f t="shared" si="22"/>
        <v>BRASIL</v>
      </c>
      <c r="D642" s="4" t="str">
        <f>"MG074"</f>
        <v>MG074</v>
      </c>
    </row>
    <row r="643" spans="1:4" x14ac:dyDescent="0.3">
      <c r="A643" s="2" t="str">
        <f>"Biesenthal"</f>
        <v>Biesenthal</v>
      </c>
      <c r="B643" s="3" t="str">
        <f>"GER"</f>
        <v>GER</v>
      </c>
      <c r="C643" s="3" t="str">
        <f>"ALEMANHA"</f>
        <v>ALEMANHA</v>
      </c>
      <c r="D643" s="4" t="str">
        <f>"Bie"</f>
        <v>Bie</v>
      </c>
    </row>
    <row r="644" spans="1:4" x14ac:dyDescent="0.3">
      <c r="A644" s="2" t="str">
        <f>"BIGUACU"</f>
        <v>BIGUACU</v>
      </c>
      <c r="B644" s="3" t="str">
        <f>"SC"</f>
        <v>SC</v>
      </c>
      <c r="C644" s="3" t="str">
        <f>"BRASIL"</f>
        <v>BRASIL</v>
      </c>
      <c r="D644" s="4" t="str">
        <f>"SC036"</f>
        <v>SC036</v>
      </c>
    </row>
    <row r="645" spans="1:4" x14ac:dyDescent="0.3">
      <c r="A645" s="2" t="str">
        <f>"BILAC"</f>
        <v>BILAC</v>
      </c>
      <c r="B645" s="3" t="str">
        <f>"SP"</f>
        <v>SP</v>
      </c>
      <c r="C645" s="3" t="str">
        <f>"BRASIL"</f>
        <v>BRASIL</v>
      </c>
      <c r="D645" s="4" t="str">
        <f>"SP073"</f>
        <v>SP073</v>
      </c>
    </row>
    <row r="646" spans="1:4" x14ac:dyDescent="0.3">
      <c r="A646" s="2" t="str">
        <f>"BINGEN AM RHEIN"</f>
        <v>BINGEN AM RHEIN</v>
      </c>
      <c r="B646" s="3" t="str">
        <f>"EX"</f>
        <v>EX</v>
      </c>
      <c r="C646" s="3" t="str">
        <f>"ALEMANHA"</f>
        <v>ALEMANHA</v>
      </c>
      <c r="D646" s="4" t="str">
        <f>"BINGE"</f>
        <v>BINGE</v>
      </c>
    </row>
    <row r="647" spans="1:4" x14ac:dyDescent="0.3">
      <c r="A647" s="2" t="str">
        <f>"BIQUINHAS"</f>
        <v>BIQUINHAS</v>
      </c>
      <c r="B647" s="3" t="str">
        <f>"MG"</f>
        <v>MG</v>
      </c>
      <c r="C647" s="3" t="str">
        <f>"BRASIL"</f>
        <v>BRASIL</v>
      </c>
      <c r="D647" s="4" t="str">
        <f>"MG075"</f>
        <v>MG075</v>
      </c>
    </row>
    <row r="648" spans="1:4" x14ac:dyDescent="0.3">
      <c r="A648" s="2" t="str">
        <f>"BIRIGUI"</f>
        <v>BIRIGUI</v>
      </c>
      <c r="B648" s="3" t="str">
        <f>"SP"</f>
        <v>SP</v>
      </c>
      <c r="C648" s="3" t="str">
        <f>"BRASIL"</f>
        <v>BRASIL</v>
      </c>
      <c r="D648" s="4" t="str">
        <f>"SP074"</f>
        <v>SP074</v>
      </c>
    </row>
    <row r="649" spans="1:4" x14ac:dyDescent="0.3">
      <c r="A649" s="2" t="str">
        <f>"BIRITIBA-MIRIM"</f>
        <v>BIRITIBA-MIRIM</v>
      </c>
      <c r="B649" s="3" t="str">
        <f>"SP"</f>
        <v>SP</v>
      </c>
      <c r="C649" s="3" t="str">
        <f>"BRASIL"</f>
        <v>BRASIL</v>
      </c>
      <c r="D649" s="4" t="str">
        <f>"SP075"</f>
        <v>SP075</v>
      </c>
    </row>
    <row r="650" spans="1:4" x14ac:dyDescent="0.3">
      <c r="A650" s="2" t="str">
        <f>"BIRITINGA"</f>
        <v>BIRITINGA</v>
      </c>
      <c r="B650" s="3" t="str">
        <f>"BA"</f>
        <v>BA</v>
      </c>
      <c r="C650" s="3" t="str">
        <f>"BRASIL"</f>
        <v>BRASIL</v>
      </c>
      <c r="D650" s="4" t="str">
        <f>"BA045"</f>
        <v>BA045</v>
      </c>
    </row>
    <row r="651" spans="1:4" x14ac:dyDescent="0.3">
      <c r="A651" s="2" t="str">
        <f>"BIRKENAU BEI WEINHEIM"</f>
        <v>BIRKENAU BEI WEINHEIM</v>
      </c>
      <c r="B651" s="3" t="str">
        <f>"EX"</f>
        <v>EX</v>
      </c>
      <c r="C651" s="3" t="str">
        <f>"ALEMANHA"</f>
        <v>ALEMANHA</v>
      </c>
      <c r="D651" s="4" t="str">
        <f>"BIRKE"</f>
        <v>BIRKE</v>
      </c>
    </row>
    <row r="652" spans="1:4" x14ac:dyDescent="0.3">
      <c r="A652" s="2" t="str">
        <f>"BITURUNA"</f>
        <v>BITURUNA</v>
      </c>
      <c r="B652" s="3" t="str">
        <f>"PR"</f>
        <v>PR</v>
      </c>
      <c r="C652" s="3" t="str">
        <f>"BRASIL"</f>
        <v>BRASIL</v>
      </c>
      <c r="D652" s="4" t="str">
        <f>"PR035"</f>
        <v>PR035</v>
      </c>
    </row>
    <row r="653" spans="1:4" x14ac:dyDescent="0.3">
      <c r="A653" s="2" t="str">
        <f>"BLUMENAU"</f>
        <v>BLUMENAU</v>
      </c>
      <c r="B653" s="3" t="str">
        <f>"SC"</f>
        <v>SC</v>
      </c>
      <c r="C653" s="3" t="str">
        <f>"BRASIL"</f>
        <v>BRASIL</v>
      </c>
      <c r="D653" s="4" t="str">
        <f>"SC037"</f>
        <v>SC037</v>
      </c>
    </row>
    <row r="654" spans="1:4" x14ac:dyDescent="0.3">
      <c r="A654" s="2" t="str">
        <f>"BLYTEWOOD"</f>
        <v>BLYTEWOOD</v>
      </c>
      <c r="B654" s="3" t="str">
        <f>"EX"</f>
        <v>EX</v>
      </c>
      <c r="C654" s="3" t="str">
        <f>"ESTADOS UNIDOS"</f>
        <v>ESTADOS UNIDOS</v>
      </c>
      <c r="D654" s="4" t="str">
        <f>"BLY"</f>
        <v>BLY</v>
      </c>
    </row>
    <row r="655" spans="1:4" x14ac:dyDescent="0.3">
      <c r="A655" s="2" t="str">
        <f>"BLYTHEWOOD"</f>
        <v>BLYTHEWOOD</v>
      </c>
      <c r="B655" s="3" t="str">
        <f>"SC"</f>
        <v>SC</v>
      </c>
      <c r="C655" s="3" t="str">
        <f>"ESTADOS UNIDOS"</f>
        <v>ESTADOS UNIDOS</v>
      </c>
      <c r="D655" s="4" t="str">
        <f>"BLYTH"</f>
        <v>BLYTH</v>
      </c>
    </row>
    <row r="656" spans="1:4" x14ac:dyDescent="0.3">
      <c r="A656" s="2" t="str">
        <f>"BOA ESPERANCA"</f>
        <v>BOA ESPERANCA</v>
      </c>
      <c r="B656" s="3" t="str">
        <f>"ES"</f>
        <v>ES</v>
      </c>
      <c r="C656" s="3" t="str">
        <f t="shared" ref="C656:C688" si="23">"BRASIL"</f>
        <v>BRASIL</v>
      </c>
      <c r="D656" s="4" t="str">
        <f>"ES013"</f>
        <v>ES013</v>
      </c>
    </row>
    <row r="657" spans="1:4" x14ac:dyDescent="0.3">
      <c r="A657" s="2" t="str">
        <f>"BOA ESPERANCA"</f>
        <v>BOA ESPERANCA</v>
      </c>
      <c r="B657" s="3" t="str">
        <f>"MG"</f>
        <v>MG</v>
      </c>
      <c r="C657" s="3" t="str">
        <f t="shared" si="23"/>
        <v>BRASIL</v>
      </c>
      <c r="D657" s="4" t="str">
        <f>"MG076"</f>
        <v>MG076</v>
      </c>
    </row>
    <row r="658" spans="1:4" x14ac:dyDescent="0.3">
      <c r="A658" s="2" t="str">
        <f>"BOA ESPERANCA"</f>
        <v>BOA ESPERANCA</v>
      </c>
      <c r="B658" s="3" t="str">
        <f>"PR"</f>
        <v>PR</v>
      </c>
      <c r="C658" s="3" t="str">
        <f t="shared" si="23"/>
        <v>BRASIL</v>
      </c>
      <c r="D658" s="4" t="str">
        <f>"PR036"</f>
        <v>PR036</v>
      </c>
    </row>
    <row r="659" spans="1:4" x14ac:dyDescent="0.3">
      <c r="A659" s="2" t="str">
        <f>"BOA ESPERANCA DO IGUACU"</f>
        <v>BOA ESPERANCA DO IGUACU</v>
      </c>
      <c r="B659" s="3" t="str">
        <f>"PR"</f>
        <v>PR</v>
      </c>
      <c r="C659" s="3" t="str">
        <f t="shared" si="23"/>
        <v>BRASIL</v>
      </c>
      <c r="D659" s="4" t="str">
        <f>"PR037"</f>
        <v>PR037</v>
      </c>
    </row>
    <row r="660" spans="1:4" x14ac:dyDescent="0.3">
      <c r="A660" s="2" t="str">
        <f>"BOA ESPERANCA DO SUL"</f>
        <v>BOA ESPERANCA DO SUL</v>
      </c>
      <c r="B660" s="3" t="str">
        <f>"SP"</f>
        <v>SP</v>
      </c>
      <c r="C660" s="3" t="str">
        <f t="shared" si="23"/>
        <v>BRASIL</v>
      </c>
      <c r="D660" s="4" t="str">
        <f>"SP076"</f>
        <v>SP076</v>
      </c>
    </row>
    <row r="661" spans="1:4" x14ac:dyDescent="0.3">
      <c r="A661" s="2" t="str">
        <f>"BOA HORA"</f>
        <v>BOA HORA</v>
      </c>
      <c r="B661" s="3" t="str">
        <f>"PI"</f>
        <v>PI</v>
      </c>
      <c r="C661" s="3" t="str">
        <f t="shared" si="23"/>
        <v>BRASIL</v>
      </c>
      <c r="D661" s="4" t="str">
        <f>"PI029"</f>
        <v>PI029</v>
      </c>
    </row>
    <row r="662" spans="1:4" x14ac:dyDescent="0.3">
      <c r="A662" s="2" t="str">
        <f>"BOA NOVA"</f>
        <v>BOA NOVA</v>
      </c>
      <c r="B662" s="3" t="str">
        <f>"BA"</f>
        <v>BA</v>
      </c>
      <c r="C662" s="3" t="str">
        <f t="shared" si="23"/>
        <v>BRASIL</v>
      </c>
      <c r="D662" s="4" t="str">
        <f>"BA046"</f>
        <v>BA046</v>
      </c>
    </row>
    <row r="663" spans="1:4" x14ac:dyDescent="0.3">
      <c r="A663" s="2" t="str">
        <f>"BOA VENTURA"</f>
        <v>BOA VENTURA</v>
      </c>
      <c r="B663" s="3" t="str">
        <f>"PB"</f>
        <v>PB</v>
      </c>
      <c r="C663" s="3" t="str">
        <f t="shared" si="23"/>
        <v>BRASIL</v>
      </c>
      <c r="D663" s="4" t="str">
        <f>"PB030"</f>
        <v>PB030</v>
      </c>
    </row>
    <row r="664" spans="1:4" x14ac:dyDescent="0.3">
      <c r="A664" s="2" t="str">
        <f>"BOA VENTURA DE SAO ROQUE"</f>
        <v>BOA VENTURA DE SAO ROQUE</v>
      </c>
      <c r="B664" s="3" t="str">
        <f>"PR"</f>
        <v>PR</v>
      </c>
      <c r="C664" s="3" t="str">
        <f t="shared" si="23"/>
        <v>BRASIL</v>
      </c>
      <c r="D664" s="4" t="str">
        <f>"PR038"</f>
        <v>PR038</v>
      </c>
    </row>
    <row r="665" spans="1:4" x14ac:dyDescent="0.3">
      <c r="A665" s="2" t="str">
        <f>"BOA VIAGEM"</f>
        <v>BOA VIAGEM</v>
      </c>
      <c r="B665" s="3" t="str">
        <f>"CE"</f>
        <v>CE</v>
      </c>
      <c r="C665" s="3" t="str">
        <f t="shared" si="23"/>
        <v>BRASIL</v>
      </c>
      <c r="D665" s="4" t="str">
        <f>"CE030"</f>
        <v>CE030</v>
      </c>
    </row>
    <row r="666" spans="1:4" x14ac:dyDescent="0.3">
      <c r="A666" s="2" t="str">
        <f>"BOA VISTA"</f>
        <v>BOA VISTA</v>
      </c>
      <c r="B666" s="3" t="str">
        <f>"PB"</f>
        <v>PB</v>
      </c>
      <c r="C666" s="3" t="str">
        <f t="shared" si="23"/>
        <v>BRASIL</v>
      </c>
      <c r="D666" s="4" t="str">
        <f>"PB031"</f>
        <v>PB031</v>
      </c>
    </row>
    <row r="667" spans="1:4" x14ac:dyDescent="0.3">
      <c r="A667" s="2" t="str">
        <f>"BOA VISTA"</f>
        <v>BOA VISTA</v>
      </c>
      <c r="B667" s="3" t="str">
        <f>"RR"</f>
        <v>RR</v>
      </c>
      <c r="C667" s="3" t="str">
        <f t="shared" si="23"/>
        <v>BRASIL</v>
      </c>
      <c r="D667" s="4" t="str">
        <f>"RR003"</f>
        <v>RR003</v>
      </c>
    </row>
    <row r="668" spans="1:4" x14ac:dyDescent="0.3">
      <c r="A668" s="2" t="str">
        <f>"BOA VISTA DA APARECIDA"</f>
        <v>BOA VISTA DA APARECIDA</v>
      </c>
      <c r="B668" s="3" t="str">
        <f>"PR"</f>
        <v>PR</v>
      </c>
      <c r="C668" s="3" t="str">
        <f t="shared" si="23"/>
        <v>BRASIL</v>
      </c>
      <c r="D668" s="4" t="str">
        <f>"PR039"</f>
        <v>PR039</v>
      </c>
    </row>
    <row r="669" spans="1:4" x14ac:dyDescent="0.3">
      <c r="A669" s="2" t="str">
        <f>"BOA VISTA DAS MISSÕES"</f>
        <v>BOA VISTA DAS MISSÕES</v>
      </c>
      <c r="B669" s="3" t="str">
        <f>"RS"</f>
        <v>RS</v>
      </c>
      <c r="C669" s="3" t="str">
        <f t="shared" si="23"/>
        <v>BRASIL</v>
      </c>
      <c r="D669" s="4" t="str">
        <f>"RS044"</f>
        <v>RS044</v>
      </c>
    </row>
    <row r="670" spans="1:4" x14ac:dyDescent="0.3">
      <c r="A670" s="2" t="str">
        <f>"BOA VISTA DO BURICA"</f>
        <v>BOA VISTA DO BURICA</v>
      </c>
      <c r="B670" s="3" t="str">
        <f>"RS"</f>
        <v>RS</v>
      </c>
      <c r="C670" s="3" t="str">
        <f t="shared" si="23"/>
        <v>BRASIL</v>
      </c>
      <c r="D670" s="4" t="str">
        <f>"RS045"</f>
        <v>RS045</v>
      </c>
    </row>
    <row r="671" spans="1:4" x14ac:dyDescent="0.3">
      <c r="A671" s="2" t="str">
        <f>"BOA VISTA DO CADEADO"</f>
        <v>BOA VISTA DO CADEADO</v>
      </c>
      <c r="B671" s="3" t="str">
        <f>"RS"</f>
        <v>RS</v>
      </c>
      <c r="C671" s="3" t="str">
        <f t="shared" si="23"/>
        <v>BRASIL</v>
      </c>
      <c r="D671" s="4" t="str">
        <f>"RS046"</f>
        <v>RS046</v>
      </c>
    </row>
    <row r="672" spans="1:4" x14ac:dyDescent="0.3">
      <c r="A672" s="2" t="str">
        <f>"BOA VISTA DO GURUPI"</f>
        <v>BOA VISTA DO GURUPI</v>
      </c>
      <c r="B672" s="3" t="str">
        <f>"MA"</f>
        <v>MA</v>
      </c>
      <c r="C672" s="3" t="str">
        <f t="shared" si="23"/>
        <v>BRASIL</v>
      </c>
      <c r="D672" s="4" t="str">
        <f>"MA033"</f>
        <v>MA033</v>
      </c>
    </row>
    <row r="673" spans="1:4" x14ac:dyDescent="0.3">
      <c r="A673" s="2" t="str">
        <f>"BOA VISTA DO INCRA"</f>
        <v>BOA VISTA DO INCRA</v>
      </c>
      <c r="B673" s="3" t="str">
        <f>"RS"</f>
        <v>RS</v>
      </c>
      <c r="C673" s="3" t="str">
        <f t="shared" si="23"/>
        <v>BRASIL</v>
      </c>
      <c r="D673" s="4" t="str">
        <f>"RS047"</f>
        <v>RS047</v>
      </c>
    </row>
    <row r="674" spans="1:4" x14ac:dyDescent="0.3">
      <c r="A674" s="2" t="str">
        <f>"BOA VISTA DO RAMOS"</f>
        <v>BOA VISTA DO RAMOS</v>
      </c>
      <c r="B674" s="3" t="str">
        <f>"AM"</f>
        <v>AM</v>
      </c>
      <c r="C674" s="3" t="str">
        <f t="shared" si="23"/>
        <v>BRASIL</v>
      </c>
      <c r="D674" s="4" t="str">
        <f>"AM012"</f>
        <v>AM012</v>
      </c>
    </row>
    <row r="675" spans="1:4" x14ac:dyDescent="0.3">
      <c r="A675" s="2" t="str">
        <f>"BOA VISTA DO SUL"</f>
        <v>BOA VISTA DO SUL</v>
      </c>
      <c r="B675" s="3" t="str">
        <f>"RS"</f>
        <v>RS</v>
      </c>
      <c r="C675" s="3" t="str">
        <f t="shared" si="23"/>
        <v>BRASIL</v>
      </c>
      <c r="D675" s="4" t="str">
        <f>"RS048"</f>
        <v>RS048</v>
      </c>
    </row>
    <row r="676" spans="1:4" x14ac:dyDescent="0.3">
      <c r="A676" s="2" t="str">
        <f>"BOA VISTA DO TUPIM"</f>
        <v>BOA VISTA DO TUPIM</v>
      </c>
      <c r="B676" s="3" t="str">
        <f>"BA"</f>
        <v>BA</v>
      </c>
      <c r="C676" s="3" t="str">
        <f t="shared" si="23"/>
        <v>BRASIL</v>
      </c>
      <c r="D676" s="4" t="str">
        <f>"BA047"</f>
        <v>BA047</v>
      </c>
    </row>
    <row r="677" spans="1:4" x14ac:dyDescent="0.3">
      <c r="A677" s="2" t="str">
        <f>"BOCA DA MATA"</f>
        <v>BOCA DA MATA</v>
      </c>
      <c r="B677" s="3" t="str">
        <f>"AL"</f>
        <v>AL</v>
      </c>
      <c r="C677" s="3" t="str">
        <f t="shared" si="23"/>
        <v>BRASIL</v>
      </c>
      <c r="D677" s="4" t="str">
        <f>"AL010"</f>
        <v>AL010</v>
      </c>
    </row>
    <row r="678" spans="1:4" x14ac:dyDescent="0.3">
      <c r="A678" s="2" t="str">
        <f>"BOCA DO ACRE"</f>
        <v>BOCA DO ACRE</v>
      </c>
      <c r="B678" s="3" t="str">
        <f>"AM"</f>
        <v>AM</v>
      </c>
      <c r="C678" s="3" t="str">
        <f t="shared" si="23"/>
        <v>BRASIL</v>
      </c>
      <c r="D678" s="4" t="str">
        <f>"AM013"</f>
        <v>AM013</v>
      </c>
    </row>
    <row r="679" spans="1:4" x14ac:dyDescent="0.3">
      <c r="A679" s="2" t="str">
        <f>"BOCAINA"</f>
        <v>BOCAINA</v>
      </c>
      <c r="B679" s="3" t="str">
        <f>"PI"</f>
        <v>PI</v>
      </c>
      <c r="C679" s="3" t="str">
        <f t="shared" si="23"/>
        <v>BRASIL</v>
      </c>
      <c r="D679" s="4" t="str">
        <f>"PI030"</f>
        <v>PI030</v>
      </c>
    </row>
    <row r="680" spans="1:4" x14ac:dyDescent="0.3">
      <c r="A680" s="2" t="str">
        <f>"BOCAINA"</f>
        <v>BOCAINA</v>
      </c>
      <c r="B680" s="3" t="str">
        <f>"SP"</f>
        <v>SP</v>
      </c>
      <c r="C680" s="3" t="str">
        <f t="shared" si="23"/>
        <v>BRASIL</v>
      </c>
      <c r="D680" s="4" t="str">
        <f>"SP077"</f>
        <v>SP077</v>
      </c>
    </row>
    <row r="681" spans="1:4" x14ac:dyDescent="0.3">
      <c r="A681" s="2" t="str">
        <f>"BOCAINA DE MINAS"</f>
        <v>BOCAINA DE MINAS</v>
      </c>
      <c r="B681" s="3" t="str">
        <f>"MG"</f>
        <v>MG</v>
      </c>
      <c r="C681" s="3" t="str">
        <f t="shared" si="23"/>
        <v>BRASIL</v>
      </c>
      <c r="D681" s="4" t="str">
        <f>"MG077"</f>
        <v>MG077</v>
      </c>
    </row>
    <row r="682" spans="1:4" x14ac:dyDescent="0.3">
      <c r="A682" s="2" t="str">
        <f>"BOCAINA DO SUL"</f>
        <v>BOCAINA DO SUL</v>
      </c>
      <c r="B682" s="3" t="str">
        <f>"SC"</f>
        <v>SC</v>
      </c>
      <c r="C682" s="3" t="str">
        <f t="shared" si="23"/>
        <v>BRASIL</v>
      </c>
      <c r="D682" s="4" t="str">
        <f>"SC038"</f>
        <v>SC038</v>
      </c>
    </row>
    <row r="683" spans="1:4" x14ac:dyDescent="0.3">
      <c r="A683" s="2" t="str">
        <f>"BOCAIUVA"</f>
        <v>BOCAIUVA</v>
      </c>
      <c r="B683" s="3" t="str">
        <f>"MG"</f>
        <v>MG</v>
      </c>
      <c r="C683" s="3" t="str">
        <f t="shared" si="23"/>
        <v>BRASIL</v>
      </c>
      <c r="D683" s="4" t="str">
        <f>"MG078"</f>
        <v>MG078</v>
      </c>
    </row>
    <row r="684" spans="1:4" x14ac:dyDescent="0.3">
      <c r="A684" s="2" t="str">
        <f>"BOCAIUVA DO SUL"</f>
        <v>BOCAIUVA DO SUL</v>
      </c>
      <c r="B684" s="3" t="str">
        <f>"PR"</f>
        <v>PR</v>
      </c>
      <c r="C684" s="3" t="str">
        <f t="shared" si="23"/>
        <v>BRASIL</v>
      </c>
      <c r="D684" s="4" t="str">
        <f>"PR040"</f>
        <v>PR040</v>
      </c>
    </row>
    <row r="685" spans="1:4" x14ac:dyDescent="0.3">
      <c r="A685" s="2" t="str">
        <f>"BODO"</f>
        <v>BODO</v>
      </c>
      <c r="B685" s="3" t="str">
        <f>"RN"</f>
        <v>RN</v>
      </c>
      <c r="C685" s="3" t="str">
        <f t="shared" si="23"/>
        <v>BRASIL</v>
      </c>
      <c r="D685" s="4" t="str">
        <f>"RN018"</f>
        <v>RN018</v>
      </c>
    </row>
    <row r="686" spans="1:4" x14ac:dyDescent="0.3">
      <c r="A686" s="2" t="str">
        <f>"BODOCO"</f>
        <v>BODOCO</v>
      </c>
      <c r="B686" s="3" t="str">
        <f>"PE"</f>
        <v>PE</v>
      </c>
      <c r="C686" s="3" t="str">
        <f t="shared" si="23"/>
        <v>BRASIL</v>
      </c>
      <c r="D686" s="4" t="str">
        <f>"PE022"</f>
        <v>PE022</v>
      </c>
    </row>
    <row r="687" spans="1:4" x14ac:dyDescent="0.3">
      <c r="A687" s="2" t="str">
        <f>"BODOQUENA"</f>
        <v>BODOQUENA</v>
      </c>
      <c r="B687" s="3" t="str">
        <f>"MS"</f>
        <v>MS</v>
      </c>
      <c r="C687" s="3" t="str">
        <f t="shared" si="23"/>
        <v>BRASIL</v>
      </c>
      <c r="D687" s="4" t="str">
        <f>"MS015"</f>
        <v>MS015</v>
      </c>
    </row>
    <row r="688" spans="1:4" x14ac:dyDescent="0.3">
      <c r="A688" s="2" t="str">
        <f>"BOFETE"</f>
        <v>BOFETE</v>
      </c>
      <c r="B688" s="3" t="str">
        <f>"SP"</f>
        <v>SP</v>
      </c>
      <c r="C688" s="3" t="str">
        <f t="shared" si="23"/>
        <v>BRASIL</v>
      </c>
      <c r="D688" s="4" t="str">
        <f>"SP078"</f>
        <v>SP078</v>
      </c>
    </row>
    <row r="689" spans="1:4" x14ac:dyDescent="0.3">
      <c r="A689" s="2" t="str">
        <f>"BOGOTA"</f>
        <v>BOGOTA</v>
      </c>
      <c r="B689" s="3" t="str">
        <f>"EX"</f>
        <v>EX</v>
      </c>
      <c r="C689" s="3" t="str">
        <f>"COLOMBIA"</f>
        <v>COLOMBIA</v>
      </c>
      <c r="D689" s="4" t="str">
        <f>"BOG"</f>
        <v>BOG</v>
      </c>
    </row>
    <row r="690" spans="1:4" x14ac:dyDescent="0.3">
      <c r="A690" s="2" t="str">
        <f>"BOITUVA"</f>
        <v>BOITUVA</v>
      </c>
      <c r="B690" s="3" t="str">
        <f>"SP"</f>
        <v>SP</v>
      </c>
      <c r="C690" s="3" t="str">
        <f t="shared" ref="C690:C721" si="24">"BRASIL"</f>
        <v>BRASIL</v>
      </c>
      <c r="D690" s="4" t="str">
        <f>"SP079"</f>
        <v>SP079</v>
      </c>
    </row>
    <row r="691" spans="1:4" x14ac:dyDescent="0.3">
      <c r="A691" s="2" t="str">
        <f>"BOM CONSELHO"</f>
        <v>BOM CONSELHO</v>
      </c>
      <c r="B691" s="3" t="str">
        <f>"PE"</f>
        <v>PE</v>
      </c>
      <c r="C691" s="3" t="str">
        <f t="shared" si="24"/>
        <v>BRASIL</v>
      </c>
      <c r="D691" s="4" t="str">
        <f>"PE023"</f>
        <v>PE023</v>
      </c>
    </row>
    <row r="692" spans="1:4" x14ac:dyDescent="0.3">
      <c r="A692" s="2" t="str">
        <f>"BOM DESPACHO"</f>
        <v>BOM DESPACHO</v>
      </c>
      <c r="B692" s="3" t="str">
        <f>"MG"</f>
        <v>MG</v>
      </c>
      <c r="C692" s="3" t="str">
        <f t="shared" si="24"/>
        <v>BRASIL</v>
      </c>
      <c r="D692" s="4" t="str">
        <f>"MG079"</f>
        <v>MG079</v>
      </c>
    </row>
    <row r="693" spans="1:4" x14ac:dyDescent="0.3">
      <c r="A693" s="2" t="str">
        <f>"BOM JARDIM"</f>
        <v>BOM JARDIM</v>
      </c>
      <c r="B693" s="3" t="str">
        <f>"MA"</f>
        <v>MA</v>
      </c>
      <c r="C693" s="3" t="str">
        <f t="shared" si="24"/>
        <v>BRASIL</v>
      </c>
      <c r="D693" s="4" t="str">
        <f>"MA034"</f>
        <v>MA034</v>
      </c>
    </row>
    <row r="694" spans="1:4" x14ac:dyDescent="0.3">
      <c r="A694" s="2" t="str">
        <f>"BOM JARDIM"</f>
        <v>BOM JARDIM</v>
      </c>
      <c r="B694" s="3" t="str">
        <f>"PE"</f>
        <v>PE</v>
      </c>
      <c r="C694" s="3" t="str">
        <f t="shared" si="24"/>
        <v>BRASIL</v>
      </c>
      <c r="D694" s="4" t="str">
        <f>"PE024"</f>
        <v>PE024</v>
      </c>
    </row>
    <row r="695" spans="1:4" x14ac:dyDescent="0.3">
      <c r="A695" s="2" t="str">
        <f>"BOM JARDIM"</f>
        <v>BOM JARDIM</v>
      </c>
      <c r="B695" s="3" t="str">
        <f>"RJ"</f>
        <v>RJ</v>
      </c>
      <c r="C695" s="3" t="str">
        <f t="shared" si="24"/>
        <v>BRASIL</v>
      </c>
      <c r="D695" s="4" t="str">
        <f>"RJ010"</f>
        <v>RJ010</v>
      </c>
    </row>
    <row r="696" spans="1:4" x14ac:dyDescent="0.3">
      <c r="A696" s="2" t="str">
        <f>"BOM JARDIM DA SERRA"</f>
        <v>BOM JARDIM DA SERRA</v>
      </c>
      <c r="B696" s="3" t="str">
        <f>"SC"</f>
        <v>SC</v>
      </c>
      <c r="C696" s="3" t="str">
        <f t="shared" si="24"/>
        <v>BRASIL</v>
      </c>
      <c r="D696" s="4" t="str">
        <f>"SC040"</f>
        <v>SC040</v>
      </c>
    </row>
    <row r="697" spans="1:4" x14ac:dyDescent="0.3">
      <c r="A697" s="2" t="str">
        <f>"BOM JARDIM DE GOIAS"</f>
        <v>BOM JARDIM DE GOIAS</v>
      </c>
      <c r="B697" s="3" t="str">
        <f>"GO"</f>
        <v>GO</v>
      </c>
      <c r="C697" s="3" t="str">
        <f t="shared" si="24"/>
        <v>BRASIL</v>
      </c>
      <c r="D697" s="4" t="str">
        <f>"GO033"</f>
        <v>GO033</v>
      </c>
    </row>
    <row r="698" spans="1:4" x14ac:dyDescent="0.3">
      <c r="A698" s="2" t="str">
        <f>"BOM JARDIM DE MINAS"</f>
        <v>BOM JARDIM DE MINAS</v>
      </c>
      <c r="B698" s="3" t="str">
        <f>"MG"</f>
        <v>MG</v>
      </c>
      <c r="C698" s="3" t="str">
        <f t="shared" si="24"/>
        <v>BRASIL</v>
      </c>
      <c r="D698" s="4" t="str">
        <f>"MG080"</f>
        <v>MG080</v>
      </c>
    </row>
    <row r="699" spans="1:4" x14ac:dyDescent="0.3">
      <c r="A699" s="2" t="str">
        <f>"BOM JESUS"</f>
        <v>BOM JESUS</v>
      </c>
      <c r="B699" s="3" t="str">
        <f>"PB"</f>
        <v>PB</v>
      </c>
      <c r="C699" s="3" t="str">
        <f t="shared" si="24"/>
        <v>BRASIL</v>
      </c>
      <c r="D699" s="4" t="str">
        <f>"PB032"</f>
        <v>PB032</v>
      </c>
    </row>
    <row r="700" spans="1:4" x14ac:dyDescent="0.3">
      <c r="A700" s="2" t="str">
        <f>"BOM JESUS"</f>
        <v>BOM JESUS</v>
      </c>
      <c r="B700" s="3" t="str">
        <f>"PI"</f>
        <v>PI</v>
      </c>
      <c r="C700" s="3" t="str">
        <f t="shared" si="24"/>
        <v>BRASIL</v>
      </c>
      <c r="D700" s="4" t="str">
        <f>"PI031"</f>
        <v>PI031</v>
      </c>
    </row>
    <row r="701" spans="1:4" x14ac:dyDescent="0.3">
      <c r="A701" s="2" t="str">
        <f>"BOM JESUS"</f>
        <v>BOM JESUS</v>
      </c>
      <c r="B701" s="3" t="str">
        <f>"RN"</f>
        <v>RN</v>
      </c>
      <c r="C701" s="3" t="str">
        <f t="shared" si="24"/>
        <v>BRASIL</v>
      </c>
      <c r="D701" s="4" t="str">
        <f>"RN019"</f>
        <v>RN019</v>
      </c>
    </row>
    <row r="702" spans="1:4" x14ac:dyDescent="0.3">
      <c r="A702" s="2" t="str">
        <f>"BOM JESUS"</f>
        <v>BOM JESUS</v>
      </c>
      <c r="B702" s="3" t="str">
        <f>"RS"</f>
        <v>RS</v>
      </c>
      <c r="C702" s="3" t="str">
        <f t="shared" si="24"/>
        <v>BRASIL</v>
      </c>
      <c r="D702" s="4" t="str">
        <f>"RS049"</f>
        <v>RS049</v>
      </c>
    </row>
    <row r="703" spans="1:4" x14ac:dyDescent="0.3">
      <c r="A703" s="2" t="str">
        <f>"BOM JESUS"</f>
        <v>BOM JESUS</v>
      </c>
      <c r="B703" s="3" t="str">
        <f>"SC"</f>
        <v>SC</v>
      </c>
      <c r="C703" s="3" t="str">
        <f t="shared" si="24"/>
        <v>BRASIL</v>
      </c>
      <c r="D703" s="4" t="str">
        <f>"SC041"</f>
        <v>SC041</v>
      </c>
    </row>
    <row r="704" spans="1:4" x14ac:dyDescent="0.3">
      <c r="A704" s="2" t="str">
        <f>"BOM JESUS DA LAPA"</f>
        <v>BOM JESUS DA LAPA</v>
      </c>
      <c r="B704" s="3" t="str">
        <f>"BA"</f>
        <v>BA</v>
      </c>
      <c r="C704" s="3" t="str">
        <f t="shared" si="24"/>
        <v>BRASIL</v>
      </c>
      <c r="D704" s="4" t="str">
        <f>"BA048"</f>
        <v>BA048</v>
      </c>
    </row>
    <row r="705" spans="1:4" x14ac:dyDescent="0.3">
      <c r="A705" s="2" t="str">
        <f>"BOM JESUS DA PENHA"</f>
        <v>BOM JESUS DA PENHA</v>
      </c>
      <c r="B705" s="3" t="str">
        <f>"MG"</f>
        <v>MG</v>
      </c>
      <c r="C705" s="3" t="str">
        <f t="shared" si="24"/>
        <v>BRASIL</v>
      </c>
      <c r="D705" s="4" t="str">
        <f>"MG081"</f>
        <v>MG081</v>
      </c>
    </row>
    <row r="706" spans="1:4" x14ac:dyDescent="0.3">
      <c r="A706" s="2" t="str">
        <f>"BOM JESUS DA SERRA"</f>
        <v>BOM JESUS DA SERRA</v>
      </c>
      <c r="B706" s="3" t="str">
        <f>"BA"</f>
        <v>BA</v>
      </c>
      <c r="C706" s="3" t="str">
        <f t="shared" si="24"/>
        <v>BRASIL</v>
      </c>
      <c r="D706" s="4" t="str">
        <f>"BA049"</f>
        <v>BA049</v>
      </c>
    </row>
    <row r="707" spans="1:4" x14ac:dyDescent="0.3">
      <c r="A707" s="2" t="str">
        <f>"BOM JESUS DAS SELVAS"</f>
        <v>BOM JESUS DAS SELVAS</v>
      </c>
      <c r="B707" s="3" t="str">
        <f>"MA"</f>
        <v>MA</v>
      </c>
      <c r="C707" s="3" t="str">
        <f t="shared" si="24"/>
        <v>BRASIL</v>
      </c>
      <c r="D707" s="4" t="str">
        <f>"MA035"</f>
        <v>MA035</v>
      </c>
    </row>
    <row r="708" spans="1:4" x14ac:dyDescent="0.3">
      <c r="A708" s="2" t="str">
        <f>"BOM JESUS DE GOIAS"</f>
        <v>BOM JESUS DE GOIAS</v>
      </c>
      <c r="B708" s="3" t="str">
        <f>"GO"</f>
        <v>GO</v>
      </c>
      <c r="C708" s="3" t="str">
        <f t="shared" si="24"/>
        <v>BRASIL</v>
      </c>
      <c r="D708" s="4" t="str">
        <f>"GO034"</f>
        <v>GO034</v>
      </c>
    </row>
    <row r="709" spans="1:4" x14ac:dyDescent="0.3">
      <c r="A709" s="2" t="str">
        <f>"BOM JESUS DO AMPARO"</f>
        <v>BOM JESUS DO AMPARO</v>
      </c>
      <c r="B709" s="3" t="str">
        <f>"MG"</f>
        <v>MG</v>
      </c>
      <c r="C709" s="3" t="str">
        <f t="shared" si="24"/>
        <v>BRASIL</v>
      </c>
      <c r="D709" s="4" t="str">
        <f>"MG082"</f>
        <v>MG082</v>
      </c>
    </row>
    <row r="710" spans="1:4" x14ac:dyDescent="0.3">
      <c r="A710" s="2" t="str">
        <f>"BOM JESUS DO ARAGUAIA"</f>
        <v>BOM JESUS DO ARAGUAIA</v>
      </c>
      <c r="B710" s="3" t="str">
        <f>"MT"</f>
        <v>MT</v>
      </c>
      <c r="C710" s="3" t="str">
        <f t="shared" si="24"/>
        <v>BRASIL</v>
      </c>
      <c r="D710" s="4" t="str">
        <f>"MT018"</f>
        <v>MT018</v>
      </c>
    </row>
    <row r="711" spans="1:4" x14ac:dyDescent="0.3">
      <c r="A711" s="2" t="str">
        <f>"BOM JESUS DO GALHO"</f>
        <v>BOM JESUS DO GALHO</v>
      </c>
      <c r="B711" s="3" t="str">
        <f>"MG"</f>
        <v>MG</v>
      </c>
      <c r="C711" s="3" t="str">
        <f t="shared" si="24"/>
        <v>BRASIL</v>
      </c>
      <c r="D711" s="4" t="str">
        <f>"MG083"</f>
        <v>MG083</v>
      </c>
    </row>
    <row r="712" spans="1:4" x14ac:dyDescent="0.3">
      <c r="A712" s="2" t="str">
        <f>"BOM JESUS DO ITABAPOANA"</f>
        <v>BOM JESUS DO ITABAPOANA</v>
      </c>
      <c r="B712" s="3" t="str">
        <f>"RJ"</f>
        <v>RJ</v>
      </c>
      <c r="C712" s="3" t="str">
        <f t="shared" si="24"/>
        <v>BRASIL</v>
      </c>
      <c r="D712" s="4" t="str">
        <f>"RJ011"</f>
        <v>RJ011</v>
      </c>
    </row>
    <row r="713" spans="1:4" x14ac:dyDescent="0.3">
      <c r="A713" s="2" t="str">
        <f>"BOM JESUS DO NORTE"</f>
        <v>BOM JESUS DO NORTE</v>
      </c>
      <c r="B713" s="3" t="str">
        <f>"ES"</f>
        <v>ES</v>
      </c>
      <c r="C713" s="3" t="str">
        <f t="shared" si="24"/>
        <v>BRASIL</v>
      </c>
      <c r="D713" s="4" t="str">
        <f>"ES014"</f>
        <v>ES014</v>
      </c>
    </row>
    <row r="714" spans="1:4" x14ac:dyDescent="0.3">
      <c r="A714" s="2" t="str">
        <f>"BOM JESUS DO OESTE"</f>
        <v>BOM JESUS DO OESTE</v>
      </c>
      <c r="B714" s="3" t="str">
        <f>"SC"</f>
        <v>SC</v>
      </c>
      <c r="C714" s="3" t="str">
        <f t="shared" si="24"/>
        <v>BRASIL</v>
      </c>
      <c r="D714" s="4" t="str">
        <f>"SC042"</f>
        <v>SC042</v>
      </c>
    </row>
    <row r="715" spans="1:4" x14ac:dyDescent="0.3">
      <c r="A715" s="2" t="str">
        <f>"BOM JESUS DO SUL"</f>
        <v>BOM JESUS DO SUL</v>
      </c>
      <c r="B715" s="3" t="str">
        <f>"PR"</f>
        <v>PR</v>
      </c>
      <c r="C715" s="3" t="str">
        <f t="shared" si="24"/>
        <v>BRASIL</v>
      </c>
      <c r="D715" s="4" t="str">
        <f>"PR041"</f>
        <v>PR041</v>
      </c>
    </row>
    <row r="716" spans="1:4" x14ac:dyDescent="0.3">
      <c r="A716" s="2" t="str">
        <f>"BOM JESUS DO TOCANTINS"</f>
        <v>BOM JESUS DO TOCANTINS</v>
      </c>
      <c r="B716" s="3" t="str">
        <f>"PA"</f>
        <v>PA</v>
      </c>
      <c r="C716" s="3" t="str">
        <f t="shared" si="24"/>
        <v>BRASIL</v>
      </c>
      <c r="D716" s="4" t="str">
        <f>"PA022"</f>
        <v>PA022</v>
      </c>
    </row>
    <row r="717" spans="1:4" x14ac:dyDescent="0.3">
      <c r="A717" s="2" t="str">
        <f>"BOM JESUS DO TOCANTINS"</f>
        <v>BOM JESUS DO TOCANTINS</v>
      </c>
      <c r="B717" s="3" t="str">
        <f>"TO"</f>
        <v>TO</v>
      </c>
      <c r="C717" s="3" t="str">
        <f t="shared" si="24"/>
        <v>BRASIL</v>
      </c>
      <c r="D717" s="4" t="str">
        <f>"TO025"</f>
        <v>TO025</v>
      </c>
    </row>
    <row r="718" spans="1:4" x14ac:dyDescent="0.3">
      <c r="A718" s="2" t="str">
        <f>"BOM JESUS DOS PERDÕES"</f>
        <v>BOM JESUS DOS PERDÕES</v>
      </c>
      <c r="B718" s="3" t="str">
        <f>"SP"</f>
        <v>SP</v>
      </c>
      <c r="C718" s="3" t="str">
        <f t="shared" si="24"/>
        <v>BRASIL</v>
      </c>
      <c r="D718" s="4" t="str">
        <f>"SP080"</f>
        <v>SP080</v>
      </c>
    </row>
    <row r="719" spans="1:4" x14ac:dyDescent="0.3">
      <c r="A719" s="2" t="str">
        <f>"BOM LUGAR"</f>
        <v>BOM LUGAR</v>
      </c>
      <c r="B719" s="3" t="str">
        <f>"MA"</f>
        <v>MA</v>
      </c>
      <c r="C719" s="3" t="str">
        <f t="shared" si="24"/>
        <v>BRASIL</v>
      </c>
      <c r="D719" s="4" t="str">
        <f>"MA036"</f>
        <v>MA036</v>
      </c>
    </row>
    <row r="720" spans="1:4" x14ac:dyDescent="0.3">
      <c r="A720" s="2" t="str">
        <f>"BOM PRINCIPIO"</f>
        <v>BOM PRINCIPIO</v>
      </c>
      <c r="B720" s="3" t="str">
        <f>"RS"</f>
        <v>RS</v>
      </c>
      <c r="C720" s="3" t="str">
        <f t="shared" si="24"/>
        <v>BRASIL</v>
      </c>
      <c r="D720" s="4" t="str">
        <f>"RS050"</f>
        <v>RS050</v>
      </c>
    </row>
    <row r="721" spans="1:4" x14ac:dyDescent="0.3">
      <c r="A721" s="2" t="str">
        <f>"BOM PRINCIPIO DO PIAUI"</f>
        <v>BOM PRINCIPIO DO PIAUI</v>
      </c>
      <c r="B721" s="3" t="str">
        <f>"PI"</f>
        <v>PI</v>
      </c>
      <c r="C721" s="3" t="str">
        <f t="shared" si="24"/>
        <v>BRASIL</v>
      </c>
      <c r="D721" s="4" t="str">
        <f>"PI032"</f>
        <v>PI032</v>
      </c>
    </row>
    <row r="722" spans="1:4" x14ac:dyDescent="0.3">
      <c r="A722" s="2" t="str">
        <f>"BOM PROGRESSO"</f>
        <v>BOM PROGRESSO</v>
      </c>
      <c r="B722" s="3" t="str">
        <f>"RS"</f>
        <v>RS</v>
      </c>
      <c r="C722" s="3" t="str">
        <f t="shared" ref="C722:C744" si="25">"BRASIL"</f>
        <v>BRASIL</v>
      </c>
      <c r="D722" s="4" t="str">
        <f>"RS051"</f>
        <v>RS051</v>
      </c>
    </row>
    <row r="723" spans="1:4" x14ac:dyDescent="0.3">
      <c r="A723" s="2" t="str">
        <f>"BOM REPOUSO"</f>
        <v>BOM REPOUSO</v>
      </c>
      <c r="B723" s="3" t="str">
        <f>"MG"</f>
        <v>MG</v>
      </c>
      <c r="C723" s="3" t="str">
        <f t="shared" si="25"/>
        <v>BRASIL</v>
      </c>
      <c r="D723" s="4" t="str">
        <f>"MG084"</f>
        <v>MG084</v>
      </c>
    </row>
    <row r="724" spans="1:4" x14ac:dyDescent="0.3">
      <c r="A724" s="2" t="str">
        <f>"BOM RETIRO"</f>
        <v>BOM RETIRO</v>
      </c>
      <c r="B724" s="3" t="str">
        <f>"SC"</f>
        <v>SC</v>
      </c>
      <c r="C724" s="3" t="str">
        <f t="shared" si="25"/>
        <v>BRASIL</v>
      </c>
      <c r="D724" s="4" t="str">
        <f>"SC043"</f>
        <v>SC043</v>
      </c>
    </row>
    <row r="725" spans="1:4" x14ac:dyDescent="0.3">
      <c r="A725" s="2" t="str">
        <f>"BOM RETIRO DO SUL"</f>
        <v>BOM RETIRO DO SUL</v>
      </c>
      <c r="B725" s="3" t="str">
        <f>"RS"</f>
        <v>RS</v>
      </c>
      <c r="C725" s="3" t="str">
        <f t="shared" si="25"/>
        <v>BRASIL</v>
      </c>
      <c r="D725" s="4" t="str">
        <f>"RS052"</f>
        <v>RS052</v>
      </c>
    </row>
    <row r="726" spans="1:4" x14ac:dyDescent="0.3">
      <c r="A726" s="2" t="str">
        <f>"BOM SUCESSO"</f>
        <v>BOM SUCESSO</v>
      </c>
      <c r="B726" s="3" t="str">
        <f>"MG"</f>
        <v>MG</v>
      </c>
      <c r="C726" s="3" t="str">
        <f t="shared" si="25"/>
        <v>BRASIL</v>
      </c>
      <c r="D726" s="4" t="str">
        <f>"MG085"</f>
        <v>MG085</v>
      </c>
    </row>
    <row r="727" spans="1:4" x14ac:dyDescent="0.3">
      <c r="A727" s="2" t="str">
        <f>"BOM SUCESSO"</f>
        <v>BOM SUCESSO</v>
      </c>
      <c r="B727" s="3" t="str">
        <f>"PB"</f>
        <v>PB</v>
      </c>
      <c r="C727" s="3" t="str">
        <f t="shared" si="25"/>
        <v>BRASIL</v>
      </c>
      <c r="D727" s="4" t="str">
        <f>"PB033"</f>
        <v>PB033</v>
      </c>
    </row>
    <row r="728" spans="1:4" x14ac:dyDescent="0.3">
      <c r="A728" s="2" t="str">
        <f>"BOM SUCESSO"</f>
        <v>BOM SUCESSO</v>
      </c>
      <c r="B728" s="3" t="str">
        <f>"PR"</f>
        <v>PR</v>
      </c>
      <c r="C728" s="3" t="str">
        <f t="shared" si="25"/>
        <v>BRASIL</v>
      </c>
      <c r="D728" s="4" t="str">
        <f>"PR042"</f>
        <v>PR042</v>
      </c>
    </row>
    <row r="729" spans="1:4" x14ac:dyDescent="0.3">
      <c r="A729" s="2" t="str">
        <f>"BOM SUCESSO DE ITARARE"</f>
        <v>BOM SUCESSO DE ITARARE</v>
      </c>
      <c r="B729" s="3" t="str">
        <f>"SP"</f>
        <v>SP</v>
      </c>
      <c r="C729" s="3" t="str">
        <f t="shared" si="25"/>
        <v>BRASIL</v>
      </c>
      <c r="D729" s="4" t="str">
        <f>"SP081"</f>
        <v>SP081</v>
      </c>
    </row>
    <row r="730" spans="1:4" x14ac:dyDescent="0.3">
      <c r="A730" s="2" t="str">
        <f>"BOM SUCESSO DO SUL"</f>
        <v>BOM SUCESSO DO SUL</v>
      </c>
      <c r="B730" s="3" t="str">
        <f>"PR"</f>
        <v>PR</v>
      </c>
      <c r="C730" s="3" t="str">
        <f t="shared" si="25"/>
        <v>BRASIL</v>
      </c>
      <c r="D730" s="4" t="str">
        <f>"PR043"</f>
        <v>PR043</v>
      </c>
    </row>
    <row r="731" spans="1:4" x14ac:dyDescent="0.3">
      <c r="A731" s="2" t="str">
        <f>"BOMBINHAS"</f>
        <v>BOMBINHAS</v>
      </c>
      <c r="B731" s="3" t="str">
        <f>"SC"</f>
        <v>SC</v>
      </c>
      <c r="C731" s="3" t="str">
        <f t="shared" si="25"/>
        <v>BRASIL</v>
      </c>
      <c r="D731" s="4" t="str">
        <f>"SC039"</f>
        <v>SC039</v>
      </c>
    </row>
    <row r="732" spans="1:4" x14ac:dyDescent="0.3">
      <c r="A732" s="2" t="str">
        <f>"BONFIM"</f>
        <v>BONFIM</v>
      </c>
      <c r="B732" s="3" t="str">
        <f>"MG"</f>
        <v>MG</v>
      </c>
      <c r="C732" s="3" t="str">
        <f t="shared" si="25"/>
        <v>BRASIL</v>
      </c>
      <c r="D732" s="4" t="str">
        <f>"MG086"</f>
        <v>MG086</v>
      </c>
    </row>
    <row r="733" spans="1:4" x14ac:dyDescent="0.3">
      <c r="A733" s="2" t="str">
        <f>"BONFIM"</f>
        <v>BONFIM</v>
      </c>
      <c r="B733" s="3" t="str">
        <f>"RR"</f>
        <v>RR</v>
      </c>
      <c r="C733" s="3" t="str">
        <f t="shared" si="25"/>
        <v>BRASIL</v>
      </c>
      <c r="D733" s="4" t="str">
        <f>"RR004"</f>
        <v>RR004</v>
      </c>
    </row>
    <row r="734" spans="1:4" x14ac:dyDescent="0.3">
      <c r="A734" s="2" t="str">
        <f>"BONFIM DO PIAUI"</f>
        <v>BONFIM DO PIAUI</v>
      </c>
      <c r="B734" s="3" t="str">
        <f>"PI"</f>
        <v>PI</v>
      </c>
      <c r="C734" s="3" t="str">
        <f t="shared" si="25"/>
        <v>BRASIL</v>
      </c>
      <c r="D734" s="4" t="str">
        <f>"PI033"</f>
        <v>PI033</v>
      </c>
    </row>
    <row r="735" spans="1:4" x14ac:dyDescent="0.3">
      <c r="A735" s="2" t="str">
        <f>"BONFINOPOLIS"</f>
        <v>BONFINOPOLIS</v>
      </c>
      <c r="B735" s="3" t="str">
        <f>"GO"</f>
        <v>GO</v>
      </c>
      <c r="C735" s="3" t="str">
        <f t="shared" si="25"/>
        <v>BRASIL</v>
      </c>
      <c r="D735" s="4" t="str">
        <f>"GO035"</f>
        <v>GO035</v>
      </c>
    </row>
    <row r="736" spans="1:4" x14ac:dyDescent="0.3">
      <c r="A736" s="2" t="str">
        <f>"BONFINOPOLIS DE MINAS"</f>
        <v>BONFINOPOLIS DE MINAS</v>
      </c>
      <c r="B736" s="3" t="str">
        <f>"MG"</f>
        <v>MG</v>
      </c>
      <c r="C736" s="3" t="str">
        <f t="shared" si="25"/>
        <v>BRASIL</v>
      </c>
      <c r="D736" s="4" t="str">
        <f>"MG087"</f>
        <v>MG087</v>
      </c>
    </row>
    <row r="737" spans="1:4" x14ac:dyDescent="0.3">
      <c r="A737" s="2" t="str">
        <f>"BONINAL"</f>
        <v>BONINAL</v>
      </c>
      <c r="B737" s="3" t="str">
        <f>"BA"</f>
        <v>BA</v>
      </c>
      <c r="C737" s="3" t="str">
        <f t="shared" si="25"/>
        <v>BRASIL</v>
      </c>
      <c r="D737" s="4" t="str">
        <f>"BA050"</f>
        <v>BA050</v>
      </c>
    </row>
    <row r="738" spans="1:4" x14ac:dyDescent="0.3">
      <c r="A738" s="2" t="str">
        <f>"BONITO"</f>
        <v>BONITO</v>
      </c>
      <c r="B738" s="3" t="str">
        <f>"BA"</f>
        <v>BA</v>
      </c>
      <c r="C738" s="3" t="str">
        <f t="shared" si="25"/>
        <v>BRASIL</v>
      </c>
      <c r="D738" s="4" t="str">
        <f>"BA051"</f>
        <v>BA051</v>
      </c>
    </row>
    <row r="739" spans="1:4" x14ac:dyDescent="0.3">
      <c r="A739" s="2" t="str">
        <f>"BONITO"</f>
        <v>BONITO</v>
      </c>
      <c r="B739" s="3" t="str">
        <f>"MS"</f>
        <v>MS</v>
      </c>
      <c r="C739" s="3" t="str">
        <f t="shared" si="25"/>
        <v>BRASIL</v>
      </c>
      <c r="D739" s="4" t="str">
        <f>"MS016"</f>
        <v>MS016</v>
      </c>
    </row>
    <row r="740" spans="1:4" x14ac:dyDescent="0.3">
      <c r="A740" s="2" t="str">
        <f>"BONITO"</f>
        <v>BONITO</v>
      </c>
      <c r="B740" s="3" t="str">
        <f>"PA"</f>
        <v>PA</v>
      </c>
      <c r="C740" s="3" t="str">
        <f t="shared" si="25"/>
        <v>BRASIL</v>
      </c>
      <c r="D740" s="4" t="str">
        <f>"PA023"</f>
        <v>PA023</v>
      </c>
    </row>
    <row r="741" spans="1:4" x14ac:dyDescent="0.3">
      <c r="A741" s="2" t="str">
        <f>"BONITO"</f>
        <v>BONITO</v>
      </c>
      <c r="B741" s="3" t="str">
        <f>"PE"</f>
        <v>PE</v>
      </c>
      <c r="C741" s="3" t="str">
        <f t="shared" si="25"/>
        <v>BRASIL</v>
      </c>
      <c r="D741" s="4" t="str">
        <f>"PE025"</f>
        <v>PE025</v>
      </c>
    </row>
    <row r="742" spans="1:4" x14ac:dyDescent="0.3">
      <c r="A742" s="2" t="str">
        <f>"BONITO DE MINAS"</f>
        <v>BONITO DE MINAS</v>
      </c>
      <c r="B742" s="3" t="str">
        <f>"MG"</f>
        <v>MG</v>
      </c>
      <c r="C742" s="3" t="str">
        <f t="shared" si="25"/>
        <v>BRASIL</v>
      </c>
      <c r="D742" s="4" t="str">
        <f>"MG088"</f>
        <v>MG088</v>
      </c>
    </row>
    <row r="743" spans="1:4" x14ac:dyDescent="0.3">
      <c r="A743" s="2" t="str">
        <f>"BONITO DE SANTA FE"</f>
        <v>BONITO DE SANTA FE</v>
      </c>
      <c r="B743" s="3" t="str">
        <f>"PB"</f>
        <v>PB</v>
      </c>
      <c r="C743" s="3" t="str">
        <f t="shared" si="25"/>
        <v>BRASIL</v>
      </c>
      <c r="D743" s="4" t="str">
        <f>"PB034"</f>
        <v>PB034</v>
      </c>
    </row>
    <row r="744" spans="1:4" x14ac:dyDescent="0.3">
      <c r="A744" s="2" t="str">
        <f>"BONOPOLIS"</f>
        <v>BONOPOLIS</v>
      </c>
      <c r="B744" s="3" t="str">
        <f>"GO"</f>
        <v>GO</v>
      </c>
      <c r="C744" s="3" t="str">
        <f t="shared" si="25"/>
        <v>BRASIL</v>
      </c>
      <c r="D744" s="4" t="str">
        <f>"GO036"</f>
        <v>GO036</v>
      </c>
    </row>
    <row r="745" spans="1:4" x14ac:dyDescent="0.3">
      <c r="A745" s="2" t="str">
        <f>"BOPPARD"</f>
        <v>BOPPARD</v>
      </c>
      <c r="B745" s="3" t="str">
        <f>"EX"</f>
        <v>EX</v>
      </c>
      <c r="C745" s="3" t="str">
        <f>"ALEMANHA"</f>
        <v>ALEMANHA</v>
      </c>
      <c r="D745" s="4" t="str">
        <f>"BOPP"</f>
        <v>BOPP</v>
      </c>
    </row>
    <row r="746" spans="1:4" x14ac:dyDescent="0.3">
      <c r="A746" s="2" t="str">
        <f>"BOPPARD"</f>
        <v>BOPPARD</v>
      </c>
      <c r="B746" s="3" t="str">
        <f>"GER"</f>
        <v>GER</v>
      </c>
      <c r="C746" s="3" t="str">
        <f>"ALEMANHA"</f>
        <v>ALEMANHA</v>
      </c>
      <c r="D746" s="4" t="str">
        <f>"BP"</f>
        <v>BP</v>
      </c>
    </row>
    <row r="747" spans="1:4" x14ac:dyDescent="0.3">
      <c r="A747" s="2" t="str">
        <f>"BOQUEIRAO"</f>
        <v>BOQUEIRAO</v>
      </c>
      <c r="B747" s="3" t="str">
        <f>"PB"</f>
        <v>PB</v>
      </c>
      <c r="C747" s="3" t="str">
        <f t="shared" ref="C747:C768" si="26">"BRASIL"</f>
        <v>BRASIL</v>
      </c>
      <c r="D747" s="4" t="str">
        <f>"PB035"</f>
        <v>PB035</v>
      </c>
    </row>
    <row r="748" spans="1:4" x14ac:dyDescent="0.3">
      <c r="A748" s="2" t="str">
        <f>"BOQUEIRAO DO LEAO"</f>
        <v>BOQUEIRAO DO LEAO</v>
      </c>
      <c r="B748" s="3" t="str">
        <f>"RS"</f>
        <v>RS</v>
      </c>
      <c r="C748" s="3" t="str">
        <f t="shared" si="26"/>
        <v>BRASIL</v>
      </c>
      <c r="D748" s="4" t="str">
        <f>"RS053"</f>
        <v>RS053</v>
      </c>
    </row>
    <row r="749" spans="1:4" x14ac:dyDescent="0.3">
      <c r="A749" s="2" t="str">
        <f>"BOQUEIRAO DO PIAUI"</f>
        <v>BOQUEIRAO DO PIAUI</v>
      </c>
      <c r="B749" s="3" t="str">
        <f>"PI"</f>
        <v>PI</v>
      </c>
      <c r="C749" s="3" t="str">
        <f t="shared" si="26"/>
        <v>BRASIL</v>
      </c>
      <c r="D749" s="4" t="str">
        <f>"PI034"</f>
        <v>PI034</v>
      </c>
    </row>
    <row r="750" spans="1:4" x14ac:dyDescent="0.3">
      <c r="A750" s="2" t="str">
        <f>"BOQUIM"</f>
        <v>BOQUIM</v>
      </c>
      <c r="B750" s="3" t="str">
        <f>"SE"</f>
        <v>SE</v>
      </c>
      <c r="C750" s="3" t="str">
        <f t="shared" si="26"/>
        <v>BRASIL</v>
      </c>
      <c r="D750" s="4" t="str">
        <f>"SE007"</f>
        <v>SE007</v>
      </c>
    </row>
    <row r="751" spans="1:4" x14ac:dyDescent="0.3">
      <c r="A751" s="2" t="str">
        <f>"BOQUIRA"</f>
        <v>BOQUIRA</v>
      </c>
      <c r="B751" s="3" t="str">
        <f>"BA"</f>
        <v>BA</v>
      </c>
      <c r="C751" s="3" t="str">
        <f t="shared" si="26"/>
        <v>BRASIL</v>
      </c>
      <c r="D751" s="4" t="str">
        <f>"BA052"</f>
        <v>BA052</v>
      </c>
    </row>
    <row r="752" spans="1:4" x14ac:dyDescent="0.3">
      <c r="A752" s="2" t="str">
        <f>"BORA"</f>
        <v>BORA</v>
      </c>
      <c r="B752" s="3" t="str">
        <f>"SP"</f>
        <v>SP</v>
      </c>
      <c r="C752" s="3" t="str">
        <f t="shared" si="26"/>
        <v>BRASIL</v>
      </c>
      <c r="D752" s="4" t="str">
        <f>"SP082"</f>
        <v>SP082</v>
      </c>
    </row>
    <row r="753" spans="1:4" x14ac:dyDescent="0.3">
      <c r="A753" s="2" t="str">
        <f>"BORACEIA"</f>
        <v>BORACEIA</v>
      </c>
      <c r="B753" s="3" t="str">
        <f>"SP"</f>
        <v>SP</v>
      </c>
      <c r="C753" s="3" t="str">
        <f t="shared" si="26"/>
        <v>BRASIL</v>
      </c>
      <c r="D753" s="4" t="str">
        <f>"SP083"</f>
        <v>SP083</v>
      </c>
    </row>
    <row r="754" spans="1:4" x14ac:dyDescent="0.3">
      <c r="A754" s="2" t="str">
        <f>"BORBA"</f>
        <v>BORBA</v>
      </c>
      <c r="B754" s="3" t="str">
        <f>"AM"</f>
        <v>AM</v>
      </c>
      <c r="C754" s="3" t="str">
        <f t="shared" si="26"/>
        <v>BRASIL</v>
      </c>
      <c r="D754" s="4" t="str">
        <f>"AM014"</f>
        <v>AM014</v>
      </c>
    </row>
    <row r="755" spans="1:4" x14ac:dyDescent="0.3">
      <c r="A755" s="2" t="str">
        <f>"BORBOREMA"</f>
        <v>BORBOREMA</v>
      </c>
      <c r="B755" s="3" t="str">
        <f>"PB"</f>
        <v>PB</v>
      </c>
      <c r="C755" s="3" t="str">
        <f t="shared" si="26"/>
        <v>BRASIL</v>
      </c>
      <c r="D755" s="4" t="str">
        <f>"PB037"</f>
        <v>PB037</v>
      </c>
    </row>
    <row r="756" spans="1:4" x14ac:dyDescent="0.3">
      <c r="A756" s="2" t="str">
        <f>"BORBOREMA"</f>
        <v>BORBOREMA</v>
      </c>
      <c r="B756" s="3" t="str">
        <f>"SP"</f>
        <v>SP</v>
      </c>
      <c r="C756" s="3" t="str">
        <f t="shared" si="26"/>
        <v>BRASIL</v>
      </c>
      <c r="D756" s="4" t="str">
        <f>"SP084"</f>
        <v>SP084</v>
      </c>
    </row>
    <row r="757" spans="1:4" x14ac:dyDescent="0.3">
      <c r="A757" s="2" t="str">
        <f>"BORDA DA MATA"</f>
        <v>BORDA DA MATA</v>
      </c>
      <c r="B757" s="3" t="str">
        <f>"MG"</f>
        <v>MG</v>
      </c>
      <c r="C757" s="3" t="str">
        <f t="shared" si="26"/>
        <v>BRASIL</v>
      </c>
      <c r="D757" s="4" t="str">
        <f>"MG089"</f>
        <v>MG089</v>
      </c>
    </row>
    <row r="758" spans="1:4" x14ac:dyDescent="0.3">
      <c r="A758" s="2" t="str">
        <f>"BOREBI"</f>
        <v>BOREBI</v>
      </c>
      <c r="B758" s="3" t="str">
        <f>"SP"</f>
        <v>SP</v>
      </c>
      <c r="C758" s="3" t="str">
        <f t="shared" si="26"/>
        <v>BRASIL</v>
      </c>
      <c r="D758" s="4" t="str">
        <f>"SP085"</f>
        <v>SP085</v>
      </c>
    </row>
    <row r="759" spans="1:4" x14ac:dyDescent="0.3">
      <c r="A759" s="2" t="str">
        <f>"BORRAZOPOLIS"</f>
        <v>BORRAZOPOLIS</v>
      </c>
      <c r="B759" s="3" t="str">
        <f>"PR"</f>
        <v>PR</v>
      </c>
      <c r="C759" s="3" t="str">
        <f t="shared" si="26"/>
        <v>BRASIL</v>
      </c>
      <c r="D759" s="4" t="str">
        <f>"PR044"</f>
        <v>PR044</v>
      </c>
    </row>
    <row r="760" spans="1:4" x14ac:dyDescent="0.3">
      <c r="A760" s="2" t="str">
        <f>"BOSSOROCA"</f>
        <v>BOSSOROCA</v>
      </c>
      <c r="B760" s="3" t="str">
        <f>"RS"</f>
        <v>RS</v>
      </c>
      <c r="C760" s="3" t="str">
        <f t="shared" si="26"/>
        <v>BRASIL</v>
      </c>
      <c r="D760" s="4" t="str">
        <f>"RS054"</f>
        <v>RS054</v>
      </c>
    </row>
    <row r="761" spans="1:4" x14ac:dyDescent="0.3">
      <c r="A761" s="2" t="str">
        <f>"BOTELHOS"</f>
        <v>BOTELHOS</v>
      </c>
      <c r="B761" s="3" t="str">
        <f>"MG"</f>
        <v>MG</v>
      </c>
      <c r="C761" s="3" t="str">
        <f t="shared" si="26"/>
        <v>BRASIL</v>
      </c>
      <c r="D761" s="4" t="str">
        <f>"MG090"</f>
        <v>MG090</v>
      </c>
    </row>
    <row r="762" spans="1:4" x14ac:dyDescent="0.3">
      <c r="A762" s="2" t="str">
        <f>"BOTUCATU"</f>
        <v>BOTUCATU</v>
      </c>
      <c r="B762" s="3" t="str">
        <f>"SP"</f>
        <v>SP</v>
      </c>
      <c r="C762" s="3" t="str">
        <f t="shared" si="26"/>
        <v>BRASIL</v>
      </c>
      <c r="D762" s="4" t="str">
        <f>"SP086"</f>
        <v>SP086</v>
      </c>
    </row>
    <row r="763" spans="1:4" x14ac:dyDescent="0.3">
      <c r="A763" s="2" t="str">
        <f>"BOTUMIRIM"</f>
        <v>BOTUMIRIM</v>
      </c>
      <c r="B763" s="3" t="str">
        <f>"MG"</f>
        <v>MG</v>
      </c>
      <c r="C763" s="3" t="str">
        <f t="shared" si="26"/>
        <v>BRASIL</v>
      </c>
      <c r="D763" s="4" t="str">
        <f>"MG091"</f>
        <v>MG091</v>
      </c>
    </row>
    <row r="764" spans="1:4" x14ac:dyDescent="0.3">
      <c r="A764" s="2" t="str">
        <f>"BOTUPORA"</f>
        <v>BOTUPORA</v>
      </c>
      <c r="B764" s="3" t="str">
        <f>"BA"</f>
        <v>BA</v>
      </c>
      <c r="C764" s="3" t="str">
        <f t="shared" si="26"/>
        <v>BRASIL</v>
      </c>
      <c r="D764" s="4" t="str">
        <f>"BA053"</f>
        <v>BA053</v>
      </c>
    </row>
    <row r="765" spans="1:4" x14ac:dyDescent="0.3">
      <c r="A765" s="2" t="str">
        <f>"BOTUVERA"</f>
        <v>BOTUVERA</v>
      </c>
      <c r="B765" s="3" t="str">
        <f>"SC"</f>
        <v>SC</v>
      </c>
      <c r="C765" s="3" t="str">
        <f t="shared" si="26"/>
        <v>BRASIL</v>
      </c>
      <c r="D765" s="4" t="str">
        <f>"SC044"</f>
        <v>SC044</v>
      </c>
    </row>
    <row r="766" spans="1:4" x14ac:dyDescent="0.3">
      <c r="A766" s="2" t="str">
        <f>"BOZANO"</f>
        <v>BOZANO</v>
      </c>
      <c r="B766" s="3" t="str">
        <f>"RS"</f>
        <v>RS</v>
      </c>
      <c r="C766" s="3" t="str">
        <f t="shared" si="26"/>
        <v>BRASIL</v>
      </c>
      <c r="D766" s="4" t="str">
        <f>"RS055"</f>
        <v>RS055</v>
      </c>
    </row>
    <row r="767" spans="1:4" x14ac:dyDescent="0.3">
      <c r="A767" s="2" t="str">
        <f>"BRACO DO NORTE"</f>
        <v>BRACO DO NORTE</v>
      </c>
      <c r="B767" s="3" t="str">
        <f>"SC"</f>
        <v>SC</v>
      </c>
      <c r="C767" s="3" t="str">
        <f t="shared" si="26"/>
        <v>BRASIL</v>
      </c>
      <c r="D767" s="4" t="str">
        <f>"SC045"</f>
        <v>SC045</v>
      </c>
    </row>
    <row r="768" spans="1:4" x14ac:dyDescent="0.3">
      <c r="A768" s="2" t="str">
        <f>"BRACO DO TROMBUDO"</f>
        <v>BRACO DO TROMBUDO</v>
      </c>
      <c r="B768" s="3" t="str">
        <f>"SC"</f>
        <v>SC</v>
      </c>
      <c r="C768" s="3" t="str">
        <f t="shared" si="26"/>
        <v>BRASIL</v>
      </c>
      <c r="D768" s="4" t="str">
        <f>"SC046"</f>
        <v>SC046</v>
      </c>
    </row>
    <row r="769" spans="1:4" x14ac:dyDescent="0.3">
      <c r="A769" s="2" t="str">
        <f>"BRADFORD"</f>
        <v>BRADFORD</v>
      </c>
      <c r="B769" s="3" t="str">
        <f>"EX"</f>
        <v>EX</v>
      </c>
      <c r="C769" s="3" t="str">
        <f>"INGLATERRA"</f>
        <v>INGLATERRA</v>
      </c>
      <c r="D769" s="4" t="str">
        <f>"BRADF"</f>
        <v>BRADF</v>
      </c>
    </row>
    <row r="770" spans="1:4" x14ac:dyDescent="0.3">
      <c r="A770" s="2" t="str">
        <f>"BRADFORD"</f>
        <v>BRADFORD</v>
      </c>
      <c r="B770" s="3" t="str">
        <f>"ING"</f>
        <v>ING</v>
      </c>
      <c r="C770" s="3" t="str">
        <f>"INGLATERRA"</f>
        <v>INGLATERRA</v>
      </c>
      <c r="D770" s="4" t="str">
        <f>"BRAD"</f>
        <v>BRAD</v>
      </c>
    </row>
    <row r="771" spans="1:4" x14ac:dyDescent="0.3">
      <c r="A771" s="2" t="str">
        <f>"BRAGA"</f>
        <v>BRAGA</v>
      </c>
      <c r="B771" s="3" t="str">
        <f>"RS"</f>
        <v>RS</v>
      </c>
      <c r="C771" s="3" t="str">
        <f t="shared" ref="C771:C790" si="27">"BRASIL"</f>
        <v>BRASIL</v>
      </c>
      <c r="D771" s="4" t="str">
        <f>"RS056"</f>
        <v>RS056</v>
      </c>
    </row>
    <row r="772" spans="1:4" x14ac:dyDescent="0.3">
      <c r="A772" s="2" t="str">
        <f>"BRAGANCA"</f>
        <v>BRAGANCA</v>
      </c>
      <c r="B772" s="3" t="str">
        <f>"PA"</f>
        <v>PA</v>
      </c>
      <c r="C772" s="3" t="str">
        <f t="shared" si="27"/>
        <v>BRASIL</v>
      </c>
      <c r="D772" s="4" t="str">
        <f>"PA024"</f>
        <v>PA024</v>
      </c>
    </row>
    <row r="773" spans="1:4" x14ac:dyDescent="0.3">
      <c r="A773" s="2" t="str">
        <f>"BRAGANCA PAULISTA"</f>
        <v>BRAGANCA PAULISTA</v>
      </c>
      <c r="B773" s="3" t="str">
        <f>"SP"</f>
        <v>SP</v>
      </c>
      <c r="C773" s="3" t="str">
        <f t="shared" si="27"/>
        <v>BRASIL</v>
      </c>
      <c r="D773" s="4" t="str">
        <f>"SP087"</f>
        <v>SP087</v>
      </c>
    </row>
    <row r="774" spans="1:4" x14ac:dyDescent="0.3">
      <c r="A774" s="2" t="str">
        <f>"BRAGANEY"</f>
        <v>BRAGANEY</v>
      </c>
      <c r="B774" s="3" t="str">
        <f>"PR"</f>
        <v>PR</v>
      </c>
      <c r="C774" s="3" t="str">
        <f t="shared" si="27"/>
        <v>BRASIL</v>
      </c>
      <c r="D774" s="4" t="str">
        <f>"PR045"</f>
        <v>PR045</v>
      </c>
    </row>
    <row r="775" spans="1:4" x14ac:dyDescent="0.3">
      <c r="A775" s="2" t="str">
        <f>"BRANQUINHA"</f>
        <v>BRANQUINHA</v>
      </c>
      <c r="B775" s="3" t="str">
        <f>"AL"</f>
        <v>AL</v>
      </c>
      <c r="C775" s="3" t="str">
        <f t="shared" si="27"/>
        <v>BRASIL</v>
      </c>
      <c r="D775" s="4" t="str">
        <f>"AL011"</f>
        <v>AL011</v>
      </c>
    </row>
    <row r="776" spans="1:4" x14ac:dyDescent="0.3">
      <c r="A776" s="2" t="str">
        <f>"BRAS PIRES"</f>
        <v>BRAS PIRES</v>
      </c>
      <c r="B776" s="3" t="str">
        <f>"MG"</f>
        <v>MG</v>
      </c>
      <c r="C776" s="3" t="str">
        <f t="shared" si="27"/>
        <v>BRASIL</v>
      </c>
      <c r="D776" s="4" t="str">
        <f>"MG094"</f>
        <v>MG094</v>
      </c>
    </row>
    <row r="777" spans="1:4" x14ac:dyDescent="0.3">
      <c r="A777" s="2" t="str">
        <f>"BRASIL NOVO"</f>
        <v>BRASIL NOVO</v>
      </c>
      <c r="B777" s="3" t="str">
        <f>"PA"</f>
        <v>PA</v>
      </c>
      <c r="C777" s="3" t="str">
        <f t="shared" si="27"/>
        <v>BRASIL</v>
      </c>
      <c r="D777" s="4" t="str">
        <f>"PA025"</f>
        <v>PA025</v>
      </c>
    </row>
    <row r="778" spans="1:4" x14ac:dyDescent="0.3">
      <c r="A778" s="2" t="str">
        <f>"BRASILANDIA"</f>
        <v>BRASILANDIA</v>
      </c>
      <c r="B778" s="3" t="str">
        <f>"MS"</f>
        <v>MS</v>
      </c>
      <c r="C778" s="3" t="str">
        <f t="shared" si="27"/>
        <v>BRASIL</v>
      </c>
      <c r="D778" s="4" t="str">
        <f>"MS017"</f>
        <v>MS017</v>
      </c>
    </row>
    <row r="779" spans="1:4" x14ac:dyDescent="0.3">
      <c r="A779" s="2" t="str">
        <f>"BRASILANDIA DE MINAS"</f>
        <v>BRASILANDIA DE MINAS</v>
      </c>
      <c r="B779" s="3" t="str">
        <f>"MG"</f>
        <v>MG</v>
      </c>
      <c r="C779" s="3" t="str">
        <f t="shared" si="27"/>
        <v>BRASIL</v>
      </c>
      <c r="D779" s="4" t="str">
        <f>"MG092"</f>
        <v>MG092</v>
      </c>
    </row>
    <row r="780" spans="1:4" x14ac:dyDescent="0.3">
      <c r="A780" s="2" t="str">
        <f>"BRASILANDIA DO SUL"</f>
        <v>BRASILANDIA DO SUL</v>
      </c>
      <c r="B780" s="3" t="str">
        <f>"PR"</f>
        <v>PR</v>
      </c>
      <c r="C780" s="3" t="str">
        <f t="shared" si="27"/>
        <v>BRASIL</v>
      </c>
      <c r="D780" s="4" t="str">
        <f>"PR046"</f>
        <v>PR046</v>
      </c>
    </row>
    <row r="781" spans="1:4" x14ac:dyDescent="0.3">
      <c r="A781" s="2" t="str">
        <f>"BRASILANDIA DO TOCANTINS"</f>
        <v>BRASILANDIA DO TOCANTINS</v>
      </c>
      <c r="B781" s="3" t="str">
        <f>"TO"</f>
        <v>TO</v>
      </c>
      <c r="C781" s="3" t="str">
        <f t="shared" si="27"/>
        <v>BRASIL</v>
      </c>
      <c r="D781" s="4" t="str">
        <f>"TO026"</f>
        <v>TO026</v>
      </c>
    </row>
    <row r="782" spans="1:4" x14ac:dyDescent="0.3">
      <c r="A782" s="2" t="str">
        <f>"BRASILEIA"</f>
        <v>BRASILEIA</v>
      </c>
      <c r="B782" s="3" t="str">
        <f>"AC"</f>
        <v>AC</v>
      </c>
      <c r="C782" s="3" t="str">
        <f t="shared" si="27"/>
        <v>BRASIL</v>
      </c>
      <c r="D782" s="4" t="str">
        <f>"AC003"</f>
        <v>AC003</v>
      </c>
    </row>
    <row r="783" spans="1:4" x14ac:dyDescent="0.3">
      <c r="A783" s="2" t="str">
        <f>"BRASILEIRA"</f>
        <v>BRASILEIRA</v>
      </c>
      <c r="B783" s="3" t="str">
        <f>"PI"</f>
        <v>PI</v>
      </c>
      <c r="C783" s="3" t="str">
        <f t="shared" si="27"/>
        <v>BRASIL</v>
      </c>
      <c r="D783" s="4" t="str">
        <f>"PI035"</f>
        <v>PI035</v>
      </c>
    </row>
    <row r="784" spans="1:4" x14ac:dyDescent="0.3">
      <c r="A784" s="2" t="str">
        <f>"BRASILIA"</f>
        <v>BRASILIA</v>
      </c>
      <c r="B784" s="3" t="str">
        <f>"DF"</f>
        <v>DF</v>
      </c>
      <c r="C784" s="3" t="str">
        <f t="shared" si="27"/>
        <v>BRASIL</v>
      </c>
      <c r="D784" s="4" t="str">
        <f>"DF001"</f>
        <v>DF001</v>
      </c>
    </row>
    <row r="785" spans="1:4" x14ac:dyDescent="0.3">
      <c r="A785" s="2" t="str">
        <f>"BRASILIA DE MINAS"</f>
        <v>BRASILIA DE MINAS</v>
      </c>
      <c r="B785" s="3" t="str">
        <f>"MG"</f>
        <v>MG</v>
      </c>
      <c r="C785" s="3" t="str">
        <f t="shared" si="27"/>
        <v>BRASIL</v>
      </c>
      <c r="D785" s="4" t="str">
        <f>"MG093"</f>
        <v>MG093</v>
      </c>
    </row>
    <row r="786" spans="1:4" x14ac:dyDescent="0.3">
      <c r="A786" s="2" t="str">
        <f>"BRASNORTE"</f>
        <v>BRASNORTE</v>
      </c>
      <c r="B786" s="3" t="str">
        <f>"MT"</f>
        <v>MT</v>
      </c>
      <c r="C786" s="3" t="str">
        <f t="shared" si="27"/>
        <v>BRASIL</v>
      </c>
      <c r="D786" s="4" t="str">
        <f>"MT019"</f>
        <v>MT019</v>
      </c>
    </row>
    <row r="787" spans="1:4" x14ac:dyDescent="0.3">
      <c r="A787" s="2" t="str">
        <f>"BRASOPOLIS"</f>
        <v>BRASOPOLIS</v>
      </c>
      <c r="B787" s="3" t="str">
        <f>"MG"</f>
        <v>MG</v>
      </c>
      <c r="C787" s="3" t="str">
        <f t="shared" si="27"/>
        <v>BRASIL</v>
      </c>
      <c r="D787" s="4" t="str">
        <f>"MG096"</f>
        <v>MG096</v>
      </c>
    </row>
    <row r="788" spans="1:4" x14ac:dyDescent="0.3">
      <c r="A788" s="2" t="str">
        <f>"BRAUNA"</f>
        <v>BRAUNA</v>
      </c>
      <c r="B788" s="3" t="str">
        <f>"SP"</f>
        <v>SP</v>
      </c>
      <c r="C788" s="3" t="str">
        <f t="shared" si="27"/>
        <v>BRASIL</v>
      </c>
      <c r="D788" s="4" t="str">
        <f>"SP088"</f>
        <v>SP088</v>
      </c>
    </row>
    <row r="789" spans="1:4" x14ac:dyDescent="0.3">
      <c r="A789" s="2" t="str">
        <f>"BRAUNAS"</f>
        <v>BRAUNAS</v>
      </c>
      <c r="B789" s="3" t="str">
        <f>"MG"</f>
        <v>MG</v>
      </c>
      <c r="C789" s="3" t="str">
        <f t="shared" si="27"/>
        <v>BRASIL</v>
      </c>
      <c r="D789" s="4" t="str">
        <f>"MG095"</f>
        <v>MG095</v>
      </c>
    </row>
    <row r="790" spans="1:4" x14ac:dyDescent="0.3">
      <c r="A790" s="2" t="str">
        <f>"BRAZABRANTES"</f>
        <v>BRAZABRANTES</v>
      </c>
      <c r="B790" s="3" t="str">
        <f>"GO"</f>
        <v>GO</v>
      </c>
      <c r="C790" s="3" t="str">
        <f t="shared" si="27"/>
        <v>BRASIL</v>
      </c>
      <c r="D790" s="4" t="str">
        <f>"GO037"</f>
        <v>GO037</v>
      </c>
    </row>
    <row r="791" spans="1:4" x14ac:dyDescent="0.3">
      <c r="A791" s="2" t="str">
        <f>"BREGNANO"</f>
        <v>BREGNANO</v>
      </c>
      <c r="B791" s="3" t="str">
        <f>"EX"</f>
        <v>EX</v>
      </c>
      <c r="C791" s="3" t="str">
        <f>"ITALIA"</f>
        <v>ITALIA</v>
      </c>
      <c r="D791" s="4" t="str">
        <f>"BREGX"</f>
        <v>BREGX</v>
      </c>
    </row>
    <row r="792" spans="1:4" x14ac:dyDescent="0.3">
      <c r="A792" s="2" t="str">
        <f>"BREGNANO"</f>
        <v>BREGNANO</v>
      </c>
      <c r="B792" s="3" t="str">
        <f>"IT"</f>
        <v>IT</v>
      </c>
      <c r="C792" s="3" t="str">
        <f>"ITALIA"</f>
        <v>ITALIA</v>
      </c>
      <c r="D792" s="4" t="str">
        <f>"BREG"</f>
        <v>BREG</v>
      </c>
    </row>
    <row r="793" spans="1:4" x14ac:dyDescent="0.3">
      <c r="A793" s="2" t="str">
        <f>"BREJAO"</f>
        <v>BREJAO</v>
      </c>
      <c r="B793" s="3" t="str">
        <f>"PE"</f>
        <v>PE</v>
      </c>
      <c r="C793" s="3" t="str">
        <f t="shared" ref="C793:C809" si="28">"BRASIL"</f>
        <v>BRASIL</v>
      </c>
      <c r="D793" s="4" t="str">
        <f>"PE026"</f>
        <v>PE026</v>
      </c>
    </row>
    <row r="794" spans="1:4" x14ac:dyDescent="0.3">
      <c r="A794" s="2" t="str">
        <f>"BREJETUBA"</f>
        <v>BREJETUBA</v>
      </c>
      <c r="B794" s="3" t="str">
        <f>"ES"</f>
        <v>ES</v>
      </c>
      <c r="C794" s="3" t="str">
        <f t="shared" si="28"/>
        <v>BRASIL</v>
      </c>
      <c r="D794" s="4" t="str">
        <f>"ES015"</f>
        <v>ES015</v>
      </c>
    </row>
    <row r="795" spans="1:4" x14ac:dyDescent="0.3">
      <c r="A795" s="2" t="str">
        <f>"BREJINHO"</f>
        <v>BREJINHO</v>
      </c>
      <c r="B795" s="3" t="str">
        <f>"PE"</f>
        <v>PE</v>
      </c>
      <c r="C795" s="3" t="str">
        <f t="shared" si="28"/>
        <v>BRASIL</v>
      </c>
      <c r="D795" s="4" t="str">
        <f>"PE027"</f>
        <v>PE027</v>
      </c>
    </row>
    <row r="796" spans="1:4" x14ac:dyDescent="0.3">
      <c r="A796" s="2" t="str">
        <f>"BREJINHO"</f>
        <v>BREJINHO</v>
      </c>
      <c r="B796" s="3" t="str">
        <f>"RN"</f>
        <v>RN</v>
      </c>
      <c r="C796" s="3" t="str">
        <f t="shared" si="28"/>
        <v>BRASIL</v>
      </c>
      <c r="D796" s="4" t="str">
        <f>"RN020"</f>
        <v>RN020</v>
      </c>
    </row>
    <row r="797" spans="1:4" x14ac:dyDescent="0.3">
      <c r="A797" s="2" t="str">
        <f>"BREJINHO DE NAZARE"</f>
        <v>BREJINHO DE NAZARE</v>
      </c>
      <c r="B797" s="3" t="str">
        <f>"TO"</f>
        <v>TO</v>
      </c>
      <c r="C797" s="3" t="str">
        <f t="shared" si="28"/>
        <v>BRASIL</v>
      </c>
      <c r="D797" s="4" t="str">
        <f>"TO027"</f>
        <v>TO027</v>
      </c>
    </row>
    <row r="798" spans="1:4" x14ac:dyDescent="0.3">
      <c r="A798" s="2" t="str">
        <f>"BREJO"</f>
        <v>BREJO</v>
      </c>
      <c r="B798" s="3" t="str">
        <f>"MA"</f>
        <v>MA</v>
      </c>
      <c r="C798" s="3" t="str">
        <f t="shared" si="28"/>
        <v>BRASIL</v>
      </c>
      <c r="D798" s="4" t="str">
        <f>"MA037"</f>
        <v>MA037</v>
      </c>
    </row>
    <row r="799" spans="1:4" x14ac:dyDescent="0.3">
      <c r="A799" s="2" t="str">
        <f>"BREJO ALEGRE"</f>
        <v>BREJO ALEGRE</v>
      </c>
      <c r="B799" s="3" t="str">
        <f>"SP"</f>
        <v>SP</v>
      </c>
      <c r="C799" s="3" t="str">
        <f t="shared" si="28"/>
        <v>BRASIL</v>
      </c>
      <c r="D799" s="4" t="str">
        <f>"SP089"</f>
        <v>SP089</v>
      </c>
    </row>
    <row r="800" spans="1:4" x14ac:dyDescent="0.3">
      <c r="A800" s="2" t="str">
        <f>"BREJO DA MADRE DE DEUS"</f>
        <v>BREJO DA MADRE DE DEUS</v>
      </c>
      <c r="B800" s="3" t="str">
        <f>"PE"</f>
        <v>PE</v>
      </c>
      <c r="C800" s="3" t="str">
        <f t="shared" si="28"/>
        <v>BRASIL</v>
      </c>
      <c r="D800" s="4" t="str">
        <f>"PE028"</f>
        <v>PE028</v>
      </c>
    </row>
    <row r="801" spans="1:4" x14ac:dyDescent="0.3">
      <c r="A801" s="2" t="str">
        <f>"BREJO DE AREIA"</f>
        <v>BREJO DE AREIA</v>
      </c>
      <c r="B801" s="3" t="str">
        <f>"MA"</f>
        <v>MA</v>
      </c>
      <c r="C801" s="3" t="str">
        <f t="shared" si="28"/>
        <v>BRASIL</v>
      </c>
      <c r="D801" s="4" t="str">
        <f>"MA038"</f>
        <v>MA038</v>
      </c>
    </row>
    <row r="802" spans="1:4" x14ac:dyDescent="0.3">
      <c r="A802" s="2" t="str">
        <f>"BREJO DO CRUZ"</f>
        <v>BREJO DO CRUZ</v>
      </c>
      <c r="B802" s="3" t="str">
        <f>"PB"</f>
        <v>PB</v>
      </c>
      <c r="C802" s="3" t="str">
        <f t="shared" si="28"/>
        <v>BRASIL</v>
      </c>
      <c r="D802" s="4" t="str">
        <f>"PB038"</f>
        <v>PB038</v>
      </c>
    </row>
    <row r="803" spans="1:4" x14ac:dyDescent="0.3">
      <c r="A803" s="2" t="str">
        <f>"BREJO DO PIAUI"</f>
        <v>BREJO DO PIAUI</v>
      </c>
      <c r="B803" s="3" t="str">
        <f>"PI"</f>
        <v>PI</v>
      </c>
      <c r="C803" s="3" t="str">
        <f t="shared" si="28"/>
        <v>BRASIL</v>
      </c>
      <c r="D803" s="4" t="str">
        <f>"PI036"</f>
        <v>PI036</v>
      </c>
    </row>
    <row r="804" spans="1:4" x14ac:dyDescent="0.3">
      <c r="A804" s="2" t="str">
        <f>"BREJO DOS SANTOS"</f>
        <v>BREJO DOS SANTOS</v>
      </c>
      <c r="B804" s="3" t="str">
        <f>"PB"</f>
        <v>PB</v>
      </c>
      <c r="C804" s="3" t="str">
        <f t="shared" si="28"/>
        <v>BRASIL</v>
      </c>
      <c r="D804" s="4" t="str">
        <f>"PB039"</f>
        <v>PB039</v>
      </c>
    </row>
    <row r="805" spans="1:4" x14ac:dyDescent="0.3">
      <c r="A805" s="2" t="str">
        <f>"BREJO GRANDE"</f>
        <v>BREJO GRANDE</v>
      </c>
      <c r="B805" s="3" t="str">
        <f>"SE"</f>
        <v>SE</v>
      </c>
      <c r="C805" s="3" t="str">
        <f t="shared" si="28"/>
        <v>BRASIL</v>
      </c>
      <c r="D805" s="4" t="str">
        <f>"SE008"</f>
        <v>SE008</v>
      </c>
    </row>
    <row r="806" spans="1:4" x14ac:dyDescent="0.3">
      <c r="A806" s="2" t="str">
        <f>"BREJO GRANDE DO ARAGUAIA"</f>
        <v>BREJO GRANDE DO ARAGUAIA</v>
      </c>
      <c r="B806" s="3" t="str">
        <f>"PA"</f>
        <v>PA</v>
      </c>
      <c r="C806" s="3" t="str">
        <f t="shared" si="28"/>
        <v>BRASIL</v>
      </c>
      <c r="D806" s="4" t="str">
        <f>"PA026"</f>
        <v>PA026</v>
      </c>
    </row>
    <row r="807" spans="1:4" x14ac:dyDescent="0.3">
      <c r="A807" s="2" t="str">
        <f>"BREJO SANTO"</f>
        <v>BREJO SANTO</v>
      </c>
      <c r="B807" s="3" t="str">
        <f>"CE"</f>
        <v>CE</v>
      </c>
      <c r="C807" s="3" t="str">
        <f t="shared" si="28"/>
        <v>BRASIL</v>
      </c>
      <c r="D807" s="4" t="str">
        <f>"CE031"</f>
        <v>CE031</v>
      </c>
    </row>
    <row r="808" spans="1:4" x14ac:dyDescent="0.3">
      <c r="A808" s="2" t="str">
        <f>"BREJÕES"</f>
        <v>BREJÕES</v>
      </c>
      <c r="B808" s="3" t="str">
        <f>"BA"</f>
        <v>BA</v>
      </c>
      <c r="C808" s="3" t="str">
        <f t="shared" si="28"/>
        <v>BRASIL</v>
      </c>
      <c r="D808" s="4" t="str">
        <f>"BA054"</f>
        <v>BA054</v>
      </c>
    </row>
    <row r="809" spans="1:4" x14ac:dyDescent="0.3">
      <c r="A809" s="2" t="str">
        <f>"BREJOLANDIA"</f>
        <v>BREJOLANDIA</v>
      </c>
      <c r="B809" s="3" t="str">
        <f>"BA"</f>
        <v>BA</v>
      </c>
      <c r="C809" s="3" t="str">
        <f t="shared" si="28"/>
        <v>BRASIL</v>
      </c>
      <c r="D809" s="4" t="str">
        <f>"BA055"</f>
        <v>BA055</v>
      </c>
    </row>
    <row r="810" spans="1:4" x14ac:dyDescent="0.3">
      <c r="A810" s="2" t="str">
        <f>"BRESSANONE / BRIXEN"</f>
        <v>BRESSANONE / BRIXEN</v>
      </c>
      <c r="B810" s="3" t="str">
        <f>"EX"</f>
        <v>EX</v>
      </c>
      <c r="C810" s="3" t="str">
        <f>"ITALIA"</f>
        <v>ITALIA</v>
      </c>
      <c r="D810" s="4" t="str">
        <f>"BRESS"</f>
        <v>BRESS</v>
      </c>
    </row>
    <row r="811" spans="1:4" x14ac:dyDescent="0.3">
      <c r="A811" s="2" t="str">
        <f>"BREU BRANCO"</f>
        <v>BREU BRANCO</v>
      </c>
      <c r="B811" s="3" t="str">
        <f>"PA"</f>
        <v>PA</v>
      </c>
      <c r="C811" s="3" t="str">
        <f>"BRASIL"</f>
        <v>BRASIL</v>
      </c>
      <c r="D811" s="4" t="str">
        <f>"PA027"</f>
        <v>PA027</v>
      </c>
    </row>
    <row r="812" spans="1:4" x14ac:dyDescent="0.3">
      <c r="A812" s="2" t="str">
        <f>"BREVES"</f>
        <v>BREVES</v>
      </c>
      <c r="B812" s="3" t="str">
        <f>"PA"</f>
        <v>PA</v>
      </c>
      <c r="C812" s="3" t="str">
        <f>"BRASIL"</f>
        <v>BRASIL</v>
      </c>
      <c r="D812" s="4" t="str">
        <f>"PA028"</f>
        <v>PA028</v>
      </c>
    </row>
    <row r="813" spans="1:4" x14ac:dyDescent="0.3">
      <c r="A813" s="2" t="str">
        <f>"BRILON"</f>
        <v>BRILON</v>
      </c>
      <c r="B813" s="3" t="str">
        <f>"EX"</f>
        <v>EX</v>
      </c>
      <c r="C813" s="3" t="str">
        <f>"ALEMANHA"</f>
        <v>ALEMANHA</v>
      </c>
      <c r="D813" s="4" t="str">
        <f>"BRILO"</f>
        <v>BRILO</v>
      </c>
    </row>
    <row r="814" spans="1:4" x14ac:dyDescent="0.3">
      <c r="A814" s="2" t="str">
        <f>"BRITANIA"</f>
        <v>BRITANIA</v>
      </c>
      <c r="B814" s="3" t="str">
        <f>"GO"</f>
        <v>GO</v>
      </c>
      <c r="C814" s="3" t="str">
        <f t="shared" ref="C814:C822" si="29">"BRASIL"</f>
        <v>BRASIL</v>
      </c>
      <c r="D814" s="4" t="str">
        <f>"GO038"</f>
        <v>GO038</v>
      </c>
    </row>
    <row r="815" spans="1:4" x14ac:dyDescent="0.3">
      <c r="A815" s="2" t="str">
        <f>"BROCHIER"</f>
        <v>BROCHIER</v>
      </c>
      <c r="B815" s="3" t="str">
        <f>"RS"</f>
        <v>RS</v>
      </c>
      <c r="C815" s="3" t="str">
        <f t="shared" si="29"/>
        <v>BRASIL</v>
      </c>
      <c r="D815" s="4" t="str">
        <f>"RS057"</f>
        <v>RS057</v>
      </c>
    </row>
    <row r="816" spans="1:4" x14ac:dyDescent="0.3">
      <c r="A816" s="2" t="str">
        <f>"BRODOWSKI"</f>
        <v>BRODOWSKI</v>
      </c>
      <c r="B816" s="3" t="str">
        <f>"SP"</f>
        <v>SP</v>
      </c>
      <c r="C816" s="3" t="str">
        <f t="shared" si="29"/>
        <v>BRASIL</v>
      </c>
      <c r="D816" s="4" t="str">
        <f>"SP090"</f>
        <v>SP090</v>
      </c>
    </row>
    <row r="817" spans="1:4" x14ac:dyDescent="0.3">
      <c r="A817" s="2" t="str">
        <f>"BROTAS"</f>
        <v>BROTAS</v>
      </c>
      <c r="B817" s="3" t="str">
        <f>"SP"</f>
        <v>SP</v>
      </c>
      <c r="C817" s="3" t="str">
        <f t="shared" si="29"/>
        <v>BRASIL</v>
      </c>
      <c r="D817" s="4" t="str">
        <f>"SP091"</f>
        <v>SP091</v>
      </c>
    </row>
    <row r="818" spans="1:4" x14ac:dyDescent="0.3">
      <c r="A818" s="2" t="str">
        <f>"BROTAS DE MACAUBAS"</f>
        <v>BROTAS DE MACAUBAS</v>
      </c>
      <c r="B818" s="3" t="str">
        <f>"BA"</f>
        <v>BA</v>
      </c>
      <c r="C818" s="3" t="str">
        <f t="shared" si="29"/>
        <v>BRASIL</v>
      </c>
      <c r="D818" s="4" t="str">
        <f>"BA056"</f>
        <v>BA056</v>
      </c>
    </row>
    <row r="819" spans="1:4" x14ac:dyDescent="0.3">
      <c r="A819" s="2" t="str">
        <f>"BRUMADINHO"</f>
        <v>BRUMADINHO</v>
      </c>
      <c r="B819" s="3" t="str">
        <f>"MG"</f>
        <v>MG</v>
      </c>
      <c r="C819" s="3" t="str">
        <f t="shared" si="29"/>
        <v>BRASIL</v>
      </c>
      <c r="D819" s="4" t="str">
        <f>"MG097"</f>
        <v>MG097</v>
      </c>
    </row>
    <row r="820" spans="1:4" x14ac:dyDescent="0.3">
      <c r="A820" s="2" t="str">
        <f>"BRUMADO"</f>
        <v>BRUMADO</v>
      </c>
      <c r="B820" s="3" t="str">
        <f>"BA"</f>
        <v>BA</v>
      </c>
      <c r="C820" s="3" t="str">
        <f t="shared" si="29"/>
        <v>BRASIL</v>
      </c>
      <c r="D820" s="4" t="str">
        <f>"BA057"</f>
        <v>BA057</v>
      </c>
    </row>
    <row r="821" spans="1:4" x14ac:dyDescent="0.3">
      <c r="A821" s="2" t="str">
        <f>"BRUNOPOLIS"</f>
        <v>BRUNOPOLIS</v>
      </c>
      <c r="B821" s="3" t="str">
        <f>"SC"</f>
        <v>SC</v>
      </c>
      <c r="C821" s="3" t="str">
        <f t="shared" si="29"/>
        <v>BRASIL</v>
      </c>
      <c r="D821" s="4" t="str">
        <f>"SC047"</f>
        <v>SC047</v>
      </c>
    </row>
    <row r="822" spans="1:4" x14ac:dyDescent="0.3">
      <c r="A822" s="2" t="str">
        <f>"BRUSQUE"</f>
        <v>BRUSQUE</v>
      </c>
      <c r="B822" s="3" t="str">
        <f>"SC"</f>
        <v>SC</v>
      </c>
      <c r="C822" s="3" t="str">
        <f t="shared" si="29"/>
        <v>BRASIL</v>
      </c>
      <c r="D822" s="4" t="str">
        <f>"SC048"</f>
        <v>SC048</v>
      </c>
    </row>
    <row r="823" spans="1:4" x14ac:dyDescent="0.3">
      <c r="A823" s="2" t="str">
        <f>"BRYNSTON"</f>
        <v>BRYNSTON</v>
      </c>
      <c r="B823" s="3" t="str">
        <f>"EX"</f>
        <v>EX</v>
      </c>
      <c r="C823" s="3" t="str">
        <f>"AFRICA DO SUL"</f>
        <v>AFRICA DO SUL</v>
      </c>
      <c r="D823" s="4" t="str">
        <f>"BRYM"</f>
        <v>BRYM</v>
      </c>
    </row>
    <row r="824" spans="1:4" x14ac:dyDescent="0.3">
      <c r="A824" s="2" t="str">
        <f>"BUENO BRANDAO"</f>
        <v>BUENO BRANDAO</v>
      </c>
      <c r="B824" s="3" t="str">
        <f>"MG"</f>
        <v>MG</v>
      </c>
      <c r="C824" s="3" t="str">
        <f>"BRASIL"</f>
        <v>BRASIL</v>
      </c>
      <c r="D824" s="4" t="str">
        <f>"MG098"</f>
        <v>MG098</v>
      </c>
    </row>
    <row r="825" spans="1:4" x14ac:dyDescent="0.3">
      <c r="A825" s="2" t="str">
        <f>"BUENOPOLIS"</f>
        <v>BUENOPOLIS</v>
      </c>
      <c r="B825" s="3" t="str">
        <f>"MG"</f>
        <v>MG</v>
      </c>
      <c r="C825" s="3" t="str">
        <f>"BRASIL"</f>
        <v>BRASIL</v>
      </c>
      <c r="D825" s="4" t="str">
        <f>"MG099"</f>
        <v>MG099</v>
      </c>
    </row>
    <row r="826" spans="1:4" x14ac:dyDescent="0.3">
      <c r="A826" s="2" t="str">
        <f>"BUENOS AIRES"</f>
        <v>BUENOS AIRES</v>
      </c>
      <c r="B826" s="3" t="str">
        <f>"EX"</f>
        <v>EX</v>
      </c>
      <c r="C826" s="3" t="str">
        <f>"ARGENTINA"</f>
        <v>ARGENTINA</v>
      </c>
      <c r="D826" s="4" t="str">
        <f>"BA"</f>
        <v>BA</v>
      </c>
    </row>
    <row r="827" spans="1:4" x14ac:dyDescent="0.3">
      <c r="A827" s="2" t="str">
        <f>"BUENOS AIRES"</f>
        <v>BUENOS AIRES</v>
      </c>
      <c r="B827" s="3" t="str">
        <f>"PE"</f>
        <v>PE</v>
      </c>
      <c r="C827" s="3" t="str">
        <f t="shared" ref="C827:C832" si="30">"BRASIL"</f>
        <v>BRASIL</v>
      </c>
      <c r="D827" s="4" t="str">
        <f>"PE029"</f>
        <v>PE029</v>
      </c>
    </row>
    <row r="828" spans="1:4" x14ac:dyDescent="0.3">
      <c r="A828" s="2" t="str">
        <f>"BUERAREMA"</f>
        <v>BUERAREMA</v>
      </c>
      <c r="B828" s="3" t="str">
        <f>"BA"</f>
        <v>BA</v>
      </c>
      <c r="C828" s="3" t="str">
        <f t="shared" si="30"/>
        <v>BRASIL</v>
      </c>
      <c r="D828" s="4" t="str">
        <f>"BA058"</f>
        <v>BA058</v>
      </c>
    </row>
    <row r="829" spans="1:4" x14ac:dyDescent="0.3">
      <c r="A829" s="2" t="str">
        <f>"BUGRE"</f>
        <v>BUGRE</v>
      </c>
      <c r="B829" s="3" t="str">
        <f>"MG"</f>
        <v>MG</v>
      </c>
      <c r="C829" s="3" t="str">
        <f t="shared" si="30"/>
        <v>BRASIL</v>
      </c>
      <c r="D829" s="4" t="str">
        <f>"MG100"</f>
        <v>MG100</v>
      </c>
    </row>
    <row r="830" spans="1:4" x14ac:dyDescent="0.3">
      <c r="A830" s="2" t="str">
        <f>"BUIQUE"</f>
        <v>BUIQUE</v>
      </c>
      <c r="B830" s="3" t="str">
        <f>"PE"</f>
        <v>PE</v>
      </c>
      <c r="C830" s="3" t="str">
        <f t="shared" si="30"/>
        <v>BRASIL</v>
      </c>
      <c r="D830" s="4" t="str">
        <f>"PE030"</f>
        <v>PE030</v>
      </c>
    </row>
    <row r="831" spans="1:4" x14ac:dyDescent="0.3">
      <c r="A831" s="2" t="str">
        <f>"BUJARI"</f>
        <v>BUJARI</v>
      </c>
      <c r="B831" s="3" t="str">
        <f>"AC"</f>
        <v>AC</v>
      </c>
      <c r="C831" s="3" t="str">
        <f t="shared" si="30"/>
        <v>BRASIL</v>
      </c>
      <c r="D831" s="4" t="str">
        <f>"AC004"</f>
        <v>AC004</v>
      </c>
    </row>
    <row r="832" spans="1:4" x14ac:dyDescent="0.3">
      <c r="A832" s="2" t="str">
        <f>"BUJARU"</f>
        <v>BUJARU</v>
      </c>
      <c r="B832" s="3" t="str">
        <f>"PA"</f>
        <v>PA</v>
      </c>
      <c r="C832" s="3" t="str">
        <f t="shared" si="30"/>
        <v>BRASIL</v>
      </c>
      <c r="D832" s="4" t="str">
        <f>"PA029"</f>
        <v>PA029</v>
      </c>
    </row>
    <row r="833" spans="1:4" x14ac:dyDescent="0.3">
      <c r="A833" s="2" t="str">
        <f>"BURGOS"</f>
        <v>BURGOS</v>
      </c>
      <c r="B833" s="3" t="str">
        <f>"BUR"</f>
        <v>BUR</v>
      </c>
      <c r="C833" s="3" t="str">
        <f>"ESPANHA"</f>
        <v>ESPANHA</v>
      </c>
      <c r="D833" s="4" t="str">
        <f>"BURGO"</f>
        <v>BURGO</v>
      </c>
    </row>
    <row r="834" spans="1:4" x14ac:dyDescent="0.3">
      <c r="A834" s="2" t="str">
        <f>"BURI"</f>
        <v>BURI</v>
      </c>
      <c r="B834" s="3" t="str">
        <f>"SP"</f>
        <v>SP</v>
      </c>
      <c r="C834" s="3" t="str">
        <f t="shared" ref="C834:C850" si="31">"BRASIL"</f>
        <v>BRASIL</v>
      </c>
      <c r="D834" s="4" t="str">
        <f>"SP092"</f>
        <v>SP092</v>
      </c>
    </row>
    <row r="835" spans="1:4" x14ac:dyDescent="0.3">
      <c r="A835" s="2" t="str">
        <f>"BURITAMA"</f>
        <v>BURITAMA</v>
      </c>
      <c r="B835" s="3" t="str">
        <f>"SP"</f>
        <v>SP</v>
      </c>
      <c r="C835" s="3" t="str">
        <f t="shared" si="31"/>
        <v>BRASIL</v>
      </c>
      <c r="D835" s="4" t="str">
        <f>"SP093"</f>
        <v>SP093</v>
      </c>
    </row>
    <row r="836" spans="1:4" x14ac:dyDescent="0.3">
      <c r="A836" s="2" t="str">
        <f>"BURITI"</f>
        <v>BURITI</v>
      </c>
      <c r="B836" s="3" t="str">
        <f>"MA"</f>
        <v>MA</v>
      </c>
      <c r="C836" s="3" t="str">
        <f t="shared" si="31"/>
        <v>BRASIL</v>
      </c>
      <c r="D836" s="4" t="str">
        <f>"MA039"</f>
        <v>MA039</v>
      </c>
    </row>
    <row r="837" spans="1:4" x14ac:dyDescent="0.3">
      <c r="A837" s="2" t="str">
        <f>"BURITI ALEGRE"</f>
        <v>BURITI ALEGRE</v>
      </c>
      <c r="B837" s="3" t="str">
        <f>"GO"</f>
        <v>GO</v>
      </c>
      <c r="C837" s="3" t="str">
        <f t="shared" si="31"/>
        <v>BRASIL</v>
      </c>
      <c r="D837" s="4" t="str">
        <f>"GO039"</f>
        <v>GO039</v>
      </c>
    </row>
    <row r="838" spans="1:4" x14ac:dyDescent="0.3">
      <c r="A838" s="2" t="str">
        <f>"BURITI BRAVO"</f>
        <v>BURITI BRAVO</v>
      </c>
      <c r="B838" s="3" t="str">
        <f>"MA"</f>
        <v>MA</v>
      </c>
      <c r="C838" s="3" t="str">
        <f t="shared" si="31"/>
        <v>BRASIL</v>
      </c>
      <c r="D838" s="4" t="str">
        <f>"MA040"</f>
        <v>MA040</v>
      </c>
    </row>
    <row r="839" spans="1:4" x14ac:dyDescent="0.3">
      <c r="A839" s="2" t="str">
        <f>"BURITI DE GOIAS"</f>
        <v>BURITI DE GOIAS</v>
      </c>
      <c r="B839" s="3" t="str">
        <f>"GO"</f>
        <v>GO</v>
      </c>
      <c r="C839" s="3" t="str">
        <f t="shared" si="31"/>
        <v>BRASIL</v>
      </c>
      <c r="D839" s="4" t="str">
        <f>"GO040"</f>
        <v>GO040</v>
      </c>
    </row>
    <row r="840" spans="1:4" x14ac:dyDescent="0.3">
      <c r="A840" s="2" t="str">
        <f>"BURITI DO TOCANTINS"</f>
        <v>BURITI DO TOCANTINS</v>
      </c>
      <c r="B840" s="3" t="str">
        <f>"TO"</f>
        <v>TO</v>
      </c>
      <c r="C840" s="3" t="str">
        <f t="shared" si="31"/>
        <v>BRASIL</v>
      </c>
      <c r="D840" s="4" t="str">
        <f>"TO028"</f>
        <v>TO028</v>
      </c>
    </row>
    <row r="841" spans="1:4" x14ac:dyDescent="0.3">
      <c r="A841" s="2" t="str">
        <f>"BURITI DOS LOPES"</f>
        <v>BURITI DOS LOPES</v>
      </c>
      <c r="B841" s="3" t="str">
        <f>"PI"</f>
        <v>PI</v>
      </c>
      <c r="C841" s="3" t="str">
        <f t="shared" si="31"/>
        <v>BRASIL</v>
      </c>
      <c r="D841" s="4" t="str">
        <f>"PI037"</f>
        <v>PI037</v>
      </c>
    </row>
    <row r="842" spans="1:4" x14ac:dyDescent="0.3">
      <c r="A842" s="2" t="str">
        <f>"BURITI DOS MONTES"</f>
        <v>BURITI DOS MONTES</v>
      </c>
      <c r="B842" s="3" t="str">
        <f>"PI"</f>
        <v>PI</v>
      </c>
      <c r="C842" s="3" t="str">
        <f t="shared" si="31"/>
        <v>BRASIL</v>
      </c>
      <c r="D842" s="4" t="str">
        <f>"PI038"</f>
        <v>PI038</v>
      </c>
    </row>
    <row r="843" spans="1:4" x14ac:dyDescent="0.3">
      <c r="A843" s="2" t="str">
        <f>"BURITICUPU"</f>
        <v>BURITICUPU</v>
      </c>
      <c r="B843" s="3" t="str">
        <f>"MA"</f>
        <v>MA</v>
      </c>
      <c r="C843" s="3" t="str">
        <f t="shared" si="31"/>
        <v>BRASIL</v>
      </c>
      <c r="D843" s="4" t="str">
        <f>"MA041"</f>
        <v>MA041</v>
      </c>
    </row>
    <row r="844" spans="1:4" x14ac:dyDescent="0.3">
      <c r="A844" s="2" t="str">
        <f>"BURITINOPOLIS"</f>
        <v>BURITINOPOLIS</v>
      </c>
      <c r="B844" s="3" t="str">
        <f>"GO"</f>
        <v>GO</v>
      </c>
      <c r="C844" s="3" t="str">
        <f t="shared" si="31"/>
        <v>BRASIL</v>
      </c>
      <c r="D844" s="4" t="str">
        <f>"GO041"</f>
        <v>GO041</v>
      </c>
    </row>
    <row r="845" spans="1:4" x14ac:dyDescent="0.3">
      <c r="A845" s="2" t="str">
        <f>"BURITIRAMA"</f>
        <v>BURITIRAMA</v>
      </c>
      <c r="B845" s="3" t="str">
        <f>"BA"</f>
        <v>BA</v>
      </c>
      <c r="C845" s="3" t="str">
        <f t="shared" si="31"/>
        <v>BRASIL</v>
      </c>
      <c r="D845" s="4" t="str">
        <f>"BA059"</f>
        <v>BA059</v>
      </c>
    </row>
    <row r="846" spans="1:4" x14ac:dyDescent="0.3">
      <c r="A846" s="2" t="str">
        <f>"BURITIRANA"</f>
        <v>BURITIRANA</v>
      </c>
      <c r="B846" s="3" t="str">
        <f>"MA"</f>
        <v>MA</v>
      </c>
      <c r="C846" s="3" t="str">
        <f t="shared" si="31"/>
        <v>BRASIL</v>
      </c>
      <c r="D846" s="4" t="str">
        <f>"MA042"</f>
        <v>MA042</v>
      </c>
    </row>
    <row r="847" spans="1:4" x14ac:dyDescent="0.3">
      <c r="A847" s="2" t="str">
        <f>"BURITIS"</f>
        <v>BURITIS</v>
      </c>
      <c r="B847" s="3" t="str">
        <f>"MG"</f>
        <v>MG</v>
      </c>
      <c r="C847" s="3" t="str">
        <f t="shared" si="31"/>
        <v>BRASIL</v>
      </c>
      <c r="D847" s="4" t="str">
        <f>"MG101"</f>
        <v>MG101</v>
      </c>
    </row>
    <row r="848" spans="1:4" x14ac:dyDescent="0.3">
      <c r="A848" s="2" t="str">
        <f>"BURITIS"</f>
        <v>BURITIS</v>
      </c>
      <c r="B848" s="3" t="str">
        <f>"RO"</f>
        <v>RO</v>
      </c>
      <c r="C848" s="3" t="str">
        <f t="shared" si="31"/>
        <v>BRASIL</v>
      </c>
      <c r="D848" s="4" t="str">
        <f>"RO028"</f>
        <v>RO028</v>
      </c>
    </row>
    <row r="849" spans="1:4" x14ac:dyDescent="0.3">
      <c r="A849" s="2" t="str">
        <f>"BURITIZAL"</f>
        <v>BURITIZAL</v>
      </c>
      <c r="B849" s="3" t="str">
        <f>"SP"</f>
        <v>SP</v>
      </c>
      <c r="C849" s="3" t="str">
        <f t="shared" si="31"/>
        <v>BRASIL</v>
      </c>
      <c r="D849" s="4" t="str">
        <f>"SP094"</f>
        <v>SP094</v>
      </c>
    </row>
    <row r="850" spans="1:4" x14ac:dyDescent="0.3">
      <c r="A850" s="2" t="str">
        <f>"BURITIZEIRO"</f>
        <v>BURITIZEIRO</v>
      </c>
      <c r="B850" s="3" t="str">
        <f>"MG"</f>
        <v>MG</v>
      </c>
      <c r="C850" s="3" t="str">
        <f t="shared" si="31"/>
        <v>BRASIL</v>
      </c>
      <c r="D850" s="4" t="str">
        <f>"MG102"</f>
        <v>MG102</v>
      </c>
    </row>
    <row r="851" spans="1:4" x14ac:dyDescent="0.3">
      <c r="A851" s="2" t="str">
        <f>"BUSTO ARSIZIO"</f>
        <v>BUSTO ARSIZIO</v>
      </c>
      <c r="B851" s="3" t="str">
        <f>"EX"</f>
        <v>EX</v>
      </c>
      <c r="C851" s="3" t="str">
        <f>"ITALIA"</f>
        <v>ITALIA</v>
      </c>
      <c r="D851" s="4" t="str">
        <f>"BUSTO"</f>
        <v>BUSTO</v>
      </c>
    </row>
    <row r="852" spans="1:4" x14ac:dyDescent="0.3">
      <c r="A852" s="2" t="str">
        <f>"BUTIA"</f>
        <v>BUTIA</v>
      </c>
      <c r="B852" s="3" t="str">
        <f>"RS"</f>
        <v>RS</v>
      </c>
      <c r="C852" s="3" t="str">
        <f>"BRASIL"</f>
        <v>BRASIL</v>
      </c>
      <c r="D852" s="4" t="str">
        <f>"RS058"</f>
        <v>RS058</v>
      </c>
    </row>
    <row r="853" spans="1:4" x14ac:dyDescent="0.3">
      <c r="A853" s="2" t="str">
        <f>"CAAGUAZÚ"</f>
        <v>CAAGUAZÚ</v>
      </c>
      <c r="B853" s="3" t="str">
        <f>"EX"</f>
        <v>EX</v>
      </c>
      <c r="C853" s="3" t="str">
        <f>"PARAGUAI"</f>
        <v>PARAGUAI</v>
      </c>
      <c r="D853" s="4" t="str">
        <f>"CAAG"</f>
        <v>CAAG</v>
      </c>
    </row>
    <row r="854" spans="1:4" x14ac:dyDescent="0.3">
      <c r="A854" s="2" t="str">
        <f>"CAAPIRANGA"</f>
        <v>CAAPIRANGA</v>
      </c>
      <c r="B854" s="3" t="str">
        <f>"AM"</f>
        <v>AM</v>
      </c>
      <c r="C854" s="3" t="str">
        <f t="shared" ref="C854:C885" si="32">"BRASIL"</f>
        <v>BRASIL</v>
      </c>
      <c r="D854" s="4" t="str">
        <f>"AM015"</f>
        <v>AM015</v>
      </c>
    </row>
    <row r="855" spans="1:4" x14ac:dyDescent="0.3">
      <c r="A855" s="2" t="str">
        <f>"CAAPORA"</f>
        <v>CAAPORA</v>
      </c>
      <c r="B855" s="3" t="str">
        <f>"PB"</f>
        <v>PB</v>
      </c>
      <c r="C855" s="3" t="str">
        <f t="shared" si="32"/>
        <v>BRASIL</v>
      </c>
      <c r="D855" s="4" t="str">
        <f>"PB040"</f>
        <v>PB040</v>
      </c>
    </row>
    <row r="856" spans="1:4" x14ac:dyDescent="0.3">
      <c r="A856" s="2" t="str">
        <f>"CAARAPO"</f>
        <v>CAARAPO</v>
      </c>
      <c r="B856" s="3" t="str">
        <f>"MS"</f>
        <v>MS</v>
      </c>
      <c r="C856" s="3" t="str">
        <f t="shared" si="32"/>
        <v>BRASIL</v>
      </c>
      <c r="D856" s="4" t="str">
        <f>"MS018"</f>
        <v>MS018</v>
      </c>
    </row>
    <row r="857" spans="1:4" x14ac:dyDescent="0.3">
      <c r="A857" s="2" t="str">
        <f>"CAATIBA"</f>
        <v>CAATIBA</v>
      </c>
      <c r="B857" s="3" t="str">
        <f>"BA"</f>
        <v>BA</v>
      </c>
      <c r="C857" s="3" t="str">
        <f t="shared" si="32"/>
        <v>BRASIL</v>
      </c>
      <c r="D857" s="4" t="str">
        <f>"BA060"</f>
        <v>BA060</v>
      </c>
    </row>
    <row r="858" spans="1:4" x14ac:dyDescent="0.3">
      <c r="A858" s="2" t="str">
        <f>"CABACEIRAS"</f>
        <v>CABACEIRAS</v>
      </c>
      <c r="B858" s="3" t="str">
        <f>"PB"</f>
        <v>PB</v>
      </c>
      <c r="C858" s="3" t="str">
        <f t="shared" si="32"/>
        <v>BRASIL</v>
      </c>
      <c r="D858" s="4" t="str">
        <f>"PB041"</f>
        <v>PB041</v>
      </c>
    </row>
    <row r="859" spans="1:4" x14ac:dyDescent="0.3">
      <c r="A859" s="2" t="str">
        <f>"CABACEIRAS DO PARAGUACU"</f>
        <v>CABACEIRAS DO PARAGUACU</v>
      </c>
      <c r="B859" s="3" t="str">
        <f>"BA"</f>
        <v>BA</v>
      </c>
      <c r="C859" s="3" t="str">
        <f t="shared" si="32"/>
        <v>BRASIL</v>
      </c>
      <c r="D859" s="4" t="str">
        <f>"BA061"</f>
        <v>BA061</v>
      </c>
    </row>
    <row r="860" spans="1:4" x14ac:dyDescent="0.3">
      <c r="A860" s="2" t="str">
        <f>"CABECEIRA GRANDE"</f>
        <v>CABECEIRA GRANDE</v>
      </c>
      <c r="B860" s="3" t="str">
        <f>"MG"</f>
        <v>MG</v>
      </c>
      <c r="C860" s="3" t="str">
        <f t="shared" si="32"/>
        <v>BRASIL</v>
      </c>
      <c r="D860" s="4" t="str">
        <f>"MG103"</f>
        <v>MG103</v>
      </c>
    </row>
    <row r="861" spans="1:4" x14ac:dyDescent="0.3">
      <c r="A861" s="2" t="str">
        <f>"CABECEIRAS"</f>
        <v>CABECEIRAS</v>
      </c>
      <c r="B861" s="3" t="str">
        <f>"GO"</f>
        <v>GO</v>
      </c>
      <c r="C861" s="3" t="str">
        <f t="shared" si="32"/>
        <v>BRASIL</v>
      </c>
      <c r="D861" s="4" t="str">
        <f>"GO042"</f>
        <v>GO042</v>
      </c>
    </row>
    <row r="862" spans="1:4" x14ac:dyDescent="0.3">
      <c r="A862" s="2" t="str">
        <f>"CABECEIRAS DO PIAUI"</f>
        <v>CABECEIRAS DO PIAUI</v>
      </c>
      <c r="B862" s="3" t="str">
        <f>"PI"</f>
        <v>PI</v>
      </c>
      <c r="C862" s="3" t="str">
        <f t="shared" si="32"/>
        <v>BRASIL</v>
      </c>
      <c r="D862" s="4" t="str">
        <f>"PI039"</f>
        <v>PI039</v>
      </c>
    </row>
    <row r="863" spans="1:4" x14ac:dyDescent="0.3">
      <c r="A863" s="2" t="str">
        <f>"CABEDELO"</f>
        <v>CABEDELO</v>
      </c>
      <c r="B863" s="3" t="str">
        <f>"PB"</f>
        <v>PB</v>
      </c>
      <c r="C863" s="3" t="str">
        <f t="shared" si="32"/>
        <v>BRASIL</v>
      </c>
      <c r="D863" s="4" t="str">
        <f>"PB042"</f>
        <v>PB042</v>
      </c>
    </row>
    <row r="864" spans="1:4" x14ac:dyDescent="0.3">
      <c r="A864" s="2" t="str">
        <f>"CABIXI"</f>
        <v>CABIXI</v>
      </c>
      <c r="B864" s="3" t="str">
        <f>"RO"</f>
        <v>RO</v>
      </c>
      <c r="C864" s="3" t="str">
        <f t="shared" si="32"/>
        <v>BRASIL</v>
      </c>
      <c r="D864" s="4" t="str">
        <f>"RO003"</f>
        <v>RO003</v>
      </c>
    </row>
    <row r="865" spans="1:4" x14ac:dyDescent="0.3">
      <c r="A865" s="2" t="str">
        <f>"CABO DE SANTO AGOSTINHO"</f>
        <v>CABO DE SANTO AGOSTINHO</v>
      </c>
      <c r="B865" s="3" t="str">
        <f>"PE"</f>
        <v>PE</v>
      </c>
      <c r="C865" s="3" t="str">
        <f t="shared" si="32"/>
        <v>BRASIL</v>
      </c>
      <c r="D865" s="4" t="str">
        <f>"PE031"</f>
        <v>PE031</v>
      </c>
    </row>
    <row r="866" spans="1:4" x14ac:dyDescent="0.3">
      <c r="A866" s="2" t="str">
        <f>"CABO FRIO"</f>
        <v>CABO FRIO</v>
      </c>
      <c r="B866" s="3" t="str">
        <f>"RJ"</f>
        <v>RJ</v>
      </c>
      <c r="C866" s="3" t="str">
        <f t="shared" si="32"/>
        <v>BRASIL</v>
      </c>
      <c r="D866" s="4" t="str">
        <f>"RJ012"</f>
        <v>RJ012</v>
      </c>
    </row>
    <row r="867" spans="1:4" x14ac:dyDescent="0.3">
      <c r="A867" s="2" t="str">
        <f>"CABO VERDE"</f>
        <v>CABO VERDE</v>
      </c>
      <c r="B867" s="3" t="str">
        <f>"MG"</f>
        <v>MG</v>
      </c>
      <c r="C867" s="3" t="str">
        <f t="shared" si="32"/>
        <v>BRASIL</v>
      </c>
      <c r="D867" s="4" t="str">
        <f>"MG104"</f>
        <v>MG104</v>
      </c>
    </row>
    <row r="868" spans="1:4" x14ac:dyDescent="0.3">
      <c r="A868" s="2" t="str">
        <f>"CABRALIA PAULISTA"</f>
        <v>CABRALIA PAULISTA</v>
      </c>
      <c r="B868" s="3" t="str">
        <f>"SP"</f>
        <v>SP</v>
      </c>
      <c r="C868" s="3" t="str">
        <f t="shared" si="32"/>
        <v>BRASIL</v>
      </c>
      <c r="D868" s="4" t="str">
        <f>"SP095"</f>
        <v>SP095</v>
      </c>
    </row>
    <row r="869" spans="1:4" x14ac:dyDescent="0.3">
      <c r="A869" s="2" t="str">
        <f>"CABREUVA"</f>
        <v>CABREUVA</v>
      </c>
      <c r="B869" s="3" t="str">
        <f>"SP"</f>
        <v>SP</v>
      </c>
      <c r="C869" s="3" t="str">
        <f t="shared" si="32"/>
        <v>BRASIL</v>
      </c>
      <c r="D869" s="4" t="str">
        <f>"SP096"</f>
        <v>SP096</v>
      </c>
    </row>
    <row r="870" spans="1:4" x14ac:dyDescent="0.3">
      <c r="A870" s="2" t="str">
        <f>"CABROBO"</f>
        <v>CABROBO</v>
      </c>
      <c r="B870" s="3" t="str">
        <f>"PE"</f>
        <v>PE</v>
      </c>
      <c r="C870" s="3" t="str">
        <f t="shared" si="32"/>
        <v>BRASIL</v>
      </c>
      <c r="D870" s="4" t="str">
        <f>"PE032"</f>
        <v>PE032</v>
      </c>
    </row>
    <row r="871" spans="1:4" x14ac:dyDescent="0.3">
      <c r="A871" s="2" t="str">
        <f>"CACADOR"</f>
        <v>CACADOR</v>
      </c>
      <c r="B871" s="3" t="str">
        <f>"SC"</f>
        <v>SC</v>
      </c>
      <c r="C871" s="3" t="str">
        <f t="shared" si="32"/>
        <v>BRASIL</v>
      </c>
      <c r="D871" s="4" t="str">
        <f>"SC049"</f>
        <v>SC049</v>
      </c>
    </row>
    <row r="872" spans="1:4" x14ac:dyDescent="0.3">
      <c r="A872" s="2" t="str">
        <f>"CACAPAVA"</f>
        <v>CACAPAVA</v>
      </c>
      <c r="B872" s="3" t="str">
        <f>"SP"</f>
        <v>SP</v>
      </c>
      <c r="C872" s="3" t="str">
        <f t="shared" si="32"/>
        <v>BRASIL</v>
      </c>
      <c r="D872" s="4" t="str">
        <f>"SP097"</f>
        <v>SP097</v>
      </c>
    </row>
    <row r="873" spans="1:4" x14ac:dyDescent="0.3">
      <c r="A873" s="2" t="str">
        <f>"CACAPAVA DO SUL"</f>
        <v>CACAPAVA DO SUL</v>
      </c>
      <c r="B873" s="3" t="str">
        <f>"RS"</f>
        <v>RS</v>
      </c>
      <c r="C873" s="3" t="str">
        <f t="shared" si="32"/>
        <v>BRASIL</v>
      </c>
      <c r="D873" s="4" t="str">
        <f>"RS059"</f>
        <v>RS059</v>
      </c>
    </row>
    <row r="874" spans="1:4" x14ac:dyDescent="0.3">
      <c r="A874" s="2" t="str">
        <f>"CACAULANDIA"</f>
        <v>CACAULANDIA</v>
      </c>
      <c r="B874" s="3" t="str">
        <f>"RO"</f>
        <v>RO</v>
      </c>
      <c r="C874" s="3" t="str">
        <f t="shared" si="32"/>
        <v>BRASIL</v>
      </c>
      <c r="D874" s="4" t="str">
        <f>"RO030"</f>
        <v>RO030</v>
      </c>
    </row>
    <row r="875" spans="1:4" x14ac:dyDescent="0.3">
      <c r="A875" s="2" t="str">
        <f>"CACEQUI"</f>
        <v>CACEQUI</v>
      </c>
      <c r="B875" s="3" t="str">
        <f>"RS"</f>
        <v>RS</v>
      </c>
      <c r="C875" s="3" t="str">
        <f t="shared" si="32"/>
        <v>BRASIL</v>
      </c>
      <c r="D875" s="4" t="str">
        <f>"RS060"</f>
        <v>RS060</v>
      </c>
    </row>
    <row r="876" spans="1:4" x14ac:dyDescent="0.3">
      <c r="A876" s="2" t="str">
        <f>"CACERES"</f>
        <v>CACERES</v>
      </c>
      <c r="B876" s="3" t="str">
        <f>"MT"</f>
        <v>MT</v>
      </c>
      <c r="C876" s="3" t="str">
        <f t="shared" si="32"/>
        <v>BRASIL</v>
      </c>
      <c r="D876" s="4" t="str">
        <f>"MT020"</f>
        <v>MT020</v>
      </c>
    </row>
    <row r="877" spans="1:4" x14ac:dyDescent="0.3">
      <c r="A877" s="2" t="str">
        <f>"CACHOEIRA"</f>
        <v>CACHOEIRA</v>
      </c>
      <c r="B877" s="3" t="str">
        <f>"BA"</f>
        <v>BA</v>
      </c>
      <c r="C877" s="3" t="str">
        <f t="shared" si="32"/>
        <v>BRASIL</v>
      </c>
      <c r="D877" s="4" t="str">
        <f>"BA062"</f>
        <v>BA062</v>
      </c>
    </row>
    <row r="878" spans="1:4" x14ac:dyDescent="0.3">
      <c r="A878" s="2" t="str">
        <f>"CACHOEIRA ALTA"</f>
        <v>CACHOEIRA ALTA</v>
      </c>
      <c r="B878" s="3" t="str">
        <f>"GO"</f>
        <v>GO</v>
      </c>
      <c r="C878" s="3" t="str">
        <f t="shared" si="32"/>
        <v>BRASIL</v>
      </c>
      <c r="D878" s="4" t="str">
        <f>"GO043"</f>
        <v>GO043</v>
      </c>
    </row>
    <row r="879" spans="1:4" x14ac:dyDescent="0.3">
      <c r="A879" s="2" t="str">
        <f>"CACHOEIRA DA PRATA"</f>
        <v>CACHOEIRA DA PRATA</v>
      </c>
      <c r="B879" s="3" t="str">
        <f>"MG"</f>
        <v>MG</v>
      </c>
      <c r="C879" s="3" t="str">
        <f t="shared" si="32"/>
        <v>BRASIL</v>
      </c>
      <c r="D879" s="4" t="str">
        <f>"MG105"</f>
        <v>MG105</v>
      </c>
    </row>
    <row r="880" spans="1:4" x14ac:dyDescent="0.3">
      <c r="A880" s="2" t="str">
        <f>"CACHOEIRA DE GOIAS"</f>
        <v>CACHOEIRA DE GOIAS</v>
      </c>
      <c r="B880" s="3" t="str">
        <f>"GO"</f>
        <v>GO</v>
      </c>
      <c r="C880" s="3" t="str">
        <f t="shared" si="32"/>
        <v>BRASIL</v>
      </c>
      <c r="D880" s="4" t="str">
        <f>"GO044"</f>
        <v>GO044</v>
      </c>
    </row>
    <row r="881" spans="1:4" x14ac:dyDescent="0.3">
      <c r="A881" s="2" t="str">
        <f>"CACHOEIRA DE MINAS"</f>
        <v>CACHOEIRA DE MINAS</v>
      </c>
      <c r="B881" s="3" t="str">
        <f>"MG"</f>
        <v>MG</v>
      </c>
      <c r="C881" s="3" t="str">
        <f t="shared" si="32"/>
        <v>BRASIL</v>
      </c>
      <c r="D881" s="4" t="str">
        <f>"MG106"</f>
        <v>MG106</v>
      </c>
    </row>
    <row r="882" spans="1:4" x14ac:dyDescent="0.3">
      <c r="A882" s="2" t="str">
        <f>"CACHOEIRA DE PAJEU"</f>
        <v>CACHOEIRA DE PAJEU</v>
      </c>
      <c r="B882" s="3" t="str">
        <f>"MG"</f>
        <v>MG</v>
      </c>
      <c r="C882" s="3" t="str">
        <f t="shared" si="32"/>
        <v>BRASIL</v>
      </c>
      <c r="D882" s="4" t="str">
        <f>"MG029"</f>
        <v>MG029</v>
      </c>
    </row>
    <row r="883" spans="1:4" x14ac:dyDescent="0.3">
      <c r="A883" s="2" t="str">
        <f>"CACHOEIRA DO ARARI"</f>
        <v>CACHOEIRA DO ARARI</v>
      </c>
      <c r="B883" s="3" t="str">
        <f>"PA"</f>
        <v>PA</v>
      </c>
      <c r="C883" s="3" t="str">
        <f t="shared" si="32"/>
        <v>BRASIL</v>
      </c>
      <c r="D883" s="4" t="str">
        <f>"PA031"</f>
        <v>PA031</v>
      </c>
    </row>
    <row r="884" spans="1:4" x14ac:dyDescent="0.3">
      <c r="A884" s="2" t="str">
        <f>"CACHOEIRA DO PIRIA"</f>
        <v>CACHOEIRA DO PIRIA</v>
      </c>
      <c r="B884" s="3" t="str">
        <f>"PA"</f>
        <v>PA</v>
      </c>
      <c r="C884" s="3" t="str">
        <f t="shared" si="32"/>
        <v>BRASIL</v>
      </c>
      <c r="D884" s="4" t="str">
        <f>"PA030"</f>
        <v>PA030</v>
      </c>
    </row>
    <row r="885" spans="1:4" x14ac:dyDescent="0.3">
      <c r="A885" s="2" t="str">
        <f>"CACHOEIRA DO SUL"</f>
        <v>CACHOEIRA DO SUL</v>
      </c>
      <c r="B885" s="3" t="str">
        <f>"RS"</f>
        <v>RS</v>
      </c>
      <c r="C885" s="3" t="str">
        <f t="shared" si="32"/>
        <v>BRASIL</v>
      </c>
      <c r="D885" s="4" t="str">
        <f>"RS061"</f>
        <v>RS061</v>
      </c>
    </row>
    <row r="886" spans="1:4" x14ac:dyDescent="0.3">
      <c r="A886" s="2" t="str">
        <f>"CACHOEIRA DOS INDIOS"</f>
        <v>CACHOEIRA DOS INDIOS</v>
      </c>
      <c r="B886" s="3" t="str">
        <f>"PB"</f>
        <v>PB</v>
      </c>
      <c r="C886" s="3" t="str">
        <f t="shared" ref="C886:C917" si="33">"BRASIL"</f>
        <v>BRASIL</v>
      </c>
      <c r="D886" s="4" t="str">
        <f>"PB043"</f>
        <v>PB043</v>
      </c>
    </row>
    <row r="887" spans="1:4" x14ac:dyDescent="0.3">
      <c r="A887" s="2" t="str">
        <f>"CACHOEIRA DOURADA"</f>
        <v>CACHOEIRA DOURADA</v>
      </c>
      <c r="B887" s="3" t="str">
        <f>"GO"</f>
        <v>GO</v>
      </c>
      <c r="C887" s="3" t="str">
        <f t="shared" si="33"/>
        <v>BRASIL</v>
      </c>
      <c r="D887" s="4" t="str">
        <f>"GO045"</f>
        <v>GO045</v>
      </c>
    </row>
    <row r="888" spans="1:4" x14ac:dyDescent="0.3">
      <c r="A888" s="2" t="str">
        <f>"CACHOEIRA DOURADA"</f>
        <v>CACHOEIRA DOURADA</v>
      </c>
      <c r="B888" s="3" t="str">
        <f>"MG"</f>
        <v>MG</v>
      </c>
      <c r="C888" s="3" t="str">
        <f t="shared" si="33"/>
        <v>BRASIL</v>
      </c>
      <c r="D888" s="4" t="str">
        <f>"MG107"</f>
        <v>MG107</v>
      </c>
    </row>
    <row r="889" spans="1:4" x14ac:dyDescent="0.3">
      <c r="A889" s="2" t="str">
        <f>"CACHOEIRA GRANDE"</f>
        <v>CACHOEIRA GRANDE</v>
      </c>
      <c r="B889" s="3" t="str">
        <f>"MA"</f>
        <v>MA</v>
      </c>
      <c r="C889" s="3" t="str">
        <f t="shared" si="33"/>
        <v>BRASIL</v>
      </c>
      <c r="D889" s="4" t="str">
        <f>"MA043"</f>
        <v>MA043</v>
      </c>
    </row>
    <row r="890" spans="1:4" x14ac:dyDescent="0.3">
      <c r="A890" s="2" t="str">
        <f>"CACHOEIRA PAULISTA"</f>
        <v>CACHOEIRA PAULISTA</v>
      </c>
      <c r="B890" s="3" t="str">
        <f>"SP"</f>
        <v>SP</v>
      </c>
      <c r="C890" s="3" t="str">
        <f t="shared" si="33"/>
        <v>BRASIL</v>
      </c>
      <c r="D890" s="4" t="str">
        <f>"SP098"</f>
        <v>SP098</v>
      </c>
    </row>
    <row r="891" spans="1:4" x14ac:dyDescent="0.3">
      <c r="A891" s="2" t="str">
        <f>"CACHOEIRAS DE MACACU"</f>
        <v>CACHOEIRAS DE MACACU</v>
      </c>
      <c r="B891" s="3" t="str">
        <f>"RJ"</f>
        <v>RJ</v>
      </c>
      <c r="C891" s="3" t="str">
        <f t="shared" si="33"/>
        <v>BRASIL</v>
      </c>
      <c r="D891" s="4" t="str">
        <f>"RJ013"</f>
        <v>RJ013</v>
      </c>
    </row>
    <row r="892" spans="1:4" x14ac:dyDescent="0.3">
      <c r="A892" s="2" t="str">
        <f>"CACHOEIRINHA"</f>
        <v>CACHOEIRINHA</v>
      </c>
      <c r="B892" s="3" t="str">
        <f>"PE"</f>
        <v>PE</v>
      </c>
      <c r="C892" s="3" t="str">
        <f t="shared" si="33"/>
        <v>BRASIL</v>
      </c>
      <c r="D892" s="4" t="str">
        <f>"PE033"</f>
        <v>PE033</v>
      </c>
    </row>
    <row r="893" spans="1:4" x14ac:dyDescent="0.3">
      <c r="A893" s="2" t="str">
        <f>"CACHOEIRINHA"</f>
        <v>CACHOEIRINHA</v>
      </c>
      <c r="B893" s="3" t="str">
        <f>"RS"</f>
        <v>RS</v>
      </c>
      <c r="C893" s="3" t="str">
        <f t="shared" si="33"/>
        <v>BRASIL</v>
      </c>
      <c r="D893" s="4" t="str">
        <f>"RS062"</f>
        <v>RS062</v>
      </c>
    </row>
    <row r="894" spans="1:4" x14ac:dyDescent="0.3">
      <c r="A894" s="2" t="str">
        <f>"CACHOEIRINHA"</f>
        <v>CACHOEIRINHA</v>
      </c>
      <c r="B894" s="3" t="str">
        <f>"TO"</f>
        <v>TO</v>
      </c>
      <c r="C894" s="3" t="str">
        <f t="shared" si="33"/>
        <v>BRASIL</v>
      </c>
      <c r="D894" s="4" t="str">
        <f>"TO029"</f>
        <v>TO029</v>
      </c>
    </row>
    <row r="895" spans="1:4" x14ac:dyDescent="0.3">
      <c r="A895" s="2" t="str">
        <f>"CACHOEIRO DE ITAPEMIRIM"</f>
        <v>CACHOEIRO DE ITAPEMIRIM</v>
      </c>
      <c r="B895" s="3" t="str">
        <f>"ES"</f>
        <v>ES</v>
      </c>
      <c r="C895" s="3" t="str">
        <f t="shared" si="33"/>
        <v>BRASIL</v>
      </c>
      <c r="D895" s="4" t="str">
        <f>"ES016"</f>
        <v>ES016</v>
      </c>
    </row>
    <row r="896" spans="1:4" x14ac:dyDescent="0.3">
      <c r="A896" s="2" t="str">
        <f>"CACIMBA DE AREIA"</f>
        <v>CACIMBA DE AREIA</v>
      </c>
      <c r="B896" s="3" t="str">
        <f>"PB"</f>
        <v>PB</v>
      </c>
      <c r="C896" s="3" t="str">
        <f t="shared" si="33"/>
        <v>BRASIL</v>
      </c>
      <c r="D896" s="4" t="str">
        <f>"PB044"</f>
        <v>PB044</v>
      </c>
    </row>
    <row r="897" spans="1:4" x14ac:dyDescent="0.3">
      <c r="A897" s="2" t="str">
        <f>"CACIMBA DE DENTRO"</f>
        <v>CACIMBA DE DENTRO</v>
      </c>
      <c r="B897" s="3" t="str">
        <f>"PB"</f>
        <v>PB</v>
      </c>
      <c r="C897" s="3" t="str">
        <f t="shared" si="33"/>
        <v>BRASIL</v>
      </c>
      <c r="D897" s="4" t="str">
        <f>"PB045"</f>
        <v>PB045</v>
      </c>
    </row>
    <row r="898" spans="1:4" x14ac:dyDescent="0.3">
      <c r="A898" s="2" t="str">
        <f>"CACIMBAS"</f>
        <v>CACIMBAS</v>
      </c>
      <c r="B898" s="3" t="str">
        <f>"PB"</f>
        <v>PB</v>
      </c>
      <c r="C898" s="3" t="str">
        <f t="shared" si="33"/>
        <v>BRASIL</v>
      </c>
      <c r="D898" s="4" t="str">
        <f>"PB046"</f>
        <v>PB046</v>
      </c>
    </row>
    <row r="899" spans="1:4" x14ac:dyDescent="0.3">
      <c r="A899" s="2" t="str">
        <f>"CACIMBINHAS"</f>
        <v>CACIMBINHAS</v>
      </c>
      <c r="B899" s="3" t="str">
        <f>"AL"</f>
        <v>AL</v>
      </c>
      <c r="C899" s="3" t="str">
        <f t="shared" si="33"/>
        <v>BRASIL</v>
      </c>
      <c r="D899" s="4" t="str">
        <f>"AL012"</f>
        <v>AL012</v>
      </c>
    </row>
    <row r="900" spans="1:4" x14ac:dyDescent="0.3">
      <c r="A900" s="2" t="str">
        <f>"CACIQUE DOBLE"</f>
        <v>CACIQUE DOBLE</v>
      </c>
      <c r="B900" s="3" t="str">
        <f>"RS"</f>
        <v>RS</v>
      </c>
      <c r="C900" s="3" t="str">
        <f t="shared" si="33"/>
        <v>BRASIL</v>
      </c>
      <c r="D900" s="4" t="str">
        <f>"RS063"</f>
        <v>RS063</v>
      </c>
    </row>
    <row r="901" spans="1:4" x14ac:dyDescent="0.3">
      <c r="A901" s="2" t="str">
        <f>"CACOAL"</f>
        <v>CACOAL</v>
      </c>
      <c r="B901" s="3" t="str">
        <f>"RO"</f>
        <v>RO</v>
      </c>
      <c r="C901" s="3" t="str">
        <f t="shared" si="33"/>
        <v>BRASIL</v>
      </c>
      <c r="D901" s="4" t="str">
        <f>"RO004"</f>
        <v>RO004</v>
      </c>
    </row>
    <row r="902" spans="1:4" x14ac:dyDescent="0.3">
      <c r="A902" s="2" t="str">
        <f>"CACONDE"</f>
        <v>CACONDE</v>
      </c>
      <c r="B902" s="3" t="str">
        <f>"SP"</f>
        <v>SP</v>
      </c>
      <c r="C902" s="3" t="str">
        <f t="shared" si="33"/>
        <v>BRASIL</v>
      </c>
      <c r="D902" s="4" t="str">
        <f>"SP099"</f>
        <v>SP099</v>
      </c>
    </row>
    <row r="903" spans="1:4" x14ac:dyDescent="0.3">
      <c r="A903" s="2" t="str">
        <f>"CACU"</f>
        <v>CACU</v>
      </c>
      <c r="B903" s="3" t="str">
        <f>"GO"</f>
        <v>GO</v>
      </c>
      <c r="C903" s="3" t="str">
        <f t="shared" si="33"/>
        <v>BRASIL</v>
      </c>
      <c r="D903" s="4" t="str">
        <f>"GO046"</f>
        <v>GO046</v>
      </c>
    </row>
    <row r="904" spans="1:4" x14ac:dyDescent="0.3">
      <c r="A904" s="2" t="str">
        <f>"CACULE"</f>
        <v>CACULE</v>
      </c>
      <c r="B904" s="3" t="str">
        <f>"BA"</f>
        <v>BA</v>
      </c>
      <c r="C904" s="3" t="str">
        <f t="shared" si="33"/>
        <v>BRASIL</v>
      </c>
      <c r="D904" s="4" t="str">
        <f>"BA063"</f>
        <v>BA063</v>
      </c>
    </row>
    <row r="905" spans="1:4" x14ac:dyDescent="0.3">
      <c r="A905" s="2" t="str">
        <f>"CAEM"</f>
        <v>CAEM</v>
      </c>
      <c r="B905" s="3" t="str">
        <f>"BA"</f>
        <v>BA</v>
      </c>
      <c r="C905" s="3" t="str">
        <f t="shared" si="33"/>
        <v>BRASIL</v>
      </c>
      <c r="D905" s="4" t="str">
        <f>"BA064"</f>
        <v>BA064</v>
      </c>
    </row>
    <row r="906" spans="1:4" x14ac:dyDescent="0.3">
      <c r="A906" s="2" t="str">
        <f>"CAETANOPOLIS"</f>
        <v>CAETANOPOLIS</v>
      </c>
      <c r="B906" s="3" t="str">
        <f>"MG"</f>
        <v>MG</v>
      </c>
      <c r="C906" s="3" t="str">
        <f t="shared" si="33"/>
        <v>BRASIL</v>
      </c>
      <c r="D906" s="4" t="str">
        <f>"MG108"</f>
        <v>MG108</v>
      </c>
    </row>
    <row r="907" spans="1:4" x14ac:dyDescent="0.3">
      <c r="A907" s="2" t="str">
        <f>"CAETANOS"</f>
        <v>CAETANOS</v>
      </c>
      <c r="B907" s="3" t="str">
        <f>"BA"</f>
        <v>BA</v>
      </c>
      <c r="C907" s="3" t="str">
        <f t="shared" si="33"/>
        <v>BRASIL</v>
      </c>
      <c r="D907" s="4" t="str">
        <f>"BA065"</f>
        <v>BA065</v>
      </c>
    </row>
    <row r="908" spans="1:4" x14ac:dyDescent="0.3">
      <c r="A908" s="2" t="str">
        <f>"CAETE"</f>
        <v>CAETE</v>
      </c>
      <c r="B908" s="3" t="str">
        <f>"MG"</f>
        <v>MG</v>
      </c>
      <c r="C908" s="3" t="str">
        <f t="shared" si="33"/>
        <v>BRASIL</v>
      </c>
      <c r="D908" s="4" t="str">
        <f>"MG109"</f>
        <v>MG109</v>
      </c>
    </row>
    <row r="909" spans="1:4" x14ac:dyDescent="0.3">
      <c r="A909" s="2" t="str">
        <f>"CAETES"</f>
        <v>CAETES</v>
      </c>
      <c r="B909" s="3" t="str">
        <f>"PE"</f>
        <v>PE</v>
      </c>
      <c r="C909" s="3" t="str">
        <f t="shared" si="33"/>
        <v>BRASIL</v>
      </c>
      <c r="D909" s="4" t="str">
        <f>"PE034"</f>
        <v>PE034</v>
      </c>
    </row>
    <row r="910" spans="1:4" x14ac:dyDescent="0.3">
      <c r="A910" s="2" t="str">
        <f>"CAETITE"</f>
        <v>CAETITE</v>
      </c>
      <c r="B910" s="3" t="str">
        <f>"BA"</f>
        <v>BA</v>
      </c>
      <c r="C910" s="3" t="str">
        <f t="shared" si="33"/>
        <v>BRASIL</v>
      </c>
      <c r="D910" s="4" t="str">
        <f>"BA066"</f>
        <v>BA066</v>
      </c>
    </row>
    <row r="911" spans="1:4" x14ac:dyDescent="0.3">
      <c r="A911" s="2" t="str">
        <f>"CAFARNAUM"</f>
        <v>CAFARNAUM</v>
      </c>
      <c r="B911" s="3" t="str">
        <f>"BA"</f>
        <v>BA</v>
      </c>
      <c r="C911" s="3" t="str">
        <f t="shared" si="33"/>
        <v>BRASIL</v>
      </c>
      <c r="D911" s="4" t="str">
        <f>"BA067"</f>
        <v>BA067</v>
      </c>
    </row>
    <row r="912" spans="1:4" x14ac:dyDescent="0.3">
      <c r="A912" s="2" t="str">
        <f>"CAFEARA"</f>
        <v>CAFEARA</v>
      </c>
      <c r="B912" s="3" t="str">
        <f>"PR"</f>
        <v>PR</v>
      </c>
      <c r="C912" s="3" t="str">
        <f t="shared" si="33"/>
        <v>BRASIL</v>
      </c>
      <c r="D912" s="4" t="str">
        <f>"PR047"</f>
        <v>PR047</v>
      </c>
    </row>
    <row r="913" spans="1:4" x14ac:dyDescent="0.3">
      <c r="A913" s="2" t="str">
        <f>"CAFELANDIA"</f>
        <v>CAFELANDIA</v>
      </c>
      <c r="B913" s="3" t="str">
        <f>"PR"</f>
        <v>PR</v>
      </c>
      <c r="C913" s="3" t="str">
        <f t="shared" si="33"/>
        <v>BRASIL</v>
      </c>
      <c r="D913" s="4" t="str">
        <f>"PR048"</f>
        <v>PR048</v>
      </c>
    </row>
    <row r="914" spans="1:4" x14ac:dyDescent="0.3">
      <c r="A914" s="2" t="str">
        <f>"CAFELANDIA"</f>
        <v>CAFELANDIA</v>
      </c>
      <c r="B914" s="3" t="str">
        <f>"SP"</f>
        <v>SP</v>
      </c>
      <c r="C914" s="3" t="str">
        <f t="shared" si="33"/>
        <v>BRASIL</v>
      </c>
      <c r="D914" s="4" t="str">
        <f>"SP100"</f>
        <v>SP100</v>
      </c>
    </row>
    <row r="915" spans="1:4" x14ac:dyDescent="0.3">
      <c r="A915" s="2" t="str">
        <f>"CAFEZAL DO SUL"</f>
        <v>CAFEZAL DO SUL</v>
      </c>
      <c r="B915" s="3" t="str">
        <f>"PR"</f>
        <v>PR</v>
      </c>
      <c r="C915" s="3" t="str">
        <f t="shared" si="33"/>
        <v>BRASIL</v>
      </c>
      <c r="D915" s="4" t="str">
        <f>"PR049"</f>
        <v>PR049</v>
      </c>
    </row>
    <row r="916" spans="1:4" x14ac:dyDescent="0.3">
      <c r="A916" s="2" t="str">
        <f>"CAIABU"</f>
        <v>CAIABU</v>
      </c>
      <c r="B916" s="3" t="str">
        <f>"SP"</f>
        <v>SP</v>
      </c>
      <c r="C916" s="3" t="str">
        <f t="shared" si="33"/>
        <v>BRASIL</v>
      </c>
      <c r="D916" s="4" t="str">
        <f>"SP101"</f>
        <v>SP101</v>
      </c>
    </row>
    <row r="917" spans="1:4" x14ac:dyDescent="0.3">
      <c r="A917" s="2" t="str">
        <f>"CAIANA"</f>
        <v>CAIANA</v>
      </c>
      <c r="B917" s="3" t="str">
        <f>"MG"</f>
        <v>MG</v>
      </c>
      <c r="C917" s="3" t="str">
        <f t="shared" si="33"/>
        <v>BRASIL</v>
      </c>
      <c r="D917" s="4" t="str">
        <f>"MG110"</f>
        <v>MG110</v>
      </c>
    </row>
    <row r="918" spans="1:4" x14ac:dyDescent="0.3">
      <c r="A918" s="2" t="str">
        <f>"CAIAPONIA"</f>
        <v>CAIAPONIA</v>
      </c>
      <c r="B918" s="3" t="str">
        <f>"GO"</f>
        <v>GO</v>
      </c>
      <c r="C918" s="3" t="str">
        <f t="shared" ref="C918:C925" si="34">"BRASIL"</f>
        <v>BRASIL</v>
      </c>
      <c r="D918" s="4" t="str">
        <f>"GO047"</f>
        <v>GO047</v>
      </c>
    </row>
    <row r="919" spans="1:4" x14ac:dyDescent="0.3">
      <c r="A919" s="2" t="str">
        <f>"CAIBATE"</f>
        <v>CAIBATE</v>
      </c>
      <c r="B919" s="3" t="str">
        <f>"RS"</f>
        <v>RS</v>
      </c>
      <c r="C919" s="3" t="str">
        <f t="shared" si="34"/>
        <v>BRASIL</v>
      </c>
      <c r="D919" s="4" t="str">
        <f>"RS064"</f>
        <v>RS064</v>
      </c>
    </row>
    <row r="920" spans="1:4" x14ac:dyDescent="0.3">
      <c r="A920" s="2" t="str">
        <f>"CAIBI"</f>
        <v>CAIBI</v>
      </c>
      <c r="B920" s="3" t="str">
        <f>"SC"</f>
        <v>SC</v>
      </c>
      <c r="C920" s="3" t="str">
        <f t="shared" si="34"/>
        <v>BRASIL</v>
      </c>
      <c r="D920" s="4" t="str">
        <f>"SC050"</f>
        <v>SC050</v>
      </c>
    </row>
    <row r="921" spans="1:4" x14ac:dyDescent="0.3">
      <c r="A921" s="2" t="str">
        <f>"CAICARA"</f>
        <v>CAICARA</v>
      </c>
      <c r="B921" s="3" t="str">
        <f>"PB"</f>
        <v>PB</v>
      </c>
      <c r="C921" s="3" t="str">
        <f t="shared" si="34"/>
        <v>BRASIL</v>
      </c>
      <c r="D921" s="4" t="str">
        <f>"PB047"</f>
        <v>PB047</v>
      </c>
    </row>
    <row r="922" spans="1:4" x14ac:dyDescent="0.3">
      <c r="A922" s="2" t="str">
        <f>"CAICARA"</f>
        <v>CAICARA</v>
      </c>
      <c r="B922" s="3" t="str">
        <f>"RS"</f>
        <v>RS</v>
      </c>
      <c r="C922" s="3" t="str">
        <f t="shared" si="34"/>
        <v>BRASIL</v>
      </c>
      <c r="D922" s="4" t="str">
        <f>"RS065"</f>
        <v>RS065</v>
      </c>
    </row>
    <row r="923" spans="1:4" x14ac:dyDescent="0.3">
      <c r="A923" s="2" t="str">
        <f>"CAICARA DO NORTE"</f>
        <v>CAICARA DO NORTE</v>
      </c>
      <c r="B923" s="3" t="str">
        <f>"RN"</f>
        <v>RN</v>
      </c>
      <c r="C923" s="3" t="str">
        <f t="shared" si="34"/>
        <v>BRASIL</v>
      </c>
      <c r="D923" s="4" t="str">
        <f>"RN021"</f>
        <v>RN021</v>
      </c>
    </row>
    <row r="924" spans="1:4" x14ac:dyDescent="0.3">
      <c r="A924" s="2" t="str">
        <f>"CAICARA DO RIO DO VENTO"</f>
        <v>CAICARA DO RIO DO VENTO</v>
      </c>
      <c r="B924" s="3" t="str">
        <f>"RN"</f>
        <v>RN</v>
      </c>
      <c r="C924" s="3" t="str">
        <f t="shared" si="34"/>
        <v>BRASIL</v>
      </c>
      <c r="D924" s="4" t="str">
        <f>"RN022"</f>
        <v>RN022</v>
      </c>
    </row>
    <row r="925" spans="1:4" x14ac:dyDescent="0.3">
      <c r="A925" s="2" t="str">
        <f>"CAICO"</f>
        <v>CAICO</v>
      </c>
      <c r="B925" s="3" t="str">
        <f>"RN"</f>
        <v>RN</v>
      </c>
      <c r="C925" s="3" t="str">
        <f t="shared" si="34"/>
        <v>BRASIL</v>
      </c>
      <c r="D925" s="4" t="str">
        <f>"RN023"</f>
        <v>RN023</v>
      </c>
    </row>
    <row r="926" spans="1:4" x14ac:dyDescent="0.3">
      <c r="A926" s="2" t="str">
        <f>"CAIEIRAS"</f>
        <v>CAIEIRAS</v>
      </c>
      <c r="B926" s="3" t="str">
        <f>"SP"</f>
        <v>SP</v>
      </c>
      <c r="C926" s="3" t="str">
        <f>"Brasil"</f>
        <v>Brasil</v>
      </c>
      <c r="D926" s="4" t="str">
        <f>"CA"</f>
        <v>CA</v>
      </c>
    </row>
    <row r="927" spans="1:4" x14ac:dyDescent="0.3">
      <c r="A927" s="2" t="str">
        <f>"CAIRU"</f>
        <v>CAIRU</v>
      </c>
      <c r="B927" s="3" t="str">
        <f>"BA"</f>
        <v>BA</v>
      </c>
      <c r="C927" s="3" t="str">
        <f t="shared" ref="C927:C948" si="35">"BRASIL"</f>
        <v>BRASIL</v>
      </c>
      <c r="D927" s="4" t="str">
        <f>"BA068"</f>
        <v>BA068</v>
      </c>
    </row>
    <row r="928" spans="1:4" x14ac:dyDescent="0.3">
      <c r="A928" s="2" t="str">
        <f>"CAIUA"</f>
        <v>CAIUA</v>
      </c>
      <c r="B928" s="3" t="str">
        <f>"SP"</f>
        <v>SP</v>
      </c>
      <c r="C928" s="3" t="str">
        <f t="shared" si="35"/>
        <v>BRASIL</v>
      </c>
      <c r="D928" s="4" t="str">
        <f>"SP103"</f>
        <v>SP103</v>
      </c>
    </row>
    <row r="929" spans="1:4" x14ac:dyDescent="0.3">
      <c r="A929" s="2" t="str">
        <f>"CAJAMAR"</f>
        <v>CAJAMAR</v>
      </c>
      <c r="B929" s="3" t="str">
        <f>"SP"</f>
        <v>SP</v>
      </c>
      <c r="C929" s="3" t="str">
        <f t="shared" si="35"/>
        <v>BRASIL</v>
      </c>
      <c r="D929" s="4" t="str">
        <f>"SP104"</f>
        <v>SP104</v>
      </c>
    </row>
    <row r="930" spans="1:4" x14ac:dyDescent="0.3">
      <c r="A930" s="2" t="str">
        <f>"CAJAPIO"</f>
        <v>CAJAPIO</v>
      </c>
      <c r="B930" s="3" t="str">
        <f>"MA"</f>
        <v>MA</v>
      </c>
      <c r="C930" s="3" t="str">
        <f t="shared" si="35"/>
        <v>BRASIL</v>
      </c>
      <c r="D930" s="4" t="str">
        <f>"MA044"</f>
        <v>MA044</v>
      </c>
    </row>
    <row r="931" spans="1:4" x14ac:dyDescent="0.3">
      <c r="A931" s="2" t="str">
        <f>"CAJARI"</f>
        <v>CAJARI</v>
      </c>
      <c r="B931" s="3" t="str">
        <f>"MA"</f>
        <v>MA</v>
      </c>
      <c r="C931" s="3" t="str">
        <f t="shared" si="35"/>
        <v>BRASIL</v>
      </c>
      <c r="D931" s="4" t="str">
        <f>"MA045"</f>
        <v>MA045</v>
      </c>
    </row>
    <row r="932" spans="1:4" x14ac:dyDescent="0.3">
      <c r="A932" s="2" t="str">
        <f>"CAJATI"</f>
        <v>CAJATI</v>
      </c>
      <c r="B932" s="3" t="str">
        <f>"SP"</f>
        <v>SP</v>
      </c>
      <c r="C932" s="3" t="str">
        <f t="shared" si="35"/>
        <v>BRASIL</v>
      </c>
      <c r="D932" s="4" t="str">
        <f>"SP105"</f>
        <v>SP105</v>
      </c>
    </row>
    <row r="933" spans="1:4" x14ac:dyDescent="0.3">
      <c r="A933" s="2" t="str">
        <f>"CAJAZEIRAS"</f>
        <v>CAJAZEIRAS</v>
      </c>
      <c r="B933" s="3" t="str">
        <f>"PB"</f>
        <v>PB</v>
      </c>
      <c r="C933" s="3" t="str">
        <f t="shared" si="35"/>
        <v>BRASIL</v>
      </c>
      <c r="D933" s="4" t="str">
        <f>"PB048"</f>
        <v>PB048</v>
      </c>
    </row>
    <row r="934" spans="1:4" x14ac:dyDescent="0.3">
      <c r="A934" s="2" t="str">
        <f>"CAJAZEIRAS DO PIAUI"</f>
        <v>CAJAZEIRAS DO PIAUI</v>
      </c>
      <c r="B934" s="3" t="str">
        <f>"PI"</f>
        <v>PI</v>
      </c>
      <c r="C934" s="3" t="str">
        <f t="shared" si="35"/>
        <v>BRASIL</v>
      </c>
      <c r="D934" s="4" t="str">
        <f>"PI040"</f>
        <v>PI040</v>
      </c>
    </row>
    <row r="935" spans="1:4" x14ac:dyDescent="0.3">
      <c r="A935" s="2" t="str">
        <f>"CAJAZEIRINHAS"</f>
        <v>CAJAZEIRINHAS</v>
      </c>
      <c r="B935" s="3" t="str">
        <f>"PB"</f>
        <v>PB</v>
      </c>
      <c r="C935" s="3" t="str">
        <f t="shared" si="35"/>
        <v>BRASIL</v>
      </c>
      <c r="D935" s="4" t="str">
        <f>"PB049"</f>
        <v>PB049</v>
      </c>
    </row>
    <row r="936" spans="1:4" x14ac:dyDescent="0.3">
      <c r="A936" s="2" t="str">
        <f>"CAJOBI"</f>
        <v>CAJOBI</v>
      </c>
      <c r="B936" s="3" t="str">
        <f>"SP"</f>
        <v>SP</v>
      </c>
      <c r="C936" s="3" t="str">
        <f t="shared" si="35"/>
        <v>BRASIL</v>
      </c>
      <c r="D936" s="4" t="str">
        <f>"SP106"</f>
        <v>SP106</v>
      </c>
    </row>
    <row r="937" spans="1:4" x14ac:dyDescent="0.3">
      <c r="A937" s="2" t="str">
        <f>"CAJUEIRO"</f>
        <v>CAJUEIRO</v>
      </c>
      <c r="B937" s="3" t="str">
        <f>"AL"</f>
        <v>AL</v>
      </c>
      <c r="C937" s="3" t="str">
        <f t="shared" si="35"/>
        <v>BRASIL</v>
      </c>
      <c r="D937" s="4" t="str">
        <f>"AL013"</f>
        <v>AL013</v>
      </c>
    </row>
    <row r="938" spans="1:4" x14ac:dyDescent="0.3">
      <c r="A938" s="2" t="str">
        <f>"CAJUEIRO DA PRAIA"</f>
        <v>CAJUEIRO DA PRAIA</v>
      </c>
      <c r="B938" s="3" t="str">
        <f>"PI"</f>
        <v>PI</v>
      </c>
      <c r="C938" s="3" t="str">
        <f t="shared" si="35"/>
        <v>BRASIL</v>
      </c>
      <c r="D938" s="4" t="str">
        <f>"PI041"</f>
        <v>PI041</v>
      </c>
    </row>
    <row r="939" spans="1:4" x14ac:dyDescent="0.3">
      <c r="A939" s="2" t="str">
        <f>"CAJURI"</f>
        <v>CAJURI</v>
      </c>
      <c r="B939" s="3" t="str">
        <f>"MG"</f>
        <v>MG</v>
      </c>
      <c r="C939" s="3" t="str">
        <f t="shared" si="35"/>
        <v>BRASIL</v>
      </c>
      <c r="D939" s="4" t="str">
        <f>"MG111"</f>
        <v>MG111</v>
      </c>
    </row>
    <row r="940" spans="1:4" x14ac:dyDescent="0.3">
      <c r="A940" s="2" t="str">
        <f>"CAJURU"</f>
        <v>CAJURU</v>
      </c>
      <c r="B940" s="3" t="str">
        <f>"SP"</f>
        <v>SP</v>
      </c>
      <c r="C940" s="3" t="str">
        <f t="shared" si="35"/>
        <v>BRASIL</v>
      </c>
      <c r="D940" s="4" t="str">
        <f>"SP107"</f>
        <v>SP107</v>
      </c>
    </row>
    <row r="941" spans="1:4" x14ac:dyDescent="0.3">
      <c r="A941" s="2" t="str">
        <f>"CALCADO"</f>
        <v>CALCADO</v>
      </c>
      <c r="B941" s="3" t="str">
        <f>"PE"</f>
        <v>PE</v>
      </c>
      <c r="C941" s="3" t="str">
        <f t="shared" si="35"/>
        <v>BRASIL</v>
      </c>
      <c r="D941" s="4" t="str">
        <f>"PE035"</f>
        <v>PE035</v>
      </c>
    </row>
    <row r="942" spans="1:4" x14ac:dyDescent="0.3">
      <c r="A942" s="2" t="str">
        <f>"CALCOENE"</f>
        <v>CALCOENE</v>
      </c>
      <c r="B942" s="3" t="str">
        <f>"AP"</f>
        <v>AP</v>
      </c>
      <c r="C942" s="3" t="str">
        <f t="shared" si="35"/>
        <v>BRASIL</v>
      </c>
      <c r="D942" s="4" t="str">
        <f>"AP004"</f>
        <v>AP004</v>
      </c>
    </row>
    <row r="943" spans="1:4" x14ac:dyDescent="0.3">
      <c r="A943" s="2" t="str">
        <f>"CALDAS"</f>
        <v>CALDAS</v>
      </c>
      <c r="B943" s="3" t="str">
        <f>"MG"</f>
        <v>MG</v>
      </c>
      <c r="C943" s="3" t="str">
        <f t="shared" si="35"/>
        <v>BRASIL</v>
      </c>
      <c r="D943" s="4" t="str">
        <f>"MG112"</f>
        <v>MG112</v>
      </c>
    </row>
    <row r="944" spans="1:4" x14ac:dyDescent="0.3">
      <c r="A944" s="2" t="str">
        <f>"CALDAS BRANDAO"</f>
        <v>CALDAS BRANDAO</v>
      </c>
      <c r="B944" s="3" t="str">
        <f>"PB"</f>
        <v>PB</v>
      </c>
      <c r="C944" s="3" t="str">
        <f t="shared" si="35"/>
        <v>BRASIL</v>
      </c>
      <c r="D944" s="4" t="str">
        <f>"PB050"</f>
        <v>PB050</v>
      </c>
    </row>
    <row r="945" spans="1:4" x14ac:dyDescent="0.3">
      <c r="A945" s="2" t="str">
        <f>"CALDAS NOVAS"</f>
        <v>CALDAS NOVAS</v>
      </c>
      <c r="B945" s="3" t="str">
        <f>"GO"</f>
        <v>GO</v>
      </c>
      <c r="C945" s="3" t="str">
        <f t="shared" si="35"/>
        <v>BRASIL</v>
      </c>
      <c r="D945" s="4" t="str">
        <f>"GO048"</f>
        <v>GO048</v>
      </c>
    </row>
    <row r="946" spans="1:4" x14ac:dyDescent="0.3">
      <c r="A946" s="2" t="str">
        <f>"CALDAZINHA"</f>
        <v>CALDAZINHA</v>
      </c>
      <c r="B946" s="3" t="str">
        <f>"GO"</f>
        <v>GO</v>
      </c>
      <c r="C946" s="3" t="str">
        <f t="shared" si="35"/>
        <v>BRASIL</v>
      </c>
      <c r="D946" s="4" t="str">
        <f>"GO049"</f>
        <v>GO049</v>
      </c>
    </row>
    <row r="947" spans="1:4" x14ac:dyDescent="0.3">
      <c r="A947" s="2" t="str">
        <f>"CALDEIRAO GRANDE"</f>
        <v>CALDEIRAO GRANDE</v>
      </c>
      <c r="B947" s="3" t="str">
        <f>"BA"</f>
        <v>BA</v>
      </c>
      <c r="C947" s="3" t="str">
        <f t="shared" si="35"/>
        <v>BRASIL</v>
      </c>
      <c r="D947" s="4" t="str">
        <f>"BA069"</f>
        <v>BA069</v>
      </c>
    </row>
    <row r="948" spans="1:4" x14ac:dyDescent="0.3">
      <c r="A948" s="2" t="str">
        <f>"CALDEIRAO GRANDE DO PIAUI"</f>
        <v>CALDEIRAO GRANDE DO PIAUI</v>
      </c>
      <c r="B948" s="3" t="str">
        <f>"PI"</f>
        <v>PI</v>
      </c>
      <c r="C948" s="3" t="str">
        <f t="shared" si="35"/>
        <v>BRASIL</v>
      </c>
      <c r="D948" s="4" t="str">
        <f>"PI042"</f>
        <v>PI042</v>
      </c>
    </row>
    <row r="949" spans="1:4" x14ac:dyDescent="0.3">
      <c r="A949" s="2" t="str">
        <f>"CALIFORNIA"</f>
        <v>CALIFORNIA</v>
      </c>
      <c r="B949" s="3" t="str">
        <f>"EX"</f>
        <v>EX</v>
      </c>
      <c r="C949" s="3" t="str">
        <f>"ESTADOS UNIDOS"</f>
        <v>ESTADOS UNIDOS</v>
      </c>
      <c r="D949" s="4" t="str">
        <f>"CALIF"</f>
        <v>CALIF</v>
      </c>
    </row>
    <row r="950" spans="1:4" x14ac:dyDescent="0.3">
      <c r="A950" s="2" t="str">
        <f>"CALIFORNIA"</f>
        <v>CALIFORNIA</v>
      </c>
      <c r="B950" s="3" t="str">
        <f>"PR"</f>
        <v>PR</v>
      </c>
      <c r="C950" s="3" t="str">
        <f t="shared" ref="C950:C962" si="36">"BRASIL"</f>
        <v>BRASIL</v>
      </c>
      <c r="D950" s="4" t="str">
        <f>"PR050"</f>
        <v>PR050</v>
      </c>
    </row>
    <row r="951" spans="1:4" x14ac:dyDescent="0.3">
      <c r="A951" s="2" t="str">
        <f>"CALMON"</f>
        <v>CALMON</v>
      </c>
      <c r="B951" s="3" t="str">
        <f>"SC"</f>
        <v>SC</v>
      </c>
      <c r="C951" s="3" t="str">
        <f t="shared" si="36"/>
        <v>BRASIL</v>
      </c>
      <c r="D951" s="4" t="str">
        <f>"SC051"</f>
        <v>SC051</v>
      </c>
    </row>
    <row r="952" spans="1:4" x14ac:dyDescent="0.3">
      <c r="A952" s="2" t="str">
        <f>"CALUMBI"</f>
        <v>CALUMBI</v>
      </c>
      <c r="B952" s="3" t="str">
        <f>"PE"</f>
        <v>PE</v>
      </c>
      <c r="C952" s="3" t="str">
        <f t="shared" si="36"/>
        <v>BRASIL</v>
      </c>
      <c r="D952" s="4" t="str">
        <f>"PE036"</f>
        <v>PE036</v>
      </c>
    </row>
    <row r="953" spans="1:4" x14ac:dyDescent="0.3">
      <c r="A953" s="2" t="str">
        <f>"CAMACAN"</f>
        <v>CAMACAN</v>
      </c>
      <c r="B953" s="3" t="str">
        <f>"BA"</f>
        <v>BA</v>
      </c>
      <c r="C953" s="3" t="str">
        <f t="shared" si="36"/>
        <v>BRASIL</v>
      </c>
      <c r="D953" s="4" t="str">
        <f>"BA070"</f>
        <v>BA070</v>
      </c>
    </row>
    <row r="954" spans="1:4" x14ac:dyDescent="0.3">
      <c r="A954" s="2" t="str">
        <f>"CAMACARI"</f>
        <v>CAMACARI</v>
      </c>
      <c r="B954" s="3" t="str">
        <f>"BA"</f>
        <v>BA</v>
      </c>
      <c r="C954" s="3" t="str">
        <f t="shared" si="36"/>
        <v>BRASIL</v>
      </c>
      <c r="D954" s="4" t="str">
        <f>"BA071"</f>
        <v>BA071</v>
      </c>
    </row>
    <row r="955" spans="1:4" x14ac:dyDescent="0.3">
      <c r="A955" s="2" t="str">
        <f>"CAMACHO"</f>
        <v>CAMACHO</v>
      </c>
      <c r="B955" s="3" t="str">
        <f>"MG"</f>
        <v>MG</v>
      </c>
      <c r="C955" s="3" t="str">
        <f t="shared" si="36"/>
        <v>BRASIL</v>
      </c>
      <c r="D955" s="4" t="str">
        <f>"MG113"</f>
        <v>MG113</v>
      </c>
    </row>
    <row r="956" spans="1:4" x14ac:dyDescent="0.3">
      <c r="A956" s="2" t="str">
        <f>"CAMALAU"</f>
        <v>CAMALAU</v>
      </c>
      <c r="B956" s="3" t="str">
        <f>"PB"</f>
        <v>PB</v>
      </c>
      <c r="C956" s="3" t="str">
        <f t="shared" si="36"/>
        <v>BRASIL</v>
      </c>
      <c r="D956" s="4" t="str">
        <f>"PB051"</f>
        <v>PB051</v>
      </c>
    </row>
    <row r="957" spans="1:4" x14ac:dyDescent="0.3">
      <c r="A957" s="2" t="str">
        <f>"CAMAMU"</f>
        <v>CAMAMU</v>
      </c>
      <c r="B957" s="3" t="str">
        <f>"BA"</f>
        <v>BA</v>
      </c>
      <c r="C957" s="3" t="str">
        <f t="shared" si="36"/>
        <v>BRASIL</v>
      </c>
      <c r="D957" s="4" t="str">
        <f>"BA072"</f>
        <v>BA072</v>
      </c>
    </row>
    <row r="958" spans="1:4" x14ac:dyDescent="0.3">
      <c r="A958" s="2" t="str">
        <f>"CAMANDUCAIA"</f>
        <v>CAMANDUCAIA</v>
      </c>
      <c r="B958" s="3" t="str">
        <f>"MG"</f>
        <v>MG</v>
      </c>
      <c r="C958" s="3" t="str">
        <f t="shared" si="36"/>
        <v>BRASIL</v>
      </c>
      <c r="D958" s="4" t="str">
        <f>"MG114"</f>
        <v>MG114</v>
      </c>
    </row>
    <row r="959" spans="1:4" x14ac:dyDescent="0.3">
      <c r="A959" s="2" t="str">
        <f>"CAMAPUA"</f>
        <v>CAMAPUA</v>
      </c>
      <c r="B959" s="3" t="str">
        <f>"MS"</f>
        <v>MS</v>
      </c>
      <c r="C959" s="3" t="str">
        <f t="shared" si="36"/>
        <v>BRASIL</v>
      </c>
      <c r="D959" s="4" t="str">
        <f>"MS019"</f>
        <v>MS019</v>
      </c>
    </row>
    <row r="960" spans="1:4" x14ac:dyDescent="0.3">
      <c r="A960" s="2" t="str">
        <f>"CAMAQUA"</f>
        <v>CAMAQUA</v>
      </c>
      <c r="B960" s="3" t="str">
        <f>"RS"</f>
        <v>RS</v>
      </c>
      <c r="C960" s="3" t="str">
        <f t="shared" si="36"/>
        <v>BRASIL</v>
      </c>
      <c r="D960" s="4" t="str">
        <f>"RS066"</f>
        <v>RS066</v>
      </c>
    </row>
    <row r="961" spans="1:4" x14ac:dyDescent="0.3">
      <c r="A961" s="2" t="str">
        <f>"CAMARAGIBE"</f>
        <v>CAMARAGIBE</v>
      </c>
      <c r="B961" s="3" t="str">
        <f>"PE"</f>
        <v>PE</v>
      </c>
      <c r="C961" s="3" t="str">
        <f t="shared" si="36"/>
        <v>BRASIL</v>
      </c>
      <c r="D961" s="4" t="str">
        <f>"PE037"</f>
        <v>PE037</v>
      </c>
    </row>
    <row r="962" spans="1:4" x14ac:dyDescent="0.3">
      <c r="A962" s="2" t="str">
        <f>"CAMARGO"</f>
        <v>CAMARGO</v>
      </c>
      <c r="B962" s="3" t="str">
        <f>"RS"</f>
        <v>RS</v>
      </c>
      <c r="C962" s="3" t="str">
        <f t="shared" si="36"/>
        <v>BRASIL</v>
      </c>
      <c r="D962" s="4" t="str">
        <f>"RS067"</f>
        <v>RS067</v>
      </c>
    </row>
    <row r="963" spans="1:4" x14ac:dyDescent="0.3">
      <c r="A963" s="2" t="str">
        <f>"CAMAS"</f>
        <v>CAMAS</v>
      </c>
      <c r="B963" s="3" t="str">
        <f>"WA"</f>
        <v>WA</v>
      </c>
      <c r="C963" s="3" t="str">
        <f>"ESTADOS UNIDOS"</f>
        <v>ESTADOS UNIDOS</v>
      </c>
      <c r="D963" s="4" t="str">
        <f>"CAMAS"</f>
        <v>CAMAS</v>
      </c>
    </row>
    <row r="964" spans="1:4" x14ac:dyDescent="0.3">
      <c r="A964" s="2" t="str">
        <f>"CAMBARA"</f>
        <v>CAMBARA</v>
      </c>
      <c r="B964" s="3" t="str">
        <f>"PR"</f>
        <v>PR</v>
      </c>
      <c r="C964" s="3" t="str">
        <f t="shared" ref="C964:C986" si="37">"BRASIL"</f>
        <v>BRASIL</v>
      </c>
      <c r="D964" s="4" t="str">
        <f>"PR051"</f>
        <v>PR051</v>
      </c>
    </row>
    <row r="965" spans="1:4" x14ac:dyDescent="0.3">
      <c r="A965" s="2" t="str">
        <f>"CAMBARA DO SUL"</f>
        <v>CAMBARA DO SUL</v>
      </c>
      <c r="B965" s="3" t="str">
        <f>"RS"</f>
        <v>RS</v>
      </c>
      <c r="C965" s="3" t="str">
        <f t="shared" si="37"/>
        <v>BRASIL</v>
      </c>
      <c r="D965" s="4" t="str">
        <f>"RS068"</f>
        <v>RS068</v>
      </c>
    </row>
    <row r="966" spans="1:4" x14ac:dyDescent="0.3">
      <c r="A966" s="2" t="str">
        <f>"CAMBE"</f>
        <v>CAMBE</v>
      </c>
      <c r="B966" s="3" t="str">
        <f>"PR"</f>
        <v>PR</v>
      </c>
      <c r="C966" s="3" t="str">
        <f t="shared" si="37"/>
        <v>BRASIL</v>
      </c>
      <c r="D966" s="4" t="str">
        <f>"PR052"</f>
        <v>PR052</v>
      </c>
    </row>
    <row r="967" spans="1:4" x14ac:dyDescent="0.3">
      <c r="A967" s="2" t="str">
        <f>"CAMBIRA"</f>
        <v>CAMBIRA</v>
      </c>
      <c r="B967" s="3" t="str">
        <f>"PR"</f>
        <v>PR</v>
      </c>
      <c r="C967" s="3" t="str">
        <f t="shared" si="37"/>
        <v>BRASIL</v>
      </c>
      <c r="D967" s="4" t="str">
        <f>"PR053"</f>
        <v>PR053</v>
      </c>
    </row>
    <row r="968" spans="1:4" x14ac:dyDescent="0.3">
      <c r="A968" s="2" t="str">
        <f>"CAMBORIU"</f>
        <v>CAMBORIU</v>
      </c>
      <c r="B968" s="3" t="str">
        <f>"SC"</f>
        <v>SC</v>
      </c>
      <c r="C968" s="3" t="str">
        <f t="shared" si="37"/>
        <v>BRASIL</v>
      </c>
      <c r="D968" s="4" t="str">
        <f>"SC052"</f>
        <v>SC052</v>
      </c>
    </row>
    <row r="969" spans="1:4" x14ac:dyDescent="0.3">
      <c r="A969" s="2" t="str">
        <f>"CAMBUCI"</f>
        <v>CAMBUCI</v>
      </c>
      <c r="B969" s="3" t="str">
        <f>"RJ"</f>
        <v>RJ</v>
      </c>
      <c r="C969" s="3" t="str">
        <f t="shared" si="37"/>
        <v>BRASIL</v>
      </c>
      <c r="D969" s="4" t="str">
        <f>"RJ014"</f>
        <v>RJ014</v>
      </c>
    </row>
    <row r="970" spans="1:4" x14ac:dyDescent="0.3">
      <c r="A970" s="2" t="str">
        <f>"CAMBUI"</f>
        <v>CAMBUI</v>
      </c>
      <c r="B970" s="3" t="str">
        <f>"MG"</f>
        <v>MG</v>
      </c>
      <c r="C970" s="3" t="str">
        <f t="shared" si="37"/>
        <v>BRASIL</v>
      </c>
      <c r="D970" s="4" t="str">
        <f>"MG115"</f>
        <v>MG115</v>
      </c>
    </row>
    <row r="971" spans="1:4" x14ac:dyDescent="0.3">
      <c r="A971" s="2" t="str">
        <f>"CAMBUQUIRA"</f>
        <v>CAMBUQUIRA</v>
      </c>
      <c r="B971" s="3" t="str">
        <f>"MG"</f>
        <v>MG</v>
      </c>
      <c r="C971" s="3" t="str">
        <f t="shared" si="37"/>
        <v>BRASIL</v>
      </c>
      <c r="D971" s="4" t="str">
        <f>"MG116"</f>
        <v>MG116</v>
      </c>
    </row>
    <row r="972" spans="1:4" x14ac:dyDescent="0.3">
      <c r="A972" s="2" t="str">
        <f>"CAMETA"</f>
        <v>CAMETA</v>
      </c>
      <c r="B972" s="3" t="str">
        <f>"PA"</f>
        <v>PA</v>
      </c>
      <c r="C972" s="3" t="str">
        <f t="shared" si="37"/>
        <v>BRASIL</v>
      </c>
      <c r="D972" s="4" t="str">
        <f>"PA032"</f>
        <v>PA032</v>
      </c>
    </row>
    <row r="973" spans="1:4" x14ac:dyDescent="0.3">
      <c r="A973" s="2" t="str">
        <f>"CAMOCIM"</f>
        <v>CAMOCIM</v>
      </c>
      <c r="B973" s="3" t="str">
        <f>"CE"</f>
        <v>CE</v>
      </c>
      <c r="C973" s="3" t="str">
        <f t="shared" si="37"/>
        <v>BRASIL</v>
      </c>
      <c r="D973" s="4" t="str">
        <f>"CE032"</f>
        <v>CE032</v>
      </c>
    </row>
    <row r="974" spans="1:4" x14ac:dyDescent="0.3">
      <c r="A974" s="2" t="str">
        <f>"CAMOCIM DE SAO FELIX"</f>
        <v>CAMOCIM DE SAO FELIX</v>
      </c>
      <c r="B974" s="3" t="str">
        <f>"PE"</f>
        <v>PE</v>
      </c>
      <c r="C974" s="3" t="str">
        <f t="shared" si="37"/>
        <v>BRASIL</v>
      </c>
      <c r="D974" s="4" t="str">
        <f>"PE038"</f>
        <v>PE038</v>
      </c>
    </row>
    <row r="975" spans="1:4" x14ac:dyDescent="0.3">
      <c r="A975" s="2" t="str">
        <f>"CAMPANARIO"</f>
        <v>CAMPANARIO</v>
      </c>
      <c r="B975" s="3" t="str">
        <f>"MG"</f>
        <v>MG</v>
      </c>
      <c r="C975" s="3" t="str">
        <f t="shared" si="37"/>
        <v>BRASIL</v>
      </c>
      <c r="D975" s="4" t="str">
        <f>"MG117"</f>
        <v>MG117</v>
      </c>
    </row>
    <row r="976" spans="1:4" x14ac:dyDescent="0.3">
      <c r="A976" s="2" t="str">
        <f>"CAMPANHA"</f>
        <v>CAMPANHA</v>
      </c>
      <c r="B976" s="3" t="str">
        <f>"MG"</f>
        <v>MG</v>
      </c>
      <c r="C976" s="3" t="str">
        <f t="shared" si="37"/>
        <v>BRASIL</v>
      </c>
      <c r="D976" s="4" t="str">
        <f>"MG118"</f>
        <v>MG118</v>
      </c>
    </row>
    <row r="977" spans="1:4" x14ac:dyDescent="0.3">
      <c r="A977" s="2" t="str">
        <f>"CAMPESTRE"</f>
        <v>CAMPESTRE</v>
      </c>
      <c r="B977" s="3" t="str">
        <f>"AL"</f>
        <v>AL</v>
      </c>
      <c r="C977" s="3" t="str">
        <f t="shared" si="37"/>
        <v>BRASIL</v>
      </c>
      <c r="D977" s="4" t="str">
        <f>"AL014"</f>
        <v>AL014</v>
      </c>
    </row>
    <row r="978" spans="1:4" x14ac:dyDescent="0.3">
      <c r="A978" s="2" t="str">
        <f>"CAMPESTRE"</f>
        <v>CAMPESTRE</v>
      </c>
      <c r="B978" s="3" t="str">
        <f>"MG"</f>
        <v>MG</v>
      </c>
      <c r="C978" s="3" t="str">
        <f t="shared" si="37"/>
        <v>BRASIL</v>
      </c>
      <c r="D978" s="4" t="str">
        <f>"MG119"</f>
        <v>MG119</v>
      </c>
    </row>
    <row r="979" spans="1:4" x14ac:dyDescent="0.3">
      <c r="A979" s="2" t="str">
        <f>"CAMPESTRE DA SERRA"</f>
        <v>CAMPESTRE DA SERRA</v>
      </c>
      <c r="B979" s="3" t="str">
        <f>"RS"</f>
        <v>RS</v>
      </c>
      <c r="C979" s="3" t="str">
        <f t="shared" si="37"/>
        <v>BRASIL</v>
      </c>
      <c r="D979" s="4" t="str">
        <f>"RS069"</f>
        <v>RS069</v>
      </c>
    </row>
    <row r="980" spans="1:4" x14ac:dyDescent="0.3">
      <c r="A980" s="2" t="str">
        <f>"CAMPESTRE DE GOIAS"</f>
        <v>CAMPESTRE DE GOIAS</v>
      </c>
      <c r="B980" s="3" t="str">
        <f>"GO"</f>
        <v>GO</v>
      </c>
      <c r="C980" s="3" t="str">
        <f t="shared" si="37"/>
        <v>BRASIL</v>
      </c>
      <c r="D980" s="4" t="str">
        <f>"GO050"</f>
        <v>GO050</v>
      </c>
    </row>
    <row r="981" spans="1:4" x14ac:dyDescent="0.3">
      <c r="A981" s="2" t="str">
        <f>"CAMPESTRE DO MARANHAO"</f>
        <v>CAMPESTRE DO MARANHAO</v>
      </c>
      <c r="B981" s="3" t="str">
        <f>"MA"</f>
        <v>MA</v>
      </c>
      <c r="C981" s="3" t="str">
        <f t="shared" si="37"/>
        <v>BRASIL</v>
      </c>
      <c r="D981" s="4" t="str">
        <f>"MA046"</f>
        <v>MA046</v>
      </c>
    </row>
    <row r="982" spans="1:4" x14ac:dyDescent="0.3">
      <c r="A982" s="2" t="str">
        <f>"CAMPINA DA LAGOA"</f>
        <v>CAMPINA DA LAGOA</v>
      </c>
      <c r="B982" s="3" t="str">
        <f>"PR"</f>
        <v>PR</v>
      </c>
      <c r="C982" s="3" t="str">
        <f t="shared" si="37"/>
        <v>BRASIL</v>
      </c>
      <c r="D982" s="4" t="str">
        <f>"PR054"</f>
        <v>PR054</v>
      </c>
    </row>
    <row r="983" spans="1:4" x14ac:dyDescent="0.3">
      <c r="A983" s="2" t="str">
        <f>"CAMPINA DAS MISSÕES"</f>
        <v>CAMPINA DAS MISSÕES</v>
      </c>
      <c r="B983" s="3" t="str">
        <f>"RS"</f>
        <v>RS</v>
      </c>
      <c r="C983" s="3" t="str">
        <f t="shared" si="37"/>
        <v>BRASIL</v>
      </c>
      <c r="D983" s="4" t="str">
        <f>"RS070"</f>
        <v>RS070</v>
      </c>
    </row>
    <row r="984" spans="1:4" x14ac:dyDescent="0.3">
      <c r="A984" s="2" t="str">
        <f>"CAMPINA DO MONTE ALEGRE"</f>
        <v>CAMPINA DO MONTE ALEGRE</v>
      </c>
      <c r="B984" s="3" t="str">
        <f>"SP"</f>
        <v>SP</v>
      </c>
      <c r="C984" s="3" t="str">
        <f t="shared" si="37"/>
        <v>BRASIL</v>
      </c>
      <c r="D984" s="4" t="str">
        <f>"SP108"</f>
        <v>SP108</v>
      </c>
    </row>
    <row r="985" spans="1:4" x14ac:dyDescent="0.3">
      <c r="A985" s="2" t="str">
        <f>"CAMPINA DO SIMAO"</f>
        <v>CAMPINA DO SIMAO</v>
      </c>
      <c r="B985" s="3" t="str">
        <f>"PR"</f>
        <v>PR</v>
      </c>
      <c r="C985" s="3" t="str">
        <f t="shared" si="37"/>
        <v>BRASIL</v>
      </c>
      <c r="D985" s="4" t="str">
        <f>"PR055"</f>
        <v>PR055</v>
      </c>
    </row>
    <row r="986" spans="1:4" x14ac:dyDescent="0.3">
      <c r="A986" s="2" t="str">
        <f>"CAMPINA GRANDE"</f>
        <v>CAMPINA GRANDE</v>
      </c>
      <c r="B986" s="3" t="str">
        <f>"PB"</f>
        <v>PB</v>
      </c>
      <c r="C986" s="3" t="str">
        <f t="shared" si="37"/>
        <v>BRASIL</v>
      </c>
      <c r="D986" s="4" t="str">
        <f>"PB052"</f>
        <v>PB052</v>
      </c>
    </row>
    <row r="987" spans="1:4" x14ac:dyDescent="0.3">
      <c r="A987" s="2" t="str">
        <f>"CAMPINA GRANDE DO SUL"</f>
        <v>CAMPINA GRANDE DO SUL</v>
      </c>
      <c r="B987" s="3" t="str">
        <f>"PR"</f>
        <v>PR</v>
      </c>
      <c r="C987" s="3" t="str">
        <f>"Brasil"</f>
        <v>Brasil</v>
      </c>
      <c r="D987" s="4" t="str">
        <f>"CGS"</f>
        <v>CGS</v>
      </c>
    </row>
    <row r="988" spans="1:4" x14ac:dyDescent="0.3">
      <c r="A988" s="2" t="str">
        <f>"CAMPINA VERDE"</f>
        <v>CAMPINA VERDE</v>
      </c>
      <c r="B988" s="3" t="str">
        <f>"MG"</f>
        <v>MG</v>
      </c>
      <c r="C988" s="3" t="str">
        <f t="shared" ref="C988:C1019" si="38">"BRASIL"</f>
        <v>BRASIL</v>
      </c>
      <c r="D988" s="4" t="str">
        <f>"MG120"</f>
        <v>MG120</v>
      </c>
    </row>
    <row r="989" spans="1:4" x14ac:dyDescent="0.3">
      <c r="A989" s="2" t="str">
        <f>"CAMPINACU"</f>
        <v>CAMPINACU</v>
      </c>
      <c r="B989" s="3" t="str">
        <f>"GO"</f>
        <v>GO</v>
      </c>
      <c r="C989" s="3" t="str">
        <f t="shared" si="38"/>
        <v>BRASIL</v>
      </c>
      <c r="D989" s="4" t="str">
        <f>"GO051"</f>
        <v>GO051</v>
      </c>
    </row>
    <row r="990" spans="1:4" x14ac:dyDescent="0.3">
      <c r="A990" s="2" t="str">
        <f>"CAMPINAPOLIS"</f>
        <v>CAMPINAPOLIS</v>
      </c>
      <c r="B990" s="3" t="str">
        <f>"MT"</f>
        <v>MT</v>
      </c>
      <c r="C990" s="3" t="str">
        <f t="shared" si="38"/>
        <v>BRASIL</v>
      </c>
      <c r="D990" s="4" t="str">
        <f>"MT021"</f>
        <v>MT021</v>
      </c>
    </row>
    <row r="991" spans="1:4" x14ac:dyDescent="0.3">
      <c r="A991" s="2" t="str">
        <f>"CAMPINAS"</f>
        <v>CAMPINAS</v>
      </c>
      <c r="B991" s="3" t="str">
        <f>"SP"</f>
        <v>SP</v>
      </c>
      <c r="C991" s="3" t="str">
        <f t="shared" si="38"/>
        <v>BRASIL</v>
      </c>
      <c r="D991" s="4" t="str">
        <f>"SP109"</f>
        <v>SP109</v>
      </c>
    </row>
    <row r="992" spans="1:4" x14ac:dyDescent="0.3">
      <c r="A992" s="2" t="str">
        <f>"CAMPINAS DO PIAUI"</f>
        <v>CAMPINAS DO PIAUI</v>
      </c>
      <c r="B992" s="3" t="str">
        <f>"PI"</f>
        <v>PI</v>
      </c>
      <c r="C992" s="3" t="str">
        <f t="shared" si="38"/>
        <v>BRASIL</v>
      </c>
      <c r="D992" s="4" t="str">
        <f>"PI043"</f>
        <v>PI043</v>
      </c>
    </row>
    <row r="993" spans="1:4" x14ac:dyDescent="0.3">
      <c r="A993" s="2" t="str">
        <f>"CAMPINAS DO SUL"</f>
        <v>CAMPINAS DO SUL</v>
      </c>
      <c r="B993" s="3" t="str">
        <f>"RS"</f>
        <v>RS</v>
      </c>
      <c r="C993" s="3" t="str">
        <f t="shared" si="38"/>
        <v>BRASIL</v>
      </c>
      <c r="D993" s="4" t="str">
        <f>"RS071"</f>
        <v>RS071</v>
      </c>
    </row>
    <row r="994" spans="1:4" x14ac:dyDescent="0.3">
      <c r="A994" s="2" t="str">
        <f>"CAMPINORTE"</f>
        <v>CAMPINORTE</v>
      </c>
      <c r="B994" s="3" t="str">
        <f>"GO"</f>
        <v>GO</v>
      </c>
      <c r="C994" s="3" t="str">
        <f t="shared" si="38"/>
        <v>BRASIL</v>
      </c>
      <c r="D994" s="4" t="str">
        <f>"GO052"</f>
        <v>GO052</v>
      </c>
    </row>
    <row r="995" spans="1:4" x14ac:dyDescent="0.3">
      <c r="A995" s="2" t="str">
        <f>"CAMPO ALEGRE"</f>
        <v>CAMPO ALEGRE</v>
      </c>
      <c r="B995" s="3" t="str">
        <f>"AL"</f>
        <v>AL</v>
      </c>
      <c r="C995" s="3" t="str">
        <f t="shared" si="38"/>
        <v>BRASIL</v>
      </c>
      <c r="D995" s="4" t="str">
        <f>"AL015"</f>
        <v>AL015</v>
      </c>
    </row>
    <row r="996" spans="1:4" x14ac:dyDescent="0.3">
      <c r="A996" s="2" t="str">
        <f>"CAMPO ALEGRE"</f>
        <v>CAMPO ALEGRE</v>
      </c>
      <c r="B996" s="3" t="str">
        <f>"SC"</f>
        <v>SC</v>
      </c>
      <c r="C996" s="3" t="str">
        <f t="shared" si="38"/>
        <v>BRASIL</v>
      </c>
      <c r="D996" s="4" t="str">
        <f>"SC054"</f>
        <v>SC054</v>
      </c>
    </row>
    <row r="997" spans="1:4" x14ac:dyDescent="0.3">
      <c r="A997" s="2" t="str">
        <f>"CAMPO ALEGRE DE GOIAS"</f>
        <v>CAMPO ALEGRE DE GOIAS</v>
      </c>
      <c r="B997" s="3" t="str">
        <f>"GO"</f>
        <v>GO</v>
      </c>
      <c r="C997" s="3" t="str">
        <f t="shared" si="38"/>
        <v>BRASIL</v>
      </c>
      <c r="D997" s="4" t="str">
        <f>"GO053"</f>
        <v>GO053</v>
      </c>
    </row>
    <row r="998" spans="1:4" x14ac:dyDescent="0.3">
      <c r="A998" s="2" t="str">
        <f>"CAMPO ALEGRE DE LOURDES"</f>
        <v>CAMPO ALEGRE DE LOURDES</v>
      </c>
      <c r="B998" s="3" t="str">
        <f>"BA"</f>
        <v>BA</v>
      </c>
      <c r="C998" s="3" t="str">
        <f t="shared" si="38"/>
        <v>BRASIL</v>
      </c>
      <c r="D998" s="4" t="str">
        <f>"BA073"</f>
        <v>BA073</v>
      </c>
    </row>
    <row r="999" spans="1:4" x14ac:dyDescent="0.3">
      <c r="A999" s="2" t="str">
        <f>"CAMPO ALEGRE DO FIDALGO"</f>
        <v>CAMPO ALEGRE DO FIDALGO</v>
      </c>
      <c r="B999" s="3" t="str">
        <f>"PI"</f>
        <v>PI</v>
      </c>
      <c r="C999" s="3" t="str">
        <f t="shared" si="38"/>
        <v>BRASIL</v>
      </c>
      <c r="D999" s="4" t="str">
        <f>"PI044"</f>
        <v>PI044</v>
      </c>
    </row>
    <row r="1000" spans="1:4" x14ac:dyDescent="0.3">
      <c r="A1000" s="2" t="str">
        <f>"CAMPO AZUL"</f>
        <v>CAMPO AZUL</v>
      </c>
      <c r="B1000" s="3" t="str">
        <f>"MG"</f>
        <v>MG</v>
      </c>
      <c r="C1000" s="3" t="str">
        <f t="shared" si="38"/>
        <v>BRASIL</v>
      </c>
      <c r="D1000" s="4" t="str">
        <f>"MG121"</f>
        <v>MG121</v>
      </c>
    </row>
    <row r="1001" spans="1:4" x14ac:dyDescent="0.3">
      <c r="A1001" s="2" t="str">
        <f>"CAMPO BELO"</f>
        <v>CAMPO BELO</v>
      </c>
      <c r="B1001" s="3" t="str">
        <f>"MG"</f>
        <v>MG</v>
      </c>
      <c r="C1001" s="3" t="str">
        <f t="shared" si="38"/>
        <v>BRASIL</v>
      </c>
      <c r="D1001" s="4" t="str">
        <f>"MG122"</f>
        <v>MG122</v>
      </c>
    </row>
    <row r="1002" spans="1:4" x14ac:dyDescent="0.3">
      <c r="A1002" s="2" t="str">
        <f>"CAMPO BELO DO SUL"</f>
        <v>CAMPO BELO DO SUL</v>
      </c>
      <c r="B1002" s="3" t="str">
        <f>"SC"</f>
        <v>SC</v>
      </c>
      <c r="C1002" s="3" t="str">
        <f t="shared" si="38"/>
        <v>BRASIL</v>
      </c>
      <c r="D1002" s="4" t="str">
        <f>"SC055"</f>
        <v>SC055</v>
      </c>
    </row>
    <row r="1003" spans="1:4" x14ac:dyDescent="0.3">
      <c r="A1003" s="2" t="str">
        <f>"CAMPO BOM"</f>
        <v>CAMPO BOM</v>
      </c>
      <c r="B1003" s="3" t="str">
        <f>"RS"</f>
        <v>RS</v>
      </c>
      <c r="C1003" s="3" t="str">
        <f t="shared" si="38"/>
        <v>BRASIL</v>
      </c>
      <c r="D1003" s="4" t="str">
        <f>"RS072"</f>
        <v>RS072</v>
      </c>
    </row>
    <row r="1004" spans="1:4" x14ac:dyDescent="0.3">
      <c r="A1004" s="2" t="str">
        <f>"CAMPO BONITO"</f>
        <v>CAMPO BONITO</v>
      </c>
      <c r="B1004" s="3" t="str">
        <f>"PR"</f>
        <v>PR</v>
      </c>
      <c r="C1004" s="3" t="str">
        <f t="shared" si="38"/>
        <v>BRASIL</v>
      </c>
      <c r="D1004" s="4" t="str">
        <f>"PR057"</f>
        <v>PR057</v>
      </c>
    </row>
    <row r="1005" spans="1:4" x14ac:dyDescent="0.3">
      <c r="A1005" s="2" t="str">
        <f>"CAMPO DE SANTANA"</f>
        <v>CAMPO DE SANTANA</v>
      </c>
      <c r="B1005" s="3" t="str">
        <f>"PB"</f>
        <v>PB</v>
      </c>
      <c r="C1005" s="3" t="str">
        <f t="shared" si="38"/>
        <v>BRASIL</v>
      </c>
      <c r="D1005" s="4" t="str">
        <f>"PB213"</f>
        <v>PB213</v>
      </c>
    </row>
    <row r="1006" spans="1:4" x14ac:dyDescent="0.3">
      <c r="A1006" s="2" t="str">
        <f>"CAMPO DO BRITO"</f>
        <v>CAMPO DO BRITO</v>
      </c>
      <c r="B1006" s="3" t="str">
        <f>"SE"</f>
        <v>SE</v>
      </c>
      <c r="C1006" s="3" t="str">
        <f t="shared" si="38"/>
        <v>BRASIL</v>
      </c>
      <c r="D1006" s="4" t="str">
        <f>"SE009"</f>
        <v>SE009</v>
      </c>
    </row>
    <row r="1007" spans="1:4" x14ac:dyDescent="0.3">
      <c r="A1007" s="2" t="str">
        <f>"CAMPO DO MEIO"</f>
        <v>CAMPO DO MEIO</v>
      </c>
      <c r="B1007" s="3" t="str">
        <f>"MG"</f>
        <v>MG</v>
      </c>
      <c r="C1007" s="3" t="str">
        <f t="shared" si="38"/>
        <v>BRASIL</v>
      </c>
      <c r="D1007" s="4" t="str">
        <f>"MG123"</f>
        <v>MG123</v>
      </c>
    </row>
    <row r="1008" spans="1:4" x14ac:dyDescent="0.3">
      <c r="A1008" s="2" t="str">
        <f>"CAMPO DO TENENTE"</f>
        <v>CAMPO DO TENENTE</v>
      </c>
      <c r="B1008" s="3" t="str">
        <f>"PR"</f>
        <v>PR</v>
      </c>
      <c r="C1008" s="3" t="str">
        <f t="shared" si="38"/>
        <v>BRASIL</v>
      </c>
      <c r="D1008" s="4" t="str">
        <f>"PR058"</f>
        <v>PR058</v>
      </c>
    </row>
    <row r="1009" spans="1:4" x14ac:dyDescent="0.3">
      <c r="A1009" s="2" t="str">
        <f>"CAMPO ERE"</f>
        <v>CAMPO ERE</v>
      </c>
      <c r="B1009" s="3" t="str">
        <f>"SC"</f>
        <v>SC</v>
      </c>
      <c r="C1009" s="3" t="str">
        <f t="shared" si="38"/>
        <v>BRASIL</v>
      </c>
      <c r="D1009" s="4" t="str">
        <f>"SC056"</f>
        <v>SC056</v>
      </c>
    </row>
    <row r="1010" spans="1:4" x14ac:dyDescent="0.3">
      <c r="A1010" s="2" t="str">
        <f>"CAMPO FLORIDO"</f>
        <v>CAMPO FLORIDO</v>
      </c>
      <c r="B1010" s="3" t="str">
        <f>"MG"</f>
        <v>MG</v>
      </c>
      <c r="C1010" s="3" t="str">
        <f t="shared" si="38"/>
        <v>BRASIL</v>
      </c>
      <c r="D1010" s="4" t="str">
        <f>"MG124"</f>
        <v>MG124</v>
      </c>
    </row>
    <row r="1011" spans="1:4" x14ac:dyDescent="0.3">
      <c r="A1011" s="2" t="str">
        <f>"CAMPO FORMOSO"</f>
        <v>CAMPO FORMOSO</v>
      </c>
      <c r="B1011" s="3" t="str">
        <f>"BA"</f>
        <v>BA</v>
      </c>
      <c r="C1011" s="3" t="str">
        <f t="shared" si="38"/>
        <v>BRASIL</v>
      </c>
      <c r="D1011" s="4" t="str">
        <f>"BA074"</f>
        <v>BA074</v>
      </c>
    </row>
    <row r="1012" spans="1:4" x14ac:dyDescent="0.3">
      <c r="A1012" s="2" t="str">
        <f>"CAMPO GRANDE"</f>
        <v>CAMPO GRANDE</v>
      </c>
      <c r="B1012" s="3" t="str">
        <f>"AL"</f>
        <v>AL</v>
      </c>
      <c r="C1012" s="3" t="str">
        <f t="shared" si="38"/>
        <v>BRASIL</v>
      </c>
      <c r="D1012" s="4" t="str">
        <f>"AL016"</f>
        <v>AL016</v>
      </c>
    </row>
    <row r="1013" spans="1:4" x14ac:dyDescent="0.3">
      <c r="A1013" s="2" t="str">
        <f>"CAMPO GRANDE"</f>
        <v>CAMPO GRANDE</v>
      </c>
      <c r="B1013" s="3" t="str">
        <f>"MS"</f>
        <v>MS</v>
      </c>
      <c r="C1013" s="3" t="str">
        <f t="shared" si="38"/>
        <v>BRASIL</v>
      </c>
      <c r="D1013" s="4" t="str">
        <f>"MS020"</f>
        <v>MS020</v>
      </c>
    </row>
    <row r="1014" spans="1:4" x14ac:dyDescent="0.3">
      <c r="A1014" s="2" t="str">
        <f>"CAMPO GRANDE DO PIAUI"</f>
        <v>CAMPO GRANDE DO PIAUI</v>
      </c>
      <c r="B1014" s="3" t="str">
        <f>"PI"</f>
        <v>PI</v>
      </c>
      <c r="C1014" s="3" t="str">
        <f t="shared" si="38"/>
        <v>BRASIL</v>
      </c>
      <c r="D1014" s="4" t="str">
        <f>"PI045"</f>
        <v>PI045</v>
      </c>
    </row>
    <row r="1015" spans="1:4" x14ac:dyDescent="0.3">
      <c r="A1015" s="2" t="str">
        <f>"CAMPO LARGO"</f>
        <v>CAMPO LARGO</v>
      </c>
      <c r="B1015" s="3" t="str">
        <f>"PR"</f>
        <v>PR</v>
      </c>
      <c r="C1015" s="3" t="str">
        <f t="shared" si="38"/>
        <v>BRASIL</v>
      </c>
      <c r="D1015" s="4" t="str">
        <f>"PR059"</f>
        <v>PR059</v>
      </c>
    </row>
    <row r="1016" spans="1:4" x14ac:dyDescent="0.3">
      <c r="A1016" s="2" t="str">
        <f>"CAMPO LARGO DO PIAUI"</f>
        <v>CAMPO LARGO DO PIAUI</v>
      </c>
      <c r="B1016" s="3" t="str">
        <f>"PI"</f>
        <v>PI</v>
      </c>
      <c r="C1016" s="3" t="str">
        <f t="shared" si="38"/>
        <v>BRASIL</v>
      </c>
      <c r="D1016" s="4" t="str">
        <f>"PI046"</f>
        <v>PI046</v>
      </c>
    </row>
    <row r="1017" spans="1:4" x14ac:dyDescent="0.3">
      <c r="A1017" s="2" t="str">
        <f>"CAMPO LIMPO DE GOIAS"</f>
        <v>CAMPO LIMPO DE GOIAS</v>
      </c>
      <c r="B1017" s="3" t="str">
        <f>"GO"</f>
        <v>GO</v>
      </c>
      <c r="C1017" s="3" t="str">
        <f t="shared" si="38"/>
        <v>BRASIL</v>
      </c>
      <c r="D1017" s="4" t="str">
        <f>"GO054"</f>
        <v>GO054</v>
      </c>
    </row>
    <row r="1018" spans="1:4" x14ac:dyDescent="0.3">
      <c r="A1018" s="2" t="str">
        <f>"CAMPO LIMPO PAULISTA"</f>
        <v>CAMPO LIMPO PAULISTA</v>
      </c>
      <c r="B1018" s="3" t="str">
        <f>"SP"</f>
        <v>SP</v>
      </c>
      <c r="C1018" s="3" t="str">
        <f t="shared" si="38"/>
        <v>BRASIL</v>
      </c>
      <c r="D1018" s="4" t="str">
        <f>"SP110"</f>
        <v>SP110</v>
      </c>
    </row>
    <row r="1019" spans="1:4" x14ac:dyDescent="0.3">
      <c r="A1019" s="2" t="str">
        <f>"CAMPO MAGRO"</f>
        <v>CAMPO MAGRO</v>
      </c>
      <c r="B1019" s="3" t="str">
        <f>"PR"</f>
        <v>PR</v>
      </c>
      <c r="C1019" s="3" t="str">
        <f t="shared" si="38"/>
        <v>BRASIL</v>
      </c>
      <c r="D1019" s="4" t="str">
        <f>"PR060"</f>
        <v>PR060</v>
      </c>
    </row>
    <row r="1020" spans="1:4" x14ac:dyDescent="0.3">
      <c r="A1020" s="2" t="str">
        <f>"CAMPO MAIOR"</f>
        <v>CAMPO MAIOR</v>
      </c>
      <c r="B1020" s="3" t="str">
        <f>"PI"</f>
        <v>PI</v>
      </c>
      <c r="C1020" s="3" t="str">
        <f t="shared" ref="C1020:C1051" si="39">"BRASIL"</f>
        <v>BRASIL</v>
      </c>
      <c r="D1020" s="4" t="str">
        <f>"PI047"</f>
        <v>PI047</v>
      </c>
    </row>
    <row r="1021" spans="1:4" x14ac:dyDescent="0.3">
      <c r="A1021" s="2" t="str">
        <f>"CAMPO MOURAO"</f>
        <v>CAMPO MOURAO</v>
      </c>
      <c r="B1021" s="3" t="str">
        <f>"PR"</f>
        <v>PR</v>
      </c>
      <c r="C1021" s="3" t="str">
        <f t="shared" si="39"/>
        <v>BRASIL</v>
      </c>
      <c r="D1021" s="4" t="str">
        <f>"PR061"</f>
        <v>PR061</v>
      </c>
    </row>
    <row r="1022" spans="1:4" x14ac:dyDescent="0.3">
      <c r="A1022" s="2" t="str">
        <f>"CAMPO NOVO"</f>
        <v>CAMPO NOVO</v>
      </c>
      <c r="B1022" s="3" t="str">
        <f>"RS"</f>
        <v>RS</v>
      </c>
      <c r="C1022" s="3" t="str">
        <f t="shared" si="39"/>
        <v>BRASIL</v>
      </c>
      <c r="D1022" s="4" t="str">
        <f>"RS073"</f>
        <v>RS073</v>
      </c>
    </row>
    <row r="1023" spans="1:4" x14ac:dyDescent="0.3">
      <c r="A1023" s="2" t="str">
        <f>"CAMPO NOVO DE RONDONIA"</f>
        <v>CAMPO NOVO DE RONDONIA</v>
      </c>
      <c r="B1023" s="3" t="str">
        <f>"RO"</f>
        <v>RO</v>
      </c>
      <c r="C1023" s="3" t="str">
        <f t="shared" si="39"/>
        <v>BRASIL</v>
      </c>
      <c r="D1023" s="4" t="str">
        <f>"RO031"</f>
        <v>RO031</v>
      </c>
    </row>
    <row r="1024" spans="1:4" x14ac:dyDescent="0.3">
      <c r="A1024" s="2" t="str">
        <f>"CAMPO NOVO DO PARECIS"</f>
        <v>CAMPO NOVO DO PARECIS</v>
      </c>
      <c r="B1024" s="3" t="str">
        <f>"MT"</f>
        <v>MT</v>
      </c>
      <c r="C1024" s="3" t="str">
        <f t="shared" si="39"/>
        <v>BRASIL</v>
      </c>
      <c r="D1024" s="4" t="str">
        <f>"MT022"</f>
        <v>MT022</v>
      </c>
    </row>
    <row r="1025" spans="1:4" x14ac:dyDescent="0.3">
      <c r="A1025" s="2" t="str">
        <f>"CAMPO REDONDO"</f>
        <v>CAMPO REDONDO</v>
      </c>
      <c r="B1025" s="3" t="str">
        <f>"RN"</f>
        <v>RN</v>
      </c>
      <c r="C1025" s="3" t="str">
        <f t="shared" si="39"/>
        <v>BRASIL</v>
      </c>
      <c r="D1025" s="4" t="str">
        <f>"RN024"</f>
        <v>RN024</v>
      </c>
    </row>
    <row r="1026" spans="1:4" x14ac:dyDescent="0.3">
      <c r="A1026" s="2" t="str">
        <f>"CAMPO VERDE"</f>
        <v>CAMPO VERDE</v>
      </c>
      <c r="B1026" s="3" t="str">
        <f>"MT"</f>
        <v>MT</v>
      </c>
      <c r="C1026" s="3" t="str">
        <f t="shared" si="39"/>
        <v>BRASIL</v>
      </c>
      <c r="D1026" s="4" t="str">
        <f>"MT023"</f>
        <v>MT023</v>
      </c>
    </row>
    <row r="1027" spans="1:4" x14ac:dyDescent="0.3">
      <c r="A1027" s="2" t="str">
        <f>"CAMPOS ALTOS"</f>
        <v>CAMPOS ALTOS</v>
      </c>
      <c r="B1027" s="3" t="str">
        <f>"MG"</f>
        <v>MG</v>
      </c>
      <c r="C1027" s="3" t="str">
        <f t="shared" si="39"/>
        <v>BRASIL</v>
      </c>
      <c r="D1027" s="4" t="str">
        <f>"MG125"</f>
        <v>MG125</v>
      </c>
    </row>
    <row r="1028" spans="1:4" x14ac:dyDescent="0.3">
      <c r="A1028" s="2" t="str">
        <f>"CAMPOS BELOS"</f>
        <v>CAMPOS BELOS</v>
      </c>
      <c r="B1028" s="3" t="str">
        <f>"GO"</f>
        <v>GO</v>
      </c>
      <c r="C1028" s="3" t="str">
        <f t="shared" si="39"/>
        <v>BRASIL</v>
      </c>
      <c r="D1028" s="4" t="str">
        <f>"GO055"</f>
        <v>GO055</v>
      </c>
    </row>
    <row r="1029" spans="1:4" x14ac:dyDescent="0.3">
      <c r="A1029" s="2" t="str">
        <f>"CAMPOS BORGES"</f>
        <v>CAMPOS BORGES</v>
      </c>
      <c r="B1029" s="3" t="str">
        <f>"RS"</f>
        <v>RS</v>
      </c>
      <c r="C1029" s="3" t="str">
        <f t="shared" si="39"/>
        <v>BRASIL</v>
      </c>
      <c r="D1029" s="4" t="str">
        <f>"RS074"</f>
        <v>RS074</v>
      </c>
    </row>
    <row r="1030" spans="1:4" x14ac:dyDescent="0.3">
      <c r="A1030" s="2" t="str">
        <f>"CAMPOS DE JULIO"</f>
        <v>CAMPOS DE JULIO</v>
      </c>
      <c r="B1030" s="3" t="str">
        <f>"MT"</f>
        <v>MT</v>
      </c>
      <c r="C1030" s="3" t="str">
        <f t="shared" si="39"/>
        <v>BRASIL</v>
      </c>
      <c r="D1030" s="4" t="str">
        <f>"MT024"</f>
        <v>MT024</v>
      </c>
    </row>
    <row r="1031" spans="1:4" x14ac:dyDescent="0.3">
      <c r="A1031" s="2" t="str">
        <f>"CAMPOS DO JORDAO"</f>
        <v>CAMPOS DO JORDAO</v>
      </c>
      <c r="B1031" s="3" t="str">
        <f>"SP"</f>
        <v>SP</v>
      </c>
      <c r="C1031" s="3" t="str">
        <f t="shared" si="39"/>
        <v>BRASIL</v>
      </c>
      <c r="D1031" s="4" t="str">
        <f>"SP111"</f>
        <v>SP111</v>
      </c>
    </row>
    <row r="1032" spans="1:4" x14ac:dyDescent="0.3">
      <c r="A1032" s="2" t="str">
        <f>"CAMPOS DOS GOYTACAZES"</f>
        <v>CAMPOS DOS GOYTACAZES</v>
      </c>
      <c r="B1032" s="3" t="str">
        <f>"RJ"</f>
        <v>RJ</v>
      </c>
      <c r="C1032" s="3" t="str">
        <f t="shared" si="39"/>
        <v>BRASIL</v>
      </c>
      <c r="D1032" s="4" t="str">
        <f>"RJ017"</f>
        <v>RJ017</v>
      </c>
    </row>
    <row r="1033" spans="1:4" x14ac:dyDescent="0.3">
      <c r="A1033" s="2" t="str">
        <f>"CAMPOS GERAIS"</f>
        <v>CAMPOS GERAIS</v>
      </c>
      <c r="B1033" s="3" t="str">
        <f>"MG"</f>
        <v>MG</v>
      </c>
      <c r="C1033" s="3" t="str">
        <f t="shared" si="39"/>
        <v>BRASIL</v>
      </c>
      <c r="D1033" s="4" t="str">
        <f>"MG126"</f>
        <v>MG126</v>
      </c>
    </row>
    <row r="1034" spans="1:4" x14ac:dyDescent="0.3">
      <c r="A1034" s="2" t="str">
        <f>"CAMPOS LINDOS"</f>
        <v>CAMPOS LINDOS</v>
      </c>
      <c r="B1034" s="3" t="str">
        <f>"TO"</f>
        <v>TO</v>
      </c>
      <c r="C1034" s="3" t="str">
        <f t="shared" si="39"/>
        <v>BRASIL</v>
      </c>
      <c r="D1034" s="4" t="str">
        <f>"TO030"</f>
        <v>TO030</v>
      </c>
    </row>
    <row r="1035" spans="1:4" x14ac:dyDescent="0.3">
      <c r="A1035" s="2" t="str">
        <f>"CAMPOS NOVOS"</f>
        <v>CAMPOS NOVOS</v>
      </c>
      <c r="B1035" s="3" t="str">
        <f>"SC"</f>
        <v>SC</v>
      </c>
      <c r="C1035" s="3" t="str">
        <f t="shared" si="39"/>
        <v>BRASIL</v>
      </c>
      <c r="D1035" s="4" t="str">
        <f>"SC057"</f>
        <v>SC057</v>
      </c>
    </row>
    <row r="1036" spans="1:4" x14ac:dyDescent="0.3">
      <c r="A1036" s="2" t="str">
        <f>"CAMPOS NOVOS PAULISTA"</f>
        <v>CAMPOS NOVOS PAULISTA</v>
      </c>
      <c r="B1036" s="3" t="str">
        <f>"SP"</f>
        <v>SP</v>
      </c>
      <c r="C1036" s="3" t="str">
        <f t="shared" si="39"/>
        <v>BRASIL</v>
      </c>
      <c r="D1036" s="4" t="str">
        <f>"SP112"</f>
        <v>SP112</v>
      </c>
    </row>
    <row r="1037" spans="1:4" x14ac:dyDescent="0.3">
      <c r="A1037" s="2" t="str">
        <f>"CAMPOS SALES"</f>
        <v>CAMPOS SALES</v>
      </c>
      <c r="B1037" s="3" t="str">
        <f>"CE"</f>
        <v>CE</v>
      </c>
      <c r="C1037" s="3" t="str">
        <f t="shared" si="39"/>
        <v>BRASIL</v>
      </c>
      <c r="D1037" s="4" t="str">
        <f>"CE033"</f>
        <v>CE033</v>
      </c>
    </row>
    <row r="1038" spans="1:4" x14ac:dyDescent="0.3">
      <c r="A1038" s="2" t="str">
        <f>"CAMPOS VERDES"</f>
        <v>CAMPOS VERDES</v>
      </c>
      <c r="B1038" s="3" t="str">
        <f>"GO"</f>
        <v>GO</v>
      </c>
      <c r="C1038" s="3" t="str">
        <f t="shared" si="39"/>
        <v>BRASIL</v>
      </c>
      <c r="D1038" s="4" t="str">
        <f>"GO056"</f>
        <v>GO056</v>
      </c>
    </row>
    <row r="1039" spans="1:4" x14ac:dyDescent="0.3">
      <c r="A1039" s="2" t="str">
        <f>"CAMUTANGA"</f>
        <v>CAMUTANGA</v>
      </c>
      <c r="B1039" s="3" t="str">
        <f>"PE"</f>
        <v>PE</v>
      </c>
      <c r="C1039" s="3" t="str">
        <f t="shared" si="39"/>
        <v>BRASIL</v>
      </c>
      <c r="D1039" s="4" t="str">
        <f>"PE039"</f>
        <v>PE039</v>
      </c>
    </row>
    <row r="1040" spans="1:4" x14ac:dyDescent="0.3">
      <c r="A1040" s="2" t="str">
        <f>"CANA VERDE"</f>
        <v>CANA VERDE</v>
      </c>
      <c r="B1040" s="3" t="str">
        <f>"MG"</f>
        <v>MG</v>
      </c>
      <c r="C1040" s="3" t="str">
        <f t="shared" si="39"/>
        <v>BRASIL</v>
      </c>
      <c r="D1040" s="4" t="str">
        <f>"MG129"</f>
        <v>MG129</v>
      </c>
    </row>
    <row r="1041" spans="1:4" x14ac:dyDescent="0.3">
      <c r="A1041" s="2" t="str">
        <f>"CANAA"</f>
        <v>CANAA</v>
      </c>
      <c r="B1041" s="3" t="str">
        <f>"MG"</f>
        <v>MG</v>
      </c>
      <c r="C1041" s="3" t="str">
        <f t="shared" si="39"/>
        <v>BRASIL</v>
      </c>
      <c r="D1041" s="4" t="str">
        <f>"MG127"</f>
        <v>MG127</v>
      </c>
    </row>
    <row r="1042" spans="1:4" x14ac:dyDescent="0.3">
      <c r="A1042" s="2" t="str">
        <f>"CANAA DOS CARAJAS"</f>
        <v>CANAA DOS CARAJAS</v>
      </c>
      <c r="B1042" s="3" t="str">
        <f>"PA"</f>
        <v>PA</v>
      </c>
      <c r="C1042" s="3" t="str">
        <f t="shared" si="39"/>
        <v>BRASIL</v>
      </c>
      <c r="D1042" s="4" t="str">
        <f>"PA033"</f>
        <v>PA033</v>
      </c>
    </row>
    <row r="1043" spans="1:4" x14ac:dyDescent="0.3">
      <c r="A1043" s="2" t="str">
        <f>"CANABRAVA DO NORTE"</f>
        <v>CANABRAVA DO NORTE</v>
      </c>
      <c r="B1043" s="3" t="str">
        <f>"MT"</f>
        <v>MT</v>
      </c>
      <c r="C1043" s="3" t="str">
        <f t="shared" si="39"/>
        <v>BRASIL</v>
      </c>
      <c r="D1043" s="4" t="str">
        <f>"MT025"</f>
        <v>MT025</v>
      </c>
    </row>
    <row r="1044" spans="1:4" x14ac:dyDescent="0.3">
      <c r="A1044" s="2" t="str">
        <f>"CANANEIA"</f>
        <v>CANANEIA</v>
      </c>
      <c r="B1044" s="3" t="str">
        <f>"SP"</f>
        <v>SP</v>
      </c>
      <c r="C1044" s="3" t="str">
        <f t="shared" si="39"/>
        <v>BRASIL</v>
      </c>
      <c r="D1044" s="4" t="str">
        <f>"SP113"</f>
        <v>SP113</v>
      </c>
    </row>
    <row r="1045" spans="1:4" x14ac:dyDescent="0.3">
      <c r="A1045" s="2" t="str">
        <f>"CANAPI"</f>
        <v>CANAPI</v>
      </c>
      <c r="B1045" s="3" t="str">
        <f>"AL"</f>
        <v>AL</v>
      </c>
      <c r="C1045" s="3" t="str">
        <f t="shared" si="39"/>
        <v>BRASIL</v>
      </c>
      <c r="D1045" s="4" t="str">
        <f>"AL017"</f>
        <v>AL017</v>
      </c>
    </row>
    <row r="1046" spans="1:4" x14ac:dyDescent="0.3">
      <c r="A1046" s="2" t="str">
        <f>"CANAPOLIS"</f>
        <v>CANAPOLIS</v>
      </c>
      <c r="B1046" s="3" t="str">
        <f>"BA"</f>
        <v>BA</v>
      </c>
      <c r="C1046" s="3" t="str">
        <f t="shared" si="39"/>
        <v>BRASIL</v>
      </c>
      <c r="D1046" s="4" t="str">
        <f>"BA075"</f>
        <v>BA075</v>
      </c>
    </row>
    <row r="1047" spans="1:4" x14ac:dyDescent="0.3">
      <c r="A1047" s="2" t="str">
        <f>"CANAPOLIS"</f>
        <v>CANAPOLIS</v>
      </c>
      <c r="B1047" s="3" t="str">
        <f>"MG"</f>
        <v>MG</v>
      </c>
      <c r="C1047" s="3" t="str">
        <f t="shared" si="39"/>
        <v>BRASIL</v>
      </c>
      <c r="D1047" s="4" t="str">
        <f>"MG128"</f>
        <v>MG128</v>
      </c>
    </row>
    <row r="1048" spans="1:4" x14ac:dyDescent="0.3">
      <c r="A1048" s="2" t="str">
        <f>"CANARANA"</f>
        <v>CANARANA</v>
      </c>
      <c r="B1048" s="3" t="str">
        <f>"BA"</f>
        <v>BA</v>
      </c>
      <c r="C1048" s="3" t="str">
        <f t="shared" si="39"/>
        <v>BRASIL</v>
      </c>
      <c r="D1048" s="4" t="str">
        <f>"BA076"</f>
        <v>BA076</v>
      </c>
    </row>
    <row r="1049" spans="1:4" x14ac:dyDescent="0.3">
      <c r="A1049" s="2" t="str">
        <f>"CANARANA"</f>
        <v>CANARANA</v>
      </c>
      <c r="B1049" s="3" t="str">
        <f>"MT"</f>
        <v>MT</v>
      </c>
      <c r="C1049" s="3" t="str">
        <f t="shared" si="39"/>
        <v>BRASIL</v>
      </c>
      <c r="D1049" s="4" t="str">
        <f>"MT026"</f>
        <v>MT026</v>
      </c>
    </row>
    <row r="1050" spans="1:4" x14ac:dyDescent="0.3">
      <c r="A1050" s="2" t="str">
        <f>"CANAS"</f>
        <v>CANAS</v>
      </c>
      <c r="B1050" s="3" t="str">
        <f>"SP"</f>
        <v>SP</v>
      </c>
      <c r="C1050" s="3" t="str">
        <f t="shared" si="39"/>
        <v>BRASIL</v>
      </c>
      <c r="D1050" s="4" t="str">
        <f>"SP114"</f>
        <v>SP114</v>
      </c>
    </row>
    <row r="1051" spans="1:4" x14ac:dyDescent="0.3">
      <c r="A1051" s="2" t="str">
        <f>"CANAVIEIRA"</f>
        <v>CANAVIEIRA</v>
      </c>
      <c r="B1051" s="3" t="str">
        <f>"PI"</f>
        <v>PI</v>
      </c>
      <c r="C1051" s="3" t="str">
        <f t="shared" si="39"/>
        <v>BRASIL</v>
      </c>
      <c r="D1051" s="4" t="str">
        <f>"PI048"</f>
        <v>PI048</v>
      </c>
    </row>
    <row r="1052" spans="1:4" x14ac:dyDescent="0.3">
      <c r="A1052" s="2" t="str">
        <f>"CANAVIEIRAS"</f>
        <v>CANAVIEIRAS</v>
      </c>
      <c r="B1052" s="3" t="str">
        <f>"BA"</f>
        <v>BA</v>
      </c>
      <c r="C1052" s="3" t="str">
        <f t="shared" ref="C1052:C1083" si="40">"BRASIL"</f>
        <v>BRASIL</v>
      </c>
      <c r="D1052" s="4" t="str">
        <f>"BA077"</f>
        <v>BA077</v>
      </c>
    </row>
    <row r="1053" spans="1:4" x14ac:dyDescent="0.3">
      <c r="A1053" s="2" t="str">
        <f>"CANDEAL"</f>
        <v>CANDEAL</v>
      </c>
      <c r="B1053" s="3" t="str">
        <f>"BA"</f>
        <v>BA</v>
      </c>
      <c r="C1053" s="3" t="str">
        <f t="shared" si="40"/>
        <v>BRASIL</v>
      </c>
      <c r="D1053" s="4" t="str">
        <f>"BA078"</f>
        <v>BA078</v>
      </c>
    </row>
    <row r="1054" spans="1:4" x14ac:dyDescent="0.3">
      <c r="A1054" s="2" t="str">
        <f>"CANDEIAS"</f>
        <v>CANDEIAS</v>
      </c>
      <c r="B1054" s="3" t="str">
        <f>"BA"</f>
        <v>BA</v>
      </c>
      <c r="C1054" s="3" t="str">
        <f t="shared" si="40"/>
        <v>BRASIL</v>
      </c>
      <c r="D1054" s="4" t="str">
        <f>"BA079"</f>
        <v>BA079</v>
      </c>
    </row>
    <row r="1055" spans="1:4" x14ac:dyDescent="0.3">
      <c r="A1055" s="2" t="str">
        <f>"CANDEIAS"</f>
        <v>CANDEIAS</v>
      </c>
      <c r="B1055" s="3" t="str">
        <f>"MG"</f>
        <v>MG</v>
      </c>
      <c r="C1055" s="3" t="str">
        <f t="shared" si="40"/>
        <v>BRASIL</v>
      </c>
      <c r="D1055" s="4" t="str">
        <f>"MG130"</f>
        <v>MG130</v>
      </c>
    </row>
    <row r="1056" spans="1:4" x14ac:dyDescent="0.3">
      <c r="A1056" s="2" t="str">
        <f>"CANDEIAS DO JAMARI"</f>
        <v>CANDEIAS DO JAMARI</v>
      </c>
      <c r="B1056" s="3" t="str">
        <f>"RO"</f>
        <v>RO</v>
      </c>
      <c r="C1056" s="3" t="str">
        <f t="shared" si="40"/>
        <v>BRASIL</v>
      </c>
      <c r="D1056" s="4" t="str">
        <f>"RO032"</f>
        <v>RO032</v>
      </c>
    </row>
    <row r="1057" spans="1:4" x14ac:dyDescent="0.3">
      <c r="A1057" s="2" t="str">
        <f>"CANDELARIA"</f>
        <v>CANDELARIA</v>
      </c>
      <c r="B1057" s="3" t="str">
        <f>"RS"</f>
        <v>RS</v>
      </c>
      <c r="C1057" s="3" t="str">
        <f t="shared" si="40"/>
        <v>BRASIL</v>
      </c>
      <c r="D1057" s="4" t="str">
        <f>"RS075"</f>
        <v>RS075</v>
      </c>
    </row>
    <row r="1058" spans="1:4" x14ac:dyDescent="0.3">
      <c r="A1058" s="2" t="str">
        <f>"CANDIBA"</f>
        <v>CANDIBA</v>
      </c>
      <c r="B1058" s="3" t="str">
        <f>"BA"</f>
        <v>BA</v>
      </c>
      <c r="C1058" s="3" t="str">
        <f t="shared" si="40"/>
        <v>BRASIL</v>
      </c>
      <c r="D1058" s="4" t="str">
        <f>"BA080"</f>
        <v>BA080</v>
      </c>
    </row>
    <row r="1059" spans="1:4" x14ac:dyDescent="0.3">
      <c r="A1059" s="2" t="str">
        <f>"CANDIDO DE ABREU"</f>
        <v>CANDIDO DE ABREU</v>
      </c>
      <c r="B1059" s="3" t="str">
        <f>"PR"</f>
        <v>PR</v>
      </c>
      <c r="C1059" s="3" t="str">
        <f t="shared" si="40"/>
        <v>BRASIL</v>
      </c>
      <c r="D1059" s="4" t="str">
        <f>"PR062"</f>
        <v>PR062</v>
      </c>
    </row>
    <row r="1060" spans="1:4" x14ac:dyDescent="0.3">
      <c r="A1060" s="2" t="str">
        <f>"CANDIDO GODOI"</f>
        <v>CANDIDO GODOI</v>
      </c>
      <c r="B1060" s="3" t="str">
        <f>"RS"</f>
        <v>RS</v>
      </c>
      <c r="C1060" s="3" t="str">
        <f t="shared" si="40"/>
        <v>BRASIL</v>
      </c>
      <c r="D1060" s="4" t="str">
        <f>"RS076"</f>
        <v>RS076</v>
      </c>
    </row>
    <row r="1061" spans="1:4" x14ac:dyDescent="0.3">
      <c r="A1061" s="2" t="str">
        <f>"CANDIDO MENDES"</f>
        <v>CANDIDO MENDES</v>
      </c>
      <c r="B1061" s="3" t="str">
        <f>"MA"</f>
        <v>MA</v>
      </c>
      <c r="C1061" s="3" t="str">
        <f t="shared" si="40"/>
        <v>BRASIL</v>
      </c>
      <c r="D1061" s="4" t="str">
        <f>"MA047"</f>
        <v>MA047</v>
      </c>
    </row>
    <row r="1062" spans="1:4" x14ac:dyDescent="0.3">
      <c r="A1062" s="2" t="str">
        <f>"CANDIDO MOTA"</f>
        <v>CANDIDO MOTA</v>
      </c>
      <c r="B1062" s="3" t="str">
        <f>"SP"</f>
        <v>SP</v>
      </c>
      <c r="C1062" s="3" t="str">
        <f t="shared" si="40"/>
        <v>BRASIL</v>
      </c>
      <c r="D1062" s="4" t="str">
        <f>"SP115"</f>
        <v>SP115</v>
      </c>
    </row>
    <row r="1063" spans="1:4" x14ac:dyDescent="0.3">
      <c r="A1063" s="2" t="str">
        <f>"CANDIDO RODRIGUES"</f>
        <v>CANDIDO RODRIGUES</v>
      </c>
      <c r="B1063" s="3" t="str">
        <f>"SP"</f>
        <v>SP</v>
      </c>
      <c r="C1063" s="3" t="str">
        <f t="shared" si="40"/>
        <v>BRASIL</v>
      </c>
      <c r="D1063" s="4" t="str">
        <f>"SP116"</f>
        <v>SP116</v>
      </c>
    </row>
    <row r="1064" spans="1:4" x14ac:dyDescent="0.3">
      <c r="A1064" s="2" t="str">
        <f>"CANDIDO SALES"</f>
        <v>CANDIDO SALES</v>
      </c>
      <c r="B1064" s="3" t="str">
        <f>"BA"</f>
        <v>BA</v>
      </c>
      <c r="C1064" s="3" t="str">
        <f t="shared" si="40"/>
        <v>BRASIL</v>
      </c>
      <c r="D1064" s="4" t="str">
        <f>"BA081"</f>
        <v>BA081</v>
      </c>
    </row>
    <row r="1065" spans="1:4" x14ac:dyDescent="0.3">
      <c r="A1065" s="2" t="str">
        <f>"CANDIOTA"</f>
        <v>CANDIOTA</v>
      </c>
      <c r="B1065" s="3" t="str">
        <f>"RS"</f>
        <v>RS</v>
      </c>
      <c r="C1065" s="3" t="str">
        <f t="shared" si="40"/>
        <v>BRASIL</v>
      </c>
      <c r="D1065" s="4" t="str">
        <f>"RS077"</f>
        <v>RS077</v>
      </c>
    </row>
    <row r="1066" spans="1:4" x14ac:dyDescent="0.3">
      <c r="A1066" s="2" t="str">
        <f>"CANDOI"</f>
        <v>CANDOI</v>
      </c>
      <c r="B1066" s="3" t="str">
        <f>"PR"</f>
        <v>PR</v>
      </c>
      <c r="C1066" s="3" t="str">
        <f t="shared" si="40"/>
        <v>BRASIL</v>
      </c>
      <c r="D1066" s="4" t="str">
        <f>"PR063"</f>
        <v>PR063</v>
      </c>
    </row>
    <row r="1067" spans="1:4" x14ac:dyDescent="0.3">
      <c r="A1067" s="2" t="str">
        <f>"CANELA"</f>
        <v>CANELA</v>
      </c>
      <c r="B1067" s="3" t="str">
        <f>"RS"</f>
        <v>RS</v>
      </c>
      <c r="C1067" s="3" t="str">
        <f t="shared" si="40"/>
        <v>BRASIL</v>
      </c>
      <c r="D1067" s="4" t="str">
        <f>"RS078"</f>
        <v>RS078</v>
      </c>
    </row>
    <row r="1068" spans="1:4" x14ac:dyDescent="0.3">
      <c r="A1068" s="2" t="str">
        <f>"CANELINHA"</f>
        <v>CANELINHA</v>
      </c>
      <c r="B1068" s="3" t="str">
        <f>"SC"</f>
        <v>SC</v>
      </c>
      <c r="C1068" s="3" t="str">
        <f t="shared" si="40"/>
        <v>BRASIL</v>
      </c>
      <c r="D1068" s="4" t="str">
        <f>"SC058"</f>
        <v>SC058</v>
      </c>
    </row>
    <row r="1069" spans="1:4" x14ac:dyDescent="0.3">
      <c r="A1069" s="2" t="str">
        <f>"CANGUARETAMA"</f>
        <v>CANGUARETAMA</v>
      </c>
      <c r="B1069" s="3" t="str">
        <f>"RN"</f>
        <v>RN</v>
      </c>
      <c r="C1069" s="3" t="str">
        <f t="shared" si="40"/>
        <v>BRASIL</v>
      </c>
      <c r="D1069" s="4" t="str">
        <f>"RN025"</f>
        <v>RN025</v>
      </c>
    </row>
    <row r="1070" spans="1:4" x14ac:dyDescent="0.3">
      <c r="A1070" s="2" t="str">
        <f>"CANGUCU"</f>
        <v>CANGUCU</v>
      </c>
      <c r="B1070" s="3" t="str">
        <f>"RS"</f>
        <v>RS</v>
      </c>
      <c r="C1070" s="3" t="str">
        <f t="shared" si="40"/>
        <v>BRASIL</v>
      </c>
      <c r="D1070" s="4" t="str">
        <f>"RS079"</f>
        <v>RS079</v>
      </c>
    </row>
    <row r="1071" spans="1:4" x14ac:dyDescent="0.3">
      <c r="A1071" s="2" t="str">
        <f>"CANHOBA"</f>
        <v>CANHOBA</v>
      </c>
      <c r="B1071" s="3" t="str">
        <f>"SE"</f>
        <v>SE</v>
      </c>
      <c r="C1071" s="3" t="str">
        <f t="shared" si="40"/>
        <v>BRASIL</v>
      </c>
      <c r="D1071" s="4" t="str">
        <f>"SE010"</f>
        <v>SE010</v>
      </c>
    </row>
    <row r="1072" spans="1:4" x14ac:dyDescent="0.3">
      <c r="A1072" s="2" t="str">
        <f>"CANHOTINHO"</f>
        <v>CANHOTINHO</v>
      </c>
      <c r="B1072" s="3" t="str">
        <f>"PE"</f>
        <v>PE</v>
      </c>
      <c r="C1072" s="3" t="str">
        <f t="shared" si="40"/>
        <v>BRASIL</v>
      </c>
      <c r="D1072" s="4" t="str">
        <f>"PE040"</f>
        <v>PE040</v>
      </c>
    </row>
    <row r="1073" spans="1:4" x14ac:dyDescent="0.3">
      <c r="A1073" s="2" t="str">
        <f>"CANINDE"</f>
        <v>CANINDE</v>
      </c>
      <c r="B1073" s="3" t="str">
        <f>"CE"</f>
        <v>CE</v>
      </c>
      <c r="C1073" s="3" t="str">
        <f t="shared" si="40"/>
        <v>BRASIL</v>
      </c>
      <c r="D1073" s="4" t="str">
        <f>"CE034"</f>
        <v>CE034</v>
      </c>
    </row>
    <row r="1074" spans="1:4" x14ac:dyDescent="0.3">
      <c r="A1074" s="2" t="str">
        <f>"CANINDE DE SAO FRANCISCO"</f>
        <v>CANINDE DE SAO FRANCISCO</v>
      </c>
      <c r="B1074" s="3" t="str">
        <f>"SE"</f>
        <v>SE</v>
      </c>
      <c r="C1074" s="3" t="str">
        <f t="shared" si="40"/>
        <v>BRASIL</v>
      </c>
      <c r="D1074" s="4" t="str">
        <f>"SE011"</f>
        <v>SE011</v>
      </c>
    </row>
    <row r="1075" spans="1:4" x14ac:dyDescent="0.3">
      <c r="A1075" s="2" t="str">
        <f>"CANITAR"</f>
        <v>CANITAR</v>
      </c>
      <c r="B1075" s="3" t="str">
        <f>"SP"</f>
        <v>SP</v>
      </c>
      <c r="C1075" s="3" t="str">
        <f t="shared" si="40"/>
        <v>BRASIL</v>
      </c>
      <c r="D1075" s="4" t="str">
        <f>"SP117"</f>
        <v>SP117</v>
      </c>
    </row>
    <row r="1076" spans="1:4" x14ac:dyDescent="0.3">
      <c r="A1076" s="2" t="str">
        <f>"CANOAS"</f>
        <v>CANOAS</v>
      </c>
      <c r="B1076" s="3" t="str">
        <f>"RS"</f>
        <v>RS</v>
      </c>
      <c r="C1076" s="3" t="str">
        <f t="shared" si="40"/>
        <v>BRASIL</v>
      </c>
      <c r="D1076" s="4" t="str">
        <f>"RS080"</f>
        <v>RS080</v>
      </c>
    </row>
    <row r="1077" spans="1:4" x14ac:dyDescent="0.3">
      <c r="A1077" s="2" t="str">
        <f>"CANOINHAS"</f>
        <v>CANOINHAS</v>
      </c>
      <c r="B1077" s="3" t="str">
        <f>"SC"</f>
        <v>SC</v>
      </c>
      <c r="C1077" s="3" t="str">
        <f t="shared" si="40"/>
        <v>BRASIL</v>
      </c>
      <c r="D1077" s="4" t="str">
        <f>"SC059"</f>
        <v>SC059</v>
      </c>
    </row>
    <row r="1078" spans="1:4" x14ac:dyDescent="0.3">
      <c r="A1078" s="2" t="str">
        <f>"CANSANCAO"</f>
        <v>CANSANCAO</v>
      </c>
      <c r="B1078" s="3" t="str">
        <f>"BA"</f>
        <v>BA</v>
      </c>
      <c r="C1078" s="3" t="str">
        <f t="shared" si="40"/>
        <v>BRASIL</v>
      </c>
      <c r="D1078" s="4" t="str">
        <f>"BA082"</f>
        <v>BA082</v>
      </c>
    </row>
    <row r="1079" spans="1:4" x14ac:dyDescent="0.3">
      <c r="A1079" s="2" t="str">
        <f>"CANTA"</f>
        <v>CANTA</v>
      </c>
      <c r="B1079" s="3" t="str">
        <f>"RR"</f>
        <v>RR</v>
      </c>
      <c r="C1079" s="3" t="str">
        <f t="shared" si="40"/>
        <v>BRASIL</v>
      </c>
      <c r="D1079" s="4" t="str">
        <f>"RR005"</f>
        <v>RR005</v>
      </c>
    </row>
    <row r="1080" spans="1:4" x14ac:dyDescent="0.3">
      <c r="A1080" s="2" t="str">
        <f>"CANTAGALO"</f>
        <v>CANTAGALO</v>
      </c>
      <c r="B1080" s="3" t="str">
        <f>"MG"</f>
        <v>MG</v>
      </c>
      <c r="C1080" s="3" t="str">
        <f t="shared" si="40"/>
        <v>BRASIL</v>
      </c>
      <c r="D1080" s="4" t="str">
        <f>"MG131"</f>
        <v>MG131</v>
      </c>
    </row>
    <row r="1081" spans="1:4" x14ac:dyDescent="0.3">
      <c r="A1081" s="2" t="str">
        <f>"CANTAGALO"</f>
        <v>CANTAGALO</v>
      </c>
      <c r="B1081" s="3" t="str">
        <f>"PR"</f>
        <v>PR</v>
      </c>
      <c r="C1081" s="3" t="str">
        <f t="shared" si="40"/>
        <v>BRASIL</v>
      </c>
      <c r="D1081" s="4" t="str">
        <f>"PR064"</f>
        <v>PR064</v>
      </c>
    </row>
    <row r="1082" spans="1:4" x14ac:dyDescent="0.3">
      <c r="A1082" s="2" t="str">
        <f>"CANTAGALO"</f>
        <v>CANTAGALO</v>
      </c>
      <c r="B1082" s="3" t="str">
        <f>"RJ"</f>
        <v>RJ</v>
      </c>
      <c r="C1082" s="3" t="str">
        <f t="shared" si="40"/>
        <v>BRASIL</v>
      </c>
      <c r="D1082" s="4" t="str">
        <f>"RJ018"</f>
        <v>RJ018</v>
      </c>
    </row>
    <row r="1083" spans="1:4" x14ac:dyDescent="0.3">
      <c r="A1083" s="2" t="str">
        <f>"CANTANHEDE"</f>
        <v>CANTANHEDE</v>
      </c>
      <c r="B1083" s="3" t="str">
        <f>"MA"</f>
        <v>MA</v>
      </c>
      <c r="C1083" s="3" t="str">
        <f t="shared" si="40"/>
        <v>BRASIL</v>
      </c>
      <c r="D1083" s="4" t="str">
        <f>"MA048"</f>
        <v>MA048</v>
      </c>
    </row>
    <row r="1084" spans="1:4" x14ac:dyDescent="0.3">
      <c r="A1084" s="2" t="str">
        <f>"CANTO DO BURITI"</f>
        <v>CANTO DO BURITI</v>
      </c>
      <c r="B1084" s="3" t="str">
        <f>"PI"</f>
        <v>PI</v>
      </c>
      <c r="C1084" s="3" t="str">
        <f t="shared" ref="C1084:C1115" si="41">"BRASIL"</f>
        <v>BRASIL</v>
      </c>
      <c r="D1084" s="4" t="str">
        <f>"PI049"</f>
        <v>PI049</v>
      </c>
    </row>
    <row r="1085" spans="1:4" x14ac:dyDescent="0.3">
      <c r="A1085" s="2" t="str">
        <f>"CANUDOS"</f>
        <v>CANUDOS</v>
      </c>
      <c r="B1085" s="3" t="str">
        <f>"BA"</f>
        <v>BA</v>
      </c>
      <c r="C1085" s="3" t="str">
        <f t="shared" si="41"/>
        <v>BRASIL</v>
      </c>
      <c r="D1085" s="4" t="str">
        <f>"BA083"</f>
        <v>BA083</v>
      </c>
    </row>
    <row r="1086" spans="1:4" x14ac:dyDescent="0.3">
      <c r="A1086" s="2" t="str">
        <f>"CANUDOS DO VALE"</f>
        <v>CANUDOS DO VALE</v>
      </c>
      <c r="B1086" s="3" t="str">
        <f>"RS"</f>
        <v>RS</v>
      </c>
      <c r="C1086" s="3" t="str">
        <f t="shared" si="41"/>
        <v>BRASIL</v>
      </c>
      <c r="D1086" s="4" t="str">
        <f>"RS081"</f>
        <v>RS081</v>
      </c>
    </row>
    <row r="1087" spans="1:4" x14ac:dyDescent="0.3">
      <c r="A1087" s="2" t="str">
        <f>"CANUTAMA"</f>
        <v>CANUTAMA</v>
      </c>
      <c r="B1087" s="3" t="str">
        <f>"AM"</f>
        <v>AM</v>
      </c>
      <c r="C1087" s="3" t="str">
        <f t="shared" si="41"/>
        <v>BRASIL</v>
      </c>
      <c r="D1087" s="4" t="str">
        <f>"AM016"</f>
        <v>AM016</v>
      </c>
    </row>
    <row r="1088" spans="1:4" x14ac:dyDescent="0.3">
      <c r="A1088" s="2" t="str">
        <f>"CAPANEMA"</f>
        <v>CAPANEMA</v>
      </c>
      <c r="B1088" s="3" t="str">
        <f>"PA"</f>
        <v>PA</v>
      </c>
      <c r="C1088" s="3" t="str">
        <f t="shared" si="41"/>
        <v>BRASIL</v>
      </c>
      <c r="D1088" s="4" t="str">
        <f>"PA034"</f>
        <v>PA034</v>
      </c>
    </row>
    <row r="1089" spans="1:4" x14ac:dyDescent="0.3">
      <c r="A1089" s="2" t="str">
        <f>"CAPANEMA"</f>
        <v>CAPANEMA</v>
      </c>
      <c r="B1089" s="3" t="str">
        <f>"PR"</f>
        <v>PR</v>
      </c>
      <c r="C1089" s="3" t="str">
        <f t="shared" si="41"/>
        <v>BRASIL</v>
      </c>
      <c r="D1089" s="4" t="str">
        <f>"PR065"</f>
        <v>PR065</v>
      </c>
    </row>
    <row r="1090" spans="1:4" x14ac:dyDescent="0.3">
      <c r="A1090" s="2" t="str">
        <f>"CAPAO ALTO"</f>
        <v>CAPAO ALTO</v>
      </c>
      <c r="B1090" s="3" t="str">
        <f>"SC"</f>
        <v>SC</v>
      </c>
      <c r="C1090" s="3" t="str">
        <f t="shared" si="41"/>
        <v>BRASIL</v>
      </c>
      <c r="D1090" s="4" t="str">
        <f>"SC053"</f>
        <v>SC053</v>
      </c>
    </row>
    <row r="1091" spans="1:4" x14ac:dyDescent="0.3">
      <c r="A1091" s="2" t="str">
        <f>"CAPAO BONITO"</f>
        <v>CAPAO BONITO</v>
      </c>
      <c r="B1091" s="3" t="str">
        <f>"SP"</f>
        <v>SP</v>
      </c>
      <c r="C1091" s="3" t="str">
        <f t="shared" si="41"/>
        <v>BRASIL</v>
      </c>
      <c r="D1091" s="4" t="str">
        <f>"SP118"</f>
        <v>SP118</v>
      </c>
    </row>
    <row r="1092" spans="1:4" x14ac:dyDescent="0.3">
      <c r="A1092" s="2" t="str">
        <f>"CAPAO BONITO DO SUL"</f>
        <v>CAPAO BONITO DO SUL</v>
      </c>
      <c r="B1092" s="3" t="str">
        <f>"RS"</f>
        <v>RS</v>
      </c>
      <c r="C1092" s="3" t="str">
        <f t="shared" si="41"/>
        <v>BRASIL</v>
      </c>
      <c r="D1092" s="4" t="str">
        <f>"RS082"</f>
        <v>RS082</v>
      </c>
    </row>
    <row r="1093" spans="1:4" x14ac:dyDescent="0.3">
      <c r="A1093" s="2" t="str">
        <f>"CAPAO DA CANOA"</f>
        <v>CAPAO DA CANOA</v>
      </c>
      <c r="B1093" s="3" t="str">
        <f>"RS"</f>
        <v>RS</v>
      </c>
      <c r="C1093" s="3" t="str">
        <f t="shared" si="41"/>
        <v>BRASIL</v>
      </c>
      <c r="D1093" s="4" t="str">
        <f>"RS083"</f>
        <v>RS083</v>
      </c>
    </row>
    <row r="1094" spans="1:4" x14ac:dyDescent="0.3">
      <c r="A1094" s="2" t="str">
        <f>"CAPAO DO CIPO"</f>
        <v>CAPAO DO CIPO</v>
      </c>
      <c r="B1094" s="3" t="str">
        <f>"RS"</f>
        <v>RS</v>
      </c>
      <c r="C1094" s="3" t="str">
        <f t="shared" si="41"/>
        <v>BRASIL</v>
      </c>
      <c r="D1094" s="4" t="str">
        <f>"RS084"</f>
        <v>RS084</v>
      </c>
    </row>
    <row r="1095" spans="1:4" x14ac:dyDescent="0.3">
      <c r="A1095" s="2" t="str">
        <f>"CAPAO DO LEAO"</f>
        <v>CAPAO DO LEAO</v>
      </c>
      <c r="B1095" s="3" t="str">
        <f>"RS"</f>
        <v>RS</v>
      </c>
      <c r="C1095" s="3" t="str">
        <f t="shared" si="41"/>
        <v>BRASIL</v>
      </c>
      <c r="D1095" s="4" t="str">
        <f>"RS085"</f>
        <v>RS085</v>
      </c>
    </row>
    <row r="1096" spans="1:4" x14ac:dyDescent="0.3">
      <c r="A1096" s="2" t="str">
        <f>"CAPARAO"</f>
        <v>CAPARAO</v>
      </c>
      <c r="B1096" s="3" t="str">
        <f>"MG"</f>
        <v>MG</v>
      </c>
      <c r="C1096" s="3" t="str">
        <f t="shared" si="41"/>
        <v>BRASIL</v>
      </c>
      <c r="D1096" s="4" t="str">
        <f>"MG132"</f>
        <v>MG132</v>
      </c>
    </row>
    <row r="1097" spans="1:4" x14ac:dyDescent="0.3">
      <c r="A1097" s="2" t="str">
        <f>"CAPELA"</f>
        <v>CAPELA</v>
      </c>
      <c r="B1097" s="3" t="str">
        <f>"AL"</f>
        <v>AL</v>
      </c>
      <c r="C1097" s="3" t="str">
        <f t="shared" si="41"/>
        <v>BRASIL</v>
      </c>
      <c r="D1097" s="4" t="str">
        <f>"AL018"</f>
        <v>AL018</v>
      </c>
    </row>
    <row r="1098" spans="1:4" x14ac:dyDescent="0.3">
      <c r="A1098" s="2" t="str">
        <f>"CAPELA"</f>
        <v>CAPELA</v>
      </c>
      <c r="B1098" s="3" t="str">
        <f>"SE"</f>
        <v>SE</v>
      </c>
      <c r="C1098" s="3" t="str">
        <f t="shared" si="41"/>
        <v>BRASIL</v>
      </c>
      <c r="D1098" s="4" t="str">
        <f>"SE012"</f>
        <v>SE012</v>
      </c>
    </row>
    <row r="1099" spans="1:4" x14ac:dyDescent="0.3">
      <c r="A1099" s="2" t="str">
        <f>"CAPELA DE SANTANA"</f>
        <v>CAPELA DE SANTANA</v>
      </c>
      <c r="B1099" s="3" t="str">
        <f>"RS"</f>
        <v>RS</v>
      </c>
      <c r="C1099" s="3" t="str">
        <f t="shared" si="41"/>
        <v>BRASIL</v>
      </c>
      <c r="D1099" s="4" t="str">
        <f>"RS087"</f>
        <v>RS087</v>
      </c>
    </row>
    <row r="1100" spans="1:4" x14ac:dyDescent="0.3">
      <c r="A1100" s="2" t="str">
        <f>"CAPELA DO ALTO"</f>
        <v>CAPELA DO ALTO</v>
      </c>
      <c r="B1100" s="3" t="str">
        <f>"SP"</f>
        <v>SP</v>
      </c>
      <c r="C1100" s="3" t="str">
        <f t="shared" si="41"/>
        <v>BRASIL</v>
      </c>
      <c r="D1100" s="4" t="str">
        <f>"SP119"</f>
        <v>SP119</v>
      </c>
    </row>
    <row r="1101" spans="1:4" x14ac:dyDescent="0.3">
      <c r="A1101" s="2" t="str">
        <f>"CAPELA DO ALTO ALEGRE"</f>
        <v>CAPELA DO ALTO ALEGRE</v>
      </c>
      <c r="B1101" s="3" t="str">
        <f>"BA"</f>
        <v>BA</v>
      </c>
      <c r="C1101" s="3" t="str">
        <f t="shared" si="41"/>
        <v>BRASIL</v>
      </c>
      <c r="D1101" s="4" t="str">
        <f>"BA084"</f>
        <v>BA084</v>
      </c>
    </row>
    <row r="1102" spans="1:4" x14ac:dyDescent="0.3">
      <c r="A1102" s="2" t="str">
        <f>"CAPELA NOVA"</f>
        <v>CAPELA NOVA</v>
      </c>
      <c r="B1102" s="3" t="str">
        <f>"MG"</f>
        <v>MG</v>
      </c>
      <c r="C1102" s="3" t="str">
        <f t="shared" si="41"/>
        <v>BRASIL</v>
      </c>
      <c r="D1102" s="4" t="str">
        <f>"MG133"</f>
        <v>MG133</v>
      </c>
    </row>
    <row r="1103" spans="1:4" x14ac:dyDescent="0.3">
      <c r="A1103" s="2" t="str">
        <f>"CAPELINHA"</f>
        <v>CAPELINHA</v>
      </c>
      <c r="B1103" s="3" t="str">
        <f>"MG"</f>
        <v>MG</v>
      </c>
      <c r="C1103" s="3" t="str">
        <f t="shared" si="41"/>
        <v>BRASIL</v>
      </c>
      <c r="D1103" s="4" t="str">
        <f>"MG134"</f>
        <v>MG134</v>
      </c>
    </row>
    <row r="1104" spans="1:4" x14ac:dyDescent="0.3">
      <c r="A1104" s="2" t="str">
        <f>"CAPETINGA"</f>
        <v>CAPETINGA</v>
      </c>
      <c r="B1104" s="3" t="str">
        <f>"MG"</f>
        <v>MG</v>
      </c>
      <c r="C1104" s="3" t="str">
        <f t="shared" si="41"/>
        <v>BRASIL</v>
      </c>
      <c r="D1104" s="4" t="str">
        <f>"MG135"</f>
        <v>MG135</v>
      </c>
    </row>
    <row r="1105" spans="1:4" x14ac:dyDescent="0.3">
      <c r="A1105" s="2" t="str">
        <f>"CAPIM"</f>
        <v>CAPIM</v>
      </c>
      <c r="B1105" s="3" t="str">
        <f>"PB"</f>
        <v>PB</v>
      </c>
      <c r="C1105" s="3" t="str">
        <f t="shared" si="41"/>
        <v>BRASIL</v>
      </c>
      <c r="D1105" s="4" t="str">
        <f>"PB053"</f>
        <v>PB053</v>
      </c>
    </row>
    <row r="1106" spans="1:4" x14ac:dyDescent="0.3">
      <c r="A1106" s="2" t="str">
        <f>"CAPIM BRANCO"</f>
        <v>CAPIM BRANCO</v>
      </c>
      <c r="B1106" s="3" t="str">
        <f>"MG"</f>
        <v>MG</v>
      </c>
      <c r="C1106" s="3" t="str">
        <f t="shared" si="41"/>
        <v>BRASIL</v>
      </c>
      <c r="D1106" s="4" t="str">
        <f>"MG136"</f>
        <v>MG136</v>
      </c>
    </row>
    <row r="1107" spans="1:4" x14ac:dyDescent="0.3">
      <c r="A1107" s="2" t="str">
        <f>"CAPIM GROSSO"</f>
        <v>CAPIM GROSSO</v>
      </c>
      <c r="B1107" s="3" t="str">
        <f>"BA"</f>
        <v>BA</v>
      </c>
      <c r="C1107" s="3" t="str">
        <f t="shared" si="41"/>
        <v>BRASIL</v>
      </c>
      <c r="D1107" s="4" t="str">
        <f>"BA085"</f>
        <v>BA085</v>
      </c>
    </row>
    <row r="1108" spans="1:4" x14ac:dyDescent="0.3">
      <c r="A1108" s="2" t="str">
        <f>"CAPINOPOLIS"</f>
        <v>CAPINOPOLIS</v>
      </c>
      <c r="B1108" s="3" t="str">
        <f>"MG"</f>
        <v>MG</v>
      </c>
      <c r="C1108" s="3" t="str">
        <f t="shared" si="41"/>
        <v>BRASIL</v>
      </c>
      <c r="D1108" s="4" t="str">
        <f>"MG137"</f>
        <v>MG137</v>
      </c>
    </row>
    <row r="1109" spans="1:4" x14ac:dyDescent="0.3">
      <c r="A1109" s="2" t="str">
        <f>"CAPINZAL"</f>
        <v>CAPINZAL</v>
      </c>
      <c r="B1109" s="3" t="str">
        <f>"SC"</f>
        <v>SC</v>
      </c>
      <c r="C1109" s="3" t="str">
        <f t="shared" si="41"/>
        <v>BRASIL</v>
      </c>
      <c r="D1109" s="4" t="str">
        <f>"SC060"</f>
        <v>SC060</v>
      </c>
    </row>
    <row r="1110" spans="1:4" x14ac:dyDescent="0.3">
      <c r="A1110" s="2" t="str">
        <f>"CAPINZAL DO NORTE"</f>
        <v>CAPINZAL DO NORTE</v>
      </c>
      <c r="B1110" s="3" t="str">
        <f>"MA"</f>
        <v>MA</v>
      </c>
      <c r="C1110" s="3" t="str">
        <f t="shared" si="41"/>
        <v>BRASIL</v>
      </c>
      <c r="D1110" s="4" t="str">
        <f>"MA049"</f>
        <v>MA049</v>
      </c>
    </row>
    <row r="1111" spans="1:4" x14ac:dyDescent="0.3">
      <c r="A1111" s="2" t="str">
        <f>"CAPISTRANO"</f>
        <v>CAPISTRANO</v>
      </c>
      <c r="B1111" s="3" t="str">
        <f>"CE"</f>
        <v>CE</v>
      </c>
      <c r="C1111" s="3" t="str">
        <f t="shared" si="41"/>
        <v>BRASIL</v>
      </c>
      <c r="D1111" s="4" t="str">
        <f>"CE035"</f>
        <v>CE035</v>
      </c>
    </row>
    <row r="1112" spans="1:4" x14ac:dyDescent="0.3">
      <c r="A1112" s="2" t="str">
        <f>"CAPITAO"</f>
        <v>CAPITAO</v>
      </c>
      <c r="B1112" s="3" t="str">
        <f>"RS"</f>
        <v>RS</v>
      </c>
      <c r="C1112" s="3" t="str">
        <f t="shared" si="41"/>
        <v>BRASIL</v>
      </c>
      <c r="D1112" s="4" t="str">
        <f>"RS088"</f>
        <v>RS088</v>
      </c>
    </row>
    <row r="1113" spans="1:4" x14ac:dyDescent="0.3">
      <c r="A1113" s="2" t="str">
        <f>"CAPITAO ANDRADE"</f>
        <v>CAPITAO ANDRADE</v>
      </c>
      <c r="B1113" s="3" t="str">
        <f>"MG"</f>
        <v>MG</v>
      </c>
      <c r="C1113" s="3" t="str">
        <f t="shared" si="41"/>
        <v>BRASIL</v>
      </c>
      <c r="D1113" s="4" t="str">
        <f>"MG138"</f>
        <v>MG138</v>
      </c>
    </row>
    <row r="1114" spans="1:4" x14ac:dyDescent="0.3">
      <c r="A1114" s="2" t="str">
        <f>"CAPITAO DE CAMPOS"</f>
        <v>CAPITAO DE CAMPOS</v>
      </c>
      <c r="B1114" s="3" t="str">
        <f>"PI"</f>
        <v>PI</v>
      </c>
      <c r="C1114" s="3" t="str">
        <f t="shared" si="41"/>
        <v>BRASIL</v>
      </c>
      <c r="D1114" s="4" t="str">
        <f>"PI050"</f>
        <v>PI050</v>
      </c>
    </row>
    <row r="1115" spans="1:4" x14ac:dyDescent="0.3">
      <c r="A1115" s="2" t="str">
        <f>"CAPITAO ENEAS"</f>
        <v>CAPITAO ENEAS</v>
      </c>
      <c r="B1115" s="3" t="str">
        <f>"MG"</f>
        <v>MG</v>
      </c>
      <c r="C1115" s="3" t="str">
        <f t="shared" si="41"/>
        <v>BRASIL</v>
      </c>
      <c r="D1115" s="4" t="str">
        <f>"MG139"</f>
        <v>MG139</v>
      </c>
    </row>
    <row r="1116" spans="1:4" x14ac:dyDescent="0.3">
      <c r="A1116" s="2" t="str">
        <f>"CAPITAO GERVASIO OLIVEIRA"</f>
        <v>CAPITAO GERVASIO OLIVEIRA</v>
      </c>
      <c r="B1116" s="3" t="str">
        <f>"PI"</f>
        <v>PI</v>
      </c>
      <c r="C1116" s="3" t="str">
        <f t="shared" ref="C1116:C1127" si="42">"BRASIL"</f>
        <v>BRASIL</v>
      </c>
      <c r="D1116" s="4" t="str">
        <f>"PI051"</f>
        <v>PI051</v>
      </c>
    </row>
    <row r="1117" spans="1:4" x14ac:dyDescent="0.3">
      <c r="A1117" s="2" t="str">
        <f>"CAPITAO LEONIDAS MARQUES"</f>
        <v>CAPITAO LEONIDAS MARQUES</v>
      </c>
      <c r="B1117" s="3" t="str">
        <f>"PR"</f>
        <v>PR</v>
      </c>
      <c r="C1117" s="3" t="str">
        <f t="shared" si="42"/>
        <v>BRASIL</v>
      </c>
      <c r="D1117" s="4" t="str">
        <f>"PR066"</f>
        <v>PR066</v>
      </c>
    </row>
    <row r="1118" spans="1:4" x14ac:dyDescent="0.3">
      <c r="A1118" s="2" t="str">
        <f>"CAPITAO POCO"</f>
        <v>CAPITAO POCO</v>
      </c>
      <c r="B1118" s="3" t="str">
        <f>"PA"</f>
        <v>PA</v>
      </c>
      <c r="C1118" s="3" t="str">
        <f t="shared" si="42"/>
        <v>BRASIL</v>
      </c>
      <c r="D1118" s="4" t="str">
        <f>"PA035"</f>
        <v>PA035</v>
      </c>
    </row>
    <row r="1119" spans="1:4" x14ac:dyDescent="0.3">
      <c r="A1119" s="2" t="str">
        <f>"CAPITOLIO"</f>
        <v>CAPITOLIO</v>
      </c>
      <c r="B1119" s="3" t="str">
        <f>"MG"</f>
        <v>MG</v>
      </c>
      <c r="C1119" s="3" t="str">
        <f t="shared" si="42"/>
        <v>BRASIL</v>
      </c>
      <c r="D1119" s="4" t="str">
        <f>"MG140"</f>
        <v>MG140</v>
      </c>
    </row>
    <row r="1120" spans="1:4" x14ac:dyDescent="0.3">
      <c r="A1120" s="2" t="str">
        <f>"CAPIVARI"</f>
        <v>CAPIVARI</v>
      </c>
      <c r="B1120" s="3" t="str">
        <f>"SP"</f>
        <v>SP</v>
      </c>
      <c r="C1120" s="3" t="str">
        <f t="shared" si="42"/>
        <v>BRASIL</v>
      </c>
      <c r="D1120" s="4" t="str">
        <f>"SP120"</f>
        <v>SP120</v>
      </c>
    </row>
    <row r="1121" spans="1:4" x14ac:dyDescent="0.3">
      <c r="A1121" s="2" t="str">
        <f>"CAPIVARI DE BAIXO"</f>
        <v>CAPIVARI DE BAIXO</v>
      </c>
      <c r="B1121" s="3" t="str">
        <f>"SC"</f>
        <v>SC</v>
      </c>
      <c r="C1121" s="3" t="str">
        <f t="shared" si="42"/>
        <v>BRASIL</v>
      </c>
      <c r="D1121" s="4" t="str">
        <f>"SC061"</f>
        <v>SC061</v>
      </c>
    </row>
    <row r="1122" spans="1:4" x14ac:dyDescent="0.3">
      <c r="A1122" s="2" t="str">
        <f>"CAPIVARI DO SUL"</f>
        <v>CAPIVARI DO SUL</v>
      </c>
      <c r="B1122" s="3" t="str">
        <f>"RS"</f>
        <v>RS</v>
      </c>
      <c r="C1122" s="3" t="str">
        <f t="shared" si="42"/>
        <v>BRASIL</v>
      </c>
      <c r="D1122" s="4" t="str">
        <f>"RS086"</f>
        <v>RS086</v>
      </c>
    </row>
    <row r="1123" spans="1:4" x14ac:dyDescent="0.3">
      <c r="A1123" s="2" t="str">
        <f>"CAPIXABA"</f>
        <v>CAPIXABA</v>
      </c>
      <c r="B1123" s="3" t="str">
        <f>"AC"</f>
        <v>AC</v>
      </c>
      <c r="C1123" s="3" t="str">
        <f t="shared" si="42"/>
        <v>BRASIL</v>
      </c>
      <c r="D1123" s="4" t="str">
        <f>"AC005"</f>
        <v>AC005</v>
      </c>
    </row>
    <row r="1124" spans="1:4" x14ac:dyDescent="0.3">
      <c r="A1124" s="2" t="str">
        <f>"CAPOEIRAS"</f>
        <v>CAPOEIRAS</v>
      </c>
      <c r="B1124" s="3" t="str">
        <f>"PE"</f>
        <v>PE</v>
      </c>
      <c r="C1124" s="3" t="str">
        <f t="shared" si="42"/>
        <v>BRASIL</v>
      </c>
      <c r="D1124" s="4" t="str">
        <f>"PE041"</f>
        <v>PE041</v>
      </c>
    </row>
    <row r="1125" spans="1:4" x14ac:dyDescent="0.3">
      <c r="A1125" s="2" t="str">
        <f>"CAPUTIRA"</f>
        <v>CAPUTIRA</v>
      </c>
      <c r="B1125" s="3" t="str">
        <f>"MG"</f>
        <v>MG</v>
      </c>
      <c r="C1125" s="3" t="str">
        <f t="shared" si="42"/>
        <v>BRASIL</v>
      </c>
      <c r="D1125" s="4" t="str">
        <f>"MG141"</f>
        <v>MG141</v>
      </c>
    </row>
    <row r="1126" spans="1:4" x14ac:dyDescent="0.3">
      <c r="A1126" s="2" t="str">
        <f>"CARAA"</f>
        <v>CARAA</v>
      </c>
      <c r="B1126" s="3" t="str">
        <f>"RS"</f>
        <v>RS</v>
      </c>
      <c r="C1126" s="3" t="str">
        <f t="shared" si="42"/>
        <v>BRASIL</v>
      </c>
      <c r="D1126" s="4" t="str">
        <f>"RS090"</f>
        <v>RS090</v>
      </c>
    </row>
    <row r="1127" spans="1:4" x14ac:dyDescent="0.3">
      <c r="A1127" s="2" t="str">
        <f>"CARACARAI"</f>
        <v>CARACARAI</v>
      </c>
      <c r="B1127" s="3" t="str">
        <f>"RR"</f>
        <v>RR</v>
      </c>
      <c r="C1127" s="3" t="str">
        <f t="shared" si="42"/>
        <v>BRASIL</v>
      </c>
      <c r="D1127" s="4" t="str">
        <f>"RR006"</f>
        <v>RR006</v>
      </c>
    </row>
    <row r="1128" spans="1:4" x14ac:dyDescent="0.3">
      <c r="A1128" s="2" t="str">
        <f>"CARACAS"</f>
        <v>CARACAS</v>
      </c>
      <c r="B1128" s="3" t="str">
        <f>"EX"</f>
        <v>EX</v>
      </c>
      <c r="C1128" s="3" t="str">
        <f>"VENEZUELA"</f>
        <v>VENEZUELA</v>
      </c>
      <c r="D1128" s="4" t="str">
        <f>"CAR"</f>
        <v>CAR</v>
      </c>
    </row>
    <row r="1129" spans="1:4" x14ac:dyDescent="0.3">
      <c r="A1129" s="2" t="str">
        <f>"CARACOL"</f>
        <v>CARACOL</v>
      </c>
      <c r="B1129" s="3" t="str">
        <f>"MS"</f>
        <v>MS</v>
      </c>
      <c r="C1129" s="3" t="str">
        <f t="shared" ref="C1129:C1148" si="43">"BRASIL"</f>
        <v>BRASIL</v>
      </c>
      <c r="D1129" s="4" t="str">
        <f>"MS021"</f>
        <v>MS021</v>
      </c>
    </row>
    <row r="1130" spans="1:4" x14ac:dyDescent="0.3">
      <c r="A1130" s="2" t="str">
        <f>"CARACOL"</f>
        <v>CARACOL</v>
      </c>
      <c r="B1130" s="3" t="str">
        <f>"PI"</f>
        <v>PI</v>
      </c>
      <c r="C1130" s="3" t="str">
        <f t="shared" si="43"/>
        <v>BRASIL</v>
      </c>
      <c r="D1130" s="4" t="str">
        <f>"PI052"</f>
        <v>PI052</v>
      </c>
    </row>
    <row r="1131" spans="1:4" x14ac:dyDescent="0.3">
      <c r="A1131" s="2" t="str">
        <f>"CARAGUATATUBA"</f>
        <v>CARAGUATATUBA</v>
      </c>
      <c r="B1131" s="3" t="str">
        <f>"SP"</f>
        <v>SP</v>
      </c>
      <c r="C1131" s="3" t="str">
        <f t="shared" si="43"/>
        <v>BRASIL</v>
      </c>
      <c r="D1131" s="4" t="str">
        <f>"SP121"</f>
        <v>SP121</v>
      </c>
    </row>
    <row r="1132" spans="1:4" x14ac:dyDescent="0.3">
      <c r="A1132" s="2" t="str">
        <f>"CARAI"</f>
        <v>CARAI</v>
      </c>
      <c r="B1132" s="3" t="str">
        <f>"MG"</f>
        <v>MG</v>
      </c>
      <c r="C1132" s="3" t="str">
        <f t="shared" si="43"/>
        <v>BRASIL</v>
      </c>
      <c r="D1132" s="4" t="str">
        <f>"MG142"</f>
        <v>MG142</v>
      </c>
    </row>
    <row r="1133" spans="1:4" x14ac:dyDescent="0.3">
      <c r="A1133" s="2" t="str">
        <f>"CARAIBAS"</f>
        <v>CARAIBAS</v>
      </c>
      <c r="B1133" s="3" t="str">
        <f>"BA"</f>
        <v>BA</v>
      </c>
      <c r="C1133" s="3" t="str">
        <f t="shared" si="43"/>
        <v>BRASIL</v>
      </c>
      <c r="D1133" s="4" t="str">
        <f>"BA086"</f>
        <v>BA086</v>
      </c>
    </row>
    <row r="1134" spans="1:4" x14ac:dyDescent="0.3">
      <c r="A1134" s="2" t="str">
        <f>"CARAMBEI"</f>
        <v>CARAMBEI</v>
      </c>
      <c r="B1134" s="3" t="str">
        <f>"PR"</f>
        <v>PR</v>
      </c>
      <c r="C1134" s="3" t="str">
        <f t="shared" si="43"/>
        <v>BRASIL</v>
      </c>
      <c r="D1134" s="4" t="str">
        <f>"PR067"</f>
        <v>PR067</v>
      </c>
    </row>
    <row r="1135" spans="1:4" x14ac:dyDescent="0.3">
      <c r="A1135" s="2" t="str">
        <f>"CARANAIBA"</f>
        <v>CARANAIBA</v>
      </c>
      <c r="B1135" s="3" t="str">
        <f>"MG"</f>
        <v>MG</v>
      </c>
      <c r="C1135" s="3" t="str">
        <f t="shared" si="43"/>
        <v>BRASIL</v>
      </c>
      <c r="D1135" s="4" t="str">
        <f>"MG143"</f>
        <v>MG143</v>
      </c>
    </row>
    <row r="1136" spans="1:4" x14ac:dyDescent="0.3">
      <c r="A1136" s="2" t="str">
        <f>"CARANDAI"</f>
        <v>CARANDAI</v>
      </c>
      <c r="B1136" s="3" t="str">
        <f>"MG"</f>
        <v>MG</v>
      </c>
      <c r="C1136" s="3" t="str">
        <f t="shared" si="43"/>
        <v>BRASIL</v>
      </c>
      <c r="D1136" s="4" t="str">
        <f>"MG144"</f>
        <v>MG144</v>
      </c>
    </row>
    <row r="1137" spans="1:4" x14ac:dyDescent="0.3">
      <c r="A1137" s="2" t="str">
        <f>"CARANGOLA"</f>
        <v>CARANGOLA</v>
      </c>
      <c r="B1137" s="3" t="str">
        <f>"MG"</f>
        <v>MG</v>
      </c>
      <c r="C1137" s="3" t="str">
        <f t="shared" si="43"/>
        <v>BRASIL</v>
      </c>
      <c r="D1137" s="4" t="str">
        <f>"MG145"</f>
        <v>MG145</v>
      </c>
    </row>
    <row r="1138" spans="1:4" x14ac:dyDescent="0.3">
      <c r="A1138" s="2" t="str">
        <f>"CARAPEBUS"</f>
        <v>CARAPEBUS</v>
      </c>
      <c r="B1138" s="3" t="str">
        <f>"RJ"</f>
        <v>RJ</v>
      </c>
      <c r="C1138" s="3" t="str">
        <f t="shared" si="43"/>
        <v>BRASIL</v>
      </c>
      <c r="D1138" s="4" t="str">
        <f>"RJ015"</f>
        <v>RJ015</v>
      </c>
    </row>
    <row r="1139" spans="1:4" x14ac:dyDescent="0.3">
      <c r="A1139" s="2" t="str">
        <f>"CARAPICUIBA"</f>
        <v>CARAPICUIBA</v>
      </c>
      <c r="B1139" s="3" t="str">
        <f>"SP"</f>
        <v>SP</v>
      </c>
      <c r="C1139" s="3" t="str">
        <f t="shared" si="43"/>
        <v>BRASIL</v>
      </c>
      <c r="D1139" s="4" t="str">
        <f>"SP122"</f>
        <v>SP122</v>
      </c>
    </row>
    <row r="1140" spans="1:4" x14ac:dyDescent="0.3">
      <c r="A1140" s="2" t="str">
        <f>"CARATINGA"</f>
        <v>CARATINGA</v>
      </c>
      <c r="B1140" s="3" t="str">
        <f>"MG"</f>
        <v>MG</v>
      </c>
      <c r="C1140" s="3" t="str">
        <f t="shared" si="43"/>
        <v>BRASIL</v>
      </c>
      <c r="D1140" s="4" t="str">
        <f>"MG146"</f>
        <v>MG146</v>
      </c>
    </row>
    <row r="1141" spans="1:4" x14ac:dyDescent="0.3">
      <c r="A1141" s="2" t="str">
        <f>"CARAUARI"</f>
        <v>CARAUARI</v>
      </c>
      <c r="B1141" s="3" t="str">
        <f>"AM"</f>
        <v>AM</v>
      </c>
      <c r="C1141" s="3" t="str">
        <f t="shared" si="43"/>
        <v>BRASIL</v>
      </c>
      <c r="D1141" s="4" t="str">
        <f>"AM017"</f>
        <v>AM017</v>
      </c>
    </row>
    <row r="1142" spans="1:4" x14ac:dyDescent="0.3">
      <c r="A1142" s="2" t="str">
        <f>"CARAUBAS"</f>
        <v>CARAUBAS</v>
      </c>
      <c r="B1142" s="3" t="str">
        <f>"PB"</f>
        <v>PB</v>
      </c>
      <c r="C1142" s="3" t="str">
        <f t="shared" si="43"/>
        <v>BRASIL</v>
      </c>
      <c r="D1142" s="4" t="str">
        <f>"PB054"</f>
        <v>PB054</v>
      </c>
    </row>
    <row r="1143" spans="1:4" x14ac:dyDescent="0.3">
      <c r="A1143" s="2" t="str">
        <f>"CARAUBAS"</f>
        <v>CARAUBAS</v>
      </c>
      <c r="B1143" s="3" t="str">
        <f>"RN"</f>
        <v>RN</v>
      </c>
      <c r="C1143" s="3" t="str">
        <f t="shared" si="43"/>
        <v>BRASIL</v>
      </c>
      <c r="D1143" s="4" t="str">
        <f>"RN026"</f>
        <v>RN026</v>
      </c>
    </row>
    <row r="1144" spans="1:4" x14ac:dyDescent="0.3">
      <c r="A1144" s="2" t="str">
        <f>"CARAUBAS DO PIAUI"</f>
        <v>CARAUBAS DO PIAUI</v>
      </c>
      <c r="B1144" s="3" t="str">
        <f>"PI"</f>
        <v>PI</v>
      </c>
      <c r="C1144" s="3" t="str">
        <f t="shared" si="43"/>
        <v>BRASIL</v>
      </c>
      <c r="D1144" s="4" t="str">
        <f>"PI053"</f>
        <v>PI053</v>
      </c>
    </row>
    <row r="1145" spans="1:4" x14ac:dyDescent="0.3">
      <c r="A1145" s="2" t="str">
        <f>"CARAVELAS"</f>
        <v>CARAVELAS</v>
      </c>
      <c r="B1145" s="3" t="str">
        <f>"BA"</f>
        <v>BA</v>
      </c>
      <c r="C1145" s="3" t="str">
        <f t="shared" si="43"/>
        <v>BRASIL</v>
      </c>
      <c r="D1145" s="4" t="str">
        <f>"BA087"</f>
        <v>BA087</v>
      </c>
    </row>
    <row r="1146" spans="1:4" x14ac:dyDescent="0.3">
      <c r="A1146" s="2" t="str">
        <f>"CARAZINHO"</f>
        <v>CARAZINHO</v>
      </c>
      <c r="B1146" s="3" t="str">
        <f>"RS"</f>
        <v>RS</v>
      </c>
      <c r="C1146" s="3" t="str">
        <f t="shared" si="43"/>
        <v>BRASIL</v>
      </c>
      <c r="D1146" s="4" t="str">
        <f>"RS089"</f>
        <v>RS089</v>
      </c>
    </row>
    <row r="1147" spans="1:4" x14ac:dyDescent="0.3">
      <c r="A1147" s="2" t="str">
        <f>"CARBONITA"</f>
        <v>CARBONITA</v>
      </c>
      <c r="B1147" s="3" t="str">
        <f>"MG"</f>
        <v>MG</v>
      </c>
      <c r="C1147" s="3" t="str">
        <f t="shared" si="43"/>
        <v>BRASIL</v>
      </c>
      <c r="D1147" s="4" t="str">
        <f>"MG147"</f>
        <v>MG147</v>
      </c>
    </row>
    <row r="1148" spans="1:4" x14ac:dyDescent="0.3">
      <c r="A1148" s="2" t="str">
        <f>"CARDEAL DA SILVA"</f>
        <v>CARDEAL DA SILVA</v>
      </c>
      <c r="B1148" s="3" t="str">
        <f>"BA"</f>
        <v>BA</v>
      </c>
      <c r="C1148" s="3" t="str">
        <f t="shared" si="43"/>
        <v>BRASIL</v>
      </c>
      <c r="D1148" s="4" t="str">
        <f>"BA088"</f>
        <v>BA088</v>
      </c>
    </row>
    <row r="1149" spans="1:4" x14ac:dyDescent="0.3">
      <c r="A1149" s="2" t="str">
        <f>"CARDEDEU - BARCELONA"</f>
        <v>CARDEDEU - BARCELONA</v>
      </c>
      <c r="B1149" s="3" t="str">
        <f>"EX"</f>
        <v>EX</v>
      </c>
      <c r="C1149" s="3" t="str">
        <f>"ESPANHA"</f>
        <v>ESPANHA</v>
      </c>
      <c r="D1149" s="4" t="str">
        <f>"CARDE"</f>
        <v>CARDE</v>
      </c>
    </row>
    <row r="1150" spans="1:4" x14ac:dyDescent="0.3">
      <c r="A1150" s="2" t="str">
        <f>"CARDOSO"</f>
        <v>CARDOSO</v>
      </c>
      <c r="B1150" s="3" t="str">
        <f>"SP"</f>
        <v>SP</v>
      </c>
      <c r="C1150" s="3" t="str">
        <f t="shared" ref="C1150:C1181" si="44">"BRASIL"</f>
        <v>BRASIL</v>
      </c>
      <c r="D1150" s="4" t="str">
        <f>"SP123"</f>
        <v>SP123</v>
      </c>
    </row>
    <row r="1151" spans="1:4" x14ac:dyDescent="0.3">
      <c r="A1151" s="2" t="str">
        <f>"CARDOSO MOREIRA"</f>
        <v>CARDOSO MOREIRA</v>
      </c>
      <c r="B1151" s="3" t="str">
        <f>"RJ"</f>
        <v>RJ</v>
      </c>
      <c r="C1151" s="3" t="str">
        <f t="shared" si="44"/>
        <v>BRASIL</v>
      </c>
      <c r="D1151" s="4" t="str">
        <f>"RJ019"</f>
        <v>RJ019</v>
      </c>
    </row>
    <row r="1152" spans="1:4" x14ac:dyDescent="0.3">
      <c r="A1152" s="2" t="str">
        <f>"CAREACU"</f>
        <v>CAREACU</v>
      </c>
      <c r="B1152" s="3" t="str">
        <f>"MG"</f>
        <v>MG</v>
      </c>
      <c r="C1152" s="3" t="str">
        <f t="shared" si="44"/>
        <v>BRASIL</v>
      </c>
      <c r="D1152" s="4" t="str">
        <f>"MG148"</f>
        <v>MG148</v>
      </c>
    </row>
    <row r="1153" spans="1:4" x14ac:dyDescent="0.3">
      <c r="A1153" s="2" t="str">
        <f>"CAREIRO"</f>
        <v>CAREIRO</v>
      </c>
      <c r="B1153" s="3" t="str">
        <f>"AM"</f>
        <v>AM</v>
      </c>
      <c r="C1153" s="3" t="str">
        <f t="shared" si="44"/>
        <v>BRASIL</v>
      </c>
      <c r="D1153" s="4" t="str">
        <f>"AM018"</f>
        <v>AM018</v>
      </c>
    </row>
    <row r="1154" spans="1:4" x14ac:dyDescent="0.3">
      <c r="A1154" s="2" t="str">
        <f>"CAREIRO DA VARZEA"</f>
        <v>CAREIRO DA VARZEA</v>
      </c>
      <c r="B1154" s="3" t="str">
        <f>"AM"</f>
        <v>AM</v>
      </c>
      <c r="C1154" s="3" t="str">
        <f t="shared" si="44"/>
        <v>BRASIL</v>
      </c>
      <c r="D1154" s="4" t="str">
        <f>"AM019"</f>
        <v>AM019</v>
      </c>
    </row>
    <row r="1155" spans="1:4" x14ac:dyDescent="0.3">
      <c r="A1155" s="2" t="str">
        <f>"CARIACICA"</f>
        <v>CARIACICA</v>
      </c>
      <c r="B1155" s="3" t="str">
        <f>"ES"</f>
        <v>ES</v>
      </c>
      <c r="C1155" s="3" t="str">
        <f t="shared" si="44"/>
        <v>BRASIL</v>
      </c>
      <c r="D1155" s="4" t="str">
        <f>"ES017"</f>
        <v>ES017</v>
      </c>
    </row>
    <row r="1156" spans="1:4" x14ac:dyDescent="0.3">
      <c r="A1156" s="2" t="str">
        <f>"CARIDADE"</f>
        <v>CARIDADE</v>
      </c>
      <c r="B1156" s="3" t="str">
        <f>"CE"</f>
        <v>CE</v>
      </c>
      <c r="C1156" s="3" t="str">
        <f t="shared" si="44"/>
        <v>BRASIL</v>
      </c>
      <c r="D1156" s="4" t="str">
        <f>"CE036"</f>
        <v>CE036</v>
      </c>
    </row>
    <row r="1157" spans="1:4" x14ac:dyDescent="0.3">
      <c r="A1157" s="2" t="str">
        <f>"CARIDADE DO PIAUI"</f>
        <v>CARIDADE DO PIAUI</v>
      </c>
      <c r="B1157" s="3" t="str">
        <f>"PI"</f>
        <v>PI</v>
      </c>
      <c r="C1157" s="3" t="str">
        <f t="shared" si="44"/>
        <v>BRASIL</v>
      </c>
      <c r="D1157" s="4" t="str">
        <f>"PI054"</f>
        <v>PI054</v>
      </c>
    </row>
    <row r="1158" spans="1:4" x14ac:dyDescent="0.3">
      <c r="A1158" s="2" t="str">
        <f>"CARINHANHA"</f>
        <v>CARINHANHA</v>
      </c>
      <c r="B1158" s="3" t="str">
        <f>"BA"</f>
        <v>BA</v>
      </c>
      <c r="C1158" s="3" t="str">
        <f t="shared" si="44"/>
        <v>BRASIL</v>
      </c>
      <c r="D1158" s="4" t="str">
        <f>"BA089"</f>
        <v>BA089</v>
      </c>
    </row>
    <row r="1159" spans="1:4" x14ac:dyDescent="0.3">
      <c r="A1159" s="2" t="str">
        <f>"CARIRA"</f>
        <v>CARIRA</v>
      </c>
      <c r="B1159" s="3" t="str">
        <f>"SE"</f>
        <v>SE</v>
      </c>
      <c r="C1159" s="3" t="str">
        <f t="shared" si="44"/>
        <v>BRASIL</v>
      </c>
      <c r="D1159" s="4" t="str">
        <f>"SE013"</f>
        <v>SE013</v>
      </c>
    </row>
    <row r="1160" spans="1:4" x14ac:dyDescent="0.3">
      <c r="A1160" s="2" t="str">
        <f>"CARIRE"</f>
        <v>CARIRE</v>
      </c>
      <c r="B1160" s="3" t="str">
        <f>"CE"</f>
        <v>CE</v>
      </c>
      <c r="C1160" s="3" t="str">
        <f t="shared" si="44"/>
        <v>BRASIL</v>
      </c>
      <c r="D1160" s="4" t="str">
        <f>"CE037"</f>
        <v>CE037</v>
      </c>
    </row>
    <row r="1161" spans="1:4" x14ac:dyDescent="0.3">
      <c r="A1161" s="2" t="str">
        <f>"CARIRI DO TOCANTINS"</f>
        <v>CARIRI DO TOCANTINS</v>
      </c>
      <c r="B1161" s="3" t="str">
        <f>"TO"</f>
        <v>TO</v>
      </c>
      <c r="C1161" s="3" t="str">
        <f t="shared" si="44"/>
        <v>BRASIL</v>
      </c>
      <c r="D1161" s="4" t="str">
        <f>"TO031"</f>
        <v>TO031</v>
      </c>
    </row>
    <row r="1162" spans="1:4" x14ac:dyDescent="0.3">
      <c r="A1162" s="2" t="str">
        <f>"CARIRIACU"</f>
        <v>CARIRIACU</v>
      </c>
      <c r="B1162" s="3" t="str">
        <f>"CE"</f>
        <v>CE</v>
      </c>
      <c r="C1162" s="3" t="str">
        <f t="shared" si="44"/>
        <v>BRASIL</v>
      </c>
      <c r="D1162" s="4" t="str">
        <f>"CE038"</f>
        <v>CE038</v>
      </c>
    </row>
    <row r="1163" spans="1:4" x14ac:dyDescent="0.3">
      <c r="A1163" s="2" t="str">
        <f>"CARIUS"</f>
        <v>CARIUS</v>
      </c>
      <c r="B1163" s="3" t="str">
        <f>"CE"</f>
        <v>CE</v>
      </c>
      <c r="C1163" s="3" t="str">
        <f t="shared" si="44"/>
        <v>BRASIL</v>
      </c>
      <c r="D1163" s="4" t="str">
        <f>"CE039"</f>
        <v>CE039</v>
      </c>
    </row>
    <row r="1164" spans="1:4" x14ac:dyDescent="0.3">
      <c r="A1164" s="2" t="str">
        <f>"CARLINDA"</f>
        <v>CARLINDA</v>
      </c>
      <c r="B1164" s="3" t="str">
        <f>"MT"</f>
        <v>MT</v>
      </c>
      <c r="C1164" s="3" t="str">
        <f t="shared" si="44"/>
        <v>BRASIL</v>
      </c>
      <c r="D1164" s="4" t="str">
        <f>"MT027"</f>
        <v>MT027</v>
      </c>
    </row>
    <row r="1165" spans="1:4" x14ac:dyDescent="0.3">
      <c r="A1165" s="2" t="str">
        <f>"CARLOPOLIS"</f>
        <v>CARLOPOLIS</v>
      </c>
      <c r="B1165" s="3" t="str">
        <f>"PR"</f>
        <v>PR</v>
      </c>
      <c r="C1165" s="3" t="str">
        <f t="shared" si="44"/>
        <v>BRASIL</v>
      </c>
      <c r="D1165" s="4" t="str">
        <f>"PR068"</f>
        <v>PR068</v>
      </c>
    </row>
    <row r="1166" spans="1:4" x14ac:dyDescent="0.3">
      <c r="A1166" s="2" t="str">
        <f>"CARLOS BARBOSA"</f>
        <v>CARLOS BARBOSA</v>
      </c>
      <c r="B1166" s="3" t="str">
        <f>"RS"</f>
        <v>RS</v>
      </c>
      <c r="C1166" s="3" t="str">
        <f t="shared" si="44"/>
        <v>BRASIL</v>
      </c>
      <c r="D1166" s="4" t="str">
        <f>"RS091"</f>
        <v>RS091</v>
      </c>
    </row>
    <row r="1167" spans="1:4" x14ac:dyDescent="0.3">
      <c r="A1167" s="2" t="str">
        <f>"CARLOS CHAGAS"</f>
        <v>CARLOS CHAGAS</v>
      </c>
      <c r="B1167" s="3" t="str">
        <f>"MG"</f>
        <v>MG</v>
      </c>
      <c r="C1167" s="3" t="str">
        <f t="shared" si="44"/>
        <v>BRASIL</v>
      </c>
      <c r="D1167" s="4" t="str">
        <f>"MG149"</f>
        <v>MG149</v>
      </c>
    </row>
    <row r="1168" spans="1:4" x14ac:dyDescent="0.3">
      <c r="A1168" s="2" t="str">
        <f>"CARLOS GOMES"</f>
        <v>CARLOS GOMES</v>
      </c>
      <c r="B1168" s="3" t="str">
        <f>"RS"</f>
        <v>RS</v>
      </c>
      <c r="C1168" s="3" t="str">
        <f t="shared" si="44"/>
        <v>BRASIL</v>
      </c>
      <c r="D1168" s="4" t="str">
        <f>"RS092"</f>
        <v>RS092</v>
      </c>
    </row>
    <row r="1169" spans="1:4" x14ac:dyDescent="0.3">
      <c r="A1169" s="2" t="str">
        <f>"CARMESIA"</f>
        <v>CARMESIA</v>
      </c>
      <c r="B1169" s="3" t="str">
        <f>"MG"</f>
        <v>MG</v>
      </c>
      <c r="C1169" s="3" t="str">
        <f t="shared" si="44"/>
        <v>BRASIL</v>
      </c>
      <c r="D1169" s="4" t="str">
        <f>"MG150"</f>
        <v>MG150</v>
      </c>
    </row>
    <row r="1170" spans="1:4" x14ac:dyDescent="0.3">
      <c r="A1170" s="2" t="str">
        <f>"CARMO"</f>
        <v>CARMO</v>
      </c>
      <c r="B1170" s="3" t="str">
        <f>"RJ"</f>
        <v>RJ</v>
      </c>
      <c r="C1170" s="3" t="str">
        <f t="shared" si="44"/>
        <v>BRASIL</v>
      </c>
      <c r="D1170" s="4" t="str">
        <f>"RJ020"</f>
        <v>RJ020</v>
      </c>
    </row>
    <row r="1171" spans="1:4" x14ac:dyDescent="0.3">
      <c r="A1171" s="2" t="str">
        <f>"CARMO DA CACHOEIRA"</f>
        <v>CARMO DA CACHOEIRA</v>
      </c>
      <c r="B1171" s="3" t="str">
        <f t="shared" ref="B1171:B1176" si="45">"MG"</f>
        <v>MG</v>
      </c>
      <c r="C1171" s="3" t="str">
        <f t="shared" si="44"/>
        <v>BRASIL</v>
      </c>
      <c r="D1171" s="4" t="str">
        <f>"MG151"</f>
        <v>MG151</v>
      </c>
    </row>
    <row r="1172" spans="1:4" x14ac:dyDescent="0.3">
      <c r="A1172" s="2" t="str">
        <f>"CARMO DA MATA"</f>
        <v>CARMO DA MATA</v>
      </c>
      <c r="B1172" s="3" t="str">
        <f t="shared" si="45"/>
        <v>MG</v>
      </c>
      <c r="C1172" s="3" t="str">
        <f t="shared" si="44"/>
        <v>BRASIL</v>
      </c>
      <c r="D1172" s="4" t="str">
        <f>"MG152"</f>
        <v>MG152</v>
      </c>
    </row>
    <row r="1173" spans="1:4" x14ac:dyDescent="0.3">
      <c r="A1173" s="2" t="str">
        <f>"CARMO DE MINAS"</f>
        <v>CARMO DE MINAS</v>
      </c>
      <c r="B1173" s="3" t="str">
        <f t="shared" si="45"/>
        <v>MG</v>
      </c>
      <c r="C1173" s="3" t="str">
        <f t="shared" si="44"/>
        <v>BRASIL</v>
      </c>
      <c r="D1173" s="4" t="str">
        <f>"MG153"</f>
        <v>MG153</v>
      </c>
    </row>
    <row r="1174" spans="1:4" x14ac:dyDescent="0.3">
      <c r="A1174" s="2" t="str">
        <f>"CARMO DO CAJURU"</f>
        <v>CARMO DO CAJURU</v>
      </c>
      <c r="B1174" s="3" t="str">
        <f t="shared" si="45"/>
        <v>MG</v>
      </c>
      <c r="C1174" s="3" t="str">
        <f t="shared" si="44"/>
        <v>BRASIL</v>
      </c>
      <c r="D1174" s="4" t="str">
        <f>"MG154"</f>
        <v>MG154</v>
      </c>
    </row>
    <row r="1175" spans="1:4" x14ac:dyDescent="0.3">
      <c r="A1175" s="2" t="str">
        <f>"CARMO DO PARANAIBA"</f>
        <v>CARMO DO PARANAIBA</v>
      </c>
      <c r="B1175" s="3" t="str">
        <f t="shared" si="45"/>
        <v>MG</v>
      </c>
      <c r="C1175" s="3" t="str">
        <f t="shared" si="44"/>
        <v>BRASIL</v>
      </c>
      <c r="D1175" s="4" t="str">
        <f>"MG155"</f>
        <v>MG155</v>
      </c>
    </row>
    <row r="1176" spans="1:4" x14ac:dyDescent="0.3">
      <c r="A1176" s="2" t="str">
        <f>"CARMO DO RIO CLARO"</f>
        <v>CARMO DO RIO CLARO</v>
      </c>
      <c r="B1176" s="3" t="str">
        <f t="shared" si="45"/>
        <v>MG</v>
      </c>
      <c r="C1176" s="3" t="str">
        <f t="shared" si="44"/>
        <v>BRASIL</v>
      </c>
      <c r="D1176" s="4" t="str">
        <f>"MG156"</f>
        <v>MG156</v>
      </c>
    </row>
    <row r="1177" spans="1:4" x14ac:dyDescent="0.3">
      <c r="A1177" s="2" t="str">
        <f>"CARMO DO RIO VERDE"</f>
        <v>CARMO DO RIO VERDE</v>
      </c>
      <c r="B1177" s="3" t="str">
        <f>"GO"</f>
        <v>GO</v>
      </c>
      <c r="C1177" s="3" t="str">
        <f t="shared" si="44"/>
        <v>BRASIL</v>
      </c>
      <c r="D1177" s="4" t="str">
        <f>"GO057"</f>
        <v>GO057</v>
      </c>
    </row>
    <row r="1178" spans="1:4" x14ac:dyDescent="0.3">
      <c r="A1178" s="2" t="str">
        <f>"CARMOLANDIA"</f>
        <v>CARMOLANDIA</v>
      </c>
      <c r="B1178" s="3" t="str">
        <f>"TO"</f>
        <v>TO</v>
      </c>
      <c r="C1178" s="3" t="str">
        <f t="shared" si="44"/>
        <v>BRASIL</v>
      </c>
      <c r="D1178" s="4" t="str">
        <f>"TO032"</f>
        <v>TO032</v>
      </c>
    </row>
    <row r="1179" spans="1:4" x14ac:dyDescent="0.3">
      <c r="A1179" s="2" t="str">
        <f>"CARMOPOLIS"</f>
        <v>CARMOPOLIS</v>
      </c>
      <c r="B1179" s="3" t="str">
        <f>"SE"</f>
        <v>SE</v>
      </c>
      <c r="C1179" s="3" t="str">
        <f t="shared" si="44"/>
        <v>BRASIL</v>
      </c>
      <c r="D1179" s="4" t="str">
        <f>"SE014"</f>
        <v>SE014</v>
      </c>
    </row>
    <row r="1180" spans="1:4" x14ac:dyDescent="0.3">
      <c r="A1180" s="2" t="str">
        <f>"CARMOPOLIS DE MINAS"</f>
        <v>CARMOPOLIS DE MINAS</v>
      </c>
      <c r="B1180" s="3" t="str">
        <f>"MG"</f>
        <v>MG</v>
      </c>
      <c r="C1180" s="3" t="str">
        <f t="shared" si="44"/>
        <v>BRASIL</v>
      </c>
      <c r="D1180" s="4" t="str">
        <f>"MG157"</f>
        <v>MG157</v>
      </c>
    </row>
    <row r="1181" spans="1:4" x14ac:dyDescent="0.3">
      <c r="A1181" s="2" t="str">
        <f>"CARNAIBA"</f>
        <v>CARNAIBA</v>
      </c>
      <c r="B1181" s="3" t="str">
        <f>"PE"</f>
        <v>PE</v>
      </c>
      <c r="C1181" s="3" t="str">
        <f t="shared" si="44"/>
        <v>BRASIL</v>
      </c>
      <c r="D1181" s="4" t="str">
        <f>"PE042"</f>
        <v>PE042</v>
      </c>
    </row>
    <row r="1182" spans="1:4" x14ac:dyDescent="0.3">
      <c r="A1182" s="2" t="str">
        <f>"CARNAUBA DOS DANTAS"</f>
        <v>CARNAUBA DOS DANTAS</v>
      </c>
      <c r="B1182" s="3" t="str">
        <f>"RN"</f>
        <v>RN</v>
      </c>
      <c r="C1182" s="3" t="str">
        <f t="shared" ref="C1182:C1216" si="46">"BRASIL"</f>
        <v>BRASIL</v>
      </c>
      <c r="D1182" s="4" t="str">
        <f>"RN027"</f>
        <v>RN027</v>
      </c>
    </row>
    <row r="1183" spans="1:4" x14ac:dyDescent="0.3">
      <c r="A1183" s="2" t="str">
        <f>"CARNAUBAIS"</f>
        <v>CARNAUBAIS</v>
      </c>
      <c r="B1183" s="3" t="str">
        <f>"RN"</f>
        <v>RN</v>
      </c>
      <c r="C1183" s="3" t="str">
        <f t="shared" si="46"/>
        <v>BRASIL</v>
      </c>
      <c r="D1183" s="4" t="str">
        <f>"RN028"</f>
        <v>RN028</v>
      </c>
    </row>
    <row r="1184" spans="1:4" x14ac:dyDescent="0.3">
      <c r="A1184" s="2" t="str">
        <f>"CARNAUBAL"</f>
        <v>CARNAUBAL</v>
      </c>
      <c r="B1184" s="3" t="str">
        <f>"CE"</f>
        <v>CE</v>
      </c>
      <c r="C1184" s="3" t="str">
        <f t="shared" si="46"/>
        <v>BRASIL</v>
      </c>
      <c r="D1184" s="4" t="str">
        <f>"CE040"</f>
        <v>CE040</v>
      </c>
    </row>
    <row r="1185" spans="1:4" x14ac:dyDescent="0.3">
      <c r="A1185" s="2" t="str">
        <f>"CARNAUBEIRA DA PENHA"</f>
        <v>CARNAUBEIRA DA PENHA</v>
      </c>
      <c r="B1185" s="3" t="str">
        <f>"PE"</f>
        <v>PE</v>
      </c>
      <c r="C1185" s="3" t="str">
        <f t="shared" si="46"/>
        <v>BRASIL</v>
      </c>
      <c r="D1185" s="4" t="str">
        <f>"PE043"</f>
        <v>PE043</v>
      </c>
    </row>
    <row r="1186" spans="1:4" x14ac:dyDescent="0.3">
      <c r="A1186" s="2" t="str">
        <f>"CARNEIRINHO"</f>
        <v>CARNEIRINHO</v>
      </c>
      <c r="B1186" s="3" t="str">
        <f>"MG"</f>
        <v>MG</v>
      </c>
      <c r="C1186" s="3" t="str">
        <f t="shared" si="46"/>
        <v>BRASIL</v>
      </c>
      <c r="D1186" s="4" t="str">
        <f>"MG158"</f>
        <v>MG158</v>
      </c>
    </row>
    <row r="1187" spans="1:4" x14ac:dyDescent="0.3">
      <c r="A1187" s="2" t="str">
        <f>"CARNEIROS"</f>
        <v>CARNEIROS</v>
      </c>
      <c r="B1187" s="3" t="str">
        <f>"AL"</f>
        <v>AL</v>
      </c>
      <c r="C1187" s="3" t="str">
        <f t="shared" si="46"/>
        <v>BRASIL</v>
      </c>
      <c r="D1187" s="4" t="str">
        <f>"AL019"</f>
        <v>AL019</v>
      </c>
    </row>
    <row r="1188" spans="1:4" x14ac:dyDescent="0.3">
      <c r="A1188" s="2" t="str">
        <f>"CAROEBE"</f>
        <v>CAROEBE</v>
      </c>
      <c r="B1188" s="3" t="str">
        <f>"RR"</f>
        <v>RR</v>
      </c>
      <c r="C1188" s="3" t="str">
        <f t="shared" si="46"/>
        <v>BRASIL</v>
      </c>
      <c r="D1188" s="4" t="str">
        <f>"RR007"</f>
        <v>RR007</v>
      </c>
    </row>
    <row r="1189" spans="1:4" x14ac:dyDescent="0.3">
      <c r="A1189" s="2" t="str">
        <f>"CAROLINA"</f>
        <v>CAROLINA</v>
      </c>
      <c r="B1189" s="3" t="str">
        <f>"MA"</f>
        <v>MA</v>
      </c>
      <c r="C1189" s="3" t="str">
        <f t="shared" si="46"/>
        <v>BRASIL</v>
      </c>
      <c r="D1189" s="4" t="str">
        <f>"MA050"</f>
        <v>MA050</v>
      </c>
    </row>
    <row r="1190" spans="1:4" x14ac:dyDescent="0.3">
      <c r="A1190" s="2" t="str">
        <f>"CARPINA"</f>
        <v>CARPINA</v>
      </c>
      <c r="B1190" s="3" t="str">
        <f>"PE"</f>
        <v>PE</v>
      </c>
      <c r="C1190" s="3" t="str">
        <f t="shared" si="46"/>
        <v>BRASIL</v>
      </c>
      <c r="D1190" s="4" t="str">
        <f>"PE044"</f>
        <v>PE044</v>
      </c>
    </row>
    <row r="1191" spans="1:4" x14ac:dyDescent="0.3">
      <c r="A1191" s="2" t="str">
        <f>"CARRANCAS"</f>
        <v>CARRANCAS</v>
      </c>
      <c r="B1191" s="3" t="str">
        <f>"MG"</f>
        <v>MG</v>
      </c>
      <c r="C1191" s="3" t="str">
        <f t="shared" si="46"/>
        <v>BRASIL</v>
      </c>
      <c r="D1191" s="4" t="str">
        <f>"MG159"</f>
        <v>MG159</v>
      </c>
    </row>
    <row r="1192" spans="1:4" x14ac:dyDescent="0.3">
      <c r="A1192" s="2" t="str">
        <f>"CARRAPATEIRA"</f>
        <v>CARRAPATEIRA</v>
      </c>
      <c r="B1192" s="3" t="str">
        <f>"PB"</f>
        <v>PB</v>
      </c>
      <c r="C1192" s="3" t="str">
        <f t="shared" si="46"/>
        <v>BRASIL</v>
      </c>
      <c r="D1192" s="4" t="str">
        <f>"PB055"</f>
        <v>PB055</v>
      </c>
    </row>
    <row r="1193" spans="1:4" x14ac:dyDescent="0.3">
      <c r="A1193" s="2" t="str">
        <f>"CARRASCO BONITO"</f>
        <v>CARRASCO BONITO</v>
      </c>
      <c r="B1193" s="3" t="str">
        <f>"TO"</f>
        <v>TO</v>
      </c>
      <c r="C1193" s="3" t="str">
        <f t="shared" si="46"/>
        <v>BRASIL</v>
      </c>
      <c r="D1193" s="4" t="str">
        <f>"TO033"</f>
        <v>TO033</v>
      </c>
    </row>
    <row r="1194" spans="1:4" x14ac:dyDescent="0.3">
      <c r="A1194" s="2" t="str">
        <f>"CARUARU"</f>
        <v>CARUARU</v>
      </c>
      <c r="B1194" s="3" t="str">
        <f>"PE"</f>
        <v>PE</v>
      </c>
      <c r="C1194" s="3" t="str">
        <f t="shared" si="46"/>
        <v>BRASIL</v>
      </c>
      <c r="D1194" s="4" t="str">
        <f>"PE045"</f>
        <v>PE045</v>
      </c>
    </row>
    <row r="1195" spans="1:4" x14ac:dyDescent="0.3">
      <c r="A1195" s="2" t="str">
        <f>"CARUTAPERA"</f>
        <v>CARUTAPERA</v>
      </c>
      <c r="B1195" s="3" t="str">
        <f>"MA"</f>
        <v>MA</v>
      </c>
      <c r="C1195" s="3" t="str">
        <f t="shared" si="46"/>
        <v>BRASIL</v>
      </c>
      <c r="D1195" s="4" t="str">
        <f>"MA051"</f>
        <v>MA051</v>
      </c>
    </row>
    <row r="1196" spans="1:4" x14ac:dyDescent="0.3">
      <c r="A1196" s="2" t="str">
        <f>"CARVALHOPOLIS"</f>
        <v>CARVALHOPOLIS</v>
      </c>
      <c r="B1196" s="3" t="str">
        <f>"MG"</f>
        <v>MG</v>
      </c>
      <c r="C1196" s="3" t="str">
        <f t="shared" si="46"/>
        <v>BRASIL</v>
      </c>
      <c r="D1196" s="4" t="str">
        <f>"MG160"</f>
        <v>MG160</v>
      </c>
    </row>
    <row r="1197" spans="1:4" x14ac:dyDescent="0.3">
      <c r="A1197" s="2" t="str">
        <f>"CARVALHOS"</f>
        <v>CARVALHOS</v>
      </c>
      <c r="B1197" s="3" t="str">
        <f>"MG"</f>
        <v>MG</v>
      </c>
      <c r="C1197" s="3" t="str">
        <f t="shared" si="46"/>
        <v>BRASIL</v>
      </c>
      <c r="D1197" s="4" t="str">
        <f>"MG161"</f>
        <v>MG161</v>
      </c>
    </row>
    <row r="1198" spans="1:4" x14ac:dyDescent="0.3">
      <c r="A1198" s="2" t="str">
        <f>"CASA BRANCA"</f>
        <v>CASA BRANCA</v>
      </c>
      <c r="B1198" s="3" t="str">
        <f>"SP"</f>
        <v>SP</v>
      </c>
      <c r="C1198" s="3" t="str">
        <f t="shared" si="46"/>
        <v>BRASIL</v>
      </c>
      <c r="D1198" s="4" t="str">
        <f>"SP124"</f>
        <v>SP124</v>
      </c>
    </row>
    <row r="1199" spans="1:4" x14ac:dyDescent="0.3">
      <c r="A1199" s="2" t="str">
        <f>"CASA GRANDE"</f>
        <v>CASA GRANDE</v>
      </c>
      <c r="B1199" s="3" t="str">
        <f>"MG"</f>
        <v>MG</v>
      </c>
      <c r="C1199" s="3" t="str">
        <f t="shared" si="46"/>
        <v>BRASIL</v>
      </c>
      <c r="D1199" s="4" t="str">
        <f>"MG162"</f>
        <v>MG162</v>
      </c>
    </row>
    <row r="1200" spans="1:4" x14ac:dyDescent="0.3">
      <c r="A1200" s="2" t="str">
        <f>"CASA NOVA"</f>
        <v>CASA NOVA</v>
      </c>
      <c r="B1200" s="3" t="str">
        <f>"BA"</f>
        <v>BA</v>
      </c>
      <c r="C1200" s="3" t="str">
        <f t="shared" si="46"/>
        <v>BRASIL</v>
      </c>
      <c r="D1200" s="4" t="str">
        <f>"BA090"</f>
        <v>BA090</v>
      </c>
    </row>
    <row r="1201" spans="1:4" x14ac:dyDescent="0.3">
      <c r="A1201" s="2" t="str">
        <f>"CASCA"</f>
        <v>CASCA</v>
      </c>
      <c r="B1201" s="3" t="str">
        <f>"RS"</f>
        <v>RS</v>
      </c>
      <c r="C1201" s="3" t="str">
        <f t="shared" si="46"/>
        <v>BRASIL</v>
      </c>
      <c r="D1201" s="4" t="str">
        <f>"RS093"</f>
        <v>RS093</v>
      </c>
    </row>
    <row r="1202" spans="1:4" x14ac:dyDescent="0.3">
      <c r="A1202" s="2" t="str">
        <f>"CASCALHO RICO"</f>
        <v>CASCALHO RICO</v>
      </c>
      <c r="B1202" s="3" t="str">
        <f>"MG"</f>
        <v>MG</v>
      </c>
      <c r="C1202" s="3" t="str">
        <f t="shared" si="46"/>
        <v>BRASIL</v>
      </c>
      <c r="D1202" s="4" t="str">
        <f>"MG163"</f>
        <v>MG163</v>
      </c>
    </row>
    <row r="1203" spans="1:4" x14ac:dyDescent="0.3">
      <c r="A1203" s="2" t="str">
        <f>"CASCAVEL"</f>
        <v>CASCAVEL</v>
      </c>
      <c r="B1203" s="3" t="str">
        <f>"CE"</f>
        <v>CE</v>
      </c>
      <c r="C1203" s="3" t="str">
        <f t="shared" si="46"/>
        <v>BRASIL</v>
      </c>
      <c r="D1203" s="4" t="str">
        <f>"CE041"</f>
        <v>CE041</v>
      </c>
    </row>
    <row r="1204" spans="1:4" x14ac:dyDescent="0.3">
      <c r="A1204" s="2" t="str">
        <f>"CASCAVEL"</f>
        <v>CASCAVEL</v>
      </c>
      <c r="B1204" s="3" t="str">
        <f>"PR"</f>
        <v>PR</v>
      </c>
      <c r="C1204" s="3" t="str">
        <f t="shared" si="46"/>
        <v>BRASIL</v>
      </c>
      <c r="D1204" s="4" t="str">
        <f>"PR069"</f>
        <v>PR069</v>
      </c>
    </row>
    <row r="1205" spans="1:4" x14ac:dyDescent="0.3">
      <c r="A1205" s="2" t="str">
        <f>"CASEARA"</f>
        <v>CASEARA</v>
      </c>
      <c r="B1205" s="3" t="str">
        <f>"TO"</f>
        <v>TO</v>
      </c>
      <c r="C1205" s="3" t="str">
        <f t="shared" si="46"/>
        <v>BRASIL</v>
      </c>
      <c r="D1205" s="4" t="str">
        <f>"TO034"</f>
        <v>TO034</v>
      </c>
    </row>
    <row r="1206" spans="1:4" x14ac:dyDescent="0.3">
      <c r="A1206" s="2" t="str">
        <f>"CASEIROS"</f>
        <v>CASEIROS</v>
      </c>
      <c r="B1206" s="3" t="str">
        <f>"RS"</f>
        <v>RS</v>
      </c>
      <c r="C1206" s="3" t="str">
        <f t="shared" si="46"/>
        <v>BRASIL</v>
      </c>
      <c r="D1206" s="4" t="str">
        <f>"RS094"</f>
        <v>RS094</v>
      </c>
    </row>
    <row r="1207" spans="1:4" x14ac:dyDescent="0.3">
      <c r="A1207" s="2" t="str">
        <f>"CASIMIRO DE ABREU"</f>
        <v>CASIMIRO DE ABREU</v>
      </c>
      <c r="B1207" s="3" t="str">
        <f>"RJ"</f>
        <v>RJ</v>
      </c>
      <c r="C1207" s="3" t="str">
        <f t="shared" si="46"/>
        <v>BRASIL</v>
      </c>
      <c r="D1207" s="4" t="str">
        <f>"RJ021"</f>
        <v>RJ021</v>
      </c>
    </row>
    <row r="1208" spans="1:4" x14ac:dyDescent="0.3">
      <c r="A1208" s="2" t="str">
        <f>"CASINHAS"</f>
        <v>CASINHAS</v>
      </c>
      <c r="B1208" s="3" t="str">
        <f>"PE"</f>
        <v>PE</v>
      </c>
      <c r="C1208" s="3" t="str">
        <f t="shared" si="46"/>
        <v>BRASIL</v>
      </c>
      <c r="D1208" s="4" t="str">
        <f>"PE046"</f>
        <v>PE046</v>
      </c>
    </row>
    <row r="1209" spans="1:4" x14ac:dyDescent="0.3">
      <c r="A1209" s="2" t="str">
        <f>"CASSERENGUE"</f>
        <v>CASSERENGUE</v>
      </c>
      <c r="B1209" s="3" t="str">
        <f>"PB"</f>
        <v>PB</v>
      </c>
      <c r="C1209" s="3" t="str">
        <f t="shared" si="46"/>
        <v>BRASIL</v>
      </c>
      <c r="D1209" s="4" t="str">
        <f>"PB056"</f>
        <v>PB056</v>
      </c>
    </row>
    <row r="1210" spans="1:4" x14ac:dyDescent="0.3">
      <c r="A1210" s="2" t="str">
        <f>"CASSIA"</f>
        <v>CASSIA</v>
      </c>
      <c r="B1210" s="3" t="str">
        <f>"MG"</f>
        <v>MG</v>
      </c>
      <c r="C1210" s="3" t="str">
        <f t="shared" si="46"/>
        <v>BRASIL</v>
      </c>
      <c r="D1210" s="4" t="str">
        <f>"MG164"</f>
        <v>MG164</v>
      </c>
    </row>
    <row r="1211" spans="1:4" x14ac:dyDescent="0.3">
      <c r="A1211" s="2" t="str">
        <f>"CASSIA DOS COQUEIROS"</f>
        <v>CASSIA DOS COQUEIROS</v>
      </c>
      <c r="B1211" s="3" t="str">
        <f>"SP"</f>
        <v>SP</v>
      </c>
      <c r="C1211" s="3" t="str">
        <f t="shared" si="46"/>
        <v>BRASIL</v>
      </c>
      <c r="D1211" s="4" t="str">
        <f>"SP125"</f>
        <v>SP125</v>
      </c>
    </row>
    <row r="1212" spans="1:4" x14ac:dyDescent="0.3">
      <c r="A1212" s="2" t="str">
        <f>"CASSILANDIA"</f>
        <v>CASSILANDIA</v>
      </c>
      <c r="B1212" s="3" t="str">
        <f>"MS"</f>
        <v>MS</v>
      </c>
      <c r="C1212" s="3" t="str">
        <f t="shared" si="46"/>
        <v>BRASIL</v>
      </c>
      <c r="D1212" s="4" t="str">
        <f>"MS022"</f>
        <v>MS022</v>
      </c>
    </row>
    <row r="1213" spans="1:4" x14ac:dyDescent="0.3">
      <c r="A1213" s="2" t="str">
        <f>"CASTANHAL"</f>
        <v>CASTANHAL</v>
      </c>
      <c r="B1213" s="3" t="str">
        <f>"PA"</f>
        <v>PA</v>
      </c>
      <c r="C1213" s="3" t="str">
        <f t="shared" si="46"/>
        <v>BRASIL</v>
      </c>
      <c r="D1213" s="4" t="str">
        <f>"PA036"</f>
        <v>PA036</v>
      </c>
    </row>
    <row r="1214" spans="1:4" x14ac:dyDescent="0.3">
      <c r="A1214" s="2" t="str">
        <f>"CASTANHEIRA"</f>
        <v>CASTANHEIRA</v>
      </c>
      <c r="B1214" s="3" t="str">
        <f>"MT"</f>
        <v>MT</v>
      </c>
      <c r="C1214" s="3" t="str">
        <f t="shared" si="46"/>
        <v>BRASIL</v>
      </c>
      <c r="D1214" s="4" t="str">
        <f>"MT028"</f>
        <v>MT028</v>
      </c>
    </row>
    <row r="1215" spans="1:4" x14ac:dyDescent="0.3">
      <c r="A1215" s="2" t="str">
        <f>"CASTANHEIRAS"</f>
        <v>CASTANHEIRAS</v>
      </c>
      <c r="B1215" s="3" t="str">
        <f>"RO"</f>
        <v>RO</v>
      </c>
      <c r="C1215" s="3" t="str">
        <f t="shared" si="46"/>
        <v>BRASIL</v>
      </c>
      <c r="D1215" s="4" t="str">
        <f>"RO033"</f>
        <v>RO033</v>
      </c>
    </row>
    <row r="1216" spans="1:4" x14ac:dyDescent="0.3">
      <c r="A1216" s="2" t="str">
        <f>"CASTELANDIA"</f>
        <v>CASTELANDIA</v>
      </c>
      <c r="B1216" s="3" t="str">
        <f>"GO"</f>
        <v>GO</v>
      </c>
      <c r="C1216" s="3" t="str">
        <f t="shared" si="46"/>
        <v>BRASIL</v>
      </c>
      <c r="D1216" s="4" t="str">
        <f>"GO058"</f>
        <v>GO058</v>
      </c>
    </row>
    <row r="1217" spans="1:4" x14ac:dyDescent="0.3">
      <c r="A1217" s="2" t="str">
        <f>"CASTELLANZA"</f>
        <v>CASTELLANZA</v>
      </c>
      <c r="B1217" s="3" t="str">
        <f>"EX"</f>
        <v>EX</v>
      </c>
      <c r="C1217" s="3" t="str">
        <f>"ITALIA"</f>
        <v>ITALIA</v>
      </c>
      <c r="D1217" s="4" t="str">
        <f>"CASTE"</f>
        <v>CASTE</v>
      </c>
    </row>
    <row r="1218" spans="1:4" x14ac:dyDescent="0.3">
      <c r="A1218" s="2" t="str">
        <f>"CASTELO"</f>
        <v>CASTELO</v>
      </c>
      <c r="B1218" s="3" t="str">
        <f>"ES"</f>
        <v>ES</v>
      </c>
      <c r="C1218" s="3" t="str">
        <f>"BRASIL"</f>
        <v>BRASIL</v>
      </c>
      <c r="D1218" s="4" t="str">
        <f>"ES018"</f>
        <v>ES018</v>
      </c>
    </row>
    <row r="1219" spans="1:4" x14ac:dyDescent="0.3">
      <c r="A1219" s="2" t="str">
        <f>"CASTELO DO PIAUI"</f>
        <v>CASTELO DO PIAUI</v>
      </c>
      <c r="B1219" s="3" t="str">
        <f>"PI"</f>
        <v>PI</v>
      </c>
      <c r="C1219" s="3" t="str">
        <f>"BRASIL"</f>
        <v>BRASIL</v>
      </c>
      <c r="D1219" s="4" t="str">
        <f>"PI055"</f>
        <v>PI055</v>
      </c>
    </row>
    <row r="1220" spans="1:4" x14ac:dyDescent="0.3">
      <c r="A1220" s="2" t="str">
        <f>"CASTILHO"</f>
        <v>CASTILHO</v>
      </c>
      <c r="B1220" s="3" t="str">
        <f>"SP"</f>
        <v>SP</v>
      </c>
      <c r="C1220" s="3" t="str">
        <f>"BRASIL"</f>
        <v>BRASIL</v>
      </c>
      <c r="D1220" s="4" t="str">
        <f>"SP126"</f>
        <v>SP126</v>
      </c>
    </row>
    <row r="1221" spans="1:4" x14ac:dyDescent="0.3">
      <c r="A1221" s="2" t="str">
        <f>"CASTRO"</f>
        <v>CASTRO</v>
      </c>
      <c r="B1221" s="3" t="str">
        <f>"PR"</f>
        <v>PR</v>
      </c>
      <c r="C1221" s="3" t="str">
        <f>"BRASIL"</f>
        <v>BRASIL</v>
      </c>
      <c r="D1221" s="4" t="str">
        <f>"PR070"</f>
        <v>PR070</v>
      </c>
    </row>
    <row r="1222" spans="1:4" x14ac:dyDescent="0.3">
      <c r="A1222" s="2" t="str">
        <f>"CASTRO ALVES"</f>
        <v>CASTRO ALVES</v>
      </c>
      <c r="B1222" s="3" t="str">
        <f>"BA"</f>
        <v>BA</v>
      </c>
      <c r="C1222" s="3" t="str">
        <f>"BRASIL"</f>
        <v>BRASIL</v>
      </c>
      <c r="D1222" s="4" t="str">
        <f>"BA091"</f>
        <v>BA091</v>
      </c>
    </row>
    <row r="1223" spans="1:4" x14ac:dyDescent="0.3">
      <c r="A1223" s="2" t="str">
        <f>"CASTROP RAUXEL"</f>
        <v>CASTROP RAUXEL</v>
      </c>
      <c r="B1223" s="3" t="str">
        <f>"EX"</f>
        <v>EX</v>
      </c>
      <c r="C1223" s="3" t="str">
        <f>"ALEMANHA"</f>
        <v>ALEMANHA</v>
      </c>
      <c r="D1223" s="4" t="str">
        <f>"CASTR"</f>
        <v>CASTR</v>
      </c>
    </row>
    <row r="1224" spans="1:4" x14ac:dyDescent="0.3">
      <c r="A1224" s="2" t="str">
        <f>"CATAGUASES"</f>
        <v>CATAGUASES</v>
      </c>
      <c r="B1224" s="3" t="str">
        <f>"MG"</f>
        <v>MG</v>
      </c>
      <c r="C1224" s="3" t="str">
        <f t="shared" ref="C1224:C1255" si="47">"BRASIL"</f>
        <v>BRASIL</v>
      </c>
      <c r="D1224" s="4" t="str">
        <f>"MG166"</f>
        <v>MG166</v>
      </c>
    </row>
    <row r="1225" spans="1:4" x14ac:dyDescent="0.3">
      <c r="A1225" s="2" t="str">
        <f>"CATALAO"</f>
        <v>CATALAO</v>
      </c>
      <c r="B1225" s="3" t="str">
        <f>"GO"</f>
        <v>GO</v>
      </c>
      <c r="C1225" s="3" t="str">
        <f t="shared" si="47"/>
        <v>BRASIL</v>
      </c>
      <c r="D1225" s="4" t="str">
        <f>"GO059"</f>
        <v>GO059</v>
      </c>
    </row>
    <row r="1226" spans="1:4" x14ac:dyDescent="0.3">
      <c r="A1226" s="2" t="str">
        <f>"CATANDUVA"</f>
        <v>CATANDUVA</v>
      </c>
      <c r="B1226" s="3" t="str">
        <f>"SP"</f>
        <v>SP</v>
      </c>
      <c r="C1226" s="3" t="str">
        <f t="shared" si="47"/>
        <v>BRASIL</v>
      </c>
      <c r="D1226" s="4" t="str">
        <f>"SP127"</f>
        <v>SP127</v>
      </c>
    </row>
    <row r="1227" spans="1:4" x14ac:dyDescent="0.3">
      <c r="A1227" s="2" t="str">
        <f>"CATANDUVAS"</f>
        <v>CATANDUVAS</v>
      </c>
      <c r="B1227" s="3" t="str">
        <f>"PR"</f>
        <v>PR</v>
      </c>
      <c r="C1227" s="3" t="str">
        <f t="shared" si="47"/>
        <v>BRASIL</v>
      </c>
      <c r="D1227" s="4" t="str">
        <f>"PR071"</f>
        <v>PR071</v>
      </c>
    </row>
    <row r="1228" spans="1:4" x14ac:dyDescent="0.3">
      <c r="A1228" s="2" t="str">
        <f>"CATANDUVAS"</f>
        <v>CATANDUVAS</v>
      </c>
      <c r="B1228" s="3" t="str">
        <f>"SC"</f>
        <v>SC</v>
      </c>
      <c r="C1228" s="3" t="str">
        <f t="shared" si="47"/>
        <v>BRASIL</v>
      </c>
      <c r="D1228" s="4" t="str">
        <f>"SC062"</f>
        <v>SC062</v>
      </c>
    </row>
    <row r="1229" spans="1:4" x14ac:dyDescent="0.3">
      <c r="A1229" s="2" t="str">
        <f>"CATARINA"</f>
        <v>CATARINA</v>
      </c>
      <c r="B1229" s="3" t="str">
        <f>"CE"</f>
        <v>CE</v>
      </c>
      <c r="C1229" s="3" t="str">
        <f t="shared" si="47"/>
        <v>BRASIL</v>
      </c>
      <c r="D1229" s="4" t="str">
        <f>"CE042"</f>
        <v>CE042</v>
      </c>
    </row>
    <row r="1230" spans="1:4" x14ac:dyDescent="0.3">
      <c r="A1230" s="2" t="str">
        <f>"CATAS ALTAS"</f>
        <v>CATAS ALTAS</v>
      </c>
      <c r="B1230" s="3" t="str">
        <f>"MG"</f>
        <v>MG</v>
      </c>
      <c r="C1230" s="3" t="str">
        <f t="shared" si="47"/>
        <v>BRASIL</v>
      </c>
      <c r="D1230" s="4" t="str">
        <f>"MG167"</f>
        <v>MG167</v>
      </c>
    </row>
    <row r="1231" spans="1:4" x14ac:dyDescent="0.3">
      <c r="A1231" s="2" t="str">
        <f>"CATAS ALTAS DA NORUEGA"</f>
        <v>CATAS ALTAS DA NORUEGA</v>
      </c>
      <c r="B1231" s="3" t="str">
        <f>"MG"</f>
        <v>MG</v>
      </c>
      <c r="C1231" s="3" t="str">
        <f t="shared" si="47"/>
        <v>BRASIL</v>
      </c>
      <c r="D1231" s="4" t="str">
        <f>"MG168"</f>
        <v>MG168</v>
      </c>
    </row>
    <row r="1232" spans="1:4" x14ac:dyDescent="0.3">
      <c r="A1232" s="2" t="str">
        <f>"CATENDE"</f>
        <v>CATENDE</v>
      </c>
      <c r="B1232" s="3" t="str">
        <f>"PE"</f>
        <v>PE</v>
      </c>
      <c r="C1232" s="3" t="str">
        <f t="shared" si="47"/>
        <v>BRASIL</v>
      </c>
      <c r="D1232" s="4" t="str">
        <f>"PE047"</f>
        <v>PE047</v>
      </c>
    </row>
    <row r="1233" spans="1:4" x14ac:dyDescent="0.3">
      <c r="A1233" s="2" t="str">
        <f>"CATIGUA"</f>
        <v>CATIGUA</v>
      </c>
      <c r="B1233" s="3" t="str">
        <f>"SP"</f>
        <v>SP</v>
      </c>
      <c r="C1233" s="3" t="str">
        <f t="shared" si="47"/>
        <v>BRASIL</v>
      </c>
      <c r="D1233" s="4" t="str">
        <f>"SP128"</f>
        <v>SP128</v>
      </c>
    </row>
    <row r="1234" spans="1:4" x14ac:dyDescent="0.3">
      <c r="A1234" s="2" t="str">
        <f>"CATINGUEIRA"</f>
        <v>CATINGUEIRA</v>
      </c>
      <c r="B1234" s="3" t="str">
        <f>"PB"</f>
        <v>PB</v>
      </c>
      <c r="C1234" s="3" t="str">
        <f t="shared" si="47"/>
        <v>BRASIL</v>
      </c>
      <c r="D1234" s="4" t="str">
        <f>"PB057"</f>
        <v>PB057</v>
      </c>
    </row>
    <row r="1235" spans="1:4" x14ac:dyDescent="0.3">
      <c r="A1235" s="2" t="str">
        <f>"CATOLANDIA"</f>
        <v>CATOLANDIA</v>
      </c>
      <c r="B1235" s="3" t="str">
        <f>"BA"</f>
        <v>BA</v>
      </c>
      <c r="C1235" s="3" t="str">
        <f t="shared" si="47"/>
        <v>BRASIL</v>
      </c>
      <c r="D1235" s="4" t="str">
        <f>"BA092"</f>
        <v>BA092</v>
      </c>
    </row>
    <row r="1236" spans="1:4" x14ac:dyDescent="0.3">
      <c r="A1236" s="2" t="str">
        <f>"CATOLE DO ROCHA"</f>
        <v>CATOLE DO ROCHA</v>
      </c>
      <c r="B1236" s="3" t="str">
        <f>"PB"</f>
        <v>PB</v>
      </c>
      <c r="C1236" s="3" t="str">
        <f t="shared" si="47"/>
        <v>BRASIL</v>
      </c>
      <c r="D1236" s="4" t="str">
        <f>"PB058"</f>
        <v>PB058</v>
      </c>
    </row>
    <row r="1237" spans="1:4" x14ac:dyDescent="0.3">
      <c r="A1237" s="2" t="str">
        <f>"CATU"</f>
        <v>CATU</v>
      </c>
      <c r="B1237" s="3" t="str">
        <f>"BA"</f>
        <v>BA</v>
      </c>
      <c r="C1237" s="3" t="str">
        <f t="shared" si="47"/>
        <v>BRASIL</v>
      </c>
      <c r="D1237" s="4" t="str">
        <f>"BA093"</f>
        <v>BA093</v>
      </c>
    </row>
    <row r="1238" spans="1:4" x14ac:dyDescent="0.3">
      <c r="A1238" s="2" t="str">
        <f>"CATUIPE"</f>
        <v>CATUIPE</v>
      </c>
      <c r="B1238" s="3" t="str">
        <f>"RS"</f>
        <v>RS</v>
      </c>
      <c r="C1238" s="3" t="str">
        <f t="shared" si="47"/>
        <v>BRASIL</v>
      </c>
      <c r="D1238" s="4" t="str">
        <f>"RS095"</f>
        <v>RS095</v>
      </c>
    </row>
    <row r="1239" spans="1:4" x14ac:dyDescent="0.3">
      <c r="A1239" s="2" t="str">
        <f>"CATUJI"</f>
        <v>CATUJI</v>
      </c>
      <c r="B1239" s="3" t="str">
        <f>"MG"</f>
        <v>MG</v>
      </c>
      <c r="C1239" s="3" t="str">
        <f t="shared" si="47"/>
        <v>BRASIL</v>
      </c>
      <c r="D1239" s="4" t="str">
        <f>"MG169"</f>
        <v>MG169</v>
      </c>
    </row>
    <row r="1240" spans="1:4" x14ac:dyDescent="0.3">
      <c r="A1240" s="2" t="str">
        <f>"CATUNDA"</f>
        <v>CATUNDA</v>
      </c>
      <c r="B1240" s="3" t="str">
        <f>"CE"</f>
        <v>CE</v>
      </c>
      <c r="C1240" s="3" t="str">
        <f t="shared" si="47"/>
        <v>BRASIL</v>
      </c>
      <c r="D1240" s="4" t="str">
        <f>"CE043"</f>
        <v>CE043</v>
      </c>
    </row>
    <row r="1241" spans="1:4" x14ac:dyDescent="0.3">
      <c r="A1241" s="2" t="str">
        <f>"CATURAI"</f>
        <v>CATURAI</v>
      </c>
      <c r="B1241" s="3" t="str">
        <f>"GO"</f>
        <v>GO</v>
      </c>
      <c r="C1241" s="3" t="str">
        <f t="shared" si="47"/>
        <v>BRASIL</v>
      </c>
      <c r="D1241" s="4" t="str">
        <f>"GO060"</f>
        <v>GO060</v>
      </c>
    </row>
    <row r="1242" spans="1:4" x14ac:dyDescent="0.3">
      <c r="A1242" s="2" t="str">
        <f>"CATURAMA"</f>
        <v>CATURAMA</v>
      </c>
      <c r="B1242" s="3" t="str">
        <f>"BA"</f>
        <v>BA</v>
      </c>
      <c r="C1242" s="3" t="str">
        <f t="shared" si="47"/>
        <v>BRASIL</v>
      </c>
      <c r="D1242" s="4" t="str">
        <f>"BA094"</f>
        <v>BA094</v>
      </c>
    </row>
    <row r="1243" spans="1:4" x14ac:dyDescent="0.3">
      <c r="A1243" s="2" t="str">
        <f>"CATURITE"</f>
        <v>CATURITE</v>
      </c>
      <c r="B1243" s="3" t="str">
        <f>"PB"</f>
        <v>PB</v>
      </c>
      <c r="C1243" s="3" t="str">
        <f t="shared" si="47"/>
        <v>BRASIL</v>
      </c>
      <c r="D1243" s="4" t="str">
        <f>"PB059"</f>
        <v>PB059</v>
      </c>
    </row>
    <row r="1244" spans="1:4" x14ac:dyDescent="0.3">
      <c r="A1244" s="2" t="str">
        <f>"CATUTI"</f>
        <v>CATUTI</v>
      </c>
      <c r="B1244" s="3" t="str">
        <f>"MG"</f>
        <v>MG</v>
      </c>
      <c r="C1244" s="3" t="str">
        <f t="shared" si="47"/>
        <v>BRASIL</v>
      </c>
      <c r="D1244" s="4" t="str">
        <f>"MG170"</f>
        <v>MG170</v>
      </c>
    </row>
    <row r="1245" spans="1:4" x14ac:dyDescent="0.3">
      <c r="A1245" s="2" t="str">
        <f>"CAUCAIA"</f>
        <v>CAUCAIA</v>
      </c>
      <c r="B1245" s="3" t="str">
        <f>"CE"</f>
        <v>CE</v>
      </c>
      <c r="C1245" s="3" t="str">
        <f t="shared" si="47"/>
        <v>BRASIL</v>
      </c>
      <c r="D1245" s="4" t="str">
        <f>"CE044"</f>
        <v>CE044</v>
      </c>
    </row>
    <row r="1246" spans="1:4" x14ac:dyDescent="0.3">
      <c r="A1246" s="2" t="str">
        <f>"CAVALCANTE"</f>
        <v>CAVALCANTE</v>
      </c>
      <c r="B1246" s="3" t="str">
        <f>"GO"</f>
        <v>GO</v>
      </c>
      <c r="C1246" s="3" t="str">
        <f t="shared" si="47"/>
        <v>BRASIL</v>
      </c>
      <c r="D1246" s="4" t="str">
        <f>"GO061"</f>
        <v>GO061</v>
      </c>
    </row>
    <row r="1247" spans="1:4" x14ac:dyDescent="0.3">
      <c r="A1247" s="2" t="str">
        <f>"CAXAMBU"</f>
        <v>CAXAMBU</v>
      </c>
      <c r="B1247" s="3" t="str">
        <f>"MG"</f>
        <v>MG</v>
      </c>
      <c r="C1247" s="3" t="str">
        <f t="shared" si="47"/>
        <v>BRASIL</v>
      </c>
      <c r="D1247" s="4" t="str">
        <f>"MG171"</f>
        <v>MG171</v>
      </c>
    </row>
    <row r="1248" spans="1:4" x14ac:dyDescent="0.3">
      <c r="A1248" s="2" t="str">
        <f>"CAXAMBU DO SUL"</f>
        <v>CAXAMBU DO SUL</v>
      </c>
      <c r="B1248" s="3" t="str">
        <f>"SC"</f>
        <v>SC</v>
      </c>
      <c r="C1248" s="3" t="str">
        <f t="shared" si="47"/>
        <v>BRASIL</v>
      </c>
      <c r="D1248" s="4" t="str">
        <f>"SC063"</f>
        <v>SC063</v>
      </c>
    </row>
    <row r="1249" spans="1:4" x14ac:dyDescent="0.3">
      <c r="A1249" s="2" t="str">
        <f>"CAXIAS"</f>
        <v>CAXIAS</v>
      </c>
      <c r="B1249" s="3" t="str">
        <f>"MA"</f>
        <v>MA</v>
      </c>
      <c r="C1249" s="3" t="str">
        <f t="shared" si="47"/>
        <v>BRASIL</v>
      </c>
      <c r="D1249" s="4" t="str">
        <f>"MA052"</f>
        <v>MA052</v>
      </c>
    </row>
    <row r="1250" spans="1:4" x14ac:dyDescent="0.3">
      <c r="A1250" s="2" t="str">
        <f>"CAXIAS DO SUL"</f>
        <v>CAXIAS DO SUL</v>
      </c>
      <c r="B1250" s="3" t="str">
        <f>"RS"</f>
        <v>RS</v>
      </c>
      <c r="C1250" s="3" t="str">
        <f t="shared" si="47"/>
        <v>BRASIL</v>
      </c>
      <c r="D1250" s="4" t="str">
        <f>"CXS"</f>
        <v>CXS</v>
      </c>
    </row>
    <row r="1251" spans="1:4" x14ac:dyDescent="0.3">
      <c r="A1251" s="2" t="str">
        <f>"CAXINGO"</f>
        <v>CAXINGO</v>
      </c>
      <c r="B1251" s="3" t="str">
        <f>"PI"</f>
        <v>PI</v>
      </c>
      <c r="C1251" s="3" t="str">
        <f t="shared" si="47"/>
        <v>BRASIL</v>
      </c>
      <c r="D1251" s="4" t="str">
        <f>"PI056"</f>
        <v>PI056</v>
      </c>
    </row>
    <row r="1252" spans="1:4" x14ac:dyDescent="0.3">
      <c r="A1252" s="2" t="str">
        <f>"CEARA-MIRIM"</f>
        <v>CEARA-MIRIM</v>
      </c>
      <c r="B1252" s="3" t="str">
        <f>"RN"</f>
        <v>RN</v>
      </c>
      <c r="C1252" s="3" t="str">
        <f t="shared" si="47"/>
        <v>BRASIL</v>
      </c>
      <c r="D1252" s="4" t="str">
        <f>"RN029"</f>
        <v>RN029</v>
      </c>
    </row>
    <row r="1253" spans="1:4" x14ac:dyDescent="0.3">
      <c r="A1253" s="2" t="str">
        <f>"CEDRAL"</f>
        <v>CEDRAL</v>
      </c>
      <c r="B1253" s="3" t="str">
        <f>"MA"</f>
        <v>MA</v>
      </c>
      <c r="C1253" s="3" t="str">
        <f t="shared" si="47"/>
        <v>BRASIL</v>
      </c>
      <c r="D1253" s="4" t="str">
        <f>"MA053"</f>
        <v>MA053</v>
      </c>
    </row>
    <row r="1254" spans="1:4" x14ac:dyDescent="0.3">
      <c r="A1254" s="2" t="str">
        <f>"CEDRAL"</f>
        <v>CEDRAL</v>
      </c>
      <c r="B1254" s="3" t="str">
        <f>"SP"</f>
        <v>SP</v>
      </c>
      <c r="C1254" s="3" t="str">
        <f t="shared" si="47"/>
        <v>BRASIL</v>
      </c>
      <c r="D1254" s="4" t="str">
        <f>"SP129"</f>
        <v>SP129</v>
      </c>
    </row>
    <row r="1255" spans="1:4" x14ac:dyDescent="0.3">
      <c r="A1255" s="2" t="str">
        <f>"CEDRO"</f>
        <v>CEDRO</v>
      </c>
      <c r="B1255" s="3" t="str">
        <f>"CE"</f>
        <v>CE</v>
      </c>
      <c r="C1255" s="3" t="str">
        <f t="shared" si="47"/>
        <v>BRASIL</v>
      </c>
      <c r="D1255" s="4" t="str">
        <f>"CE045"</f>
        <v>CE045</v>
      </c>
    </row>
    <row r="1256" spans="1:4" x14ac:dyDescent="0.3">
      <c r="A1256" s="2" t="str">
        <f>"CEDRO"</f>
        <v>CEDRO</v>
      </c>
      <c r="B1256" s="3" t="str">
        <f>"PE"</f>
        <v>PE</v>
      </c>
      <c r="C1256" s="3" t="str">
        <f t="shared" ref="C1256:C1287" si="48">"BRASIL"</f>
        <v>BRASIL</v>
      </c>
      <c r="D1256" s="4" t="str">
        <f>"PE048"</f>
        <v>PE048</v>
      </c>
    </row>
    <row r="1257" spans="1:4" x14ac:dyDescent="0.3">
      <c r="A1257" s="2" t="str">
        <f>"CEDRO DE SAO JOAO"</f>
        <v>CEDRO DE SAO JOAO</v>
      </c>
      <c r="B1257" s="3" t="str">
        <f>"SE"</f>
        <v>SE</v>
      </c>
      <c r="C1257" s="3" t="str">
        <f t="shared" si="48"/>
        <v>BRASIL</v>
      </c>
      <c r="D1257" s="4" t="str">
        <f>"SE015"</f>
        <v>SE015</v>
      </c>
    </row>
    <row r="1258" spans="1:4" x14ac:dyDescent="0.3">
      <c r="A1258" s="2" t="str">
        <f>"CEDRO DO ABAETE"</f>
        <v>CEDRO DO ABAETE</v>
      </c>
      <c r="B1258" s="3" t="str">
        <f>"MG"</f>
        <v>MG</v>
      </c>
      <c r="C1258" s="3" t="str">
        <f t="shared" si="48"/>
        <v>BRASIL</v>
      </c>
      <c r="D1258" s="4" t="str">
        <f>"MG172"</f>
        <v>MG172</v>
      </c>
    </row>
    <row r="1259" spans="1:4" x14ac:dyDescent="0.3">
      <c r="A1259" s="2" t="str">
        <f>"CELSO RAMOS"</f>
        <v>CELSO RAMOS</v>
      </c>
      <c r="B1259" s="3" t="str">
        <f>"SC"</f>
        <v>SC</v>
      </c>
      <c r="C1259" s="3" t="str">
        <f t="shared" si="48"/>
        <v>BRASIL</v>
      </c>
      <c r="D1259" s="4" t="str">
        <f>"SC064"</f>
        <v>SC064</v>
      </c>
    </row>
    <row r="1260" spans="1:4" x14ac:dyDescent="0.3">
      <c r="A1260" s="2" t="str">
        <f>"CENTENARIO"</f>
        <v>CENTENARIO</v>
      </c>
      <c r="B1260" s="3" t="str">
        <f>"RS"</f>
        <v>RS</v>
      </c>
      <c r="C1260" s="3" t="str">
        <f t="shared" si="48"/>
        <v>BRASIL</v>
      </c>
      <c r="D1260" s="4" t="str">
        <f>"RS097"</f>
        <v>RS097</v>
      </c>
    </row>
    <row r="1261" spans="1:4" x14ac:dyDescent="0.3">
      <c r="A1261" s="2" t="str">
        <f>"CENTENARIO"</f>
        <v>CENTENARIO</v>
      </c>
      <c r="B1261" s="3" t="str">
        <f>"TO"</f>
        <v>TO</v>
      </c>
      <c r="C1261" s="3" t="str">
        <f t="shared" si="48"/>
        <v>BRASIL</v>
      </c>
      <c r="D1261" s="4" t="str">
        <f>"TO035"</f>
        <v>TO035</v>
      </c>
    </row>
    <row r="1262" spans="1:4" x14ac:dyDescent="0.3">
      <c r="A1262" s="2" t="str">
        <f>"CENTENARIO DO SUL"</f>
        <v>CENTENARIO DO SUL</v>
      </c>
      <c r="B1262" s="3" t="str">
        <f>"PR"</f>
        <v>PR</v>
      </c>
      <c r="C1262" s="3" t="str">
        <f t="shared" si="48"/>
        <v>BRASIL</v>
      </c>
      <c r="D1262" s="4" t="str">
        <f>"PR072"</f>
        <v>PR072</v>
      </c>
    </row>
    <row r="1263" spans="1:4" x14ac:dyDescent="0.3">
      <c r="A1263" s="2" t="str">
        <f>"CENTRAL"</f>
        <v>CENTRAL</v>
      </c>
      <c r="B1263" s="3" t="str">
        <f>"BA"</f>
        <v>BA</v>
      </c>
      <c r="C1263" s="3" t="str">
        <f t="shared" si="48"/>
        <v>BRASIL</v>
      </c>
      <c r="D1263" s="4" t="str">
        <f>"BA095"</f>
        <v>BA095</v>
      </c>
    </row>
    <row r="1264" spans="1:4" x14ac:dyDescent="0.3">
      <c r="A1264" s="2" t="str">
        <f>"CENTRAL DE MINAS"</f>
        <v>CENTRAL DE MINAS</v>
      </c>
      <c r="B1264" s="3" t="str">
        <f>"MG"</f>
        <v>MG</v>
      </c>
      <c r="C1264" s="3" t="str">
        <f t="shared" si="48"/>
        <v>BRASIL</v>
      </c>
      <c r="D1264" s="4" t="str">
        <f>"MG173"</f>
        <v>MG173</v>
      </c>
    </row>
    <row r="1265" spans="1:4" x14ac:dyDescent="0.3">
      <c r="A1265" s="2" t="str">
        <f>"CENTRAL DO MARANHAO"</f>
        <v>CENTRAL DO MARANHAO</v>
      </c>
      <c r="B1265" s="3" t="str">
        <f>"MA"</f>
        <v>MA</v>
      </c>
      <c r="C1265" s="3" t="str">
        <f t="shared" si="48"/>
        <v>BRASIL</v>
      </c>
      <c r="D1265" s="4" t="str">
        <f>"MA054"</f>
        <v>MA054</v>
      </c>
    </row>
    <row r="1266" spans="1:4" x14ac:dyDescent="0.3">
      <c r="A1266" s="2" t="str">
        <f>"CENTRALINA"</f>
        <v>CENTRALINA</v>
      </c>
      <c r="B1266" s="3" t="str">
        <f>"MG"</f>
        <v>MG</v>
      </c>
      <c r="C1266" s="3" t="str">
        <f t="shared" si="48"/>
        <v>BRASIL</v>
      </c>
      <c r="D1266" s="4" t="str">
        <f>"MG174"</f>
        <v>MG174</v>
      </c>
    </row>
    <row r="1267" spans="1:4" x14ac:dyDescent="0.3">
      <c r="A1267" s="2" t="str">
        <f>"CENTRO DO GUILHERME"</f>
        <v>CENTRO DO GUILHERME</v>
      </c>
      <c r="B1267" s="3" t="str">
        <f>"MA"</f>
        <v>MA</v>
      </c>
      <c r="C1267" s="3" t="str">
        <f t="shared" si="48"/>
        <v>BRASIL</v>
      </c>
      <c r="D1267" s="4" t="str">
        <f>"MA055"</f>
        <v>MA055</v>
      </c>
    </row>
    <row r="1268" spans="1:4" x14ac:dyDescent="0.3">
      <c r="A1268" s="2" t="str">
        <f>"CENTRO NOVO DO MARANHAO"</f>
        <v>CENTRO NOVO DO MARANHAO</v>
      </c>
      <c r="B1268" s="3" t="str">
        <f>"MA"</f>
        <v>MA</v>
      </c>
      <c r="C1268" s="3" t="str">
        <f t="shared" si="48"/>
        <v>BRASIL</v>
      </c>
      <c r="D1268" s="4" t="str">
        <f>"MA056"</f>
        <v>MA056</v>
      </c>
    </row>
    <row r="1269" spans="1:4" x14ac:dyDescent="0.3">
      <c r="A1269" s="2" t="str">
        <f>"CEREJEIRAS"</f>
        <v>CEREJEIRAS</v>
      </c>
      <c r="B1269" s="3" t="str">
        <f>"RO"</f>
        <v>RO</v>
      </c>
      <c r="C1269" s="3" t="str">
        <f t="shared" si="48"/>
        <v>BRASIL</v>
      </c>
      <c r="D1269" s="4" t="str">
        <f>"RO005"</f>
        <v>RO005</v>
      </c>
    </row>
    <row r="1270" spans="1:4" x14ac:dyDescent="0.3">
      <c r="A1270" s="2" t="str">
        <f>"CERES"</f>
        <v>CERES</v>
      </c>
      <c r="B1270" s="3" t="str">
        <f>"GO"</f>
        <v>GO</v>
      </c>
      <c r="C1270" s="3" t="str">
        <f t="shared" si="48"/>
        <v>BRASIL</v>
      </c>
      <c r="D1270" s="4" t="str">
        <f>"GO062"</f>
        <v>GO062</v>
      </c>
    </row>
    <row r="1271" spans="1:4" x14ac:dyDescent="0.3">
      <c r="A1271" s="2" t="str">
        <f>"CERQUEIRA CESAR"</f>
        <v>CERQUEIRA CESAR</v>
      </c>
      <c r="B1271" s="3" t="str">
        <f>"SP"</f>
        <v>SP</v>
      </c>
      <c r="C1271" s="3" t="str">
        <f t="shared" si="48"/>
        <v>BRASIL</v>
      </c>
      <c r="D1271" s="4" t="str">
        <f>"SP130"</f>
        <v>SP130</v>
      </c>
    </row>
    <row r="1272" spans="1:4" x14ac:dyDescent="0.3">
      <c r="A1272" s="2" t="str">
        <f>"CERQUILHO"</f>
        <v>CERQUILHO</v>
      </c>
      <c r="B1272" s="3" t="str">
        <f>"SP"</f>
        <v>SP</v>
      </c>
      <c r="C1272" s="3" t="str">
        <f t="shared" si="48"/>
        <v>BRASIL</v>
      </c>
      <c r="D1272" s="4" t="str">
        <f>"SP131"</f>
        <v>SP131</v>
      </c>
    </row>
    <row r="1273" spans="1:4" x14ac:dyDescent="0.3">
      <c r="A1273" s="2" t="str">
        <f>"CERRITO"</f>
        <v>CERRITO</v>
      </c>
      <c r="B1273" s="3" t="str">
        <f>"RS"</f>
        <v>RS</v>
      </c>
      <c r="C1273" s="3" t="str">
        <f t="shared" si="48"/>
        <v>BRASIL</v>
      </c>
      <c r="D1273" s="4" t="str">
        <f>"RS098"</f>
        <v>RS098</v>
      </c>
    </row>
    <row r="1274" spans="1:4" x14ac:dyDescent="0.3">
      <c r="A1274" s="2" t="str">
        <f>"CERRO AZUL"</f>
        <v>CERRO AZUL</v>
      </c>
      <c r="B1274" s="3" t="str">
        <f>"PR"</f>
        <v>PR</v>
      </c>
      <c r="C1274" s="3" t="str">
        <f t="shared" si="48"/>
        <v>BRASIL</v>
      </c>
      <c r="D1274" s="4" t="str">
        <f>"PR073"</f>
        <v>PR073</v>
      </c>
    </row>
    <row r="1275" spans="1:4" x14ac:dyDescent="0.3">
      <c r="A1275" s="2" t="str">
        <f>"CERRO BRANCO"</f>
        <v>CERRO BRANCO</v>
      </c>
      <c r="B1275" s="3" t="str">
        <f>"RS"</f>
        <v>RS</v>
      </c>
      <c r="C1275" s="3" t="str">
        <f t="shared" si="48"/>
        <v>BRASIL</v>
      </c>
      <c r="D1275" s="4" t="str">
        <f>"RS099"</f>
        <v>RS099</v>
      </c>
    </row>
    <row r="1276" spans="1:4" x14ac:dyDescent="0.3">
      <c r="A1276" s="2" t="str">
        <f>"CERRO CORA"</f>
        <v>CERRO CORA</v>
      </c>
      <c r="B1276" s="3" t="str">
        <f>"RN"</f>
        <v>RN</v>
      </c>
      <c r="C1276" s="3" t="str">
        <f t="shared" si="48"/>
        <v>BRASIL</v>
      </c>
      <c r="D1276" s="4" t="str">
        <f>"RN030"</f>
        <v>RN030</v>
      </c>
    </row>
    <row r="1277" spans="1:4" x14ac:dyDescent="0.3">
      <c r="A1277" s="2" t="str">
        <f>"CERRO GRANDE"</f>
        <v>CERRO GRANDE</v>
      </c>
      <c r="B1277" s="3" t="str">
        <f>"RS"</f>
        <v>RS</v>
      </c>
      <c r="C1277" s="3" t="str">
        <f t="shared" si="48"/>
        <v>BRASIL</v>
      </c>
      <c r="D1277" s="4" t="str">
        <f>"RS100"</f>
        <v>RS100</v>
      </c>
    </row>
    <row r="1278" spans="1:4" x14ac:dyDescent="0.3">
      <c r="A1278" s="2" t="str">
        <f>"CERRO GRANDE DO SUL"</f>
        <v>CERRO GRANDE DO SUL</v>
      </c>
      <c r="B1278" s="3" t="str">
        <f>"RS"</f>
        <v>RS</v>
      </c>
      <c r="C1278" s="3" t="str">
        <f t="shared" si="48"/>
        <v>BRASIL</v>
      </c>
      <c r="D1278" s="4" t="str">
        <f>"RS101"</f>
        <v>RS101</v>
      </c>
    </row>
    <row r="1279" spans="1:4" x14ac:dyDescent="0.3">
      <c r="A1279" s="2" t="str">
        <f>"CERRO LARGO"</f>
        <v>CERRO LARGO</v>
      </c>
      <c r="B1279" s="3" t="str">
        <f>"RS"</f>
        <v>RS</v>
      </c>
      <c r="C1279" s="3" t="str">
        <f t="shared" si="48"/>
        <v>BRASIL</v>
      </c>
      <c r="D1279" s="4" t="str">
        <f>"RS102"</f>
        <v>RS102</v>
      </c>
    </row>
    <row r="1280" spans="1:4" x14ac:dyDescent="0.3">
      <c r="A1280" s="2" t="str">
        <f>"CERRO NEGRO"</f>
        <v>CERRO NEGRO</v>
      </c>
      <c r="B1280" s="3" t="str">
        <f>"SC"</f>
        <v>SC</v>
      </c>
      <c r="C1280" s="3" t="str">
        <f t="shared" si="48"/>
        <v>BRASIL</v>
      </c>
      <c r="D1280" s="4" t="str">
        <f>"SC065"</f>
        <v>SC065</v>
      </c>
    </row>
    <row r="1281" spans="1:4" x14ac:dyDescent="0.3">
      <c r="A1281" s="2" t="str">
        <f>"CESARIO LANGE"</f>
        <v>CESARIO LANGE</v>
      </c>
      <c r="B1281" s="3" t="str">
        <f>"SP"</f>
        <v>SP</v>
      </c>
      <c r="C1281" s="3" t="str">
        <f t="shared" si="48"/>
        <v>BRASIL</v>
      </c>
      <c r="D1281" s="4" t="str">
        <f>"SP132"</f>
        <v>SP132</v>
      </c>
    </row>
    <row r="1282" spans="1:4" x14ac:dyDescent="0.3">
      <c r="A1282" s="2" t="str">
        <f>"CEU AZUL"</f>
        <v>CEU AZUL</v>
      </c>
      <c r="B1282" s="3" t="str">
        <f>"PR"</f>
        <v>PR</v>
      </c>
      <c r="C1282" s="3" t="str">
        <f t="shared" si="48"/>
        <v>BRASIL</v>
      </c>
      <c r="D1282" s="4" t="str">
        <f>"PR074"</f>
        <v>PR074</v>
      </c>
    </row>
    <row r="1283" spans="1:4" x14ac:dyDescent="0.3">
      <c r="A1283" s="2" t="str">
        <f>"CEZARINA"</f>
        <v>CEZARINA</v>
      </c>
      <c r="B1283" s="3" t="str">
        <f>"GO"</f>
        <v>GO</v>
      </c>
      <c r="C1283" s="3" t="str">
        <f t="shared" si="48"/>
        <v>BRASIL</v>
      </c>
      <c r="D1283" s="4" t="str">
        <f>"GO063"</f>
        <v>GO063</v>
      </c>
    </row>
    <row r="1284" spans="1:4" x14ac:dyDescent="0.3">
      <c r="A1284" s="2" t="str">
        <f>"CHA DE ALEGRIA"</f>
        <v>CHA DE ALEGRIA</v>
      </c>
      <c r="B1284" s="3" t="str">
        <f>"PE"</f>
        <v>PE</v>
      </c>
      <c r="C1284" s="3" t="str">
        <f t="shared" si="48"/>
        <v>BRASIL</v>
      </c>
      <c r="D1284" s="4" t="str">
        <f>"PE049"</f>
        <v>PE049</v>
      </c>
    </row>
    <row r="1285" spans="1:4" x14ac:dyDescent="0.3">
      <c r="A1285" s="2" t="str">
        <f>"CHA GRANDE"</f>
        <v>CHA GRANDE</v>
      </c>
      <c r="B1285" s="3" t="str">
        <f>"PE"</f>
        <v>PE</v>
      </c>
      <c r="C1285" s="3" t="str">
        <f t="shared" si="48"/>
        <v>BRASIL</v>
      </c>
      <c r="D1285" s="4" t="str">
        <f>"PE050"</f>
        <v>PE050</v>
      </c>
    </row>
    <row r="1286" spans="1:4" x14ac:dyDescent="0.3">
      <c r="A1286" s="2" t="str">
        <f>"CHA PRETA"</f>
        <v>CHA PRETA</v>
      </c>
      <c r="B1286" s="3" t="str">
        <f>"AL"</f>
        <v>AL</v>
      </c>
      <c r="C1286" s="3" t="str">
        <f t="shared" si="48"/>
        <v>BRASIL</v>
      </c>
      <c r="D1286" s="4" t="str">
        <f>"AL020"</f>
        <v>AL020</v>
      </c>
    </row>
    <row r="1287" spans="1:4" x14ac:dyDescent="0.3">
      <c r="A1287" s="2" t="str">
        <f>"CHACARA"</f>
        <v>CHACARA</v>
      </c>
      <c r="B1287" s="3" t="str">
        <f>"MG"</f>
        <v>MG</v>
      </c>
      <c r="C1287" s="3" t="str">
        <f t="shared" si="48"/>
        <v>BRASIL</v>
      </c>
      <c r="D1287" s="4" t="str">
        <f>"MG175"</f>
        <v>MG175</v>
      </c>
    </row>
    <row r="1288" spans="1:4" x14ac:dyDescent="0.3">
      <c r="A1288" s="2" t="str">
        <f>"CHALE"</f>
        <v>CHALE</v>
      </c>
      <c r="B1288" s="3" t="str">
        <f>"MG"</f>
        <v>MG</v>
      </c>
      <c r="C1288" s="3" t="str">
        <f t="shared" ref="C1288:C1305" si="49">"BRASIL"</f>
        <v>BRASIL</v>
      </c>
      <c r="D1288" s="4" t="str">
        <f>"MG176"</f>
        <v>MG176</v>
      </c>
    </row>
    <row r="1289" spans="1:4" x14ac:dyDescent="0.3">
      <c r="A1289" s="2" t="str">
        <f>"CHAPADA"</f>
        <v>CHAPADA</v>
      </c>
      <c r="B1289" s="3" t="str">
        <f>"RS"</f>
        <v>RS</v>
      </c>
      <c r="C1289" s="3" t="str">
        <f t="shared" si="49"/>
        <v>BRASIL</v>
      </c>
      <c r="D1289" s="4" t="str">
        <f>"RS103"</f>
        <v>RS103</v>
      </c>
    </row>
    <row r="1290" spans="1:4" x14ac:dyDescent="0.3">
      <c r="A1290" s="2" t="str">
        <f>"CHAPADA DA NATIVIDADE"</f>
        <v>CHAPADA DA NATIVIDADE</v>
      </c>
      <c r="B1290" s="3" t="str">
        <f>"TO"</f>
        <v>TO</v>
      </c>
      <c r="C1290" s="3" t="str">
        <f t="shared" si="49"/>
        <v>BRASIL</v>
      </c>
      <c r="D1290" s="4" t="str">
        <f>"TO037"</f>
        <v>TO037</v>
      </c>
    </row>
    <row r="1291" spans="1:4" x14ac:dyDescent="0.3">
      <c r="A1291" s="2" t="str">
        <f>"CHAPADA DE AREIA"</f>
        <v>CHAPADA DE AREIA</v>
      </c>
      <c r="B1291" s="3" t="str">
        <f>"TO"</f>
        <v>TO</v>
      </c>
      <c r="C1291" s="3" t="str">
        <f t="shared" si="49"/>
        <v>BRASIL</v>
      </c>
      <c r="D1291" s="4" t="str">
        <f>"TO036"</f>
        <v>TO036</v>
      </c>
    </row>
    <row r="1292" spans="1:4" x14ac:dyDescent="0.3">
      <c r="A1292" s="2" t="str">
        <f>"CHAPADA DO NORTE"</f>
        <v>CHAPADA DO NORTE</v>
      </c>
      <c r="B1292" s="3" t="str">
        <f>"MG"</f>
        <v>MG</v>
      </c>
      <c r="C1292" s="3" t="str">
        <f t="shared" si="49"/>
        <v>BRASIL</v>
      </c>
      <c r="D1292" s="4" t="str">
        <f>"MG177"</f>
        <v>MG177</v>
      </c>
    </row>
    <row r="1293" spans="1:4" x14ac:dyDescent="0.3">
      <c r="A1293" s="2" t="str">
        <f>"CHAPADA DOS GUIMARAES"</f>
        <v>CHAPADA DOS GUIMARAES</v>
      </c>
      <c r="B1293" s="3" t="str">
        <f>"MT"</f>
        <v>MT</v>
      </c>
      <c r="C1293" s="3" t="str">
        <f t="shared" si="49"/>
        <v>BRASIL</v>
      </c>
      <c r="D1293" s="4" t="str">
        <f>"MT029"</f>
        <v>MT029</v>
      </c>
    </row>
    <row r="1294" spans="1:4" x14ac:dyDescent="0.3">
      <c r="A1294" s="2" t="str">
        <f>"CHAPADA GAUCHA"</f>
        <v>CHAPADA GAUCHA</v>
      </c>
      <c r="B1294" s="3" t="str">
        <f>"MG"</f>
        <v>MG</v>
      </c>
      <c r="C1294" s="3" t="str">
        <f t="shared" si="49"/>
        <v>BRASIL</v>
      </c>
      <c r="D1294" s="4" t="str">
        <f>"MG178"</f>
        <v>MG178</v>
      </c>
    </row>
    <row r="1295" spans="1:4" x14ac:dyDescent="0.3">
      <c r="A1295" s="2" t="str">
        <f>"CHAPADAO DO CEU"</f>
        <v>CHAPADAO DO CEU</v>
      </c>
      <c r="B1295" s="3" t="str">
        <f>"GO"</f>
        <v>GO</v>
      </c>
      <c r="C1295" s="3" t="str">
        <f t="shared" si="49"/>
        <v>BRASIL</v>
      </c>
      <c r="D1295" s="4" t="str">
        <f>"GO064"</f>
        <v>GO064</v>
      </c>
    </row>
    <row r="1296" spans="1:4" x14ac:dyDescent="0.3">
      <c r="A1296" s="2" t="str">
        <f>"CHAPADAO DO LAGEADO"</f>
        <v>CHAPADAO DO LAGEADO</v>
      </c>
      <c r="B1296" s="3" t="str">
        <f>"SC"</f>
        <v>SC</v>
      </c>
      <c r="C1296" s="3" t="str">
        <f t="shared" si="49"/>
        <v>BRASIL</v>
      </c>
      <c r="D1296" s="4" t="str">
        <f>"SC066"</f>
        <v>SC066</v>
      </c>
    </row>
    <row r="1297" spans="1:4" x14ac:dyDescent="0.3">
      <c r="A1297" s="2" t="str">
        <f>"CHAPADAO DO SUL"</f>
        <v>CHAPADAO DO SUL</v>
      </c>
      <c r="B1297" s="3" t="str">
        <f>"MS"</f>
        <v>MS</v>
      </c>
      <c r="C1297" s="3" t="str">
        <f t="shared" si="49"/>
        <v>BRASIL</v>
      </c>
      <c r="D1297" s="4" t="str">
        <f>"MS023"</f>
        <v>MS023</v>
      </c>
    </row>
    <row r="1298" spans="1:4" x14ac:dyDescent="0.3">
      <c r="A1298" s="2" t="str">
        <f>"CHAPADINHA"</f>
        <v>CHAPADINHA</v>
      </c>
      <c r="B1298" s="3" t="str">
        <f>"MA"</f>
        <v>MA</v>
      </c>
      <c r="C1298" s="3" t="str">
        <f t="shared" si="49"/>
        <v>BRASIL</v>
      </c>
      <c r="D1298" s="4" t="str">
        <f>"MA057"</f>
        <v>MA057</v>
      </c>
    </row>
    <row r="1299" spans="1:4" x14ac:dyDescent="0.3">
      <c r="A1299" s="2" t="str">
        <f>"CHAPECO"</f>
        <v>CHAPECO</v>
      </c>
      <c r="B1299" s="3" t="str">
        <f>"SC"</f>
        <v>SC</v>
      </c>
      <c r="C1299" s="3" t="str">
        <f t="shared" si="49"/>
        <v>BRASIL</v>
      </c>
      <c r="D1299" s="4" t="str">
        <f>"SC067"</f>
        <v>SC067</v>
      </c>
    </row>
    <row r="1300" spans="1:4" x14ac:dyDescent="0.3">
      <c r="A1300" s="2" t="str">
        <f>"CHARQUEADA"</f>
        <v>CHARQUEADA</v>
      </c>
      <c r="B1300" s="3" t="str">
        <f>"SP"</f>
        <v>SP</v>
      </c>
      <c r="C1300" s="3" t="str">
        <f t="shared" si="49"/>
        <v>BRASIL</v>
      </c>
      <c r="D1300" s="4" t="str">
        <f>"SP133"</f>
        <v>SP133</v>
      </c>
    </row>
    <row r="1301" spans="1:4" x14ac:dyDescent="0.3">
      <c r="A1301" s="2" t="str">
        <f>"CHARQUEADAS"</f>
        <v>CHARQUEADAS</v>
      </c>
      <c r="B1301" s="3" t="str">
        <f>"RS"</f>
        <v>RS</v>
      </c>
      <c r="C1301" s="3" t="str">
        <f t="shared" si="49"/>
        <v>BRASIL</v>
      </c>
      <c r="D1301" s="4" t="str">
        <f>"RS104"</f>
        <v>RS104</v>
      </c>
    </row>
    <row r="1302" spans="1:4" x14ac:dyDescent="0.3">
      <c r="A1302" s="2" t="str">
        <f>"CHARRUA"</f>
        <v>CHARRUA</v>
      </c>
      <c r="B1302" s="3" t="str">
        <f>"RS"</f>
        <v>RS</v>
      </c>
      <c r="C1302" s="3" t="str">
        <f t="shared" si="49"/>
        <v>BRASIL</v>
      </c>
      <c r="D1302" s="4" t="str">
        <f>"RS105"</f>
        <v>RS105</v>
      </c>
    </row>
    <row r="1303" spans="1:4" x14ac:dyDescent="0.3">
      <c r="A1303" s="2" t="str">
        <f>"CHAVAL"</f>
        <v>CHAVAL</v>
      </c>
      <c r="B1303" s="3" t="str">
        <f>"CE"</f>
        <v>CE</v>
      </c>
      <c r="C1303" s="3" t="str">
        <f t="shared" si="49"/>
        <v>BRASIL</v>
      </c>
      <c r="D1303" s="4" t="str">
        <f>"CE046"</f>
        <v>CE046</v>
      </c>
    </row>
    <row r="1304" spans="1:4" x14ac:dyDescent="0.3">
      <c r="A1304" s="2" t="str">
        <f>"CHAVANTES"</f>
        <v>CHAVANTES</v>
      </c>
      <c r="B1304" s="3" t="str">
        <f>"SP"</f>
        <v>SP</v>
      </c>
      <c r="C1304" s="3" t="str">
        <f t="shared" si="49"/>
        <v>BRASIL</v>
      </c>
      <c r="D1304" s="4" t="str">
        <f>"SP644"</f>
        <v>SP644</v>
      </c>
    </row>
    <row r="1305" spans="1:4" x14ac:dyDescent="0.3">
      <c r="A1305" s="2" t="str">
        <f>"CHAVES"</f>
        <v>CHAVES</v>
      </c>
      <c r="B1305" s="3" t="str">
        <f>"PA"</f>
        <v>PA</v>
      </c>
      <c r="C1305" s="3" t="str">
        <f t="shared" si="49"/>
        <v>BRASIL</v>
      </c>
      <c r="D1305" s="4" t="str">
        <f>"PA037"</f>
        <v>PA037</v>
      </c>
    </row>
    <row r="1306" spans="1:4" x14ac:dyDescent="0.3">
      <c r="A1306" s="2" t="str">
        <f>"CHENGDU"</f>
        <v>CHENGDU</v>
      </c>
      <c r="B1306" s="3" t="str">
        <f>"EX"</f>
        <v>EX</v>
      </c>
      <c r="C1306" s="3" t="str">
        <f>"CHINA"</f>
        <v>CHINA</v>
      </c>
      <c r="D1306" s="4" t="str">
        <f>"CHENG"</f>
        <v>CHENG</v>
      </c>
    </row>
    <row r="1307" spans="1:4" x14ac:dyDescent="0.3">
      <c r="A1307" s="2" t="str">
        <f>"CHIADOR"</f>
        <v>CHIADOR</v>
      </c>
      <c r="B1307" s="3" t="str">
        <f>"MG"</f>
        <v>MG</v>
      </c>
      <c r="C1307" s="3" t="str">
        <f>"BRASIL"</f>
        <v>BRASIL</v>
      </c>
      <c r="D1307" s="4" t="str">
        <f>"MG179"</f>
        <v>MG179</v>
      </c>
    </row>
    <row r="1308" spans="1:4" x14ac:dyDescent="0.3">
      <c r="A1308" s="2" t="str">
        <f>"CHIAPETTA"</f>
        <v>CHIAPETTA</v>
      </c>
      <c r="B1308" s="3" t="str">
        <f>"RS"</f>
        <v>RS</v>
      </c>
      <c r="C1308" s="3" t="str">
        <f>"BRASIL"</f>
        <v>BRASIL</v>
      </c>
      <c r="D1308" s="4" t="str">
        <f>"RS106"</f>
        <v>RS106</v>
      </c>
    </row>
    <row r="1309" spans="1:4" x14ac:dyDescent="0.3">
      <c r="A1309" s="2" t="str">
        <f>"CHIHUAHUA"</f>
        <v>CHIHUAHUA</v>
      </c>
      <c r="B1309" s="3" t="str">
        <f>"EX"</f>
        <v>EX</v>
      </c>
      <c r="C1309" s="3" t="str">
        <f>"MEXICO"</f>
        <v>MEXICO</v>
      </c>
      <c r="D1309" s="4" t="str">
        <f>"MEX00"</f>
        <v>MEX00</v>
      </c>
    </row>
    <row r="1310" spans="1:4" x14ac:dyDescent="0.3">
      <c r="A1310" s="2" t="str">
        <f>"CHIHUAHUA"</f>
        <v>CHIHUAHUA</v>
      </c>
      <c r="B1310" s="3" t="str">
        <f>"MEX"</f>
        <v>MEX</v>
      </c>
      <c r="C1310" s="3" t="str">
        <f>"MEXICO"</f>
        <v>MEXICO</v>
      </c>
      <c r="D1310" s="4" t="str">
        <f>"CHI"</f>
        <v>CHI</v>
      </c>
    </row>
    <row r="1311" spans="1:4" x14ac:dyDescent="0.3">
      <c r="A1311" s="2" t="str">
        <f>"CHOPINZINHO"</f>
        <v>CHOPINZINHO</v>
      </c>
      <c r="B1311" s="3" t="str">
        <f>"PR"</f>
        <v>PR</v>
      </c>
      <c r="C1311" s="3" t="str">
        <f>"BRASIL"</f>
        <v>BRASIL</v>
      </c>
      <c r="D1311" s="4" t="str">
        <f>"PR075"</f>
        <v>PR075</v>
      </c>
    </row>
    <row r="1312" spans="1:4" x14ac:dyDescent="0.3">
      <c r="A1312" s="2" t="str">
        <f>"CHORO"</f>
        <v>CHORO</v>
      </c>
      <c r="B1312" s="3" t="str">
        <f>"CE"</f>
        <v>CE</v>
      </c>
      <c r="C1312" s="3" t="str">
        <f>"BRASIL"</f>
        <v>BRASIL</v>
      </c>
      <c r="D1312" s="4" t="str">
        <f>"CE047"</f>
        <v>CE047</v>
      </c>
    </row>
    <row r="1313" spans="1:4" x14ac:dyDescent="0.3">
      <c r="A1313" s="2" t="str">
        <f>"CHOROZINHO"</f>
        <v>CHOROZINHO</v>
      </c>
      <c r="B1313" s="3" t="str">
        <f>"CE"</f>
        <v>CE</v>
      </c>
      <c r="C1313" s="3" t="str">
        <f>"BRASIL"</f>
        <v>BRASIL</v>
      </c>
      <c r="D1313" s="4" t="str">
        <f>"CE048"</f>
        <v>CE048</v>
      </c>
    </row>
    <row r="1314" spans="1:4" x14ac:dyDescent="0.3">
      <c r="A1314" s="2" t="str">
        <f>"CHORRILLOS"</f>
        <v>CHORRILLOS</v>
      </c>
      <c r="B1314" s="3" t="str">
        <f>"EX"</f>
        <v>EX</v>
      </c>
      <c r="C1314" s="3" t="str">
        <f>"PERU"</f>
        <v>PERU</v>
      </c>
      <c r="D1314" s="4" t="str">
        <f>"CHORR"</f>
        <v>CHORR</v>
      </c>
    </row>
    <row r="1315" spans="1:4" x14ac:dyDescent="0.3">
      <c r="A1315" s="2" t="str">
        <f>"CHORROCHO"</f>
        <v>CHORROCHO</v>
      </c>
      <c r="B1315" s="3" t="str">
        <f>"BA"</f>
        <v>BA</v>
      </c>
      <c r="C1315" s="3" t="str">
        <f t="shared" ref="C1315:C1324" si="50">"BRASIL"</f>
        <v>BRASIL</v>
      </c>
      <c r="D1315" s="4" t="str">
        <f>"BA096"</f>
        <v>BA096</v>
      </c>
    </row>
    <row r="1316" spans="1:4" x14ac:dyDescent="0.3">
      <c r="A1316" s="2" t="str">
        <f>"CHUI"</f>
        <v>CHUI</v>
      </c>
      <c r="B1316" s="3" t="str">
        <f>"RS"</f>
        <v>RS</v>
      </c>
      <c r="C1316" s="3" t="str">
        <f t="shared" si="50"/>
        <v>BRASIL</v>
      </c>
      <c r="D1316" s="4" t="str">
        <f>"RS107"</f>
        <v>RS107</v>
      </c>
    </row>
    <row r="1317" spans="1:4" x14ac:dyDescent="0.3">
      <c r="A1317" s="2" t="str">
        <f>"CHUPINGUAIA"</f>
        <v>CHUPINGUAIA</v>
      </c>
      <c r="B1317" s="3" t="str">
        <f>"RO"</f>
        <v>RO</v>
      </c>
      <c r="C1317" s="3" t="str">
        <f t="shared" si="50"/>
        <v>BRASIL</v>
      </c>
      <c r="D1317" s="4" t="str">
        <f>"RO034"</f>
        <v>RO034</v>
      </c>
    </row>
    <row r="1318" spans="1:4" x14ac:dyDescent="0.3">
      <c r="A1318" s="2" t="str">
        <f>"CHUVISCA"</f>
        <v>CHUVISCA</v>
      </c>
      <c r="B1318" s="3" t="str">
        <f>"RS"</f>
        <v>RS</v>
      </c>
      <c r="C1318" s="3" t="str">
        <f t="shared" si="50"/>
        <v>BRASIL</v>
      </c>
      <c r="D1318" s="4" t="str">
        <f>"RS108"</f>
        <v>RS108</v>
      </c>
    </row>
    <row r="1319" spans="1:4" x14ac:dyDescent="0.3">
      <c r="A1319" s="2" t="str">
        <f>"CIANORTE"</f>
        <v>CIANORTE</v>
      </c>
      <c r="B1319" s="3" t="str">
        <f>"PR"</f>
        <v>PR</v>
      </c>
      <c r="C1319" s="3" t="str">
        <f t="shared" si="50"/>
        <v>BRASIL</v>
      </c>
      <c r="D1319" s="4" t="str">
        <f>"PR076"</f>
        <v>PR076</v>
      </c>
    </row>
    <row r="1320" spans="1:4" x14ac:dyDescent="0.3">
      <c r="A1320" s="2" t="str">
        <f>"CICERO DANTAS"</f>
        <v>CICERO DANTAS</v>
      </c>
      <c r="B1320" s="3" t="str">
        <f>"BA"</f>
        <v>BA</v>
      </c>
      <c r="C1320" s="3" t="str">
        <f t="shared" si="50"/>
        <v>BRASIL</v>
      </c>
      <c r="D1320" s="4" t="str">
        <f>"BA097"</f>
        <v>BA097</v>
      </c>
    </row>
    <row r="1321" spans="1:4" x14ac:dyDescent="0.3">
      <c r="A1321" s="2" t="str">
        <f>"CIDADE GAUCHA"</f>
        <v>CIDADE GAUCHA</v>
      </c>
      <c r="B1321" s="3" t="str">
        <f>"PR"</f>
        <v>PR</v>
      </c>
      <c r="C1321" s="3" t="str">
        <f t="shared" si="50"/>
        <v>BRASIL</v>
      </c>
      <c r="D1321" s="4" t="str">
        <f>"PR077"</f>
        <v>PR077</v>
      </c>
    </row>
    <row r="1322" spans="1:4" x14ac:dyDescent="0.3">
      <c r="A1322" s="2" t="str">
        <f>"CIDADE OCIDENTAL"</f>
        <v>CIDADE OCIDENTAL</v>
      </c>
      <c r="B1322" s="3" t="str">
        <f>"GO"</f>
        <v>GO</v>
      </c>
      <c r="C1322" s="3" t="str">
        <f t="shared" si="50"/>
        <v>BRASIL</v>
      </c>
      <c r="D1322" s="4" t="str">
        <f>"GO065"</f>
        <v>GO065</v>
      </c>
    </row>
    <row r="1323" spans="1:4" x14ac:dyDescent="0.3">
      <c r="A1323" s="2" t="str">
        <f>"CIDELANDIA"</f>
        <v>CIDELANDIA</v>
      </c>
      <c r="B1323" s="3" t="str">
        <f>"MA"</f>
        <v>MA</v>
      </c>
      <c r="C1323" s="3" t="str">
        <f t="shared" si="50"/>
        <v>BRASIL</v>
      </c>
      <c r="D1323" s="4" t="str">
        <f>"MA058"</f>
        <v>MA058</v>
      </c>
    </row>
    <row r="1324" spans="1:4" x14ac:dyDescent="0.3">
      <c r="A1324" s="2" t="str">
        <f>"CIDREIRA"</f>
        <v>CIDREIRA</v>
      </c>
      <c r="B1324" s="3" t="str">
        <f>"RS"</f>
        <v>RS</v>
      </c>
      <c r="C1324" s="3" t="str">
        <f t="shared" si="50"/>
        <v>BRASIL</v>
      </c>
      <c r="D1324" s="4" t="str">
        <f>"RS109"</f>
        <v>RS109</v>
      </c>
    </row>
    <row r="1325" spans="1:4" x14ac:dyDescent="0.3">
      <c r="A1325" s="2" t="str">
        <f>"CINGAPURA"</f>
        <v>CINGAPURA</v>
      </c>
      <c r="B1325" s="3" t="str">
        <f>"EX"</f>
        <v>EX</v>
      </c>
      <c r="C1325" s="3" t="str">
        <f>"CINGAPURA"</f>
        <v>CINGAPURA</v>
      </c>
      <c r="D1325" s="4" t="str">
        <f>"SING"</f>
        <v>SING</v>
      </c>
    </row>
    <row r="1326" spans="1:4" x14ac:dyDescent="0.3">
      <c r="A1326" s="2" t="str">
        <f>"CIPO"</f>
        <v>CIPO</v>
      </c>
      <c r="B1326" s="3" t="str">
        <f>"BA"</f>
        <v>BA</v>
      </c>
      <c r="C1326" s="3" t="str">
        <f>"BRASIL"</f>
        <v>BRASIL</v>
      </c>
      <c r="D1326" s="4" t="str">
        <f>"BA098"</f>
        <v>BA098</v>
      </c>
    </row>
    <row r="1327" spans="1:4" x14ac:dyDescent="0.3">
      <c r="A1327" s="2" t="str">
        <f>"CIPOTANEA"</f>
        <v>CIPOTANEA</v>
      </c>
      <c r="B1327" s="3" t="str">
        <f>"MG"</f>
        <v>MG</v>
      </c>
      <c r="C1327" s="3" t="str">
        <f>"BRASIL"</f>
        <v>BRASIL</v>
      </c>
      <c r="D1327" s="4" t="str">
        <f>"MG180"</f>
        <v>MG180</v>
      </c>
    </row>
    <row r="1328" spans="1:4" x14ac:dyDescent="0.3">
      <c r="A1328" s="2" t="str">
        <f>"CIRIACO"</f>
        <v>CIRIACO</v>
      </c>
      <c r="B1328" s="3" t="str">
        <f>"RS"</f>
        <v>RS</v>
      </c>
      <c r="C1328" s="3" t="str">
        <f>"BRASIL"</f>
        <v>BRASIL</v>
      </c>
      <c r="D1328" s="4" t="str">
        <f>"RS110"</f>
        <v>RS110</v>
      </c>
    </row>
    <row r="1329" spans="1:4" x14ac:dyDescent="0.3">
      <c r="A1329" s="2" t="str">
        <f>"CIUDAD DE MEXICO CM"</f>
        <v>CIUDAD DE MEXICO CM</v>
      </c>
      <c r="B1329" s="3" t="str">
        <f>"EX"</f>
        <v>EX</v>
      </c>
      <c r="C1329" s="3" t="str">
        <f>"MEXICO"</f>
        <v>MEXICO</v>
      </c>
      <c r="D1329" s="4" t="str">
        <f>"MEXIC"</f>
        <v>MEXIC</v>
      </c>
    </row>
    <row r="1330" spans="1:4" x14ac:dyDescent="0.3">
      <c r="A1330" s="2" t="str">
        <f>"CLARAVAL"</f>
        <v>CLARAVAL</v>
      </c>
      <c r="B1330" s="3" t="str">
        <f>"MG"</f>
        <v>MG</v>
      </c>
      <c r="C1330" s="3" t="str">
        <f>"BRASIL"</f>
        <v>BRASIL</v>
      </c>
      <c r="D1330" s="4" t="str">
        <f>"MG181"</f>
        <v>MG181</v>
      </c>
    </row>
    <row r="1331" spans="1:4" x14ac:dyDescent="0.3">
      <c r="A1331" s="2" t="str">
        <f>"CLARO DOS POCÕES"</f>
        <v>CLARO DOS POCÕES</v>
      </c>
      <c r="B1331" s="3" t="str">
        <f>"MG"</f>
        <v>MG</v>
      </c>
      <c r="C1331" s="3" t="str">
        <f>"BRASIL"</f>
        <v>BRASIL</v>
      </c>
      <c r="D1331" s="4" t="str">
        <f>"MG182"</f>
        <v>MG182</v>
      </c>
    </row>
    <row r="1332" spans="1:4" x14ac:dyDescent="0.3">
      <c r="A1332" s="2" t="str">
        <f>"CLAUDIA"</f>
        <v>CLAUDIA</v>
      </c>
      <c r="B1332" s="3" t="str">
        <f>"MT"</f>
        <v>MT</v>
      </c>
      <c r="C1332" s="3" t="str">
        <f>"BRASIL"</f>
        <v>BRASIL</v>
      </c>
      <c r="D1332" s="4" t="str">
        <f>"MT030"</f>
        <v>MT030</v>
      </c>
    </row>
    <row r="1333" spans="1:4" x14ac:dyDescent="0.3">
      <c r="A1333" s="2" t="str">
        <f>"CLAUDIO"</f>
        <v>CLAUDIO</v>
      </c>
      <c r="B1333" s="3" t="str">
        <f>"MG"</f>
        <v>MG</v>
      </c>
      <c r="C1333" s="3" t="str">
        <f>"BRASIL"</f>
        <v>BRASIL</v>
      </c>
      <c r="D1333" s="4" t="str">
        <f>"MG183"</f>
        <v>MG183</v>
      </c>
    </row>
    <row r="1334" spans="1:4" x14ac:dyDescent="0.3">
      <c r="A1334" s="2" t="str">
        <f>"CLEMENTINA"</f>
        <v>CLEMENTINA</v>
      </c>
      <c r="B1334" s="3" t="str">
        <f>"SP"</f>
        <v>SP</v>
      </c>
      <c r="C1334" s="3" t="str">
        <f>"BRASIL"</f>
        <v>BRASIL</v>
      </c>
      <c r="D1334" s="4" t="str">
        <f>"SP134"</f>
        <v>SP134</v>
      </c>
    </row>
    <row r="1335" spans="1:4" x14ac:dyDescent="0.3">
      <c r="A1335" s="2" t="str">
        <f>"CLEVELAND"</f>
        <v>CLEVELAND</v>
      </c>
      <c r="B1335" s="3" t="str">
        <f>"EX"</f>
        <v>EX</v>
      </c>
      <c r="C1335" s="3" t="str">
        <f>"AFRICA DO SUL"</f>
        <v>AFRICA DO SUL</v>
      </c>
      <c r="D1335" s="4" t="str">
        <f>"CLEVE"</f>
        <v>CLEVE</v>
      </c>
    </row>
    <row r="1336" spans="1:4" x14ac:dyDescent="0.3">
      <c r="A1336" s="2" t="str">
        <f>"CLEVELANDIA"</f>
        <v>CLEVELANDIA</v>
      </c>
      <c r="B1336" s="3" t="str">
        <f>"PR"</f>
        <v>PR</v>
      </c>
      <c r="C1336" s="3" t="str">
        <f>"BRASIL"</f>
        <v>BRASIL</v>
      </c>
      <c r="D1336" s="4" t="str">
        <f>"PR078"</f>
        <v>PR078</v>
      </c>
    </row>
    <row r="1337" spans="1:4" x14ac:dyDescent="0.3">
      <c r="A1337" s="2" t="str">
        <f>"COARACI"</f>
        <v>COARACI</v>
      </c>
      <c r="B1337" s="3" t="str">
        <f>"BA"</f>
        <v>BA</v>
      </c>
      <c r="C1337" s="3" t="str">
        <f>"BRASIL"</f>
        <v>BRASIL</v>
      </c>
      <c r="D1337" s="4" t="str">
        <f>"BA099"</f>
        <v>BA099</v>
      </c>
    </row>
    <row r="1338" spans="1:4" x14ac:dyDescent="0.3">
      <c r="A1338" s="2" t="str">
        <f>"COARI"</f>
        <v>COARI</v>
      </c>
      <c r="B1338" s="3" t="str">
        <f>"AM"</f>
        <v>AM</v>
      </c>
      <c r="C1338" s="3" t="str">
        <f>"BRASIL"</f>
        <v>BRASIL</v>
      </c>
      <c r="D1338" s="4" t="str">
        <f>"AM020"</f>
        <v>AM020</v>
      </c>
    </row>
    <row r="1339" spans="1:4" x14ac:dyDescent="0.3">
      <c r="A1339" s="2" t="str">
        <f>"COBOURG"</f>
        <v>COBOURG</v>
      </c>
      <c r="B1339" s="3" t="str">
        <f>"EX"</f>
        <v>EX</v>
      </c>
      <c r="C1339" s="3" t="str">
        <f>"CANADA"</f>
        <v>CANADA</v>
      </c>
      <c r="D1339" s="4" t="str">
        <f>"COB"</f>
        <v>COB</v>
      </c>
    </row>
    <row r="1340" spans="1:4" x14ac:dyDescent="0.3">
      <c r="A1340" s="2" t="str">
        <f>"COCAL"</f>
        <v>COCAL</v>
      </c>
      <c r="B1340" s="3" t="str">
        <f>"PI"</f>
        <v>PI</v>
      </c>
      <c r="C1340" s="3" t="str">
        <f t="shared" ref="C1340:C1360" si="51">"BRASIL"</f>
        <v>BRASIL</v>
      </c>
      <c r="D1340" s="4" t="str">
        <f>"PI057"</f>
        <v>PI057</v>
      </c>
    </row>
    <row r="1341" spans="1:4" x14ac:dyDescent="0.3">
      <c r="A1341" s="2" t="str">
        <f>"COCAL DE TELHA"</f>
        <v>COCAL DE TELHA</v>
      </c>
      <c r="B1341" s="3" t="str">
        <f>"PI"</f>
        <v>PI</v>
      </c>
      <c r="C1341" s="3" t="str">
        <f t="shared" si="51"/>
        <v>BRASIL</v>
      </c>
      <c r="D1341" s="4" t="str">
        <f>"PI058"</f>
        <v>PI058</v>
      </c>
    </row>
    <row r="1342" spans="1:4" x14ac:dyDescent="0.3">
      <c r="A1342" s="2" t="str">
        <f>"COCAL DO SUL"</f>
        <v>COCAL DO SUL</v>
      </c>
      <c r="B1342" s="3" t="str">
        <f>"SC"</f>
        <v>SC</v>
      </c>
      <c r="C1342" s="3" t="str">
        <f t="shared" si="51"/>
        <v>BRASIL</v>
      </c>
      <c r="D1342" s="4" t="str">
        <f>"SC068"</f>
        <v>SC068</v>
      </c>
    </row>
    <row r="1343" spans="1:4" x14ac:dyDescent="0.3">
      <c r="A1343" s="2" t="str">
        <f>"COCAL DOS ALVES"</f>
        <v>COCAL DOS ALVES</v>
      </c>
      <c r="B1343" s="3" t="str">
        <f>"PI"</f>
        <v>PI</v>
      </c>
      <c r="C1343" s="3" t="str">
        <f t="shared" si="51"/>
        <v>BRASIL</v>
      </c>
      <c r="D1343" s="4" t="str">
        <f>"PI059"</f>
        <v>PI059</v>
      </c>
    </row>
    <row r="1344" spans="1:4" x14ac:dyDescent="0.3">
      <c r="A1344" s="2" t="str">
        <f>"COCALINHO"</f>
        <v>COCALINHO</v>
      </c>
      <c r="B1344" s="3" t="str">
        <f>"MT"</f>
        <v>MT</v>
      </c>
      <c r="C1344" s="3" t="str">
        <f t="shared" si="51"/>
        <v>BRASIL</v>
      </c>
      <c r="D1344" s="4" t="str">
        <f>"MT031"</f>
        <v>MT031</v>
      </c>
    </row>
    <row r="1345" spans="1:4" x14ac:dyDescent="0.3">
      <c r="A1345" s="2" t="str">
        <f>"COCALZINHO DE GOIAS"</f>
        <v>COCALZINHO DE GOIAS</v>
      </c>
      <c r="B1345" s="3" t="str">
        <f>"GO"</f>
        <v>GO</v>
      </c>
      <c r="C1345" s="3" t="str">
        <f t="shared" si="51"/>
        <v>BRASIL</v>
      </c>
      <c r="D1345" s="4" t="str">
        <f>"GO066"</f>
        <v>GO066</v>
      </c>
    </row>
    <row r="1346" spans="1:4" x14ac:dyDescent="0.3">
      <c r="A1346" s="2" t="str">
        <f>"COCOS"</f>
        <v>COCOS</v>
      </c>
      <c r="B1346" s="3" t="str">
        <f>"BA"</f>
        <v>BA</v>
      </c>
      <c r="C1346" s="3" t="str">
        <f t="shared" si="51"/>
        <v>BRASIL</v>
      </c>
      <c r="D1346" s="4" t="str">
        <f>"BA100"</f>
        <v>BA100</v>
      </c>
    </row>
    <row r="1347" spans="1:4" x14ac:dyDescent="0.3">
      <c r="A1347" s="2" t="str">
        <f>"CODAJAS"</f>
        <v>CODAJAS</v>
      </c>
      <c r="B1347" s="3" t="str">
        <f>"AM"</f>
        <v>AM</v>
      </c>
      <c r="C1347" s="3" t="str">
        <f t="shared" si="51"/>
        <v>BRASIL</v>
      </c>
      <c r="D1347" s="4" t="str">
        <f>"AM021"</f>
        <v>AM021</v>
      </c>
    </row>
    <row r="1348" spans="1:4" x14ac:dyDescent="0.3">
      <c r="A1348" s="2" t="str">
        <f>"CODO"</f>
        <v>CODO</v>
      </c>
      <c r="B1348" s="3" t="str">
        <f>"MA"</f>
        <v>MA</v>
      </c>
      <c r="C1348" s="3" t="str">
        <f t="shared" si="51"/>
        <v>BRASIL</v>
      </c>
      <c r="D1348" s="4" t="str">
        <f>"MA059"</f>
        <v>MA059</v>
      </c>
    </row>
    <row r="1349" spans="1:4" x14ac:dyDescent="0.3">
      <c r="A1349" s="2" t="str">
        <f>"COELHO NETO"</f>
        <v>COELHO NETO</v>
      </c>
      <c r="B1349" s="3" t="str">
        <f>"MA"</f>
        <v>MA</v>
      </c>
      <c r="C1349" s="3" t="str">
        <f t="shared" si="51"/>
        <v>BRASIL</v>
      </c>
      <c r="D1349" s="4" t="str">
        <f>"MA060"</f>
        <v>MA060</v>
      </c>
    </row>
    <row r="1350" spans="1:4" x14ac:dyDescent="0.3">
      <c r="A1350" s="2" t="str">
        <f>"COIMBRA"</f>
        <v>COIMBRA</v>
      </c>
      <c r="B1350" s="3" t="str">
        <f>"MG"</f>
        <v>MG</v>
      </c>
      <c r="C1350" s="3" t="str">
        <f t="shared" si="51"/>
        <v>BRASIL</v>
      </c>
      <c r="D1350" s="4" t="str">
        <f>"MG184"</f>
        <v>MG184</v>
      </c>
    </row>
    <row r="1351" spans="1:4" x14ac:dyDescent="0.3">
      <c r="A1351" s="2" t="str">
        <f>"COITE DO NOIA"</f>
        <v>COITE DO NOIA</v>
      </c>
      <c r="B1351" s="3" t="str">
        <f>"AL"</f>
        <v>AL</v>
      </c>
      <c r="C1351" s="3" t="str">
        <f t="shared" si="51"/>
        <v>BRASIL</v>
      </c>
      <c r="D1351" s="4" t="str">
        <f>"AL021"</f>
        <v>AL021</v>
      </c>
    </row>
    <row r="1352" spans="1:4" x14ac:dyDescent="0.3">
      <c r="A1352" s="2" t="str">
        <f>"COIVARAS"</f>
        <v>COIVARAS</v>
      </c>
      <c r="B1352" s="3" t="str">
        <f>"PI"</f>
        <v>PI</v>
      </c>
      <c r="C1352" s="3" t="str">
        <f t="shared" si="51"/>
        <v>BRASIL</v>
      </c>
      <c r="D1352" s="4" t="str">
        <f>"PI060"</f>
        <v>PI060</v>
      </c>
    </row>
    <row r="1353" spans="1:4" x14ac:dyDescent="0.3">
      <c r="A1353" s="2" t="str">
        <f>"COLARES"</f>
        <v>COLARES</v>
      </c>
      <c r="B1353" s="3" t="str">
        <f>"PA"</f>
        <v>PA</v>
      </c>
      <c r="C1353" s="3" t="str">
        <f t="shared" si="51"/>
        <v>BRASIL</v>
      </c>
      <c r="D1353" s="4" t="str">
        <f>"PA038"</f>
        <v>PA038</v>
      </c>
    </row>
    <row r="1354" spans="1:4" x14ac:dyDescent="0.3">
      <c r="A1354" s="2" t="str">
        <f>"COLATINA"</f>
        <v>COLATINA</v>
      </c>
      <c r="B1354" s="3" t="str">
        <f>"ES"</f>
        <v>ES</v>
      </c>
      <c r="C1354" s="3" t="str">
        <f t="shared" si="51"/>
        <v>BRASIL</v>
      </c>
      <c r="D1354" s="4" t="str">
        <f>"ES019"</f>
        <v>ES019</v>
      </c>
    </row>
    <row r="1355" spans="1:4" x14ac:dyDescent="0.3">
      <c r="A1355" s="2" t="str">
        <f>"COLIDER"</f>
        <v>COLIDER</v>
      </c>
      <c r="B1355" s="3" t="str">
        <f>"MT"</f>
        <v>MT</v>
      </c>
      <c r="C1355" s="3" t="str">
        <f t="shared" si="51"/>
        <v>BRASIL</v>
      </c>
      <c r="D1355" s="4" t="str">
        <f>"MT032"</f>
        <v>MT032</v>
      </c>
    </row>
    <row r="1356" spans="1:4" x14ac:dyDescent="0.3">
      <c r="A1356" s="2" t="str">
        <f>"COLINA"</f>
        <v>COLINA</v>
      </c>
      <c r="B1356" s="3" t="str">
        <f>"SP"</f>
        <v>SP</v>
      </c>
      <c r="C1356" s="3" t="str">
        <f t="shared" si="51"/>
        <v>BRASIL</v>
      </c>
      <c r="D1356" s="4" t="str">
        <f>"SP135"</f>
        <v>SP135</v>
      </c>
    </row>
    <row r="1357" spans="1:4" x14ac:dyDescent="0.3">
      <c r="A1357" s="2" t="str">
        <f>"COLINAS"</f>
        <v>COLINAS</v>
      </c>
      <c r="B1357" s="3" t="str">
        <f>"MA"</f>
        <v>MA</v>
      </c>
      <c r="C1357" s="3" t="str">
        <f t="shared" si="51"/>
        <v>BRASIL</v>
      </c>
      <c r="D1357" s="4" t="str">
        <f>"MA061"</f>
        <v>MA061</v>
      </c>
    </row>
    <row r="1358" spans="1:4" x14ac:dyDescent="0.3">
      <c r="A1358" s="2" t="str">
        <f>"COLINAS"</f>
        <v>COLINAS</v>
      </c>
      <c r="B1358" s="3" t="str">
        <f>"RS"</f>
        <v>RS</v>
      </c>
      <c r="C1358" s="3" t="str">
        <f t="shared" si="51"/>
        <v>BRASIL</v>
      </c>
      <c r="D1358" s="4" t="str">
        <f>"RS111"</f>
        <v>RS111</v>
      </c>
    </row>
    <row r="1359" spans="1:4" x14ac:dyDescent="0.3">
      <c r="A1359" s="2" t="str">
        <f>"COLINAS DO SUL"</f>
        <v>COLINAS DO SUL</v>
      </c>
      <c r="B1359" s="3" t="str">
        <f>"GO"</f>
        <v>GO</v>
      </c>
      <c r="C1359" s="3" t="str">
        <f t="shared" si="51"/>
        <v>BRASIL</v>
      </c>
      <c r="D1359" s="4" t="str">
        <f>"GO067"</f>
        <v>GO067</v>
      </c>
    </row>
    <row r="1360" spans="1:4" x14ac:dyDescent="0.3">
      <c r="A1360" s="2" t="str">
        <f>"COLINAS DO TOCANTINS"</f>
        <v>COLINAS DO TOCANTINS</v>
      </c>
      <c r="B1360" s="3" t="str">
        <f>"TO"</f>
        <v>TO</v>
      </c>
      <c r="C1360" s="3" t="str">
        <f t="shared" si="51"/>
        <v>BRASIL</v>
      </c>
      <c r="D1360" s="4" t="str">
        <f>"TO038"</f>
        <v>TO038</v>
      </c>
    </row>
    <row r="1361" spans="1:4" x14ac:dyDescent="0.3">
      <c r="A1361" s="2" t="str">
        <f>"COLLEGEVILLE"</f>
        <v>COLLEGEVILLE</v>
      </c>
      <c r="B1361" s="3" t="str">
        <f>"EX"</f>
        <v>EX</v>
      </c>
      <c r="C1361" s="3" t="str">
        <f>"ESTADOS UNIDOS"</f>
        <v>ESTADOS UNIDOS</v>
      </c>
      <c r="D1361" s="4" t="str">
        <f>"COL"</f>
        <v>COL</v>
      </c>
    </row>
    <row r="1362" spans="1:4" x14ac:dyDescent="0.3">
      <c r="A1362" s="2" t="str">
        <f>"COLMEIA"</f>
        <v>COLMEIA</v>
      </c>
      <c r="B1362" s="3" t="str">
        <f>"TO"</f>
        <v>TO</v>
      </c>
      <c r="C1362" s="3" t="str">
        <f>"BRASIL"</f>
        <v>BRASIL</v>
      </c>
      <c r="D1362" s="4" t="str">
        <f>"TO097"</f>
        <v>TO097</v>
      </c>
    </row>
    <row r="1363" spans="1:4" x14ac:dyDescent="0.3">
      <c r="A1363" s="2" t="str">
        <f>"COLNIZA"</f>
        <v>COLNIZA</v>
      </c>
      <c r="B1363" s="3" t="str">
        <f>"MT"</f>
        <v>MT</v>
      </c>
      <c r="C1363" s="3" t="str">
        <f>"BRASIL"</f>
        <v>BRASIL</v>
      </c>
      <c r="D1363" s="4" t="str">
        <f>"MT033"</f>
        <v>MT033</v>
      </c>
    </row>
    <row r="1364" spans="1:4" x14ac:dyDescent="0.3">
      <c r="A1364" s="2" t="str">
        <f>"COLOGNE"</f>
        <v>COLOGNE</v>
      </c>
      <c r="B1364" s="3" t="str">
        <f>"EX"</f>
        <v>EX</v>
      </c>
      <c r="C1364" s="3" t="str">
        <f>"ALEMANHA"</f>
        <v>ALEMANHA</v>
      </c>
      <c r="D1364" s="4" t="str">
        <f>"COLOG"</f>
        <v>COLOG</v>
      </c>
    </row>
    <row r="1365" spans="1:4" x14ac:dyDescent="0.3">
      <c r="A1365" s="2" t="str">
        <f>"COLOMBIA"</f>
        <v>COLOMBIA</v>
      </c>
      <c r="B1365" s="3" t="str">
        <f>"EX"</f>
        <v>EX</v>
      </c>
      <c r="C1365" s="3" t="str">
        <f>"COLOMBIA"</f>
        <v>COLOMBIA</v>
      </c>
      <c r="D1365" s="4" t="str">
        <f>"COLOM"</f>
        <v>COLOM</v>
      </c>
    </row>
    <row r="1366" spans="1:4" x14ac:dyDescent="0.3">
      <c r="A1366" s="2" t="str">
        <f>"COLOMBIA"</f>
        <v>COLOMBIA</v>
      </c>
      <c r="B1366" s="3" t="str">
        <f>"SP"</f>
        <v>SP</v>
      </c>
      <c r="C1366" s="3" t="str">
        <f>"BRASIL"</f>
        <v>BRASIL</v>
      </c>
      <c r="D1366" s="4" t="str">
        <f>"SP136"</f>
        <v>SP136</v>
      </c>
    </row>
    <row r="1367" spans="1:4" x14ac:dyDescent="0.3">
      <c r="A1367" s="2" t="str">
        <f>"COLOMBO"</f>
        <v>COLOMBO</v>
      </c>
      <c r="B1367" s="3" t="str">
        <f>"PR"</f>
        <v>PR</v>
      </c>
      <c r="C1367" s="3" t="str">
        <f>"BRASIL"</f>
        <v>BRASIL</v>
      </c>
      <c r="D1367" s="4" t="str">
        <f>"PR079"</f>
        <v>PR079</v>
      </c>
    </row>
    <row r="1368" spans="1:4" x14ac:dyDescent="0.3">
      <c r="A1368" s="2" t="str">
        <f>"COLON"</f>
        <v>COLON</v>
      </c>
      <c r="B1368" s="3" t="str">
        <f>"PNM"</f>
        <v>PNM</v>
      </c>
      <c r="C1368" s="3" t="str">
        <f>"PANAMÁ"</f>
        <v>PANAMÁ</v>
      </c>
      <c r="D1368" s="4" t="str">
        <f>"COLON"</f>
        <v>COLON</v>
      </c>
    </row>
    <row r="1369" spans="1:4" x14ac:dyDescent="0.3">
      <c r="A1369" s="2" t="str">
        <f>"COLONIA DEL SACRAMENTO"</f>
        <v>COLONIA DEL SACRAMENTO</v>
      </c>
      <c r="B1369" s="3" t="str">
        <f>"URG"</f>
        <v>URG</v>
      </c>
      <c r="C1369" s="3" t="str">
        <f>"URUGUAI"</f>
        <v>URUGUAI</v>
      </c>
      <c r="D1369" s="4" t="str">
        <f>"SACR"</f>
        <v>SACR</v>
      </c>
    </row>
    <row r="1370" spans="1:4" x14ac:dyDescent="0.3">
      <c r="A1370" s="2" t="str">
        <f>"COLONIA DO GURGUEIA"</f>
        <v>COLONIA DO GURGUEIA</v>
      </c>
      <c r="B1370" s="3" t="str">
        <f>"PI"</f>
        <v>PI</v>
      </c>
      <c r="C1370" s="3" t="str">
        <f t="shared" ref="C1370:C1375" si="52">"BRASIL"</f>
        <v>BRASIL</v>
      </c>
      <c r="D1370" s="4" t="str">
        <f>"PI061"</f>
        <v>PI061</v>
      </c>
    </row>
    <row r="1371" spans="1:4" x14ac:dyDescent="0.3">
      <c r="A1371" s="2" t="str">
        <f>"COLONIA DO PIAUI"</f>
        <v>COLONIA DO PIAUI</v>
      </c>
      <c r="B1371" s="3" t="str">
        <f>"PI"</f>
        <v>PI</v>
      </c>
      <c r="C1371" s="3" t="str">
        <f t="shared" si="52"/>
        <v>BRASIL</v>
      </c>
      <c r="D1371" s="4" t="str">
        <f>"PI062"</f>
        <v>PI062</v>
      </c>
    </row>
    <row r="1372" spans="1:4" x14ac:dyDescent="0.3">
      <c r="A1372" s="2" t="str">
        <f>"COLONIA LEOPOLDINA"</f>
        <v>COLONIA LEOPOLDINA</v>
      </c>
      <c r="B1372" s="3" t="str">
        <f>"AL"</f>
        <v>AL</v>
      </c>
      <c r="C1372" s="3" t="str">
        <f t="shared" si="52"/>
        <v>BRASIL</v>
      </c>
      <c r="D1372" s="4" t="str">
        <f>"AL022"</f>
        <v>AL022</v>
      </c>
    </row>
    <row r="1373" spans="1:4" x14ac:dyDescent="0.3">
      <c r="A1373" s="2" t="str">
        <f>"COLORADO"</f>
        <v>COLORADO</v>
      </c>
      <c r="B1373" s="3" t="str">
        <f>"PR"</f>
        <v>PR</v>
      </c>
      <c r="C1373" s="3" t="str">
        <f t="shared" si="52"/>
        <v>BRASIL</v>
      </c>
      <c r="D1373" s="4" t="str">
        <f>"PR080"</f>
        <v>PR080</v>
      </c>
    </row>
    <row r="1374" spans="1:4" x14ac:dyDescent="0.3">
      <c r="A1374" s="2" t="str">
        <f>"COLORADO"</f>
        <v>COLORADO</v>
      </c>
      <c r="B1374" s="3" t="str">
        <f>"RS"</f>
        <v>RS</v>
      </c>
      <c r="C1374" s="3" t="str">
        <f t="shared" si="52"/>
        <v>BRASIL</v>
      </c>
      <c r="D1374" s="4" t="str">
        <f>"RS112"</f>
        <v>RS112</v>
      </c>
    </row>
    <row r="1375" spans="1:4" x14ac:dyDescent="0.3">
      <c r="A1375" s="2" t="str">
        <f>"COLORADO DO OESTE"</f>
        <v>COLORADO DO OESTE</v>
      </c>
      <c r="B1375" s="3" t="str">
        <f>"RO"</f>
        <v>RO</v>
      </c>
      <c r="C1375" s="3" t="str">
        <f t="shared" si="52"/>
        <v>BRASIL</v>
      </c>
      <c r="D1375" s="4" t="str">
        <f>"RO006"</f>
        <v>RO006</v>
      </c>
    </row>
    <row r="1376" spans="1:4" x14ac:dyDescent="0.3">
      <c r="A1376" s="2" t="str">
        <f>"COLUMBIA"</f>
        <v>COLUMBIA</v>
      </c>
      <c r="B1376" s="3" t="str">
        <f>"EX"</f>
        <v>EX</v>
      </c>
      <c r="C1376" s="3" t="str">
        <f>"ESTADOS UNIDOS"</f>
        <v>ESTADOS UNIDOS</v>
      </c>
      <c r="D1376" s="4" t="str">
        <f>"COM"</f>
        <v>COM</v>
      </c>
    </row>
    <row r="1377" spans="1:4" x14ac:dyDescent="0.3">
      <c r="A1377" s="2" t="str">
        <f>"COLUNA"</f>
        <v>COLUNA</v>
      </c>
      <c r="B1377" s="3" t="str">
        <f>"MG"</f>
        <v>MG</v>
      </c>
      <c r="C1377" s="3" t="str">
        <f t="shared" ref="C1377:C1403" si="53">"BRASIL"</f>
        <v>BRASIL</v>
      </c>
      <c r="D1377" s="4" t="str">
        <f>"MG185"</f>
        <v>MG185</v>
      </c>
    </row>
    <row r="1378" spans="1:4" x14ac:dyDescent="0.3">
      <c r="A1378" s="2" t="str">
        <f>"COMBINADO"</f>
        <v>COMBINADO</v>
      </c>
      <c r="B1378" s="3" t="str">
        <f>"TO"</f>
        <v>TO</v>
      </c>
      <c r="C1378" s="3" t="str">
        <f t="shared" si="53"/>
        <v>BRASIL</v>
      </c>
      <c r="D1378" s="4" t="str">
        <f>"TO039"</f>
        <v>TO039</v>
      </c>
    </row>
    <row r="1379" spans="1:4" x14ac:dyDescent="0.3">
      <c r="A1379" s="2" t="str">
        <f>"COMENDADOR GOMES"</f>
        <v>COMENDADOR GOMES</v>
      </c>
      <c r="B1379" s="3" t="str">
        <f>"MG"</f>
        <v>MG</v>
      </c>
      <c r="C1379" s="3" t="str">
        <f t="shared" si="53"/>
        <v>BRASIL</v>
      </c>
      <c r="D1379" s="4" t="str">
        <f>"MG186"</f>
        <v>MG186</v>
      </c>
    </row>
    <row r="1380" spans="1:4" x14ac:dyDescent="0.3">
      <c r="A1380" s="2" t="str">
        <f>"COMENDADOR LEVY GASPARIAN"</f>
        <v>COMENDADOR LEVY GASPARIAN</v>
      </c>
      <c r="B1380" s="3" t="str">
        <f>"RJ"</f>
        <v>RJ</v>
      </c>
      <c r="C1380" s="3" t="str">
        <f t="shared" si="53"/>
        <v>BRASIL</v>
      </c>
      <c r="D1380" s="4" t="str">
        <f>"RJ016"</f>
        <v>RJ016</v>
      </c>
    </row>
    <row r="1381" spans="1:4" x14ac:dyDescent="0.3">
      <c r="A1381" s="2" t="str">
        <f>"COMERCINHO"</f>
        <v>COMERCINHO</v>
      </c>
      <c r="B1381" s="3" t="str">
        <f>"MG"</f>
        <v>MG</v>
      </c>
      <c r="C1381" s="3" t="str">
        <f t="shared" si="53"/>
        <v>BRASIL</v>
      </c>
      <c r="D1381" s="4" t="str">
        <f>"MG187"</f>
        <v>MG187</v>
      </c>
    </row>
    <row r="1382" spans="1:4" x14ac:dyDescent="0.3">
      <c r="A1382" s="2" t="str">
        <f>"COMODORO"</f>
        <v>COMODORO</v>
      </c>
      <c r="B1382" s="3" t="str">
        <f>"MT"</f>
        <v>MT</v>
      </c>
      <c r="C1382" s="3" t="str">
        <f t="shared" si="53"/>
        <v>BRASIL</v>
      </c>
      <c r="D1382" s="4" t="str">
        <f>"MT034"</f>
        <v>MT034</v>
      </c>
    </row>
    <row r="1383" spans="1:4" x14ac:dyDescent="0.3">
      <c r="A1383" s="2" t="str">
        <f>"CONCEICAO"</f>
        <v>CONCEICAO</v>
      </c>
      <c r="B1383" s="3" t="str">
        <f>"PB"</f>
        <v>PB</v>
      </c>
      <c r="C1383" s="3" t="str">
        <f t="shared" si="53"/>
        <v>BRASIL</v>
      </c>
      <c r="D1383" s="4" t="str">
        <f>"PB060"</f>
        <v>PB060</v>
      </c>
    </row>
    <row r="1384" spans="1:4" x14ac:dyDescent="0.3">
      <c r="A1384" s="2" t="str">
        <f>"CONCEICAO DA APARECIDA"</f>
        <v>CONCEICAO DA APARECIDA</v>
      </c>
      <c r="B1384" s="3" t="str">
        <f>"MG"</f>
        <v>MG</v>
      </c>
      <c r="C1384" s="3" t="str">
        <f t="shared" si="53"/>
        <v>BRASIL</v>
      </c>
      <c r="D1384" s="4" t="str">
        <f>"MG188"</f>
        <v>MG188</v>
      </c>
    </row>
    <row r="1385" spans="1:4" x14ac:dyDescent="0.3">
      <c r="A1385" s="2" t="str">
        <f>"CONCEICAO DA BARRA"</f>
        <v>CONCEICAO DA BARRA</v>
      </c>
      <c r="B1385" s="3" t="str">
        <f>"ES"</f>
        <v>ES</v>
      </c>
      <c r="C1385" s="3" t="str">
        <f t="shared" si="53"/>
        <v>BRASIL</v>
      </c>
      <c r="D1385" s="4" t="str">
        <f>"ES020"</f>
        <v>ES020</v>
      </c>
    </row>
    <row r="1386" spans="1:4" x14ac:dyDescent="0.3">
      <c r="A1386" s="2" t="str">
        <f>"CONCEICAO DA BARRA DE MIN"</f>
        <v>CONCEICAO DA BARRA DE MIN</v>
      </c>
      <c r="B1386" s="3" t="str">
        <f>"MG"</f>
        <v>MG</v>
      </c>
      <c r="C1386" s="3" t="str">
        <f t="shared" si="53"/>
        <v>BRASIL</v>
      </c>
      <c r="D1386" s="4" t="str">
        <f>"MG165"</f>
        <v>MG165</v>
      </c>
    </row>
    <row r="1387" spans="1:4" x14ac:dyDescent="0.3">
      <c r="A1387" s="2" t="str">
        <f>"CONCEICAO DA FEIRA"</f>
        <v>CONCEICAO DA FEIRA</v>
      </c>
      <c r="B1387" s="3" t="str">
        <f>"BA"</f>
        <v>BA</v>
      </c>
      <c r="C1387" s="3" t="str">
        <f t="shared" si="53"/>
        <v>BRASIL</v>
      </c>
      <c r="D1387" s="4" t="str">
        <f>"BA101"</f>
        <v>BA101</v>
      </c>
    </row>
    <row r="1388" spans="1:4" x14ac:dyDescent="0.3">
      <c r="A1388" s="2" t="str">
        <f>"CONCEICAO DAS ALAGOAS"</f>
        <v>CONCEICAO DAS ALAGOAS</v>
      </c>
      <c r="B1388" s="3" t="str">
        <f>"MG"</f>
        <v>MG</v>
      </c>
      <c r="C1388" s="3" t="str">
        <f t="shared" si="53"/>
        <v>BRASIL</v>
      </c>
      <c r="D1388" s="4" t="str">
        <f>"MG190"</f>
        <v>MG190</v>
      </c>
    </row>
    <row r="1389" spans="1:4" x14ac:dyDescent="0.3">
      <c r="A1389" s="2" t="str">
        <f>"CONCEICAO DAS PEDRAS"</f>
        <v>CONCEICAO DAS PEDRAS</v>
      </c>
      <c r="B1389" s="3" t="str">
        <f>"MG"</f>
        <v>MG</v>
      </c>
      <c r="C1389" s="3" t="str">
        <f t="shared" si="53"/>
        <v>BRASIL</v>
      </c>
      <c r="D1389" s="4" t="str">
        <f>"MG189"</f>
        <v>MG189</v>
      </c>
    </row>
    <row r="1390" spans="1:4" x14ac:dyDescent="0.3">
      <c r="A1390" s="2" t="str">
        <f>"CONCEICAO DE IPANEMA"</f>
        <v>CONCEICAO DE IPANEMA</v>
      </c>
      <c r="B1390" s="3" t="str">
        <f>"MG"</f>
        <v>MG</v>
      </c>
      <c r="C1390" s="3" t="str">
        <f t="shared" si="53"/>
        <v>BRASIL</v>
      </c>
      <c r="D1390" s="4" t="str">
        <f>"MG191"</f>
        <v>MG191</v>
      </c>
    </row>
    <row r="1391" spans="1:4" x14ac:dyDescent="0.3">
      <c r="A1391" s="2" t="str">
        <f>"CONCEICAO DE MACABU"</f>
        <v>CONCEICAO DE MACABU</v>
      </c>
      <c r="B1391" s="3" t="str">
        <f>"RJ"</f>
        <v>RJ</v>
      </c>
      <c r="C1391" s="3" t="str">
        <f t="shared" si="53"/>
        <v>BRASIL</v>
      </c>
      <c r="D1391" s="4" t="str">
        <f>"RJ022"</f>
        <v>RJ022</v>
      </c>
    </row>
    <row r="1392" spans="1:4" x14ac:dyDescent="0.3">
      <c r="A1392" s="2" t="str">
        <f>"CONCEICAO DO ALMEIDA"</f>
        <v>CONCEICAO DO ALMEIDA</v>
      </c>
      <c r="B1392" s="3" t="str">
        <f>"BA"</f>
        <v>BA</v>
      </c>
      <c r="C1392" s="3" t="str">
        <f t="shared" si="53"/>
        <v>BRASIL</v>
      </c>
      <c r="D1392" s="4" t="str">
        <f>"BA102"</f>
        <v>BA102</v>
      </c>
    </row>
    <row r="1393" spans="1:4" x14ac:dyDescent="0.3">
      <c r="A1393" s="2" t="str">
        <f>"CONCEICAO DO ARAGUAIA"</f>
        <v>CONCEICAO DO ARAGUAIA</v>
      </c>
      <c r="B1393" s="3" t="str">
        <f>"PA"</f>
        <v>PA</v>
      </c>
      <c r="C1393" s="3" t="str">
        <f t="shared" si="53"/>
        <v>BRASIL</v>
      </c>
      <c r="D1393" s="4" t="str">
        <f>"PA039"</f>
        <v>PA039</v>
      </c>
    </row>
    <row r="1394" spans="1:4" x14ac:dyDescent="0.3">
      <c r="A1394" s="2" t="str">
        <f>"CONCEICAO DO CANINDE"</f>
        <v>CONCEICAO DO CANINDE</v>
      </c>
      <c r="B1394" s="3" t="str">
        <f>"PI"</f>
        <v>PI</v>
      </c>
      <c r="C1394" s="3" t="str">
        <f t="shared" si="53"/>
        <v>BRASIL</v>
      </c>
      <c r="D1394" s="4" t="str">
        <f>"PI063"</f>
        <v>PI063</v>
      </c>
    </row>
    <row r="1395" spans="1:4" x14ac:dyDescent="0.3">
      <c r="A1395" s="2" t="str">
        <f>"CONCEICAO DO CASTELO"</f>
        <v>CONCEICAO DO CASTELO</v>
      </c>
      <c r="B1395" s="3" t="str">
        <f>"ES"</f>
        <v>ES</v>
      </c>
      <c r="C1395" s="3" t="str">
        <f t="shared" si="53"/>
        <v>BRASIL</v>
      </c>
      <c r="D1395" s="4" t="str">
        <f>"ES021"</f>
        <v>ES021</v>
      </c>
    </row>
    <row r="1396" spans="1:4" x14ac:dyDescent="0.3">
      <c r="A1396" s="2" t="str">
        <f>"CONCEICAO DO COITE"</f>
        <v>CONCEICAO DO COITE</v>
      </c>
      <c r="B1396" s="3" t="str">
        <f>"BA"</f>
        <v>BA</v>
      </c>
      <c r="C1396" s="3" t="str">
        <f t="shared" si="53"/>
        <v>BRASIL</v>
      </c>
      <c r="D1396" s="4" t="str">
        <f>"BA103"</f>
        <v>BA103</v>
      </c>
    </row>
    <row r="1397" spans="1:4" x14ac:dyDescent="0.3">
      <c r="A1397" s="2" t="str">
        <f>"CONCEICAO DO JACUIPE"</f>
        <v>CONCEICAO DO JACUIPE</v>
      </c>
      <c r="B1397" s="3" t="str">
        <f>"BA"</f>
        <v>BA</v>
      </c>
      <c r="C1397" s="3" t="str">
        <f t="shared" si="53"/>
        <v>BRASIL</v>
      </c>
      <c r="D1397" s="4" t="str">
        <f>"BA104"</f>
        <v>BA104</v>
      </c>
    </row>
    <row r="1398" spans="1:4" x14ac:dyDescent="0.3">
      <c r="A1398" s="2" t="str">
        <f>"CONCEICAO DO LAGO-ACU"</f>
        <v>CONCEICAO DO LAGO-ACU</v>
      </c>
      <c r="B1398" s="3" t="str">
        <f>"MA"</f>
        <v>MA</v>
      </c>
      <c r="C1398" s="3" t="str">
        <f t="shared" si="53"/>
        <v>BRASIL</v>
      </c>
      <c r="D1398" s="4" t="str">
        <f>"MA062"</f>
        <v>MA062</v>
      </c>
    </row>
    <row r="1399" spans="1:4" x14ac:dyDescent="0.3">
      <c r="A1399" s="2" t="str">
        <f>"CONCEICAO DO MATO DENTRO"</f>
        <v>CONCEICAO DO MATO DENTRO</v>
      </c>
      <c r="B1399" s="3" t="str">
        <f>"MG"</f>
        <v>MG</v>
      </c>
      <c r="C1399" s="3" t="str">
        <f t="shared" si="53"/>
        <v>BRASIL</v>
      </c>
      <c r="D1399" s="4" t="str">
        <f>"MG192"</f>
        <v>MG192</v>
      </c>
    </row>
    <row r="1400" spans="1:4" x14ac:dyDescent="0.3">
      <c r="A1400" s="2" t="str">
        <f>"CONCEICAO DO PARA"</f>
        <v>CONCEICAO DO PARA</v>
      </c>
      <c r="B1400" s="3" t="str">
        <f>"MG"</f>
        <v>MG</v>
      </c>
      <c r="C1400" s="3" t="str">
        <f t="shared" si="53"/>
        <v>BRASIL</v>
      </c>
      <c r="D1400" s="4" t="str">
        <f>"MG193"</f>
        <v>MG193</v>
      </c>
    </row>
    <row r="1401" spans="1:4" x14ac:dyDescent="0.3">
      <c r="A1401" s="2" t="str">
        <f>"CONCEICAO DO RIO VERDE"</f>
        <v>CONCEICAO DO RIO VERDE</v>
      </c>
      <c r="B1401" s="3" t="str">
        <f>"MG"</f>
        <v>MG</v>
      </c>
      <c r="C1401" s="3" t="str">
        <f t="shared" si="53"/>
        <v>BRASIL</v>
      </c>
      <c r="D1401" s="4" t="str">
        <f>"MG194"</f>
        <v>MG194</v>
      </c>
    </row>
    <row r="1402" spans="1:4" x14ac:dyDescent="0.3">
      <c r="A1402" s="2" t="str">
        <f>"CONCEICAO DO TOCANTINS"</f>
        <v>CONCEICAO DO TOCANTINS</v>
      </c>
      <c r="B1402" s="3" t="str">
        <f>"TO"</f>
        <v>TO</v>
      </c>
      <c r="C1402" s="3" t="str">
        <f t="shared" si="53"/>
        <v>BRASIL</v>
      </c>
      <c r="D1402" s="4" t="str">
        <f>"TO040"</f>
        <v>TO040</v>
      </c>
    </row>
    <row r="1403" spans="1:4" x14ac:dyDescent="0.3">
      <c r="A1403" s="2" t="str">
        <f>"CONCEICAO DOS OUROS"</f>
        <v>CONCEICAO DOS OUROS</v>
      </c>
      <c r="B1403" s="3" t="str">
        <f>"MG"</f>
        <v>MG</v>
      </c>
      <c r="C1403" s="3" t="str">
        <f t="shared" si="53"/>
        <v>BRASIL</v>
      </c>
      <c r="D1403" s="4" t="str">
        <f>"MG195"</f>
        <v>MG195</v>
      </c>
    </row>
    <row r="1404" spans="1:4" x14ac:dyDescent="0.3">
      <c r="A1404" s="2" t="str">
        <f>"CONCEPCION"</f>
        <v>CONCEPCION</v>
      </c>
      <c r="B1404" s="3" t="str">
        <f>"EX"</f>
        <v>EX</v>
      </c>
      <c r="C1404" s="3" t="str">
        <f>"CHILE"</f>
        <v>CHILE</v>
      </c>
      <c r="D1404" s="4" t="str">
        <f>"CONCE"</f>
        <v>CONCE</v>
      </c>
    </row>
    <row r="1405" spans="1:4" x14ac:dyDescent="0.3">
      <c r="A1405" s="2" t="str">
        <f>"CONCHAL"</f>
        <v>CONCHAL</v>
      </c>
      <c r="B1405" s="3" t="str">
        <f>"SP"</f>
        <v>SP</v>
      </c>
      <c r="C1405" s="3" t="str">
        <f t="shared" ref="C1405:C1445" si="54">"BRASIL"</f>
        <v>BRASIL</v>
      </c>
      <c r="D1405" s="4" t="str">
        <f>"SP137"</f>
        <v>SP137</v>
      </c>
    </row>
    <row r="1406" spans="1:4" x14ac:dyDescent="0.3">
      <c r="A1406" s="2" t="str">
        <f>"CONCHAS"</f>
        <v>CONCHAS</v>
      </c>
      <c r="B1406" s="3" t="str">
        <f>"SP"</f>
        <v>SP</v>
      </c>
      <c r="C1406" s="3" t="str">
        <f t="shared" si="54"/>
        <v>BRASIL</v>
      </c>
      <c r="D1406" s="4" t="str">
        <f>"SP138"</f>
        <v>SP138</v>
      </c>
    </row>
    <row r="1407" spans="1:4" x14ac:dyDescent="0.3">
      <c r="A1407" s="2" t="str">
        <f>"CONCORDIA"</f>
        <v>CONCORDIA</v>
      </c>
      <c r="B1407" s="3" t="str">
        <f>"SC"</f>
        <v>SC</v>
      </c>
      <c r="C1407" s="3" t="str">
        <f t="shared" si="54"/>
        <v>BRASIL</v>
      </c>
      <c r="D1407" s="4" t="str">
        <f>"SC069"</f>
        <v>SC069</v>
      </c>
    </row>
    <row r="1408" spans="1:4" x14ac:dyDescent="0.3">
      <c r="A1408" s="2" t="str">
        <f>"CONCORDIA DO PARA"</f>
        <v>CONCORDIA DO PARA</v>
      </c>
      <c r="B1408" s="3" t="str">
        <f>"PA"</f>
        <v>PA</v>
      </c>
      <c r="C1408" s="3" t="str">
        <f t="shared" si="54"/>
        <v>BRASIL</v>
      </c>
      <c r="D1408" s="4" t="str">
        <f>"PA040"</f>
        <v>PA040</v>
      </c>
    </row>
    <row r="1409" spans="1:4" x14ac:dyDescent="0.3">
      <c r="A1409" s="2" t="str">
        <f>"CONDADO"</f>
        <v>CONDADO</v>
      </c>
      <c r="B1409" s="3" t="str">
        <f>"PB"</f>
        <v>PB</v>
      </c>
      <c r="C1409" s="3" t="str">
        <f t="shared" si="54"/>
        <v>BRASIL</v>
      </c>
      <c r="D1409" s="4" t="str">
        <f>"PB061"</f>
        <v>PB061</v>
      </c>
    </row>
    <row r="1410" spans="1:4" x14ac:dyDescent="0.3">
      <c r="A1410" s="2" t="str">
        <f>"CONDADO"</f>
        <v>CONDADO</v>
      </c>
      <c r="B1410" s="3" t="str">
        <f>"PE"</f>
        <v>PE</v>
      </c>
      <c r="C1410" s="3" t="str">
        <f t="shared" si="54"/>
        <v>BRASIL</v>
      </c>
      <c r="D1410" s="4" t="str">
        <f>"PE051"</f>
        <v>PE051</v>
      </c>
    </row>
    <row r="1411" spans="1:4" x14ac:dyDescent="0.3">
      <c r="A1411" s="2" t="str">
        <f>"CONDE"</f>
        <v>CONDE</v>
      </c>
      <c r="B1411" s="3" t="str">
        <f>"BA"</f>
        <v>BA</v>
      </c>
      <c r="C1411" s="3" t="str">
        <f t="shared" si="54"/>
        <v>BRASIL</v>
      </c>
      <c r="D1411" s="4" t="str">
        <f>"BA105"</f>
        <v>BA105</v>
      </c>
    </row>
    <row r="1412" spans="1:4" x14ac:dyDescent="0.3">
      <c r="A1412" s="2" t="str">
        <f>"CONDE"</f>
        <v>CONDE</v>
      </c>
      <c r="B1412" s="3" t="str">
        <f>"PB"</f>
        <v>PB</v>
      </c>
      <c r="C1412" s="3" t="str">
        <f t="shared" si="54"/>
        <v>BRASIL</v>
      </c>
      <c r="D1412" s="4" t="str">
        <f>"PB062"</f>
        <v>PB062</v>
      </c>
    </row>
    <row r="1413" spans="1:4" x14ac:dyDescent="0.3">
      <c r="A1413" s="2" t="str">
        <f>"CONDEUBA"</f>
        <v>CONDEUBA</v>
      </c>
      <c r="B1413" s="3" t="str">
        <f>"BA"</f>
        <v>BA</v>
      </c>
      <c r="C1413" s="3" t="str">
        <f t="shared" si="54"/>
        <v>BRASIL</v>
      </c>
      <c r="D1413" s="4" t="str">
        <f>"BA106"</f>
        <v>BA106</v>
      </c>
    </row>
    <row r="1414" spans="1:4" x14ac:dyDescent="0.3">
      <c r="A1414" s="2" t="str">
        <f>"CONDOR"</f>
        <v>CONDOR</v>
      </c>
      <c r="B1414" s="3" t="str">
        <f>"RS"</f>
        <v>RS</v>
      </c>
      <c r="C1414" s="3" t="str">
        <f t="shared" si="54"/>
        <v>BRASIL</v>
      </c>
      <c r="D1414" s="4" t="str">
        <f>"RS113"</f>
        <v>RS113</v>
      </c>
    </row>
    <row r="1415" spans="1:4" x14ac:dyDescent="0.3">
      <c r="A1415" s="2" t="str">
        <f>"CONEGO MARINHO"</f>
        <v>CONEGO MARINHO</v>
      </c>
      <c r="B1415" s="3" t="str">
        <f>"MG"</f>
        <v>MG</v>
      </c>
      <c r="C1415" s="3" t="str">
        <f t="shared" si="54"/>
        <v>BRASIL</v>
      </c>
      <c r="D1415" s="4" t="str">
        <f>"MG196"</f>
        <v>MG196</v>
      </c>
    </row>
    <row r="1416" spans="1:4" x14ac:dyDescent="0.3">
      <c r="A1416" s="2" t="str">
        <f>"CONFINS"</f>
        <v>CONFINS</v>
      </c>
      <c r="B1416" s="3" t="str">
        <f>"MG"</f>
        <v>MG</v>
      </c>
      <c r="C1416" s="3" t="str">
        <f t="shared" si="54"/>
        <v>BRASIL</v>
      </c>
      <c r="D1416" s="4" t="str">
        <f>"MG197"</f>
        <v>MG197</v>
      </c>
    </row>
    <row r="1417" spans="1:4" x14ac:dyDescent="0.3">
      <c r="A1417" s="2" t="str">
        <f>"CONFRESA"</f>
        <v>CONFRESA</v>
      </c>
      <c r="B1417" s="3" t="str">
        <f>"MT"</f>
        <v>MT</v>
      </c>
      <c r="C1417" s="3" t="str">
        <f t="shared" si="54"/>
        <v>BRASIL</v>
      </c>
      <c r="D1417" s="4" t="str">
        <f>"MT035"</f>
        <v>MT035</v>
      </c>
    </row>
    <row r="1418" spans="1:4" x14ac:dyDescent="0.3">
      <c r="A1418" s="2" t="str">
        <f>"CONGO"</f>
        <v>CONGO</v>
      </c>
      <c r="B1418" s="3" t="str">
        <f>"PB"</f>
        <v>PB</v>
      </c>
      <c r="C1418" s="3" t="str">
        <f t="shared" si="54"/>
        <v>BRASIL</v>
      </c>
      <c r="D1418" s="4" t="str">
        <f>"PB063"</f>
        <v>PB063</v>
      </c>
    </row>
    <row r="1419" spans="1:4" x14ac:dyDescent="0.3">
      <c r="A1419" s="2" t="str">
        <f>"CONGONHAL"</f>
        <v>CONGONHAL</v>
      </c>
      <c r="B1419" s="3" t="str">
        <f>"MG"</f>
        <v>MG</v>
      </c>
      <c r="C1419" s="3" t="str">
        <f t="shared" si="54"/>
        <v>BRASIL</v>
      </c>
      <c r="D1419" s="4" t="str">
        <f>"MG198"</f>
        <v>MG198</v>
      </c>
    </row>
    <row r="1420" spans="1:4" x14ac:dyDescent="0.3">
      <c r="A1420" s="2" t="str">
        <f>"CONGONHAS"</f>
        <v>CONGONHAS</v>
      </c>
      <c r="B1420" s="3" t="str">
        <f>"MG"</f>
        <v>MG</v>
      </c>
      <c r="C1420" s="3" t="str">
        <f t="shared" si="54"/>
        <v>BRASIL</v>
      </c>
      <c r="D1420" s="4" t="str">
        <f>"MG199"</f>
        <v>MG199</v>
      </c>
    </row>
    <row r="1421" spans="1:4" x14ac:dyDescent="0.3">
      <c r="A1421" s="2" t="str">
        <f>"CONGONHAS DO NORTE"</f>
        <v>CONGONHAS DO NORTE</v>
      </c>
      <c r="B1421" s="3" t="str">
        <f>"MG"</f>
        <v>MG</v>
      </c>
      <c r="C1421" s="3" t="str">
        <f t="shared" si="54"/>
        <v>BRASIL</v>
      </c>
      <c r="D1421" s="4" t="str">
        <f>"MG200"</f>
        <v>MG200</v>
      </c>
    </row>
    <row r="1422" spans="1:4" x14ac:dyDescent="0.3">
      <c r="A1422" s="2" t="str">
        <f>"CONGONHINHAS"</f>
        <v>CONGONHINHAS</v>
      </c>
      <c r="B1422" s="3" t="str">
        <f>"PR"</f>
        <v>PR</v>
      </c>
      <c r="C1422" s="3" t="str">
        <f t="shared" si="54"/>
        <v>BRASIL</v>
      </c>
      <c r="D1422" s="4" t="str">
        <f>"PR081"</f>
        <v>PR081</v>
      </c>
    </row>
    <row r="1423" spans="1:4" x14ac:dyDescent="0.3">
      <c r="A1423" s="2" t="str">
        <f>"CONQUISTA"</f>
        <v>CONQUISTA</v>
      </c>
      <c r="B1423" s="3" t="str">
        <f>"MG"</f>
        <v>MG</v>
      </c>
      <c r="C1423" s="3" t="str">
        <f t="shared" si="54"/>
        <v>BRASIL</v>
      </c>
      <c r="D1423" s="4" t="str">
        <f>"MG201"</f>
        <v>MG201</v>
      </c>
    </row>
    <row r="1424" spans="1:4" x14ac:dyDescent="0.3">
      <c r="A1424" s="2" t="str">
        <f>"CONQUISTA D'OESTE"</f>
        <v>CONQUISTA D'OESTE</v>
      </c>
      <c r="B1424" s="3" t="str">
        <f>"MT"</f>
        <v>MT</v>
      </c>
      <c r="C1424" s="3" t="str">
        <f t="shared" si="54"/>
        <v>BRASIL</v>
      </c>
      <c r="D1424" s="4" t="str">
        <f>"MT036"</f>
        <v>MT036</v>
      </c>
    </row>
    <row r="1425" spans="1:4" x14ac:dyDescent="0.3">
      <c r="A1425" s="2" t="str">
        <f>"CONSELHEIRO LAFAIETE"</f>
        <v>CONSELHEIRO LAFAIETE</v>
      </c>
      <c r="B1425" s="3" t="str">
        <f>"MG"</f>
        <v>MG</v>
      </c>
      <c r="C1425" s="3" t="str">
        <f t="shared" si="54"/>
        <v>BRASIL</v>
      </c>
      <c r="D1425" s="4" t="str">
        <f>"MG202"</f>
        <v>MG202</v>
      </c>
    </row>
    <row r="1426" spans="1:4" x14ac:dyDescent="0.3">
      <c r="A1426" s="2" t="str">
        <f>"CONSELHEIRO MAIRINCK"</f>
        <v>CONSELHEIRO MAIRINCK</v>
      </c>
      <c r="B1426" s="3" t="str">
        <f>"PR"</f>
        <v>PR</v>
      </c>
      <c r="C1426" s="3" t="str">
        <f t="shared" si="54"/>
        <v>BRASIL</v>
      </c>
      <c r="D1426" s="4" t="str">
        <f>"PR082"</f>
        <v>PR082</v>
      </c>
    </row>
    <row r="1427" spans="1:4" x14ac:dyDescent="0.3">
      <c r="A1427" s="2" t="str">
        <f>"CONSELHEIRO PENA"</f>
        <v>CONSELHEIRO PENA</v>
      </c>
      <c r="B1427" s="3" t="str">
        <f>"MG"</f>
        <v>MG</v>
      </c>
      <c r="C1427" s="3" t="str">
        <f t="shared" si="54"/>
        <v>BRASIL</v>
      </c>
      <c r="D1427" s="4" t="str">
        <f>"MG203"</f>
        <v>MG203</v>
      </c>
    </row>
    <row r="1428" spans="1:4" x14ac:dyDescent="0.3">
      <c r="A1428" s="2" t="str">
        <f>"CONSOLACAO"</f>
        <v>CONSOLACAO</v>
      </c>
      <c r="B1428" s="3" t="str">
        <f>"MG"</f>
        <v>MG</v>
      </c>
      <c r="C1428" s="3" t="str">
        <f t="shared" si="54"/>
        <v>BRASIL</v>
      </c>
      <c r="D1428" s="4" t="str">
        <f>"MG204"</f>
        <v>MG204</v>
      </c>
    </row>
    <row r="1429" spans="1:4" x14ac:dyDescent="0.3">
      <c r="A1429" s="2" t="str">
        <f>"CONSTANTINA"</f>
        <v>CONSTANTINA</v>
      </c>
      <c r="B1429" s="3" t="str">
        <f>"RS"</f>
        <v>RS</v>
      </c>
      <c r="C1429" s="3" t="str">
        <f t="shared" si="54"/>
        <v>BRASIL</v>
      </c>
      <c r="D1429" s="4" t="str">
        <f>"RS114"</f>
        <v>RS114</v>
      </c>
    </row>
    <row r="1430" spans="1:4" x14ac:dyDescent="0.3">
      <c r="A1430" s="2" t="str">
        <f>"CONTAGEM"</f>
        <v>CONTAGEM</v>
      </c>
      <c r="B1430" s="3" t="str">
        <f>"MG"</f>
        <v>MG</v>
      </c>
      <c r="C1430" s="3" t="str">
        <f t="shared" si="54"/>
        <v>BRASIL</v>
      </c>
      <c r="D1430" s="4" t="str">
        <f>"MG205"</f>
        <v>MG205</v>
      </c>
    </row>
    <row r="1431" spans="1:4" x14ac:dyDescent="0.3">
      <c r="A1431" s="2" t="str">
        <f>"CONTENDA"</f>
        <v>CONTENDA</v>
      </c>
      <c r="B1431" s="3" t="str">
        <f>"PR"</f>
        <v>PR</v>
      </c>
      <c r="C1431" s="3" t="str">
        <f t="shared" si="54"/>
        <v>BRASIL</v>
      </c>
      <c r="D1431" s="4" t="str">
        <f>"PR083"</f>
        <v>PR083</v>
      </c>
    </row>
    <row r="1432" spans="1:4" x14ac:dyDescent="0.3">
      <c r="A1432" s="2" t="str">
        <f>"CONTENDAS DO SINCORA"</f>
        <v>CONTENDAS DO SINCORA</v>
      </c>
      <c r="B1432" s="3" t="str">
        <f>"BA"</f>
        <v>BA</v>
      </c>
      <c r="C1432" s="3" t="str">
        <f t="shared" si="54"/>
        <v>BRASIL</v>
      </c>
      <c r="D1432" s="4" t="str">
        <f>"BA107"</f>
        <v>BA107</v>
      </c>
    </row>
    <row r="1433" spans="1:4" x14ac:dyDescent="0.3">
      <c r="A1433" s="2" t="str">
        <f>"COQUEIRAL"</f>
        <v>COQUEIRAL</v>
      </c>
      <c r="B1433" s="3" t="str">
        <f>"MG"</f>
        <v>MG</v>
      </c>
      <c r="C1433" s="3" t="str">
        <f t="shared" si="54"/>
        <v>BRASIL</v>
      </c>
      <c r="D1433" s="4" t="str">
        <f>"MG206"</f>
        <v>MG206</v>
      </c>
    </row>
    <row r="1434" spans="1:4" x14ac:dyDescent="0.3">
      <c r="A1434" s="2" t="str">
        <f>"COQUEIRO BAIXO"</f>
        <v>COQUEIRO BAIXO</v>
      </c>
      <c r="B1434" s="3" t="str">
        <f>"RS"</f>
        <v>RS</v>
      </c>
      <c r="C1434" s="3" t="str">
        <f t="shared" si="54"/>
        <v>BRASIL</v>
      </c>
      <c r="D1434" s="4" t="str">
        <f>"RS115"</f>
        <v>RS115</v>
      </c>
    </row>
    <row r="1435" spans="1:4" x14ac:dyDescent="0.3">
      <c r="A1435" s="2" t="str">
        <f>"COQUEIRO SECO"</f>
        <v>COQUEIRO SECO</v>
      </c>
      <c r="B1435" s="3" t="str">
        <f>"AL"</f>
        <v>AL</v>
      </c>
      <c r="C1435" s="3" t="str">
        <f t="shared" si="54"/>
        <v>BRASIL</v>
      </c>
      <c r="D1435" s="4" t="str">
        <f>"AL023"</f>
        <v>AL023</v>
      </c>
    </row>
    <row r="1436" spans="1:4" x14ac:dyDescent="0.3">
      <c r="A1436" s="2" t="str">
        <f>"COQUEIROS DO SUL"</f>
        <v>COQUEIROS DO SUL</v>
      </c>
      <c r="B1436" s="3" t="str">
        <f>"RS"</f>
        <v>RS</v>
      </c>
      <c r="C1436" s="3" t="str">
        <f t="shared" si="54"/>
        <v>BRASIL</v>
      </c>
      <c r="D1436" s="4" t="str">
        <f>"RS116"</f>
        <v>RS116</v>
      </c>
    </row>
    <row r="1437" spans="1:4" x14ac:dyDescent="0.3">
      <c r="A1437" s="2" t="str">
        <f>"CORACAO DE JESUS"</f>
        <v>CORACAO DE JESUS</v>
      </c>
      <c r="B1437" s="3" t="str">
        <f>"MG"</f>
        <v>MG</v>
      </c>
      <c r="C1437" s="3" t="str">
        <f t="shared" si="54"/>
        <v>BRASIL</v>
      </c>
      <c r="D1437" s="4" t="str">
        <f>"MG207"</f>
        <v>MG207</v>
      </c>
    </row>
    <row r="1438" spans="1:4" x14ac:dyDescent="0.3">
      <c r="A1438" s="2" t="str">
        <f>"CORACAO DE MARIA"</f>
        <v>CORACAO DE MARIA</v>
      </c>
      <c r="B1438" s="3" t="str">
        <f>"BA"</f>
        <v>BA</v>
      </c>
      <c r="C1438" s="3" t="str">
        <f t="shared" si="54"/>
        <v>BRASIL</v>
      </c>
      <c r="D1438" s="4" t="str">
        <f>"BA108"</f>
        <v>BA108</v>
      </c>
    </row>
    <row r="1439" spans="1:4" x14ac:dyDescent="0.3">
      <c r="A1439" s="2" t="str">
        <f>"CORBELIA"</f>
        <v>CORBELIA</v>
      </c>
      <c r="B1439" s="3" t="str">
        <f>"PR"</f>
        <v>PR</v>
      </c>
      <c r="C1439" s="3" t="str">
        <f t="shared" si="54"/>
        <v>BRASIL</v>
      </c>
      <c r="D1439" s="4" t="str">
        <f>"PR084"</f>
        <v>PR084</v>
      </c>
    </row>
    <row r="1440" spans="1:4" x14ac:dyDescent="0.3">
      <c r="A1440" s="2" t="str">
        <f>"CORDEIRO"</f>
        <v>CORDEIRO</v>
      </c>
      <c r="B1440" s="3" t="str">
        <f>"RJ"</f>
        <v>RJ</v>
      </c>
      <c r="C1440" s="3" t="str">
        <f t="shared" si="54"/>
        <v>BRASIL</v>
      </c>
      <c r="D1440" s="4" t="str">
        <f>"RJ023"</f>
        <v>RJ023</v>
      </c>
    </row>
    <row r="1441" spans="1:4" x14ac:dyDescent="0.3">
      <c r="A1441" s="2" t="str">
        <f>"CORDEIROPOLIS"</f>
        <v>CORDEIROPOLIS</v>
      </c>
      <c r="B1441" s="3" t="str">
        <f>"SP"</f>
        <v>SP</v>
      </c>
      <c r="C1441" s="3" t="str">
        <f t="shared" si="54"/>
        <v>BRASIL</v>
      </c>
      <c r="D1441" s="4" t="str">
        <f>"SP139"</f>
        <v>SP139</v>
      </c>
    </row>
    <row r="1442" spans="1:4" x14ac:dyDescent="0.3">
      <c r="A1442" s="2" t="str">
        <f>"CORDEIROS"</f>
        <v>CORDEIROS</v>
      </c>
      <c r="B1442" s="3" t="str">
        <f>"BA"</f>
        <v>BA</v>
      </c>
      <c r="C1442" s="3" t="str">
        <f t="shared" si="54"/>
        <v>BRASIL</v>
      </c>
      <c r="D1442" s="4" t="str">
        <f>"BA109"</f>
        <v>BA109</v>
      </c>
    </row>
    <row r="1443" spans="1:4" x14ac:dyDescent="0.3">
      <c r="A1443" s="2" t="str">
        <f>"CORDILHEIRA ALTA"</f>
        <v>CORDILHEIRA ALTA</v>
      </c>
      <c r="B1443" s="3" t="str">
        <f>"SC"</f>
        <v>SC</v>
      </c>
      <c r="C1443" s="3" t="str">
        <f t="shared" si="54"/>
        <v>BRASIL</v>
      </c>
      <c r="D1443" s="4" t="str">
        <f>"SC070"</f>
        <v>SC070</v>
      </c>
    </row>
    <row r="1444" spans="1:4" x14ac:dyDescent="0.3">
      <c r="A1444" s="2" t="str">
        <f>"CORDISBURGO"</f>
        <v>CORDISBURGO</v>
      </c>
      <c r="B1444" s="3" t="str">
        <f>"MG"</f>
        <v>MG</v>
      </c>
      <c r="C1444" s="3" t="str">
        <f t="shared" si="54"/>
        <v>BRASIL</v>
      </c>
      <c r="D1444" s="4" t="str">
        <f>"MG208"</f>
        <v>MG208</v>
      </c>
    </row>
    <row r="1445" spans="1:4" x14ac:dyDescent="0.3">
      <c r="A1445" s="2" t="str">
        <f>"CORDISLANDIA"</f>
        <v>CORDISLANDIA</v>
      </c>
      <c r="B1445" s="3" t="str">
        <f>"MG"</f>
        <v>MG</v>
      </c>
      <c r="C1445" s="3" t="str">
        <f t="shared" si="54"/>
        <v>BRASIL</v>
      </c>
      <c r="D1445" s="4" t="str">
        <f>"MG209"</f>
        <v>MG209</v>
      </c>
    </row>
    <row r="1446" spans="1:4" x14ac:dyDescent="0.3">
      <c r="A1446" s="2" t="str">
        <f>"CORDOBA"</f>
        <v>CORDOBA</v>
      </c>
      <c r="B1446" s="3" t="str">
        <f>"EX"</f>
        <v>EX</v>
      </c>
      <c r="C1446" s="3" t="str">
        <f>"ARGENTINA"</f>
        <v>ARGENTINA</v>
      </c>
      <c r="D1446" s="4" t="str">
        <f>"CORD"</f>
        <v>CORD</v>
      </c>
    </row>
    <row r="1447" spans="1:4" x14ac:dyDescent="0.3">
      <c r="A1447" s="2" t="str">
        <f>"COREAU"</f>
        <v>COREAU</v>
      </c>
      <c r="B1447" s="3" t="str">
        <f>"CE"</f>
        <v>CE</v>
      </c>
      <c r="C1447" s="3" t="str">
        <f t="shared" ref="C1447:C1482" si="55">"BRASIL"</f>
        <v>BRASIL</v>
      </c>
      <c r="D1447" s="4" t="str">
        <f>"CE049"</f>
        <v>CE049</v>
      </c>
    </row>
    <row r="1448" spans="1:4" x14ac:dyDescent="0.3">
      <c r="A1448" s="2" t="str">
        <f>"COREMAS"</f>
        <v>COREMAS</v>
      </c>
      <c r="B1448" s="3" t="str">
        <f>"PB"</f>
        <v>PB</v>
      </c>
      <c r="C1448" s="3" t="str">
        <f t="shared" si="55"/>
        <v>BRASIL</v>
      </c>
      <c r="D1448" s="4" t="str">
        <f>"PB064"</f>
        <v>PB064</v>
      </c>
    </row>
    <row r="1449" spans="1:4" x14ac:dyDescent="0.3">
      <c r="A1449" s="2" t="str">
        <f>"CORGUINHO"</f>
        <v>CORGUINHO</v>
      </c>
      <c r="B1449" s="3" t="str">
        <f>"MS"</f>
        <v>MS</v>
      </c>
      <c r="C1449" s="3" t="str">
        <f t="shared" si="55"/>
        <v>BRASIL</v>
      </c>
      <c r="D1449" s="4" t="str">
        <f>"MS024"</f>
        <v>MS024</v>
      </c>
    </row>
    <row r="1450" spans="1:4" x14ac:dyDescent="0.3">
      <c r="A1450" s="2" t="str">
        <f>"CORIBE"</f>
        <v>CORIBE</v>
      </c>
      <c r="B1450" s="3" t="str">
        <f>"BA"</f>
        <v>BA</v>
      </c>
      <c r="C1450" s="3" t="str">
        <f t="shared" si="55"/>
        <v>BRASIL</v>
      </c>
      <c r="D1450" s="4" t="str">
        <f>"BA110"</f>
        <v>BA110</v>
      </c>
    </row>
    <row r="1451" spans="1:4" x14ac:dyDescent="0.3">
      <c r="A1451" s="2" t="str">
        <f>"CORINTO"</f>
        <v>CORINTO</v>
      </c>
      <c r="B1451" s="3" t="str">
        <f>"MG"</f>
        <v>MG</v>
      </c>
      <c r="C1451" s="3" t="str">
        <f t="shared" si="55"/>
        <v>BRASIL</v>
      </c>
      <c r="D1451" s="4" t="str">
        <f>"MG210"</f>
        <v>MG210</v>
      </c>
    </row>
    <row r="1452" spans="1:4" x14ac:dyDescent="0.3">
      <c r="A1452" s="2" t="str">
        <f>"CORNELIO PROCOPIO"</f>
        <v>CORNELIO PROCOPIO</v>
      </c>
      <c r="B1452" s="3" t="str">
        <f>"PR"</f>
        <v>PR</v>
      </c>
      <c r="C1452" s="3" t="str">
        <f t="shared" si="55"/>
        <v>BRASIL</v>
      </c>
      <c r="D1452" s="4" t="str">
        <f>"PR085"</f>
        <v>PR085</v>
      </c>
    </row>
    <row r="1453" spans="1:4" x14ac:dyDescent="0.3">
      <c r="A1453" s="2" t="str">
        <f>"COROACI"</f>
        <v>COROACI</v>
      </c>
      <c r="B1453" s="3" t="str">
        <f>"MG"</f>
        <v>MG</v>
      </c>
      <c r="C1453" s="3" t="str">
        <f t="shared" si="55"/>
        <v>BRASIL</v>
      </c>
      <c r="D1453" s="4" t="str">
        <f>"MG211"</f>
        <v>MG211</v>
      </c>
    </row>
    <row r="1454" spans="1:4" x14ac:dyDescent="0.3">
      <c r="A1454" s="2" t="str">
        <f>"COROADOS"</f>
        <v>COROADOS</v>
      </c>
      <c r="B1454" s="3" t="str">
        <f>"SP"</f>
        <v>SP</v>
      </c>
      <c r="C1454" s="3" t="str">
        <f t="shared" si="55"/>
        <v>BRASIL</v>
      </c>
      <c r="D1454" s="4" t="str">
        <f>"SP140"</f>
        <v>SP140</v>
      </c>
    </row>
    <row r="1455" spans="1:4" x14ac:dyDescent="0.3">
      <c r="A1455" s="2" t="str">
        <f>"COROATA"</f>
        <v>COROATA</v>
      </c>
      <c r="B1455" s="3" t="str">
        <f>"MA"</f>
        <v>MA</v>
      </c>
      <c r="C1455" s="3" t="str">
        <f t="shared" si="55"/>
        <v>BRASIL</v>
      </c>
      <c r="D1455" s="4" t="str">
        <f>"MA063"</f>
        <v>MA063</v>
      </c>
    </row>
    <row r="1456" spans="1:4" x14ac:dyDescent="0.3">
      <c r="A1456" s="2" t="str">
        <f>"COROMANDEL"</f>
        <v>COROMANDEL</v>
      </c>
      <c r="B1456" s="3" t="str">
        <f>"MG"</f>
        <v>MG</v>
      </c>
      <c r="C1456" s="3" t="str">
        <f t="shared" si="55"/>
        <v>BRASIL</v>
      </c>
      <c r="D1456" s="4" t="str">
        <f>"MG212"</f>
        <v>MG212</v>
      </c>
    </row>
    <row r="1457" spans="1:4" x14ac:dyDescent="0.3">
      <c r="A1457" s="2" t="str">
        <f>"CORONEL BARROS"</f>
        <v>CORONEL BARROS</v>
      </c>
      <c r="B1457" s="3" t="str">
        <f>"RS"</f>
        <v>RS</v>
      </c>
      <c r="C1457" s="3" t="str">
        <f t="shared" si="55"/>
        <v>BRASIL</v>
      </c>
      <c r="D1457" s="4" t="str">
        <f>"RS117"</f>
        <v>RS117</v>
      </c>
    </row>
    <row r="1458" spans="1:4" x14ac:dyDescent="0.3">
      <c r="A1458" s="2" t="str">
        <f>"CORONEL BICACO"</f>
        <v>CORONEL BICACO</v>
      </c>
      <c r="B1458" s="3" t="str">
        <f>"RS"</f>
        <v>RS</v>
      </c>
      <c r="C1458" s="3" t="str">
        <f t="shared" si="55"/>
        <v>BRASIL</v>
      </c>
      <c r="D1458" s="4" t="str">
        <f>"RS118"</f>
        <v>RS118</v>
      </c>
    </row>
    <row r="1459" spans="1:4" x14ac:dyDescent="0.3">
      <c r="A1459" s="2" t="str">
        <f>"CORONEL DOMINGOS SOARES"</f>
        <v>CORONEL DOMINGOS SOARES</v>
      </c>
      <c r="B1459" s="3" t="str">
        <f>"PR"</f>
        <v>PR</v>
      </c>
      <c r="C1459" s="3" t="str">
        <f t="shared" si="55"/>
        <v>BRASIL</v>
      </c>
      <c r="D1459" s="4" t="str">
        <f>"PR086"</f>
        <v>PR086</v>
      </c>
    </row>
    <row r="1460" spans="1:4" x14ac:dyDescent="0.3">
      <c r="A1460" s="2" t="str">
        <f>"CORONEL EZEQUIEL"</f>
        <v>CORONEL EZEQUIEL</v>
      </c>
      <c r="B1460" s="3" t="str">
        <f>"RN"</f>
        <v>RN</v>
      </c>
      <c r="C1460" s="3" t="str">
        <f t="shared" si="55"/>
        <v>BRASIL</v>
      </c>
      <c r="D1460" s="4" t="str">
        <f>"RN031"</f>
        <v>RN031</v>
      </c>
    </row>
    <row r="1461" spans="1:4" x14ac:dyDescent="0.3">
      <c r="A1461" s="2" t="str">
        <f>"CORONEL FABRICIANO"</f>
        <v>CORONEL FABRICIANO</v>
      </c>
      <c r="B1461" s="3" t="str">
        <f>"MG"</f>
        <v>MG</v>
      </c>
      <c r="C1461" s="3" t="str">
        <f t="shared" si="55"/>
        <v>BRASIL</v>
      </c>
      <c r="D1461" s="4" t="str">
        <f>"MG213"</f>
        <v>MG213</v>
      </c>
    </row>
    <row r="1462" spans="1:4" x14ac:dyDescent="0.3">
      <c r="A1462" s="2" t="str">
        <f>"CORONEL FREITAS"</f>
        <v>CORONEL FREITAS</v>
      </c>
      <c r="B1462" s="3" t="str">
        <f>"SC"</f>
        <v>SC</v>
      </c>
      <c r="C1462" s="3" t="str">
        <f t="shared" si="55"/>
        <v>BRASIL</v>
      </c>
      <c r="D1462" s="4" t="str">
        <f>"SC071"</f>
        <v>SC071</v>
      </c>
    </row>
    <row r="1463" spans="1:4" x14ac:dyDescent="0.3">
      <c r="A1463" s="2" t="str">
        <f>"CORONEL JOAO PESSOA"</f>
        <v>CORONEL JOAO PESSOA</v>
      </c>
      <c r="B1463" s="3" t="str">
        <f>"RN"</f>
        <v>RN</v>
      </c>
      <c r="C1463" s="3" t="str">
        <f t="shared" si="55"/>
        <v>BRASIL</v>
      </c>
      <c r="D1463" s="4" t="str">
        <f>"RN032"</f>
        <v>RN032</v>
      </c>
    </row>
    <row r="1464" spans="1:4" x14ac:dyDescent="0.3">
      <c r="A1464" s="2" t="str">
        <f>"CORONEL JOAO SA"</f>
        <v>CORONEL JOAO SA</v>
      </c>
      <c r="B1464" s="3" t="str">
        <f>"BA"</f>
        <v>BA</v>
      </c>
      <c r="C1464" s="3" t="str">
        <f t="shared" si="55"/>
        <v>BRASIL</v>
      </c>
      <c r="D1464" s="4" t="str">
        <f>"BA111"</f>
        <v>BA111</v>
      </c>
    </row>
    <row r="1465" spans="1:4" x14ac:dyDescent="0.3">
      <c r="A1465" s="2" t="str">
        <f>"CORONEL JOSE DIAS"</f>
        <v>CORONEL JOSE DIAS</v>
      </c>
      <c r="B1465" s="3" t="str">
        <f>"PI"</f>
        <v>PI</v>
      </c>
      <c r="C1465" s="3" t="str">
        <f t="shared" si="55"/>
        <v>BRASIL</v>
      </c>
      <c r="D1465" s="4" t="str">
        <f>"PI064"</f>
        <v>PI064</v>
      </c>
    </row>
    <row r="1466" spans="1:4" x14ac:dyDescent="0.3">
      <c r="A1466" s="2" t="str">
        <f>"CORONEL MACEDO"</f>
        <v>CORONEL MACEDO</v>
      </c>
      <c r="B1466" s="3" t="str">
        <f>"SP"</f>
        <v>SP</v>
      </c>
      <c r="C1466" s="3" t="str">
        <f t="shared" si="55"/>
        <v>BRASIL</v>
      </c>
      <c r="D1466" s="4" t="str">
        <f>"SP141"</f>
        <v>SP141</v>
      </c>
    </row>
    <row r="1467" spans="1:4" x14ac:dyDescent="0.3">
      <c r="A1467" s="2" t="str">
        <f>"CORONEL MARTINS"</f>
        <v>CORONEL MARTINS</v>
      </c>
      <c r="B1467" s="3" t="str">
        <f>"SC"</f>
        <v>SC</v>
      </c>
      <c r="C1467" s="3" t="str">
        <f t="shared" si="55"/>
        <v>BRASIL</v>
      </c>
      <c r="D1467" s="4" t="str">
        <f>"SC072"</f>
        <v>SC072</v>
      </c>
    </row>
    <row r="1468" spans="1:4" x14ac:dyDescent="0.3">
      <c r="A1468" s="2" t="str">
        <f>"CORONEL MURTA"</f>
        <v>CORONEL MURTA</v>
      </c>
      <c r="B1468" s="3" t="str">
        <f>"MG"</f>
        <v>MG</v>
      </c>
      <c r="C1468" s="3" t="str">
        <f t="shared" si="55"/>
        <v>BRASIL</v>
      </c>
      <c r="D1468" s="4" t="str">
        <f>"MG214"</f>
        <v>MG214</v>
      </c>
    </row>
    <row r="1469" spans="1:4" x14ac:dyDescent="0.3">
      <c r="A1469" s="2" t="str">
        <f>"CORONEL PACHECO"</f>
        <v>CORONEL PACHECO</v>
      </c>
      <c r="B1469" s="3" t="str">
        <f>"MG"</f>
        <v>MG</v>
      </c>
      <c r="C1469" s="3" t="str">
        <f t="shared" si="55"/>
        <v>BRASIL</v>
      </c>
      <c r="D1469" s="4" t="str">
        <f>"MG215"</f>
        <v>MG215</v>
      </c>
    </row>
    <row r="1470" spans="1:4" x14ac:dyDescent="0.3">
      <c r="A1470" s="2" t="str">
        <f>"CORONEL PILAR"</f>
        <v>CORONEL PILAR</v>
      </c>
      <c r="B1470" s="3" t="str">
        <f>"RS"</f>
        <v>RS</v>
      </c>
      <c r="C1470" s="3" t="str">
        <f t="shared" si="55"/>
        <v>BRASIL</v>
      </c>
      <c r="D1470" s="4" t="str">
        <f>"RS119"</f>
        <v>RS119</v>
      </c>
    </row>
    <row r="1471" spans="1:4" x14ac:dyDescent="0.3">
      <c r="A1471" s="2" t="str">
        <f>"CORONEL SAPUCAIA"</f>
        <v>CORONEL SAPUCAIA</v>
      </c>
      <c r="B1471" s="3" t="str">
        <f>"MS"</f>
        <v>MS</v>
      </c>
      <c r="C1471" s="3" t="str">
        <f t="shared" si="55"/>
        <v>BRASIL</v>
      </c>
      <c r="D1471" s="4" t="str">
        <f>"MS025"</f>
        <v>MS025</v>
      </c>
    </row>
    <row r="1472" spans="1:4" x14ac:dyDescent="0.3">
      <c r="A1472" s="2" t="str">
        <f>"CORONEL VIVIDA"</f>
        <v>CORONEL VIVIDA</v>
      </c>
      <c r="B1472" s="3" t="str">
        <f>"PR"</f>
        <v>PR</v>
      </c>
      <c r="C1472" s="3" t="str">
        <f t="shared" si="55"/>
        <v>BRASIL</v>
      </c>
      <c r="D1472" s="4" t="str">
        <f>"PR087"</f>
        <v>PR087</v>
      </c>
    </row>
    <row r="1473" spans="1:4" x14ac:dyDescent="0.3">
      <c r="A1473" s="2" t="str">
        <f>"CORONEL XAVIER CHAVES"</f>
        <v>CORONEL XAVIER CHAVES</v>
      </c>
      <c r="B1473" s="3" t="str">
        <f>"MG"</f>
        <v>MG</v>
      </c>
      <c r="C1473" s="3" t="str">
        <f t="shared" si="55"/>
        <v>BRASIL</v>
      </c>
      <c r="D1473" s="4" t="str">
        <f>"MG216"</f>
        <v>MG216</v>
      </c>
    </row>
    <row r="1474" spans="1:4" x14ac:dyDescent="0.3">
      <c r="A1474" s="2" t="str">
        <f>"CORREGO DANTA"</f>
        <v>CORREGO DANTA</v>
      </c>
      <c r="B1474" s="3" t="str">
        <f>"MG"</f>
        <v>MG</v>
      </c>
      <c r="C1474" s="3" t="str">
        <f t="shared" si="55"/>
        <v>BRASIL</v>
      </c>
      <c r="D1474" s="4" t="str">
        <f>"MG217"</f>
        <v>MG217</v>
      </c>
    </row>
    <row r="1475" spans="1:4" x14ac:dyDescent="0.3">
      <c r="A1475" s="2" t="str">
        <f>"CORREGO DO BOM JESUS"</f>
        <v>CORREGO DO BOM JESUS</v>
      </c>
      <c r="B1475" s="3" t="str">
        <f>"MG"</f>
        <v>MG</v>
      </c>
      <c r="C1475" s="3" t="str">
        <f t="shared" si="55"/>
        <v>BRASIL</v>
      </c>
      <c r="D1475" s="4" t="str">
        <f>"MG218"</f>
        <v>MG218</v>
      </c>
    </row>
    <row r="1476" spans="1:4" x14ac:dyDescent="0.3">
      <c r="A1476" s="2" t="str">
        <f>"CORREGO DO OURO"</f>
        <v>CORREGO DO OURO</v>
      </c>
      <c r="B1476" s="3" t="str">
        <f>"GO"</f>
        <v>GO</v>
      </c>
      <c r="C1476" s="3" t="str">
        <f t="shared" si="55"/>
        <v>BRASIL</v>
      </c>
      <c r="D1476" s="4" t="str">
        <f>"GO068"</f>
        <v>GO068</v>
      </c>
    </row>
    <row r="1477" spans="1:4" x14ac:dyDescent="0.3">
      <c r="A1477" s="2" t="str">
        <f>"CORREGO FUNDO"</f>
        <v>CORREGO FUNDO</v>
      </c>
      <c r="B1477" s="3" t="str">
        <f>"MG"</f>
        <v>MG</v>
      </c>
      <c r="C1477" s="3" t="str">
        <f t="shared" si="55"/>
        <v>BRASIL</v>
      </c>
      <c r="D1477" s="4" t="str">
        <f>"MG219"</f>
        <v>MG219</v>
      </c>
    </row>
    <row r="1478" spans="1:4" x14ac:dyDescent="0.3">
      <c r="A1478" s="2" t="str">
        <f>"CORREGO NOVO"</f>
        <v>CORREGO NOVO</v>
      </c>
      <c r="B1478" s="3" t="str">
        <f>"MG"</f>
        <v>MG</v>
      </c>
      <c r="C1478" s="3" t="str">
        <f t="shared" si="55"/>
        <v>BRASIL</v>
      </c>
      <c r="D1478" s="4" t="str">
        <f>"MG220"</f>
        <v>MG220</v>
      </c>
    </row>
    <row r="1479" spans="1:4" x14ac:dyDescent="0.3">
      <c r="A1479" s="2" t="str">
        <f>"CORREIA PINTO"</f>
        <v>CORREIA PINTO</v>
      </c>
      <c r="B1479" s="3" t="str">
        <f>"SC"</f>
        <v>SC</v>
      </c>
      <c r="C1479" s="3" t="str">
        <f t="shared" si="55"/>
        <v>BRASIL</v>
      </c>
      <c r="D1479" s="4" t="str">
        <f>"SC074"</f>
        <v>SC074</v>
      </c>
    </row>
    <row r="1480" spans="1:4" x14ac:dyDescent="0.3">
      <c r="A1480" s="2" t="str">
        <f>"CORRENTE"</f>
        <v>CORRENTE</v>
      </c>
      <c r="B1480" s="3" t="str">
        <f>"PI"</f>
        <v>PI</v>
      </c>
      <c r="C1480" s="3" t="str">
        <f t="shared" si="55"/>
        <v>BRASIL</v>
      </c>
      <c r="D1480" s="4" t="str">
        <f>"PI065"</f>
        <v>PI065</v>
      </c>
    </row>
    <row r="1481" spans="1:4" x14ac:dyDescent="0.3">
      <c r="A1481" s="2" t="str">
        <f>"CORRENTES"</f>
        <v>CORRENTES</v>
      </c>
      <c r="B1481" s="3" t="str">
        <f>"PE"</f>
        <v>PE</v>
      </c>
      <c r="C1481" s="3" t="str">
        <f t="shared" si="55"/>
        <v>BRASIL</v>
      </c>
      <c r="D1481" s="4" t="str">
        <f>"PE052"</f>
        <v>PE052</v>
      </c>
    </row>
    <row r="1482" spans="1:4" x14ac:dyDescent="0.3">
      <c r="A1482" s="2" t="str">
        <f>"CORRENTINA"</f>
        <v>CORRENTINA</v>
      </c>
      <c r="B1482" s="3" t="str">
        <f>"BA"</f>
        <v>BA</v>
      </c>
      <c r="C1482" s="3" t="str">
        <f t="shared" si="55"/>
        <v>BRASIL</v>
      </c>
      <c r="D1482" s="4" t="str">
        <f>"BA112"</f>
        <v>BA112</v>
      </c>
    </row>
    <row r="1483" spans="1:4" x14ac:dyDescent="0.3">
      <c r="A1483" s="2" t="str">
        <f>"CORRIENTES"</f>
        <v>CORRIENTES</v>
      </c>
      <c r="B1483" s="3" t="str">
        <f>"EX"</f>
        <v>EX</v>
      </c>
      <c r="C1483" s="3" t="str">
        <f>"ARGENTINA"</f>
        <v>ARGENTINA</v>
      </c>
      <c r="D1483" s="4" t="str">
        <f>"CORRI"</f>
        <v>CORRI</v>
      </c>
    </row>
    <row r="1484" spans="1:4" x14ac:dyDescent="0.3">
      <c r="A1484" s="2" t="str">
        <f>"CORTES"</f>
        <v>CORTES</v>
      </c>
      <c r="B1484" s="3" t="str">
        <f>"PE"</f>
        <v>PE</v>
      </c>
      <c r="C1484" s="3" t="str">
        <f t="shared" ref="C1484:C1499" si="56">"BRASIL"</f>
        <v>BRASIL</v>
      </c>
      <c r="D1484" s="4" t="str">
        <f>"PE053"</f>
        <v>PE053</v>
      </c>
    </row>
    <row r="1485" spans="1:4" x14ac:dyDescent="0.3">
      <c r="A1485" s="2" t="str">
        <f>"CORUMBA"</f>
        <v>CORUMBA</v>
      </c>
      <c r="B1485" s="3" t="str">
        <f>"MS"</f>
        <v>MS</v>
      </c>
      <c r="C1485" s="3" t="str">
        <f t="shared" si="56"/>
        <v>BRASIL</v>
      </c>
      <c r="D1485" s="4" t="str">
        <f>"MS026"</f>
        <v>MS026</v>
      </c>
    </row>
    <row r="1486" spans="1:4" x14ac:dyDescent="0.3">
      <c r="A1486" s="2" t="str">
        <f>"CORUMBA DE GOIAS"</f>
        <v>CORUMBA DE GOIAS</v>
      </c>
      <c r="B1486" s="3" t="str">
        <f>"GO"</f>
        <v>GO</v>
      </c>
      <c r="C1486" s="3" t="str">
        <f t="shared" si="56"/>
        <v>BRASIL</v>
      </c>
      <c r="D1486" s="4" t="str">
        <f>"GO069"</f>
        <v>GO069</v>
      </c>
    </row>
    <row r="1487" spans="1:4" x14ac:dyDescent="0.3">
      <c r="A1487" s="2" t="str">
        <f>"CORUMBAIBA"</f>
        <v>CORUMBAIBA</v>
      </c>
      <c r="B1487" s="3" t="str">
        <f>"GO"</f>
        <v>GO</v>
      </c>
      <c r="C1487" s="3" t="str">
        <f t="shared" si="56"/>
        <v>BRASIL</v>
      </c>
      <c r="D1487" s="4" t="str">
        <f>"GO070"</f>
        <v>GO070</v>
      </c>
    </row>
    <row r="1488" spans="1:4" x14ac:dyDescent="0.3">
      <c r="A1488" s="2" t="str">
        <f>"CORUMBATAI"</f>
        <v>CORUMBATAI</v>
      </c>
      <c r="B1488" s="3" t="str">
        <f>"SP"</f>
        <v>SP</v>
      </c>
      <c r="C1488" s="3" t="str">
        <f t="shared" si="56"/>
        <v>BRASIL</v>
      </c>
      <c r="D1488" s="4" t="str">
        <f>"SP142"</f>
        <v>SP142</v>
      </c>
    </row>
    <row r="1489" spans="1:4" x14ac:dyDescent="0.3">
      <c r="A1489" s="2" t="str">
        <f>"CORUMBATAI DO SUL"</f>
        <v>CORUMBATAI DO SUL</v>
      </c>
      <c r="B1489" s="3" t="str">
        <f>"PR"</f>
        <v>PR</v>
      </c>
      <c r="C1489" s="3" t="str">
        <f t="shared" si="56"/>
        <v>BRASIL</v>
      </c>
      <c r="D1489" s="4" t="str">
        <f>"PR088"</f>
        <v>PR088</v>
      </c>
    </row>
    <row r="1490" spans="1:4" x14ac:dyDescent="0.3">
      <c r="A1490" s="2" t="str">
        <f>"CORUMBIARA"</f>
        <v>CORUMBIARA</v>
      </c>
      <c r="B1490" s="3" t="str">
        <f>"RO"</f>
        <v>RO</v>
      </c>
      <c r="C1490" s="3" t="str">
        <f t="shared" si="56"/>
        <v>BRASIL</v>
      </c>
      <c r="D1490" s="4" t="str">
        <f>"RO007"</f>
        <v>RO007</v>
      </c>
    </row>
    <row r="1491" spans="1:4" x14ac:dyDescent="0.3">
      <c r="A1491" s="2" t="str">
        <f>"CORUPA"</f>
        <v>CORUPA</v>
      </c>
      <c r="B1491" s="3" t="str">
        <f>"SC"</f>
        <v>SC</v>
      </c>
      <c r="C1491" s="3" t="str">
        <f t="shared" si="56"/>
        <v>BRASIL</v>
      </c>
      <c r="D1491" s="4" t="str">
        <f>"SC073"</f>
        <v>SC073</v>
      </c>
    </row>
    <row r="1492" spans="1:4" x14ac:dyDescent="0.3">
      <c r="A1492" s="2" t="str">
        <f>"CORURIPE"</f>
        <v>CORURIPE</v>
      </c>
      <c r="B1492" s="3" t="str">
        <f>"AL"</f>
        <v>AL</v>
      </c>
      <c r="C1492" s="3" t="str">
        <f t="shared" si="56"/>
        <v>BRASIL</v>
      </c>
      <c r="D1492" s="4" t="str">
        <f>"AL024"</f>
        <v>AL024</v>
      </c>
    </row>
    <row r="1493" spans="1:4" x14ac:dyDescent="0.3">
      <c r="A1493" s="2" t="str">
        <f>"COSMOPOLIS"</f>
        <v>COSMOPOLIS</v>
      </c>
      <c r="B1493" s="3" t="str">
        <f>"SP"</f>
        <v>SP</v>
      </c>
      <c r="C1493" s="3" t="str">
        <f t="shared" si="56"/>
        <v>BRASIL</v>
      </c>
      <c r="D1493" s="4" t="str">
        <f>"SP143"</f>
        <v>SP143</v>
      </c>
    </row>
    <row r="1494" spans="1:4" x14ac:dyDescent="0.3">
      <c r="A1494" s="2" t="str">
        <f>"COSMORAMA"</f>
        <v>COSMORAMA</v>
      </c>
      <c r="B1494" s="3" t="str">
        <f>"SP"</f>
        <v>SP</v>
      </c>
      <c r="C1494" s="3" t="str">
        <f t="shared" si="56"/>
        <v>BRASIL</v>
      </c>
      <c r="D1494" s="4" t="str">
        <f>"SP144"</f>
        <v>SP144</v>
      </c>
    </row>
    <row r="1495" spans="1:4" x14ac:dyDescent="0.3">
      <c r="A1495" s="2" t="str">
        <f>"COSTA MARQUES"</f>
        <v>COSTA MARQUES</v>
      </c>
      <c r="B1495" s="3" t="str">
        <f>"RO"</f>
        <v>RO</v>
      </c>
      <c r="C1495" s="3" t="str">
        <f t="shared" si="56"/>
        <v>BRASIL</v>
      </c>
      <c r="D1495" s="4" t="str">
        <f>"RO008"</f>
        <v>RO008</v>
      </c>
    </row>
    <row r="1496" spans="1:4" x14ac:dyDescent="0.3">
      <c r="A1496" s="2" t="str">
        <f>"COSTA RICA"</f>
        <v>COSTA RICA</v>
      </c>
      <c r="B1496" s="3" t="str">
        <f>"MS"</f>
        <v>MS</v>
      </c>
      <c r="C1496" s="3" t="str">
        <f t="shared" si="56"/>
        <v>BRASIL</v>
      </c>
      <c r="D1496" s="4" t="str">
        <f>"MS027"</f>
        <v>MS027</v>
      </c>
    </row>
    <row r="1497" spans="1:4" x14ac:dyDescent="0.3">
      <c r="A1497" s="2" t="str">
        <f>"COTEGIPE"</f>
        <v>COTEGIPE</v>
      </c>
      <c r="B1497" s="3" t="str">
        <f>"BA"</f>
        <v>BA</v>
      </c>
      <c r="C1497" s="3" t="str">
        <f t="shared" si="56"/>
        <v>BRASIL</v>
      </c>
      <c r="D1497" s="4" t="str">
        <f>"BA113"</f>
        <v>BA113</v>
      </c>
    </row>
    <row r="1498" spans="1:4" x14ac:dyDescent="0.3">
      <c r="A1498" s="2" t="str">
        <f>"COTIA"</f>
        <v>COTIA</v>
      </c>
      <c r="B1498" s="3" t="str">
        <f>"SP"</f>
        <v>SP</v>
      </c>
      <c r="C1498" s="3" t="str">
        <f t="shared" si="56"/>
        <v>BRASIL</v>
      </c>
      <c r="D1498" s="4" t="str">
        <f>"SP145"</f>
        <v>SP145</v>
      </c>
    </row>
    <row r="1499" spans="1:4" x14ac:dyDescent="0.3">
      <c r="A1499" s="2" t="str">
        <f>"COTIPORA"</f>
        <v>COTIPORA</v>
      </c>
      <c r="B1499" s="3" t="str">
        <f>"RS"</f>
        <v>RS</v>
      </c>
      <c r="C1499" s="3" t="str">
        <f t="shared" si="56"/>
        <v>BRASIL</v>
      </c>
      <c r="D1499" s="4" t="str">
        <f>"RS120"</f>
        <v>RS120</v>
      </c>
    </row>
    <row r="1500" spans="1:4" x14ac:dyDescent="0.3">
      <c r="A1500" s="2" t="str">
        <f>"COTOPAXI"</f>
        <v>COTOPAXI</v>
      </c>
      <c r="B1500" s="3" t="str">
        <f>"EX"</f>
        <v>EX</v>
      </c>
      <c r="C1500" s="3" t="str">
        <f>"EQUADOR"</f>
        <v>EQUADOR</v>
      </c>
      <c r="D1500" s="4" t="str">
        <f>"COTO."</f>
        <v>COTO.</v>
      </c>
    </row>
    <row r="1501" spans="1:4" x14ac:dyDescent="0.3">
      <c r="A1501" s="2" t="str">
        <f>"COTRIGUACU"</f>
        <v>COTRIGUACU</v>
      </c>
      <c r="B1501" s="3" t="str">
        <f>"MT"</f>
        <v>MT</v>
      </c>
      <c r="C1501" s="3" t="str">
        <f t="shared" ref="C1501:C1532" si="57">"BRASIL"</f>
        <v>BRASIL</v>
      </c>
      <c r="D1501" s="4" t="str">
        <f>"MT037"</f>
        <v>MT037</v>
      </c>
    </row>
    <row r="1502" spans="1:4" x14ac:dyDescent="0.3">
      <c r="A1502" s="2" t="str">
        <f>"COUTO DE MAGALHAES DE MIN"</f>
        <v>COUTO DE MAGALHAES DE MIN</v>
      </c>
      <c r="B1502" s="3" t="str">
        <f>"MG"</f>
        <v>MG</v>
      </c>
      <c r="C1502" s="3" t="str">
        <f t="shared" si="57"/>
        <v>BRASIL</v>
      </c>
      <c r="D1502" s="4" t="str">
        <f>"MG221"</f>
        <v>MG221</v>
      </c>
    </row>
    <row r="1503" spans="1:4" x14ac:dyDescent="0.3">
      <c r="A1503" s="2" t="str">
        <f>"COUTO MAGALHAES"</f>
        <v>COUTO MAGALHAES</v>
      </c>
      <c r="B1503" s="3" t="str">
        <f>"TO"</f>
        <v>TO</v>
      </c>
      <c r="C1503" s="3" t="str">
        <f t="shared" si="57"/>
        <v>BRASIL</v>
      </c>
      <c r="D1503" s="4" t="str">
        <f>"TO041"</f>
        <v>TO041</v>
      </c>
    </row>
    <row r="1504" spans="1:4" x14ac:dyDescent="0.3">
      <c r="A1504" s="2" t="str">
        <f>"COXILHA"</f>
        <v>COXILHA</v>
      </c>
      <c r="B1504" s="3" t="str">
        <f>"RS"</f>
        <v>RS</v>
      </c>
      <c r="C1504" s="3" t="str">
        <f t="shared" si="57"/>
        <v>BRASIL</v>
      </c>
      <c r="D1504" s="4" t="str">
        <f>"RS121"</f>
        <v>RS121</v>
      </c>
    </row>
    <row r="1505" spans="1:4" x14ac:dyDescent="0.3">
      <c r="A1505" s="2" t="str">
        <f>"COXIM"</f>
        <v>COXIM</v>
      </c>
      <c r="B1505" s="3" t="str">
        <f>"MS"</f>
        <v>MS</v>
      </c>
      <c r="C1505" s="3" t="str">
        <f t="shared" si="57"/>
        <v>BRASIL</v>
      </c>
      <c r="D1505" s="4" t="str">
        <f>"MS028"</f>
        <v>MS028</v>
      </c>
    </row>
    <row r="1506" spans="1:4" x14ac:dyDescent="0.3">
      <c r="A1506" s="2" t="str">
        <f>"COXIXOLA"</f>
        <v>COXIXOLA</v>
      </c>
      <c r="B1506" s="3" t="str">
        <f>"PB"</f>
        <v>PB</v>
      </c>
      <c r="C1506" s="3" t="str">
        <f t="shared" si="57"/>
        <v>BRASIL</v>
      </c>
      <c r="D1506" s="4" t="str">
        <f>"PB065"</f>
        <v>PB065</v>
      </c>
    </row>
    <row r="1507" spans="1:4" x14ac:dyDescent="0.3">
      <c r="A1507" s="2" t="str">
        <f>"CRAIBAS"</f>
        <v>CRAIBAS</v>
      </c>
      <c r="B1507" s="3" t="str">
        <f>"AL"</f>
        <v>AL</v>
      </c>
      <c r="C1507" s="3" t="str">
        <f t="shared" si="57"/>
        <v>BRASIL</v>
      </c>
      <c r="D1507" s="4" t="str">
        <f>"AL025"</f>
        <v>AL025</v>
      </c>
    </row>
    <row r="1508" spans="1:4" x14ac:dyDescent="0.3">
      <c r="A1508" s="2" t="str">
        <f>"CRATEUS"</f>
        <v>CRATEUS</v>
      </c>
      <c r="B1508" s="3" t="str">
        <f>"CE"</f>
        <v>CE</v>
      </c>
      <c r="C1508" s="3" t="str">
        <f t="shared" si="57"/>
        <v>BRASIL</v>
      </c>
      <c r="D1508" s="4" t="str">
        <f>"CE050"</f>
        <v>CE050</v>
      </c>
    </row>
    <row r="1509" spans="1:4" x14ac:dyDescent="0.3">
      <c r="A1509" s="2" t="str">
        <f>"CRATO"</f>
        <v>CRATO</v>
      </c>
      <c r="B1509" s="3" t="str">
        <f>"CE"</f>
        <v>CE</v>
      </c>
      <c r="C1509" s="3" t="str">
        <f t="shared" si="57"/>
        <v>BRASIL</v>
      </c>
      <c r="D1509" s="4" t="str">
        <f>"CE051"</f>
        <v>CE051</v>
      </c>
    </row>
    <row r="1510" spans="1:4" x14ac:dyDescent="0.3">
      <c r="A1510" s="2" t="str">
        <f>"CRAVINHOS"</f>
        <v>CRAVINHOS</v>
      </c>
      <c r="B1510" s="3" t="str">
        <f>"SP"</f>
        <v>SP</v>
      </c>
      <c r="C1510" s="3" t="str">
        <f t="shared" si="57"/>
        <v>BRASIL</v>
      </c>
      <c r="D1510" s="4" t="str">
        <f>"SP146"</f>
        <v>SP146</v>
      </c>
    </row>
    <row r="1511" spans="1:4" x14ac:dyDescent="0.3">
      <c r="A1511" s="2" t="str">
        <f>"CRAVOLANDIA"</f>
        <v>CRAVOLANDIA</v>
      </c>
      <c r="B1511" s="3" t="str">
        <f>"BA"</f>
        <v>BA</v>
      </c>
      <c r="C1511" s="3" t="str">
        <f t="shared" si="57"/>
        <v>BRASIL</v>
      </c>
      <c r="D1511" s="4" t="str">
        <f>"BA114"</f>
        <v>BA114</v>
      </c>
    </row>
    <row r="1512" spans="1:4" x14ac:dyDescent="0.3">
      <c r="A1512" s="2" t="str">
        <f>"CRICIUMA"</f>
        <v>CRICIUMA</v>
      </c>
      <c r="B1512" s="3" t="str">
        <f>"SC"</f>
        <v>SC</v>
      </c>
      <c r="C1512" s="3" t="str">
        <f t="shared" si="57"/>
        <v>BRASIL</v>
      </c>
      <c r="D1512" s="4" t="str">
        <f>"SC075"</f>
        <v>SC075</v>
      </c>
    </row>
    <row r="1513" spans="1:4" x14ac:dyDescent="0.3">
      <c r="A1513" s="2" t="str">
        <f>"CRISOLITA"</f>
        <v>CRISOLITA</v>
      </c>
      <c r="B1513" s="3" t="str">
        <f>"MG"</f>
        <v>MG</v>
      </c>
      <c r="C1513" s="3" t="str">
        <f t="shared" si="57"/>
        <v>BRASIL</v>
      </c>
      <c r="D1513" s="4" t="str">
        <f>"MG222"</f>
        <v>MG222</v>
      </c>
    </row>
    <row r="1514" spans="1:4" x14ac:dyDescent="0.3">
      <c r="A1514" s="2" t="str">
        <f>"CRISOPOLIS"</f>
        <v>CRISOPOLIS</v>
      </c>
      <c r="B1514" s="3" t="str">
        <f>"BA"</f>
        <v>BA</v>
      </c>
      <c r="C1514" s="3" t="str">
        <f t="shared" si="57"/>
        <v>BRASIL</v>
      </c>
      <c r="D1514" s="4" t="str">
        <f>"BA115"</f>
        <v>BA115</v>
      </c>
    </row>
    <row r="1515" spans="1:4" x14ac:dyDescent="0.3">
      <c r="A1515" s="2" t="str">
        <f>"CRISSIUMAL"</f>
        <v>CRISSIUMAL</v>
      </c>
      <c r="B1515" s="3" t="str">
        <f>"RS"</f>
        <v>RS</v>
      </c>
      <c r="C1515" s="3" t="str">
        <f t="shared" si="57"/>
        <v>BRASIL</v>
      </c>
      <c r="D1515" s="4" t="str">
        <f>"RS122"</f>
        <v>RS122</v>
      </c>
    </row>
    <row r="1516" spans="1:4" x14ac:dyDescent="0.3">
      <c r="A1516" s="2" t="str">
        <f>"CRISTAIS"</f>
        <v>CRISTAIS</v>
      </c>
      <c r="B1516" s="3" t="str">
        <f>"MG"</f>
        <v>MG</v>
      </c>
      <c r="C1516" s="3" t="str">
        <f t="shared" si="57"/>
        <v>BRASIL</v>
      </c>
      <c r="D1516" s="4" t="str">
        <f>"MG223"</f>
        <v>MG223</v>
      </c>
    </row>
    <row r="1517" spans="1:4" x14ac:dyDescent="0.3">
      <c r="A1517" s="2" t="str">
        <f>"CRISTAIS PAULISTA"</f>
        <v>CRISTAIS PAULISTA</v>
      </c>
      <c r="B1517" s="3" t="str">
        <f>"SP"</f>
        <v>SP</v>
      </c>
      <c r="C1517" s="3" t="str">
        <f t="shared" si="57"/>
        <v>BRASIL</v>
      </c>
      <c r="D1517" s="4" t="str">
        <f>"SP147"</f>
        <v>SP147</v>
      </c>
    </row>
    <row r="1518" spans="1:4" x14ac:dyDescent="0.3">
      <c r="A1518" s="2" t="str">
        <f>"CRISTAL"</f>
        <v>CRISTAL</v>
      </c>
      <c r="B1518" s="3" t="str">
        <f>"RS"</f>
        <v>RS</v>
      </c>
      <c r="C1518" s="3" t="str">
        <f t="shared" si="57"/>
        <v>BRASIL</v>
      </c>
      <c r="D1518" s="4" t="str">
        <f>"RS123"</f>
        <v>RS123</v>
      </c>
    </row>
    <row r="1519" spans="1:4" x14ac:dyDescent="0.3">
      <c r="A1519" s="2" t="str">
        <f>"CRISTAL DO SUL"</f>
        <v>CRISTAL DO SUL</v>
      </c>
      <c r="B1519" s="3" t="str">
        <f>"RS"</f>
        <v>RS</v>
      </c>
      <c r="C1519" s="3" t="str">
        <f t="shared" si="57"/>
        <v>BRASIL</v>
      </c>
      <c r="D1519" s="4" t="str">
        <f>"RS124"</f>
        <v>RS124</v>
      </c>
    </row>
    <row r="1520" spans="1:4" x14ac:dyDescent="0.3">
      <c r="A1520" s="2" t="str">
        <f>"CRISTALANDIA"</f>
        <v>CRISTALANDIA</v>
      </c>
      <c r="B1520" s="3" t="str">
        <f>"TO"</f>
        <v>TO</v>
      </c>
      <c r="C1520" s="3" t="str">
        <f t="shared" si="57"/>
        <v>BRASIL</v>
      </c>
      <c r="D1520" s="4" t="str">
        <f>"TO042"</f>
        <v>TO042</v>
      </c>
    </row>
    <row r="1521" spans="1:4" x14ac:dyDescent="0.3">
      <c r="A1521" s="2" t="str">
        <f>"CRISTALANDIA DO PIAUI"</f>
        <v>CRISTALANDIA DO PIAUI</v>
      </c>
      <c r="B1521" s="3" t="str">
        <f>"PI"</f>
        <v>PI</v>
      </c>
      <c r="C1521" s="3" t="str">
        <f t="shared" si="57"/>
        <v>BRASIL</v>
      </c>
      <c r="D1521" s="4" t="str">
        <f>"PI066"</f>
        <v>PI066</v>
      </c>
    </row>
    <row r="1522" spans="1:4" x14ac:dyDescent="0.3">
      <c r="A1522" s="2" t="str">
        <f>"CRISTALIA"</f>
        <v>CRISTALIA</v>
      </c>
      <c r="B1522" s="3" t="str">
        <f>"MG"</f>
        <v>MG</v>
      </c>
      <c r="C1522" s="3" t="str">
        <f t="shared" si="57"/>
        <v>BRASIL</v>
      </c>
      <c r="D1522" s="4" t="str">
        <f>"MG224"</f>
        <v>MG224</v>
      </c>
    </row>
    <row r="1523" spans="1:4" x14ac:dyDescent="0.3">
      <c r="A1523" s="2" t="str">
        <f>"CRISTALINA"</f>
        <v>CRISTALINA</v>
      </c>
      <c r="B1523" s="3" t="str">
        <f>"GO"</f>
        <v>GO</v>
      </c>
      <c r="C1523" s="3" t="str">
        <f t="shared" si="57"/>
        <v>BRASIL</v>
      </c>
      <c r="D1523" s="4" t="str">
        <f>"GO071"</f>
        <v>GO071</v>
      </c>
    </row>
    <row r="1524" spans="1:4" x14ac:dyDescent="0.3">
      <c r="A1524" s="2" t="str">
        <f>"CRISTIANO OTONI"</f>
        <v>CRISTIANO OTONI</v>
      </c>
      <c r="B1524" s="3" t="str">
        <f>"MG"</f>
        <v>MG</v>
      </c>
      <c r="C1524" s="3" t="str">
        <f t="shared" si="57"/>
        <v>BRASIL</v>
      </c>
      <c r="D1524" s="4" t="str">
        <f>"MG225"</f>
        <v>MG225</v>
      </c>
    </row>
    <row r="1525" spans="1:4" x14ac:dyDescent="0.3">
      <c r="A1525" s="2" t="str">
        <f>"CRISTIANOPOLIS"</f>
        <v>CRISTIANOPOLIS</v>
      </c>
      <c r="B1525" s="3" t="str">
        <f>"GO"</f>
        <v>GO</v>
      </c>
      <c r="C1525" s="3" t="str">
        <f t="shared" si="57"/>
        <v>BRASIL</v>
      </c>
      <c r="D1525" s="4" t="str">
        <f>"GO072"</f>
        <v>GO072</v>
      </c>
    </row>
    <row r="1526" spans="1:4" x14ac:dyDescent="0.3">
      <c r="A1526" s="2" t="str">
        <f>"CRISTINA"</f>
        <v>CRISTINA</v>
      </c>
      <c r="B1526" s="3" t="str">
        <f>"MG"</f>
        <v>MG</v>
      </c>
      <c r="C1526" s="3" t="str">
        <f t="shared" si="57"/>
        <v>BRASIL</v>
      </c>
      <c r="D1526" s="4" t="str">
        <f>"MG226"</f>
        <v>MG226</v>
      </c>
    </row>
    <row r="1527" spans="1:4" x14ac:dyDescent="0.3">
      <c r="A1527" s="2" t="str">
        <f>"CRISTINAPOLIS"</f>
        <v>CRISTINAPOLIS</v>
      </c>
      <c r="B1527" s="3" t="str">
        <f>"SE"</f>
        <v>SE</v>
      </c>
      <c r="C1527" s="3" t="str">
        <f t="shared" si="57"/>
        <v>BRASIL</v>
      </c>
      <c r="D1527" s="4" t="str">
        <f>"SE016"</f>
        <v>SE016</v>
      </c>
    </row>
    <row r="1528" spans="1:4" x14ac:dyDescent="0.3">
      <c r="A1528" s="2" t="str">
        <f>"CRISTINO CASTRO"</f>
        <v>CRISTINO CASTRO</v>
      </c>
      <c r="B1528" s="3" t="str">
        <f>"PI"</f>
        <v>PI</v>
      </c>
      <c r="C1528" s="3" t="str">
        <f t="shared" si="57"/>
        <v>BRASIL</v>
      </c>
      <c r="D1528" s="4" t="str">
        <f>"PI067"</f>
        <v>PI067</v>
      </c>
    </row>
    <row r="1529" spans="1:4" x14ac:dyDescent="0.3">
      <c r="A1529" s="2" t="str">
        <f>"CRISTOPOLIS"</f>
        <v>CRISTOPOLIS</v>
      </c>
      <c r="B1529" s="3" t="str">
        <f>"BA"</f>
        <v>BA</v>
      </c>
      <c r="C1529" s="3" t="str">
        <f t="shared" si="57"/>
        <v>BRASIL</v>
      </c>
      <c r="D1529" s="4" t="str">
        <f>"BA116"</f>
        <v>BA116</v>
      </c>
    </row>
    <row r="1530" spans="1:4" x14ac:dyDescent="0.3">
      <c r="A1530" s="2" t="str">
        <f>"CRIXAS"</f>
        <v>CRIXAS</v>
      </c>
      <c r="B1530" s="3" t="str">
        <f>"GO"</f>
        <v>GO</v>
      </c>
      <c r="C1530" s="3" t="str">
        <f t="shared" si="57"/>
        <v>BRASIL</v>
      </c>
      <c r="D1530" s="4" t="str">
        <f>"GO073"</f>
        <v>GO073</v>
      </c>
    </row>
    <row r="1531" spans="1:4" x14ac:dyDescent="0.3">
      <c r="A1531" s="2" t="str">
        <f>"CRIXAS DO TOCANTINS"</f>
        <v>CRIXAS DO TOCANTINS</v>
      </c>
      <c r="B1531" s="3" t="str">
        <f>"TO"</f>
        <v>TO</v>
      </c>
      <c r="C1531" s="3" t="str">
        <f t="shared" si="57"/>
        <v>BRASIL</v>
      </c>
      <c r="D1531" s="4" t="str">
        <f>"TO043"</f>
        <v>TO043</v>
      </c>
    </row>
    <row r="1532" spans="1:4" x14ac:dyDescent="0.3">
      <c r="A1532" s="2" t="str">
        <f>"CROATA"</f>
        <v>CROATA</v>
      </c>
      <c r="B1532" s="3" t="str">
        <f>"CE"</f>
        <v>CE</v>
      </c>
      <c r="C1532" s="3" t="str">
        <f t="shared" si="57"/>
        <v>BRASIL</v>
      </c>
      <c r="D1532" s="4" t="str">
        <f>"CE052"</f>
        <v>CE052</v>
      </c>
    </row>
    <row r="1533" spans="1:4" x14ac:dyDescent="0.3">
      <c r="A1533" s="2" t="str">
        <f>"CROMINIA"</f>
        <v>CROMINIA</v>
      </c>
      <c r="B1533" s="3" t="str">
        <f>"GO"</f>
        <v>GO</v>
      </c>
      <c r="C1533" s="3" t="str">
        <f t="shared" ref="C1533:C1562" si="58">"BRASIL"</f>
        <v>BRASIL</v>
      </c>
      <c r="D1533" s="4" t="str">
        <f>"GO074"</f>
        <v>GO074</v>
      </c>
    </row>
    <row r="1534" spans="1:4" x14ac:dyDescent="0.3">
      <c r="A1534" s="2" t="str">
        <f>"CRUCILANDIA"</f>
        <v>CRUCILANDIA</v>
      </c>
      <c r="B1534" s="3" t="str">
        <f>"MG"</f>
        <v>MG</v>
      </c>
      <c r="C1534" s="3" t="str">
        <f t="shared" si="58"/>
        <v>BRASIL</v>
      </c>
      <c r="D1534" s="4" t="str">
        <f>"MG227"</f>
        <v>MG227</v>
      </c>
    </row>
    <row r="1535" spans="1:4" x14ac:dyDescent="0.3">
      <c r="A1535" s="2" t="str">
        <f>"CRUZ"</f>
        <v>CRUZ</v>
      </c>
      <c r="B1535" s="3" t="str">
        <f>"CE"</f>
        <v>CE</v>
      </c>
      <c r="C1535" s="3" t="str">
        <f t="shared" si="58"/>
        <v>BRASIL</v>
      </c>
      <c r="D1535" s="4" t="str">
        <f>"CE053"</f>
        <v>CE053</v>
      </c>
    </row>
    <row r="1536" spans="1:4" x14ac:dyDescent="0.3">
      <c r="A1536" s="2" t="str">
        <f>"CRUZ ALTA"</f>
        <v>CRUZ ALTA</v>
      </c>
      <c r="B1536" s="3" t="str">
        <f>"RS"</f>
        <v>RS</v>
      </c>
      <c r="C1536" s="3" t="str">
        <f t="shared" si="58"/>
        <v>BRASIL</v>
      </c>
      <c r="D1536" s="4" t="str">
        <f>"RS125"</f>
        <v>RS125</v>
      </c>
    </row>
    <row r="1537" spans="1:4" x14ac:dyDescent="0.3">
      <c r="A1537" s="2" t="str">
        <f>"CRUZ DAS ALMAS"</f>
        <v>CRUZ DAS ALMAS</v>
      </c>
      <c r="B1537" s="3" t="str">
        <f>"BA"</f>
        <v>BA</v>
      </c>
      <c r="C1537" s="3" t="str">
        <f t="shared" si="58"/>
        <v>BRASIL</v>
      </c>
      <c r="D1537" s="4" t="str">
        <f>"BA117"</f>
        <v>BA117</v>
      </c>
    </row>
    <row r="1538" spans="1:4" x14ac:dyDescent="0.3">
      <c r="A1538" s="2" t="str">
        <f>"CRUZ DO ESPIRITO SANTO"</f>
        <v>CRUZ DO ESPIRITO SANTO</v>
      </c>
      <c r="B1538" s="3" t="str">
        <f>"PB"</f>
        <v>PB</v>
      </c>
      <c r="C1538" s="3" t="str">
        <f t="shared" si="58"/>
        <v>BRASIL</v>
      </c>
      <c r="D1538" s="4" t="str">
        <f>"PB066"</f>
        <v>PB066</v>
      </c>
    </row>
    <row r="1539" spans="1:4" x14ac:dyDescent="0.3">
      <c r="A1539" s="2" t="str">
        <f>"CRUZ MACHADO"</f>
        <v>CRUZ MACHADO</v>
      </c>
      <c r="B1539" s="3" t="str">
        <f>"PR"</f>
        <v>PR</v>
      </c>
      <c r="C1539" s="3" t="str">
        <f t="shared" si="58"/>
        <v>BRASIL</v>
      </c>
      <c r="D1539" s="4" t="str">
        <f>"PR092"</f>
        <v>PR092</v>
      </c>
    </row>
    <row r="1540" spans="1:4" x14ac:dyDescent="0.3">
      <c r="A1540" s="2" t="str">
        <f>"CRUZALIA"</f>
        <v>CRUZALIA</v>
      </c>
      <c r="B1540" s="3" t="str">
        <f>"SP"</f>
        <v>SP</v>
      </c>
      <c r="C1540" s="3" t="str">
        <f t="shared" si="58"/>
        <v>BRASIL</v>
      </c>
      <c r="D1540" s="4" t="str">
        <f>"SP148"</f>
        <v>SP148</v>
      </c>
    </row>
    <row r="1541" spans="1:4" x14ac:dyDescent="0.3">
      <c r="A1541" s="2" t="str">
        <f>"CRUZALTENSE"</f>
        <v>CRUZALTENSE</v>
      </c>
      <c r="B1541" s="3" t="str">
        <f>"RS"</f>
        <v>RS</v>
      </c>
      <c r="C1541" s="3" t="str">
        <f t="shared" si="58"/>
        <v>BRASIL</v>
      </c>
      <c r="D1541" s="4" t="str">
        <f>"RS126"</f>
        <v>RS126</v>
      </c>
    </row>
    <row r="1542" spans="1:4" x14ac:dyDescent="0.3">
      <c r="A1542" s="2" t="str">
        <f>"CRUZEIRO"</f>
        <v>CRUZEIRO</v>
      </c>
      <c r="B1542" s="3" t="str">
        <f>"SP"</f>
        <v>SP</v>
      </c>
      <c r="C1542" s="3" t="str">
        <f t="shared" si="58"/>
        <v>BRASIL</v>
      </c>
      <c r="D1542" s="4" t="str">
        <f>"CRU"</f>
        <v>CRU</v>
      </c>
    </row>
    <row r="1543" spans="1:4" x14ac:dyDescent="0.3">
      <c r="A1543" s="2" t="str">
        <f>"CRUZEIRO DA FORTALEZA"</f>
        <v>CRUZEIRO DA FORTALEZA</v>
      </c>
      <c r="B1543" s="3" t="str">
        <f>"MG"</f>
        <v>MG</v>
      </c>
      <c r="C1543" s="3" t="str">
        <f t="shared" si="58"/>
        <v>BRASIL</v>
      </c>
      <c r="D1543" s="4" t="str">
        <f>"MG228"</f>
        <v>MG228</v>
      </c>
    </row>
    <row r="1544" spans="1:4" x14ac:dyDescent="0.3">
      <c r="A1544" s="2" t="str">
        <f>"CRUZEIRO DO IGUACU"</f>
        <v>CRUZEIRO DO IGUACU</v>
      </c>
      <c r="B1544" s="3" t="str">
        <f>"PR"</f>
        <v>PR</v>
      </c>
      <c r="C1544" s="3" t="str">
        <f t="shared" si="58"/>
        <v>BRASIL</v>
      </c>
      <c r="D1544" s="4" t="str">
        <f>"PR089"</f>
        <v>PR089</v>
      </c>
    </row>
    <row r="1545" spans="1:4" x14ac:dyDescent="0.3">
      <c r="A1545" s="2" t="str">
        <f>"CRUZEIRO DO OESTE"</f>
        <v>CRUZEIRO DO OESTE</v>
      </c>
      <c r="B1545" s="3" t="str">
        <f>"PR"</f>
        <v>PR</v>
      </c>
      <c r="C1545" s="3" t="str">
        <f t="shared" si="58"/>
        <v>BRASIL</v>
      </c>
      <c r="D1545" s="4" t="str">
        <f>"PR090"</f>
        <v>PR090</v>
      </c>
    </row>
    <row r="1546" spans="1:4" x14ac:dyDescent="0.3">
      <c r="A1546" s="2" t="str">
        <f>"CRUZEIRO DO SUL"</f>
        <v>CRUZEIRO DO SUL</v>
      </c>
      <c r="B1546" s="3" t="str">
        <f>"AC"</f>
        <v>AC</v>
      </c>
      <c r="C1546" s="3" t="str">
        <f t="shared" si="58"/>
        <v>BRASIL</v>
      </c>
      <c r="D1546" s="4" t="str">
        <f>"AC006"</f>
        <v>AC006</v>
      </c>
    </row>
    <row r="1547" spans="1:4" x14ac:dyDescent="0.3">
      <c r="A1547" s="2" t="str">
        <f>"CRUZEIRO DO SUL"</f>
        <v>CRUZEIRO DO SUL</v>
      </c>
      <c r="B1547" s="3" t="str">
        <f>"PR"</f>
        <v>PR</v>
      </c>
      <c r="C1547" s="3" t="str">
        <f t="shared" si="58"/>
        <v>BRASIL</v>
      </c>
      <c r="D1547" s="4" t="str">
        <f>"PR091"</f>
        <v>PR091</v>
      </c>
    </row>
    <row r="1548" spans="1:4" x14ac:dyDescent="0.3">
      <c r="A1548" s="2" t="str">
        <f>"CRUZEIRO DO SUL"</f>
        <v>CRUZEIRO DO SUL</v>
      </c>
      <c r="B1548" s="3" t="str">
        <f>"RS"</f>
        <v>RS</v>
      </c>
      <c r="C1548" s="3" t="str">
        <f t="shared" si="58"/>
        <v>BRASIL</v>
      </c>
      <c r="D1548" s="4" t="str">
        <f>"RS127"</f>
        <v>RS127</v>
      </c>
    </row>
    <row r="1549" spans="1:4" x14ac:dyDescent="0.3">
      <c r="A1549" s="2" t="str">
        <f>"CRUZETA"</f>
        <v>CRUZETA</v>
      </c>
      <c r="B1549" s="3" t="str">
        <f>"RN"</f>
        <v>RN</v>
      </c>
      <c r="C1549" s="3" t="str">
        <f t="shared" si="58"/>
        <v>BRASIL</v>
      </c>
      <c r="D1549" s="4" t="str">
        <f>"RN033"</f>
        <v>RN033</v>
      </c>
    </row>
    <row r="1550" spans="1:4" x14ac:dyDescent="0.3">
      <c r="A1550" s="2" t="str">
        <f>"CRUZILIA"</f>
        <v>CRUZILIA</v>
      </c>
      <c r="B1550" s="3" t="str">
        <f>"MG"</f>
        <v>MG</v>
      </c>
      <c r="C1550" s="3" t="str">
        <f t="shared" si="58"/>
        <v>BRASIL</v>
      </c>
      <c r="D1550" s="4" t="str">
        <f>"MG229"</f>
        <v>MG229</v>
      </c>
    </row>
    <row r="1551" spans="1:4" x14ac:dyDescent="0.3">
      <c r="A1551" s="2" t="str">
        <f>"CRUZMALTINA"</f>
        <v>CRUZMALTINA</v>
      </c>
      <c r="B1551" s="3" t="str">
        <f>"PR"</f>
        <v>PR</v>
      </c>
      <c r="C1551" s="3" t="str">
        <f t="shared" si="58"/>
        <v>BRASIL</v>
      </c>
      <c r="D1551" s="4" t="str">
        <f>"PR093"</f>
        <v>PR093</v>
      </c>
    </row>
    <row r="1552" spans="1:4" x14ac:dyDescent="0.3">
      <c r="A1552" s="2" t="str">
        <f>"CUBATAO"</f>
        <v>CUBATAO</v>
      </c>
      <c r="B1552" s="3" t="str">
        <f>"SP"</f>
        <v>SP</v>
      </c>
      <c r="C1552" s="3" t="str">
        <f t="shared" si="58"/>
        <v>BRASIL</v>
      </c>
      <c r="D1552" s="4" t="str">
        <f>"SP150"</f>
        <v>SP150</v>
      </c>
    </row>
    <row r="1553" spans="1:4" x14ac:dyDescent="0.3">
      <c r="A1553" s="2" t="str">
        <f>"CUBATI"</f>
        <v>CUBATI</v>
      </c>
      <c r="B1553" s="3" t="str">
        <f>"PB"</f>
        <v>PB</v>
      </c>
      <c r="C1553" s="3" t="str">
        <f t="shared" si="58"/>
        <v>BRASIL</v>
      </c>
      <c r="D1553" s="4" t="str">
        <f>"PB067"</f>
        <v>PB067</v>
      </c>
    </row>
    <row r="1554" spans="1:4" x14ac:dyDescent="0.3">
      <c r="A1554" s="2" t="str">
        <f>"CUIABA"</f>
        <v>CUIABA</v>
      </c>
      <c r="B1554" s="3" t="str">
        <f>"MT"</f>
        <v>MT</v>
      </c>
      <c r="C1554" s="3" t="str">
        <f t="shared" si="58"/>
        <v>BRASIL</v>
      </c>
      <c r="D1554" s="4" t="str">
        <f>"MT038"</f>
        <v>MT038</v>
      </c>
    </row>
    <row r="1555" spans="1:4" x14ac:dyDescent="0.3">
      <c r="A1555" s="2" t="str">
        <f>"CUITE"</f>
        <v>CUITE</v>
      </c>
      <c r="B1555" s="3" t="str">
        <f>"PB"</f>
        <v>PB</v>
      </c>
      <c r="C1555" s="3" t="str">
        <f t="shared" si="58"/>
        <v>BRASIL</v>
      </c>
      <c r="D1555" s="4" t="str">
        <f>"PB068"</f>
        <v>PB068</v>
      </c>
    </row>
    <row r="1556" spans="1:4" x14ac:dyDescent="0.3">
      <c r="A1556" s="2" t="str">
        <f>"CUITE DE MAMANGUAPE"</f>
        <v>CUITE DE MAMANGUAPE</v>
      </c>
      <c r="B1556" s="3" t="str">
        <f>"PB"</f>
        <v>PB</v>
      </c>
      <c r="C1556" s="3" t="str">
        <f t="shared" si="58"/>
        <v>BRASIL</v>
      </c>
      <c r="D1556" s="4" t="str">
        <f>"PB070"</f>
        <v>PB070</v>
      </c>
    </row>
    <row r="1557" spans="1:4" x14ac:dyDescent="0.3">
      <c r="A1557" s="2" t="str">
        <f>"CUITEGI"</f>
        <v>CUITEGI</v>
      </c>
      <c r="B1557" s="3" t="str">
        <f>"PB"</f>
        <v>PB</v>
      </c>
      <c r="C1557" s="3" t="str">
        <f t="shared" si="58"/>
        <v>BRASIL</v>
      </c>
      <c r="D1557" s="4" t="str">
        <f>"PB069"</f>
        <v>PB069</v>
      </c>
    </row>
    <row r="1558" spans="1:4" x14ac:dyDescent="0.3">
      <c r="A1558" s="2" t="str">
        <f>"CUJUBIM"</f>
        <v>CUJUBIM</v>
      </c>
      <c r="B1558" s="3" t="str">
        <f>"RO"</f>
        <v>RO</v>
      </c>
      <c r="C1558" s="3" t="str">
        <f t="shared" si="58"/>
        <v>BRASIL</v>
      </c>
      <c r="D1558" s="4" t="str">
        <f>"RO035"</f>
        <v>RO035</v>
      </c>
    </row>
    <row r="1559" spans="1:4" x14ac:dyDescent="0.3">
      <c r="A1559" s="2" t="str">
        <f>"CUMARI"</f>
        <v>CUMARI</v>
      </c>
      <c r="B1559" s="3" t="str">
        <f>"GO"</f>
        <v>GO</v>
      </c>
      <c r="C1559" s="3" t="str">
        <f t="shared" si="58"/>
        <v>BRASIL</v>
      </c>
      <c r="D1559" s="4" t="str">
        <f>"GO075"</f>
        <v>GO075</v>
      </c>
    </row>
    <row r="1560" spans="1:4" x14ac:dyDescent="0.3">
      <c r="A1560" s="2" t="str">
        <f>"CUMARU"</f>
        <v>CUMARU</v>
      </c>
      <c r="B1560" s="3" t="str">
        <f>"PE"</f>
        <v>PE</v>
      </c>
      <c r="C1560" s="3" t="str">
        <f t="shared" si="58"/>
        <v>BRASIL</v>
      </c>
      <c r="D1560" s="4" t="str">
        <f>"PE054"</f>
        <v>PE054</v>
      </c>
    </row>
    <row r="1561" spans="1:4" x14ac:dyDescent="0.3">
      <c r="A1561" s="2" t="str">
        <f>"CUMARU DO NORTE"</f>
        <v>CUMARU DO NORTE</v>
      </c>
      <c r="B1561" s="3" t="str">
        <f>"PA"</f>
        <v>PA</v>
      </c>
      <c r="C1561" s="3" t="str">
        <f t="shared" si="58"/>
        <v>BRASIL</v>
      </c>
      <c r="D1561" s="4" t="str">
        <f>"PA041"</f>
        <v>PA041</v>
      </c>
    </row>
    <row r="1562" spans="1:4" x14ac:dyDescent="0.3">
      <c r="A1562" s="2" t="str">
        <f>"CUMBE"</f>
        <v>CUMBE</v>
      </c>
      <c r="B1562" s="3" t="str">
        <f>"SE"</f>
        <v>SE</v>
      </c>
      <c r="C1562" s="3" t="str">
        <f t="shared" si="58"/>
        <v>BRASIL</v>
      </c>
      <c r="D1562" s="4" t="str">
        <f>"SE017"</f>
        <v>SE017</v>
      </c>
    </row>
    <row r="1563" spans="1:4" x14ac:dyDescent="0.3">
      <c r="A1563" s="2" t="str">
        <f>"CUNDINAMARCA"</f>
        <v>CUNDINAMARCA</v>
      </c>
      <c r="B1563" s="3" t="str">
        <f>"EX"</f>
        <v>EX</v>
      </c>
      <c r="C1563" s="3" t="str">
        <f>"COLOMBIA"</f>
        <v>COLOMBIA</v>
      </c>
      <c r="D1563" s="4" t="str">
        <f>"CD"</f>
        <v>CD</v>
      </c>
    </row>
    <row r="1564" spans="1:4" x14ac:dyDescent="0.3">
      <c r="A1564" s="2" t="str">
        <f>"CUNEO"</f>
        <v>CUNEO</v>
      </c>
      <c r="B1564" s="3" t="str">
        <f>"EX"</f>
        <v>EX</v>
      </c>
      <c r="C1564" s="3" t="str">
        <f>"ITALIA"</f>
        <v>ITALIA</v>
      </c>
      <c r="D1564" s="4" t="str">
        <f>"CUNE"</f>
        <v>CUNE</v>
      </c>
    </row>
    <row r="1565" spans="1:4" x14ac:dyDescent="0.3">
      <c r="A1565" s="2" t="str">
        <f>"CUNEO"</f>
        <v>CUNEO</v>
      </c>
      <c r="B1565" s="3" t="str">
        <f>"IT"</f>
        <v>IT</v>
      </c>
      <c r="C1565" s="3" t="str">
        <f>"ITALIA"</f>
        <v>ITALIA</v>
      </c>
      <c r="D1565" s="4" t="str">
        <f>"CUN"</f>
        <v>CUN</v>
      </c>
    </row>
    <row r="1566" spans="1:4" x14ac:dyDescent="0.3">
      <c r="A1566" s="2" t="str">
        <f>"CUNHA"</f>
        <v>CUNHA</v>
      </c>
      <c r="B1566" s="3" t="str">
        <f>"SP"</f>
        <v>SP</v>
      </c>
      <c r="C1566" s="3" t="str">
        <f t="shared" ref="C1566:C1573" si="59">"BRASIL"</f>
        <v>BRASIL</v>
      </c>
      <c r="D1566" s="4" t="str">
        <f>"SP151"</f>
        <v>SP151</v>
      </c>
    </row>
    <row r="1567" spans="1:4" x14ac:dyDescent="0.3">
      <c r="A1567" s="2" t="str">
        <f>"CUNHA PORA"</f>
        <v>CUNHA PORA</v>
      </c>
      <c r="B1567" s="3" t="str">
        <f>"SC"</f>
        <v>SC</v>
      </c>
      <c r="C1567" s="3" t="str">
        <f t="shared" si="59"/>
        <v>BRASIL</v>
      </c>
      <c r="D1567" s="4" t="str">
        <f>"SC076"</f>
        <v>SC076</v>
      </c>
    </row>
    <row r="1568" spans="1:4" x14ac:dyDescent="0.3">
      <c r="A1568" s="2" t="str">
        <f>"CUNHATAI"</f>
        <v>CUNHATAI</v>
      </c>
      <c r="B1568" s="3" t="str">
        <f>"SC"</f>
        <v>SC</v>
      </c>
      <c r="C1568" s="3" t="str">
        <f t="shared" si="59"/>
        <v>BRASIL</v>
      </c>
      <c r="D1568" s="4" t="str">
        <f>"SC077"</f>
        <v>SC077</v>
      </c>
    </row>
    <row r="1569" spans="1:4" x14ac:dyDescent="0.3">
      <c r="A1569" s="2" t="str">
        <f>"CUPARAQUE"</f>
        <v>CUPARAQUE</v>
      </c>
      <c r="B1569" s="3" t="str">
        <f>"MG"</f>
        <v>MG</v>
      </c>
      <c r="C1569" s="3" t="str">
        <f t="shared" si="59"/>
        <v>BRASIL</v>
      </c>
      <c r="D1569" s="4" t="str">
        <f>"MG230"</f>
        <v>MG230</v>
      </c>
    </row>
    <row r="1570" spans="1:4" x14ac:dyDescent="0.3">
      <c r="A1570" s="2" t="str">
        <f>"CUPIRA"</f>
        <v>CUPIRA</v>
      </c>
      <c r="B1570" s="3" t="str">
        <f>"PE"</f>
        <v>PE</v>
      </c>
      <c r="C1570" s="3" t="str">
        <f t="shared" si="59"/>
        <v>BRASIL</v>
      </c>
      <c r="D1570" s="4" t="str">
        <f>"PE055"</f>
        <v>PE055</v>
      </c>
    </row>
    <row r="1571" spans="1:4" x14ac:dyDescent="0.3">
      <c r="A1571" s="2" t="str">
        <f>"CURACA"</f>
        <v>CURACA</v>
      </c>
      <c r="B1571" s="3" t="str">
        <f>"BA"</f>
        <v>BA</v>
      </c>
      <c r="C1571" s="3" t="str">
        <f t="shared" si="59"/>
        <v>BRASIL</v>
      </c>
      <c r="D1571" s="4" t="str">
        <f>"BA118"</f>
        <v>BA118</v>
      </c>
    </row>
    <row r="1572" spans="1:4" x14ac:dyDescent="0.3">
      <c r="A1572" s="2" t="str">
        <f>"CURIMATA"</f>
        <v>CURIMATA</v>
      </c>
      <c r="B1572" s="3" t="str">
        <f>"PI"</f>
        <v>PI</v>
      </c>
      <c r="C1572" s="3" t="str">
        <f t="shared" si="59"/>
        <v>BRASIL</v>
      </c>
      <c r="D1572" s="4" t="str">
        <f>"PI068"</f>
        <v>PI068</v>
      </c>
    </row>
    <row r="1573" spans="1:4" x14ac:dyDescent="0.3">
      <c r="A1573" s="2" t="str">
        <f>"CURIONOPOLIS"</f>
        <v>CURIONOPOLIS</v>
      </c>
      <c r="B1573" s="3" t="str">
        <f>"PA"</f>
        <v>PA</v>
      </c>
      <c r="C1573" s="3" t="str">
        <f t="shared" si="59"/>
        <v>BRASIL</v>
      </c>
      <c r="D1573" s="4" t="str">
        <f>"PA042"</f>
        <v>PA042</v>
      </c>
    </row>
    <row r="1574" spans="1:4" x14ac:dyDescent="0.3">
      <c r="A1574" s="2" t="str">
        <f>"CURITIBA"</f>
        <v>CURITIBA</v>
      </c>
      <c r="B1574" s="3" t="str">
        <f>"PR"</f>
        <v>PR</v>
      </c>
      <c r="C1574" s="3" t="str">
        <f>"Brasil"</f>
        <v>Brasil</v>
      </c>
      <c r="D1574" s="4" t="str">
        <f>"CTB"</f>
        <v>CTB</v>
      </c>
    </row>
    <row r="1575" spans="1:4" x14ac:dyDescent="0.3">
      <c r="A1575" s="2" t="str">
        <f>"CURITIBANOS"</f>
        <v>CURITIBANOS</v>
      </c>
      <c r="B1575" s="3" t="str">
        <f>"SC"</f>
        <v>SC</v>
      </c>
      <c r="C1575" s="3" t="str">
        <f t="shared" ref="C1575:C1591" si="60">"BRASIL"</f>
        <v>BRASIL</v>
      </c>
      <c r="D1575" s="4" t="str">
        <f>"SC078"</f>
        <v>SC078</v>
      </c>
    </row>
    <row r="1576" spans="1:4" x14ac:dyDescent="0.3">
      <c r="A1576" s="2" t="str">
        <f>"CURIUVA"</f>
        <v>CURIUVA</v>
      </c>
      <c r="B1576" s="3" t="str">
        <f>"PR"</f>
        <v>PR</v>
      </c>
      <c r="C1576" s="3" t="str">
        <f t="shared" si="60"/>
        <v>BRASIL</v>
      </c>
      <c r="D1576" s="4" t="str">
        <f>"PR095"</f>
        <v>PR095</v>
      </c>
    </row>
    <row r="1577" spans="1:4" x14ac:dyDescent="0.3">
      <c r="A1577" s="2" t="str">
        <f>"CURRAIS"</f>
        <v>CURRAIS</v>
      </c>
      <c r="B1577" s="3" t="str">
        <f>"PI"</f>
        <v>PI</v>
      </c>
      <c r="C1577" s="3" t="str">
        <f t="shared" si="60"/>
        <v>BRASIL</v>
      </c>
      <c r="D1577" s="4" t="str">
        <f>"PI069"</f>
        <v>PI069</v>
      </c>
    </row>
    <row r="1578" spans="1:4" x14ac:dyDescent="0.3">
      <c r="A1578" s="2" t="str">
        <f>"CURRAIS NOVOS"</f>
        <v>CURRAIS NOVOS</v>
      </c>
      <c r="B1578" s="3" t="str">
        <f>"RN"</f>
        <v>RN</v>
      </c>
      <c r="C1578" s="3" t="str">
        <f t="shared" si="60"/>
        <v>BRASIL</v>
      </c>
      <c r="D1578" s="4" t="str">
        <f>"RN034"</f>
        <v>RN034</v>
      </c>
    </row>
    <row r="1579" spans="1:4" x14ac:dyDescent="0.3">
      <c r="A1579" s="2" t="str">
        <f>"CURRAL DE CIMA"</f>
        <v>CURRAL DE CIMA</v>
      </c>
      <c r="B1579" s="3" t="str">
        <f>"PB"</f>
        <v>PB</v>
      </c>
      <c r="C1579" s="3" t="str">
        <f t="shared" si="60"/>
        <v>BRASIL</v>
      </c>
      <c r="D1579" s="4" t="str">
        <f>"PB071"</f>
        <v>PB071</v>
      </c>
    </row>
    <row r="1580" spans="1:4" x14ac:dyDescent="0.3">
      <c r="A1580" s="2" t="str">
        <f>"CURRAL DE DENTRO"</f>
        <v>CURRAL DE DENTRO</v>
      </c>
      <c r="B1580" s="3" t="str">
        <f>"MG"</f>
        <v>MG</v>
      </c>
      <c r="C1580" s="3" t="str">
        <f t="shared" si="60"/>
        <v>BRASIL</v>
      </c>
      <c r="D1580" s="4" t="str">
        <f>"MG231"</f>
        <v>MG231</v>
      </c>
    </row>
    <row r="1581" spans="1:4" x14ac:dyDescent="0.3">
      <c r="A1581" s="2" t="str">
        <f>"CURRAL NOVO DO PIAUI"</f>
        <v>CURRAL NOVO DO PIAUI</v>
      </c>
      <c r="B1581" s="3" t="str">
        <f>"PI"</f>
        <v>PI</v>
      </c>
      <c r="C1581" s="3" t="str">
        <f t="shared" si="60"/>
        <v>BRASIL</v>
      </c>
      <c r="D1581" s="4" t="str">
        <f>"PI071"</f>
        <v>PI071</v>
      </c>
    </row>
    <row r="1582" spans="1:4" x14ac:dyDescent="0.3">
      <c r="A1582" s="2" t="str">
        <f>"CURRAL VELHO"</f>
        <v>CURRAL VELHO</v>
      </c>
      <c r="B1582" s="3" t="str">
        <f>"PB"</f>
        <v>PB</v>
      </c>
      <c r="C1582" s="3" t="str">
        <f t="shared" si="60"/>
        <v>BRASIL</v>
      </c>
      <c r="D1582" s="4" t="str">
        <f>"PB072"</f>
        <v>PB072</v>
      </c>
    </row>
    <row r="1583" spans="1:4" x14ac:dyDescent="0.3">
      <c r="A1583" s="2" t="str">
        <f>"CURRALINHO"</f>
        <v>CURRALINHO</v>
      </c>
      <c r="B1583" s="3" t="str">
        <f>"PA"</f>
        <v>PA</v>
      </c>
      <c r="C1583" s="3" t="str">
        <f t="shared" si="60"/>
        <v>BRASIL</v>
      </c>
      <c r="D1583" s="4" t="str">
        <f>"PA043"</f>
        <v>PA043</v>
      </c>
    </row>
    <row r="1584" spans="1:4" x14ac:dyDescent="0.3">
      <c r="A1584" s="2" t="str">
        <f>"CURRALINHOS"</f>
        <v>CURRALINHOS</v>
      </c>
      <c r="B1584" s="3" t="str">
        <f>"PI"</f>
        <v>PI</v>
      </c>
      <c r="C1584" s="3" t="str">
        <f t="shared" si="60"/>
        <v>BRASIL</v>
      </c>
      <c r="D1584" s="4" t="str">
        <f>"PI070"</f>
        <v>PI070</v>
      </c>
    </row>
    <row r="1585" spans="1:4" x14ac:dyDescent="0.3">
      <c r="A1585" s="2" t="str">
        <f>"CURUA"</f>
        <v>CURUA</v>
      </c>
      <c r="B1585" s="3" t="str">
        <f>"PA"</f>
        <v>PA</v>
      </c>
      <c r="C1585" s="3" t="str">
        <f t="shared" si="60"/>
        <v>BRASIL</v>
      </c>
      <c r="D1585" s="4" t="str">
        <f>"PA044"</f>
        <v>PA044</v>
      </c>
    </row>
    <row r="1586" spans="1:4" x14ac:dyDescent="0.3">
      <c r="A1586" s="2" t="str">
        <f>"CURUCA"</f>
        <v>CURUCA</v>
      </c>
      <c r="B1586" s="3" t="str">
        <f>"PA"</f>
        <v>PA</v>
      </c>
      <c r="C1586" s="3" t="str">
        <f t="shared" si="60"/>
        <v>BRASIL</v>
      </c>
      <c r="D1586" s="4" t="str">
        <f>"PA045"</f>
        <v>PA045</v>
      </c>
    </row>
    <row r="1587" spans="1:4" x14ac:dyDescent="0.3">
      <c r="A1587" s="2" t="str">
        <f>"CURURUPU"</f>
        <v>CURURUPU</v>
      </c>
      <c r="B1587" s="3" t="str">
        <f>"MA"</f>
        <v>MA</v>
      </c>
      <c r="C1587" s="3" t="str">
        <f t="shared" si="60"/>
        <v>BRASIL</v>
      </c>
      <c r="D1587" s="4" t="str">
        <f>"MA064"</f>
        <v>MA064</v>
      </c>
    </row>
    <row r="1588" spans="1:4" x14ac:dyDescent="0.3">
      <c r="A1588" s="2" t="str">
        <f>"CURVELANDIA"</f>
        <v>CURVELANDIA</v>
      </c>
      <c r="B1588" s="3" t="str">
        <f>"MT"</f>
        <v>MT</v>
      </c>
      <c r="C1588" s="3" t="str">
        <f t="shared" si="60"/>
        <v>BRASIL</v>
      </c>
      <c r="D1588" s="4" t="str">
        <f>"MT039"</f>
        <v>MT039</v>
      </c>
    </row>
    <row r="1589" spans="1:4" x14ac:dyDescent="0.3">
      <c r="A1589" s="2" t="str">
        <f>"CURVELO"</f>
        <v>CURVELO</v>
      </c>
      <c r="B1589" s="3" t="str">
        <f>"MG"</f>
        <v>MG</v>
      </c>
      <c r="C1589" s="3" t="str">
        <f t="shared" si="60"/>
        <v>BRASIL</v>
      </c>
      <c r="D1589" s="4" t="str">
        <f>"MG232"</f>
        <v>MG232</v>
      </c>
    </row>
    <row r="1590" spans="1:4" x14ac:dyDescent="0.3">
      <c r="A1590" s="2" t="str">
        <f>"CUSTODIA"</f>
        <v>CUSTODIA</v>
      </c>
      <c r="B1590" s="3" t="str">
        <f>"PE"</f>
        <v>PE</v>
      </c>
      <c r="C1590" s="3" t="str">
        <f t="shared" si="60"/>
        <v>BRASIL</v>
      </c>
      <c r="D1590" s="4" t="str">
        <f>"PE056"</f>
        <v>PE056</v>
      </c>
    </row>
    <row r="1591" spans="1:4" x14ac:dyDescent="0.3">
      <c r="A1591" s="2" t="str">
        <f>"CUTIAS"</f>
        <v>CUTIAS</v>
      </c>
      <c r="B1591" s="3" t="str">
        <f>"AP"</f>
        <v>AP</v>
      </c>
      <c r="C1591" s="3" t="str">
        <f t="shared" si="60"/>
        <v>BRASIL</v>
      </c>
      <c r="D1591" s="4" t="str">
        <f>"AP005"</f>
        <v>AP005</v>
      </c>
    </row>
    <row r="1592" spans="1:4" x14ac:dyDescent="0.3">
      <c r="A1592" s="2" t="str">
        <f>"DALLAS"</f>
        <v>DALLAS</v>
      </c>
      <c r="B1592" s="3" t="str">
        <f>"EX"</f>
        <v>EX</v>
      </c>
      <c r="C1592" s="3" t="str">
        <f>"ESTADOS UNIDOS"</f>
        <v>ESTADOS UNIDOS</v>
      </c>
      <c r="D1592" s="4" t="str">
        <f>"DAL"</f>
        <v>DAL</v>
      </c>
    </row>
    <row r="1593" spans="1:4" x14ac:dyDescent="0.3">
      <c r="A1593" s="2" t="str">
        <f>"DAMIANOPOLIS"</f>
        <v>DAMIANOPOLIS</v>
      </c>
      <c r="B1593" s="3" t="str">
        <f>"GO"</f>
        <v>GO</v>
      </c>
      <c r="C1593" s="3" t="str">
        <f t="shared" ref="C1593:C1601" si="61">"BRASIL"</f>
        <v>BRASIL</v>
      </c>
      <c r="D1593" s="4" t="str">
        <f>"GO076"</f>
        <v>GO076</v>
      </c>
    </row>
    <row r="1594" spans="1:4" x14ac:dyDescent="0.3">
      <c r="A1594" s="2" t="str">
        <f>"DAMIAO"</f>
        <v>DAMIAO</v>
      </c>
      <c r="B1594" s="3" t="str">
        <f>"PB"</f>
        <v>PB</v>
      </c>
      <c r="C1594" s="3" t="str">
        <f t="shared" si="61"/>
        <v>BRASIL</v>
      </c>
      <c r="D1594" s="4" t="str">
        <f>"PB073"</f>
        <v>PB073</v>
      </c>
    </row>
    <row r="1595" spans="1:4" x14ac:dyDescent="0.3">
      <c r="A1595" s="2" t="str">
        <f>"DAMOLANDIA"</f>
        <v>DAMOLANDIA</v>
      </c>
      <c r="B1595" s="3" t="str">
        <f>"GO"</f>
        <v>GO</v>
      </c>
      <c r="C1595" s="3" t="str">
        <f t="shared" si="61"/>
        <v>BRASIL</v>
      </c>
      <c r="D1595" s="4" t="str">
        <f>"GO077"</f>
        <v>GO077</v>
      </c>
    </row>
    <row r="1596" spans="1:4" x14ac:dyDescent="0.3">
      <c r="A1596" s="2" t="str">
        <f>"DARCINOPOLIS"</f>
        <v>DARCINOPOLIS</v>
      </c>
      <c r="B1596" s="3" t="str">
        <f>"TO"</f>
        <v>TO</v>
      </c>
      <c r="C1596" s="3" t="str">
        <f t="shared" si="61"/>
        <v>BRASIL</v>
      </c>
      <c r="D1596" s="4" t="str">
        <f>"TO044"</f>
        <v>TO044</v>
      </c>
    </row>
    <row r="1597" spans="1:4" x14ac:dyDescent="0.3">
      <c r="A1597" s="2" t="str">
        <f>"DARIO MEIRA"</f>
        <v>DARIO MEIRA</v>
      </c>
      <c r="B1597" s="3" t="str">
        <f>"BA"</f>
        <v>BA</v>
      </c>
      <c r="C1597" s="3" t="str">
        <f t="shared" si="61"/>
        <v>BRASIL</v>
      </c>
      <c r="D1597" s="4" t="str">
        <f>"BA119"</f>
        <v>BA119</v>
      </c>
    </row>
    <row r="1598" spans="1:4" x14ac:dyDescent="0.3">
      <c r="A1598" s="2" t="str">
        <f>"DATAS"</f>
        <v>DATAS</v>
      </c>
      <c r="B1598" s="3" t="str">
        <f>"MG"</f>
        <v>MG</v>
      </c>
      <c r="C1598" s="3" t="str">
        <f t="shared" si="61"/>
        <v>BRASIL</v>
      </c>
      <c r="D1598" s="4" t="str">
        <f>"MG233"</f>
        <v>MG233</v>
      </c>
    </row>
    <row r="1599" spans="1:4" x14ac:dyDescent="0.3">
      <c r="A1599" s="2" t="str">
        <f>"DAVID CANABARRO"</f>
        <v>DAVID CANABARRO</v>
      </c>
      <c r="B1599" s="3" t="str">
        <f>"RS"</f>
        <v>RS</v>
      </c>
      <c r="C1599" s="3" t="str">
        <f t="shared" si="61"/>
        <v>BRASIL</v>
      </c>
      <c r="D1599" s="4" t="str">
        <f>"RS128"</f>
        <v>RS128</v>
      </c>
    </row>
    <row r="1600" spans="1:4" x14ac:dyDescent="0.3">
      <c r="A1600" s="2" t="str">
        <f>"DAVINOPOLIS"</f>
        <v>DAVINOPOLIS</v>
      </c>
      <c r="B1600" s="3" t="str">
        <f>"GO"</f>
        <v>GO</v>
      </c>
      <c r="C1600" s="3" t="str">
        <f t="shared" si="61"/>
        <v>BRASIL</v>
      </c>
      <c r="D1600" s="4" t="str">
        <f>"GO078"</f>
        <v>GO078</v>
      </c>
    </row>
    <row r="1601" spans="1:4" x14ac:dyDescent="0.3">
      <c r="A1601" s="2" t="str">
        <f>"DAVINOPOLIS"</f>
        <v>DAVINOPOLIS</v>
      </c>
      <c r="B1601" s="3" t="str">
        <f>"MA"</f>
        <v>MA</v>
      </c>
      <c r="C1601" s="3" t="str">
        <f t="shared" si="61"/>
        <v>BRASIL</v>
      </c>
      <c r="D1601" s="4" t="str">
        <f>"MA065"</f>
        <v>MA065</v>
      </c>
    </row>
    <row r="1602" spans="1:4" x14ac:dyDescent="0.3">
      <c r="A1602" s="2" t="str">
        <f>"DEFINIR"</f>
        <v>DEFINIR</v>
      </c>
      <c r="B1602" s="3" t="str">
        <f>"FIN"</f>
        <v>FIN</v>
      </c>
      <c r="C1602" s="3" t="str">
        <f>"FINLANDIA"</f>
        <v>FINLANDIA</v>
      </c>
      <c r="D1602" s="4" t="str">
        <f>"FIN01"</f>
        <v>FIN01</v>
      </c>
    </row>
    <row r="1603" spans="1:4" x14ac:dyDescent="0.3">
      <c r="A1603" s="2" t="str">
        <f>"DELFIM MOREIRA"</f>
        <v>DELFIM MOREIRA</v>
      </c>
      <c r="B1603" s="3" t="str">
        <f>"MG"</f>
        <v>MG</v>
      </c>
      <c r="C1603" s="3" t="str">
        <f t="shared" ref="C1603:C1617" si="62">"BRASIL"</f>
        <v>BRASIL</v>
      </c>
      <c r="D1603" s="4" t="str">
        <f>"MG234"</f>
        <v>MG234</v>
      </c>
    </row>
    <row r="1604" spans="1:4" x14ac:dyDescent="0.3">
      <c r="A1604" s="2" t="str">
        <f>"DELFINOPOLIS"</f>
        <v>DELFINOPOLIS</v>
      </c>
      <c r="B1604" s="3" t="str">
        <f>"MG"</f>
        <v>MG</v>
      </c>
      <c r="C1604" s="3" t="str">
        <f t="shared" si="62"/>
        <v>BRASIL</v>
      </c>
      <c r="D1604" s="4" t="str">
        <f>"MG235"</f>
        <v>MG235</v>
      </c>
    </row>
    <row r="1605" spans="1:4" x14ac:dyDescent="0.3">
      <c r="A1605" s="2" t="str">
        <f>"DELMIRO GOUVEIA"</f>
        <v>DELMIRO GOUVEIA</v>
      </c>
      <c r="B1605" s="3" t="str">
        <f>"AL"</f>
        <v>AL</v>
      </c>
      <c r="C1605" s="3" t="str">
        <f t="shared" si="62"/>
        <v>BRASIL</v>
      </c>
      <c r="D1605" s="4" t="str">
        <f>"AL026"</f>
        <v>AL026</v>
      </c>
    </row>
    <row r="1606" spans="1:4" x14ac:dyDescent="0.3">
      <c r="A1606" s="2" t="str">
        <f>"DELTA"</f>
        <v>DELTA</v>
      </c>
      <c r="B1606" s="3" t="str">
        <f>"MG"</f>
        <v>MG</v>
      </c>
      <c r="C1606" s="3" t="str">
        <f t="shared" si="62"/>
        <v>BRASIL</v>
      </c>
      <c r="D1606" s="4" t="str">
        <f>"MG236"</f>
        <v>MG236</v>
      </c>
    </row>
    <row r="1607" spans="1:4" x14ac:dyDescent="0.3">
      <c r="A1607" s="2" t="str">
        <f>"DEMERVAL LOBAO"</f>
        <v>DEMERVAL LOBAO</v>
      </c>
      <c r="B1607" s="3" t="str">
        <f>"PI"</f>
        <v>PI</v>
      </c>
      <c r="C1607" s="3" t="str">
        <f t="shared" si="62"/>
        <v>BRASIL</v>
      </c>
      <c r="D1607" s="4" t="str">
        <f>"PI072"</f>
        <v>PI072</v>
      </c>
    </row>
    <row r="1608" spans="1:4" x14ac:dyDescent="0.3">
      <c r="A1608" s="2" t="str">
        <f>"DENISE"</f>
        <v>DENISE</v>
      </c>
      <c r="B1608" s="3" t="str">
        <f>"MT"</f>
        <v>MT</v>
      </c>
      <c r="C1608" s="3" t="str">
        <f t="shared" si="62"/>
        <v>BRASIL</v>
      </c>
      <c r="D1608" s="4" t="str">
        <f>"MT040"</f>
        <v>MT040</v>
      </c>
    </row>
    <row r="1609" spans="1:4" x14ac:dyDescent="0.3">
      <c r="A1609" s="2" t="str">
        <f>"DEODAPOLIS"</f>
        <v>DEODAPOLIS</v>
      </c>
      <c r="B1609" s="3" t="str">
        <f>"MS"</f>
        <v>MS</v>
      </c>
      <c r="C1609" s="3" t="str">
        <f t="shared" si="62"/>
        <v>BRASIL</v>
      </c>
      <c r="D1609" s="4" t="str">
        <f>"MS029"</f>
        <v>MS029</v>
      </c>
    </row>
    <row r="1610" spans="1:4" x14ac:dyDescent="0.3">
      <c r="A1610" s="2" t="str">
        <f>"DEPUTADO IRAPUAN PINHEIRO"</f>
        <v>DEPUTADO IRAPUAN PINHEIRO</v>
      </c>
      <c r="B1610" s="3" t="str">
        <f>"CE"</f>
        <v>CE</v>
      </c>
      <c r="C1610" s="3" t="str">
        <f t="shared" si="62"/>
        <v>BRASIL</v>
      </c>
      <c r="D1610" s="4" t="str">
        <f>"CE054"</f>
        <v>CE054</v>
      </c>
    </row>
    <row r="1611" spans="1:4" x14ac:dyDescent="0.3">
      <c r="A1611" s="2" t="str">
        <f>"DERRUBADAS"</f>
        <v>DERRUBADAS</v>
      </c>
      <c r="B1611" s="3" t="str">
        <f>"RS"</f>
        <v>RS</v>
      </c>
      <c r="C1611" s="3" t="str">
        <f t="shared" si="62"/>
        <v>BRASIL</v>
      </c>
      <c r="D1611" s="4" t="str">
        <f>"RS129"</f>
        <v>RS129</v>
      </c>
    </row>
    <row r="1612" spans="1:4" x14ac:dyDescent="0.3">
      <c r="A1612" s="2" t="str">
        <f>"DESCALVADO"</f>
        <v>DESCALVADO</v>
      </c>
      <c r="B1612" s="3" t="str">
        <f>"SP"</f>
        <v>SP</v>
      </c>
      <c r="C1612" s="3" t="str">
        <f t="shared" si="62"/>
        <v>BRASIL</v>
      </c>
      <c r="D1612" s="4" t="str">
        <f>"SP152"</f>
        <v>SP152</v>
      </c>
    </row>
    <row r="1613" spans="1:4" x14ac:dyDescent="0.3">
      <c r="A1613" s="2" t="str">
        <f>"DESCANSO"</f>
        <v>DESCANSO</v>
      </c>
      <c r="B1613" s="3" t="str">
        <f>"SC"</f>
        <v>SC</v>
      </c>
      <c r="C1613" s="3" t="str">
        <f t="shared" si="62"/>
        <v>BRASIL</v>
      </c>
      <c r="D1613" s="4" t="str">
        <f>"SC079"</f>
        <v>SC079</v>
      </c>
    </row>
    <row r="1614" spans="1:4" x14ac:dyDescent="0.3">
      <c r="A1614" s="2" t="str">
        <f>"DESCOBERTO"</f>
        <v>DESCOBERTO</v>
      </c>
      <c r="B1614" s="3" t="str">
        <f>"MG"</f>
        <v>MG</v>
      </c>
      <c r="C1614" s="3" t="str">
        <f t="shared" si="62"/>
        <v>BRASIL</v>
      </c>
      <c r="D1614" s="4" t="str">
        <f>"MG237"</f>
        <v>MG237</v>
      </c>
    </row>
    <row r="1615" spans="1:4" x14ac:dyDescent="0.3">
      <c r="A1615" s="2" t="str">
        <f>"DESTERRO"</f>
        <v>DESTERRO</v>
      </c>
      <c r="B1615" s="3" t="str">
        <f>"PB"</f>
        <v>PB</v>
      </c>
      <c r="C1615" s="3" t="str">
        <f t="shared" si="62"/>
        <v>BRASIL</v>
      </c>
      <c r="D1615" s="4" t="str">
        <f>"PB074"</f>
        <v>PB074</v>
      </c>
    </row>
    <row r="1616" spans="1:4" x14ac:dyDescent="0.3">
      <c r="A1616" s="2" t="str">
        <f>"DESTERRO DE ENTRE RIOS"</f>
        <v>DESTERRO DE ENTRE RIOS</v>
      </c>
      <c r="B1616" s="3" t="str">
        <f>"MG"</f>
        <v>MG</v>
      </c>
      <c r="C1616" s="3" t="str">
        <f t="shared" si="62"/>
        <v>BRASIL</v>
      </c>
      <c r="D1616" s="4" t="str">
        <f>"MG238"</f>
        <v>MG238</v>
      </c>
    </row>
    <row r="1617" spans="1:4" x14ac:dyDescent="0.3">
      <c r="A1617" s="2" t="str">
        <f>"DESTERRO DO MELO"</f>
        <v>DESTERRO DO MELO</v>
      </c>
      <c r="B1617" s="3" t="str">
        <f>"MG"</f>
        <v>MG</v>
      </c>
      <c r="C1617" s="3" t="str">
        <f t="shared" si="62"/>
        <v>BRASIL</v>
      </c>
      <c r="D1617" s="4" t="str">
        <f>"MG239"</f>
        <v>MG239</v>
      </c>
    </row>
    <row r="1618" spans="1:4" x14ac:dyDescent="0.3">
      <c r="A1618" s="2" t="str">
        <f>"DETMOLD"</f>
        <v>DETMOLD</v>
      </c>
      <c r="B1618" s="3" t="str">
        <f>"ex"</f>
        <v>ex</v>
      </c>
      <c r="C1618" s="3" t="str">
        <f>"ALEMANHA"</f>
        <v>ALEMANHA</v>
      </c>
      <c r="D1618" s="4" t="str">
        <f>"DET"</f>
        <v>DET</v>
      </c>
    </row>
    <row r="1619" spans="1:4" x14ac:dyDescent="0.3">
      <c r="A1619" s="2" t="str">
        <f>"DETTINGEN"</f>
        <v>DETTINGEN</v>
      </c>
      <c r="B1619" s="3" t="str">
        <f>"EX"</f>
        <v>EX</v>
      </c>
      <c r="C1619" s="3" t="str">
        <f>"ALEMANHA"</f>
        <v>ALEMANHA</v>
      </c>
      <c r="D1619" s="4" t="str">
        <f>"DETTI"</f>
        <v>DETTI</v>
      </c>
    </row>
    <row r="1620" spans="1:4" x14ac:dyDescent="0.3">
      <c r="A1620" s="2" t="str">
        <f>"DEZESSEIS DE NOVEMBRO"</f>
        <v>DEZESSEIS DE NOVEMBRO</v>
      </c>
      <c r="B1620" s="3" t="str">
        <f>"RS"</f>
        <v>RS</v>
      </c>
      <c r="C1620" s="3" t="str">
        <f>"BRASIL"</f>
        <v>BRASIL</v>
      </c>
      <c r="D1620" s="4" t="str">
        <f>"RS130"</f>
        <v>RS130</v>
      </c>
    </row>
    <row r="1621" spans="1:4" x14ac:dyDescent="0.3">
      <c r="A1621" s="2" t="str">
        <f>"DIADEMA"</f>
        <v>DIADEMA</v>
      </c>
      <c r="B1621" s="3" t="str">
        <f>"SP"</f>
        <v>SP</v>
      </c>
      <c r="C1621" s="3" t="str">
        <f>"Brasil"</f>
        <v>Brasil</v>
      </c>
      <c r="D1621" s="4" t="str">
        <f>"Dia"</f>
        <v>Dia</v>
      </c>
    </row>
    <row r="1622" spans="1:4" x14ac:dyDescent="0.3">
      <c r="A1622" s="2" t="str">
        <f>"DIAMANTE"</f>
        <v>DIAMANTE</v>
      </c>
      <c r="B1622" s="3" t="str">
        <f>"PB"</f>
        <v>PB</v>
      </c>
      <c r="C1622" s="3" t="str">
        <f t="shared" ref="C1622:C1636" si="63">"BRASIL"</f>
        <v>BRASIL</v>
      </c>
      <c r="D1622" s="4" t="str">
        <f>"PB076"</f>
        <v>PB076</v>
      </c>
    </row>
    <row r="1623" spans="1:4" x14ac:dyDescent="0.3">
      <c r="A1623" s="2" t="str">
        <f>"DIAMANTE D'OESTE"</f>
        <v>DIAMANTE D'OESTE</v>
      </c>
      <c r="B1623" s="3" t="str">
        <f>"PR"</f>
        <v>PR</v>
      </c>
      <c r="C1623" s="3" t="str">
        <f t="shared" si="63"/>
        <v>BRASIL</v>
      </c>
      <c r="D1623" s="4" t="str">
        <f>"PR098"</f>
        <v>PR098</v>
      </c>
    </row>
    <row r="1624" spans="1:4" x14ac:dyDescent="0.3">
      <c r="A1624" s="2" t="str">
        <f>"DIAMANTE DO NORTE"</f>
        <v>DIAMANTE DO NORTE</v>
      </c>
      <c r="B1624" s="3" t="str">
        <f>"PR"</f>
        <v>PR</v>
      </c>
      <c r="C1624" s="3" t="str">
        <f t="shared" si="63"/>
        <v>BRASIL</v>
      </c>
      <c r="D1624" s="4" t="str">
        <f>"PR096"</f>
        <v>PR096</v>
      </c>
    </row>
    <row r="1625" spans="1:4" x14ac:dyDescent="0.3">
      <c r="A1625" s="2" t="str">
        <f>"DIAMANTE DO SUL"</f>
        <v>DIAMANTE DO SUL</v>
      </c>
      <c r="B1625" s="3" t="str">
        <f>"PR"</f>
        <v>PR</v>
      </c>
      <c r="C1625" s="3" t="str">
        <f t="shared" si="63"/>
        <v>BRASIL</v>
      </c>
      <c r="D1625" s="4" t="str">
        <f>"PR097"</f>
        <v>PR097</v>
      </c>
    </row>
    <row r="1626" spans="1:4" x14ac:dyDescent="0.3">
      <c r="A1626" s="2" t="str">
        <f>"DIAMANTINA"</f>
        <v>DIAMANTINA</v>
      </c>
      <c r="B1626" s="3" t="str">
        <f>"MG"</f>
        <v>MG</v>
      </c>
      <c r="C1626" s="3" t="str">
        <f t="shared" si="63"/>
        <v>BRASIL</v>
      </c>
      <c r="D1626" s="4" t="str">
        <f>"MG240"</f>
        <v>MG240</v>
      </c>
    </row>
    <row r="1627" spans="1:4" x14ac:dyDescent="0.3">
      <c r="A1627" s="2" t="str">
        <f>"DIAMANTINO"</f>
        <v>DIAMANTINO</v>
      </c>
      <c r="B1627" s="3" t="str">
        <f>"MT"</f>
        <v>MT</v>
      </c>
      <c r="C1627" s="3" t="str">
        <f t="shared" si="63"/>
        <v>BRASIL</v>
      </c>
      <c r="D1627" s="4" t="str">
        <f>"MT041"</f>
        <v>MT041</v>
      </c>
    </row>
    <row r="1628" spans="1:4" x14ac:dyDescent="0.3">
      <c r="A1628" s="2" t="str">
        <f>"DIANOPOLIS"</f>
        <v>DIANOPOLIS</v>
      </c>
      <c r="B1628" s="3" t="str">
        <f>"TO"</f>
        <v>TO</v>
      </c>
      <c r="C1628" s="3" t="str">
        <f t="shared" si="63"/>
        <v>BRASIL</v>
      </c>
      <c r="D1628" s="4" t="str">
        <f>"TO045"</f>
        <v>TO045</v>
      </c>
    </row>
    <row r="1629" spans="1:4" x14ac:dyDescent="0.3">
      <c r="A1629" s="2" t="str">
        <f>"DIAS D'AVILA"</f>
        <v>DIAS D'AVILA</v>
      </c>
      <c r="B1629" s="3" t="str">
        <f>"BA"</f>
        <v>BA</v>
      </c>
      <c r="C1629" s="3" t="str">
        <f t="shared" si="63"/>
        <v>BRASIL</v>
      </c>
      <c r="D1629" s="4" t="str">
        <f>"BA120"</f>
        <v>BA120</v>
      </c>
    </row>
    <row r="1630" spans="1:4" x14ac:dyDescent="0.3">
      <c r="A1630" s="2" t="str">
        <f>"DILERMANDO DE AGUIAR"</f>
        <v>DILERMANDO DE AGUIAR</v>
      </c>
      <c r="B1630" s="3" t="str">
        <f>"RS"</f>
        <v>RS</v>
      </c>
      <c r="C1630" s="3" t="str">
        <f t="shared" si="63"/>
        <v>BRASIL</v>
      </c>
      <c r="D1630" s="4" t="str">
        <f>"RS131"</f>
        <v>RS131</v>
      </c>
    </row>
    <row r="1631" spans="1:4" x14ac:dyDescent="0.3">
      <c r="A1631" s="2" t="str">
        <f>"DIOGO DE VASCONCELOS"</f>
        <v>DIOGO DE VASCONCELOS</v>
      </c>
      <c r="B1631" s="3" t="str">
        <f>"MG"</f>
        <v>MG</v>
      </c>
      <c r="C1631" s="3" t="str">
        <f t="shared" si="63"/>
        <v>BRASIL</v>
      </c>
      <c r="D1631" s="4" t="str">
        <f>"MG241"</f>
        <v>MG241</v>
      </c>
    </row>
    <row r="1632" spans="1:4" x14ac:dyDescent="0.3">
      <c r="A1632" s="2" t="str">
        <f>"DIONISIO"</f>
        <v>DIONISIO</v>
      </c>
      <c r="B1632" s="3" t="str">
        <f>"MG"</f>
        <v>MG</v>
      </c>
      <c r="C1632" s="3" t="str">
        <f t="shared" si="63"/>
        <v>BRASIL</v>
      </c>
      <c r="D1632" s="4" t="str">
        <f>"MG242"</f>
        <v>MG242</v>
      </c>
    </row>
    <row r="1633" spans="1:4" x14ac:dyDescent="0.3">
      <c r="A1633" s="2" t="str">
        <f>"DIONISIO CERQUEIRA"</f>
        <v>DIONISIO CERQUEIRA</v>
      </c>
      <c r="B1633" s="3" t="str">
        <f>"SC"</f>
        <v>SC</v>
      </c>
      <c r="C1633" s="3" t="str">
        <f t="shared" si="63"/>
        <v>BRASIL</v>
      </c>
      <c r="D1633" s="4" t="str">
        <f>"SC080"</f>
        <v>SC080</v>
      </c>
    </row>
    <row r="1634" spans="1:4" x14ac:dyDescent="0.3">
      <c r="A1634" s="2" t="str">
        <f>"DIORAMA"</f>
        <v>DIORAMA</v>
      </c>
      <c r="B1634" s="3" t="str">
        <f>"GO"</f>
        <v>GO</v>
      </c>
      <c r="C1634" s="3" t="str">
        <f t="shared" si="63"/>
        <v>BRASIL</v>
      </c>
      <c r="D1634" s="4" t="str">
        <f>"GO079"</f>
        <v>GO079</v>
      </c>
    </row>
    <row r="1635" spans="1:4" x14ac:dyDescent="0.3">
      <c r="A1635" s="2" t="str">
        <f>"DIRCE REIS"</f>
        <v>DIRCE REIS</v>
      </c>
      <c r="B1635" s="3" t="str">
        <f>"SP"</f>
        <v>SP</v>
      </c>
      <c r="C1635" s="3" t="str">
        <f t="shared" si="63"/>
        <v>BRASIL</v>
      </c>
      <c r="D1635" s="4" t="str">
        <f>"SP154"</f>
        <v>SP154</v>
      </c>
    </row>
    <row r="1636" spans="1:4" x14ac:dyDescent="0.3">
      <c r="A1636" s="2" t="str">
        <f>"DIRCEU ARCOVERDE"</f>
        <v>DIRCEU ARCOVERDE</v>
      </c>
      <c r="B1636" s="3" t="str">
        <f>"PI"</f>
        <v>PI</v>
      </c>
      <c r="C1636" s="3" t="str">
        <f t="shared" si="63"/>
        <v>BRASIL</v>
      </c>
      <c r="D1636" s="4" t="str">
        <f>"PI073"</f>
        <v>PI073</v>
      </c>
    </row>
    <row r="1637" spans="1:4" x14ac:dyDescent="0.3">
      <c r="A1637" s="2" t="str">
        <f>"DISTRICT MINHANG"</f>
        <v>DISTRICT MINHANG</v>
      </c>
      <c r="B1637" s="3" t="str">
        <f>"EX"</f>
        <v>EX</v>
      </c>
      <c r="C1637" s="3" t="str">
        <f>"CHINA"</f>
        <v>CHINA</v>
      </c>
      <c r="D1637" s="4" t="str">
        <f>"DISTR"</f>
        <v>DISTR</v>
      </c>
    </row>
    <row r="1638" spans="1:4" x14ac:dyDescent="0.3">
      <c r="A1638" s="2" t="str">
        <f>"DIVINA PASTORA"</f>
        <v>DIVINA PASTORA</v>
      </c>
      <c r="B1638" s="3" t="str">
        <f>"SE"</f>
        <v>SE</v>
      </c>
      <c r="C1638" s="3" t="str">
        <f t="shared" ref="C1638:C1669" si="64">"BRASIL"</f>
        <v>BRASIL</v>
      </c>
      <c r="D1638" s="4" t="str">
        <f>"SE018"</f>
        <v>SE018</v>
      </c>
    </row>
    <row r="1639" spans="1:4" x14ac:dyDescent="0.3">
      <c r="A1639" s="2" t="str">
        <f>"DIVINESIA"</f>
        <v>DIVINESIA</v>
      </c>
      <c r="B1639" s="3" t="str">
        <f>"MG"</f>
        <v>MG</v>
      </c>
      <c r="C1639" s="3" t="str">
        <f t="shared" si="64"/>
        <v>BRASIL</v>
      </c>
      <c r="D1639" s="4" t="str">
        <f>"MG243"</f>
        <v>MG243</v>
      </c>
    </row>
    <row r="1640" spans="1:4" x14ac:dyDescent="0.3">
      <c r="A1640" s="2" t="str">
        <f>"DIVINO"</f>
        <v>DIVINO</v>
      </c>
      <c r="B1640" s="3" t="str">
        <f>"MG"</f>
        <v>MG</v>
      </c>
      <c r="C1640" s="3" t="str">
        <f t="shared" si="64"/>
        <v>BRASIL</v>
      </c>
      <c r="D1640" s="4" t="str">
        <f>"MG244"</f>
        <v>MG244</v>
      </c>
    </row>
    <row r="1641" spans="1:4" x14ac:dyDescent="0.3">
      <c r="A1641" s="2" t="str">
        <f>"DIVINO DAS LARANJEIRAS"</f>
        <v>DIVINO DAS LARANJEIRAS</v>
      </c>
      <c r="B1641" s="3" t="str">
        <f>"MG"</f>
        <v>MG</v>
      </c>
      <c r="C1641" s="3" t="str">
        <f t="shared" si="64"/>
        <v>BRASIL</v>
      </c>
      <c r="D1641" s="4" t="str">
        <f>"MG245"</f>
        <v>MG245</v>
      </c>
    </row>
    <row r="1642" spans="1:4" x14ac:dyDescent="0.3">
      <c r="A1642" s="2" t="str">
        <f>"DIVINO DE SAO LOURENCO"</f>
        <v>DIVINO DE SAO LOURENCO</v>
      </c>
      <c r="B1642" s="3" t="str">
        <f>"ES"</f>
        <v>ES</v>
      </c>
      <c r="C1642" s="3" t="str">
        <f t="shared" si="64"/>
        <v>BRASIL</v>
      </c>
      <c r="D1642" s="4" t="str">
        <f>"ES022"</f>
        <v>ES022</v>
      </c>
    </row>
    <row r="1643" spans="1:4" x14ac:dyDescent="0.3">
      <c r="A1643" s="2" t="str">
        <f>"DIVINOLANDIA"</f>
        <v>DIVINOLANDIA</v>
      </c>
      <c r="B1643" s="3" t="str">
        <f>"SP"</f>
        <v>SP</v>
      </c>
      <c r="C1643" s="3" t="str">
        <f t="shared" si="64"/>
        <v>BRASIL</v>
      </c>
      <c r="D1643" s="4" t="str">
        <f>"SP155"</f>
        <v>SP155</v>
      </c>
    </row>
    <row r="1644" spans="1:4" x14ac:dyDescent="0.3">
      <c r="A1644" s="2" t="str">
        <f>"DIVINOLANDIA DE MINAS"</f>
        <v>DIVINOLANDIA DE MINAS</v>
      </c>
      <c r="B1644" s="3" t="str">
        <f>"MG"</f>
        <v>MG</v>
      </c>
      <c r="C1644" s="3" t="str">
        <f t="shared" si="64"/>
        <v>BRASIL</v>
      </c>
      <c r="D1644" s="4" t="str">
        <f>"MG246"</f>
        <v>MG246</v>
      </c>
    </row>
    <row r="1645" spans="1:4" x14ac:dyDescent="0.3">
      <c r="A1645" s="2" t="str">
        <f>"DIVINOPOLIS"</f>
        <v>DIVINOPOLIS</v>
      </c>
      <c r="B1645" s="3" t="str">
        <f>"MG"</f>
        <v>MG</v>
      </c>
      <c r="C1645" s="3" t="str">
        <f t="shared" si="64"/>
        <v>BRASIL</v>
      </c>
      <c r="D1645" s="4" t="str">
        <f>"MG247"</f>
        <v>MG247</v>
      </c>
    </row>
    <row r="1646" spans="1:4" x14ac:dyDescent="0.3">
      <c r="A1646" s="2" t="str">
        <f>"DIVINOPOLIS DE GOIAS"</f>
        <v>DIVINOPOLIS DE GOIAS</v>
      </c>
      <c r="B1646" s="3" t="str">
        <f>"GO"</f>
        <v>GO</v>
      </c>
      <c r="C1646" s="3" t="str">
        <f t="shared" si="64"/>
        <v>BRASIL</v>
      </c>
      <c r="D1646" s="4" t="str">
        <f>"GO091"</f>
        <v>GO091</v>
      </c>
    </row>
    <row r="1647" spans="1:4" x14ac:dyDescent="0.3">
      <c r="A1647" s="2" t="str">
        <f>"DIVINOPOLIS DO TOCANTINS"</f>
        <v>DIVINOPOLIS DO TOCANTINS</v>
      </c>
      <c r="B1647" s="3" t="str">
        <f>"TO"</f>
        <v>TO</v>
      </c>
      <c r="C1647" s="3" t="str">
        <f t="shared" si="64"/>
        <v>BRASIL</v>
      </c>
      <c r="D1647" s="4" t="str">
        <f>"TO046"</f>
        <v>TO046</v>
      </c>
    </row>
    <row r="1648" spans="1:4" x14ac:dyDescent="0.3">
      <c r="A1648" s="2" t="str">
        <f>"DIVISA ALEGRE"</f>
        <v>DIVISA ALEGRE</v>
      </c>
      <c r="B1648" s="3" t="str">
        <f>"MG"</f>
        <v>MG</v>
      </c>
      <c r="C1648" s="3" t="str">
        <f t="shared" si="64"/>
        <v>BRASIL</v>
      </c>
      <c r="D1648" s="4" t="str">
        <f>"MG248"</f>
        <v>MG248</v>
      </c>
    </row>
    <row r="1649" spans="1:4" x14ac:dyDescent="0.3">
      <c r="A1649" s="2" t="str">
        <f>"DIVISA NOVA"</f>
        <v>DIVISA NOVA</v>
      </c>
      <c r="B1649" s="3" t="str">
        <f>"MG"</f>
        <v>MG</v>
      </c>
      <c r="C1649" s="3" t="str">
        <f t="shared" si="64"/>
        <v>BRASIL</v>
      </c>
      <c r="D1649" s="4" t="str">
        <f>"MG249"</f>
        <v>MG249</v>
      </c>
    </row>
    <row r="1650" spans="1:4" x14ac:dyDescent="0.3">
      <c r="A1650" s="2" t="str">
        <f>"DIVISOPOLIS"</f>
        <v>DIVISOPOLIS</v>
      </c>
      <c r="B1650" s="3" t="str">
        <f>"MG"</f>
        <v>MG</v>
      </c>
      <c r="C1650" s="3" t="str">
        <f t="shared" si="64"/>
        <v>BRASIL</v>
      </c>
      <c r="D1650" s="4" t="str">
        <f>"MG250"</f>
        <v>MG250</v>
      </c>
    </row>
    <row r="1651" spans="1:4" x14ac:dyDescent="0.3">
      <c r="A1651" s="2" t="str">
        <f>"DOBRADA"</f>
        <v>DOBRADA</v>
      </c>
      <c r="B1651" s="3" t="str">
        <f>"SP"</f>
        <v>SP</v>
      </c>
      <c r="C1651" s="3" t="str">
        <f t="shared" si="64"/>
        <v>BRASIL</v>
      </c>
      <c r="D1651" s="4" t="str">
        <f>"SP156"</f>
        <v>SP156</v>
      </c>
    </row>
    <row r="1652" spans="1:4" x14ac:dyDescent="0.3">
      <c r="A1652" s="2" t="str">
        <f>"DOIS CORREGOS"</f>
        <v>DOIS CORREGOS</v>
      </c>
      <c r="B1652" s="3" t="str">
        <f>"SP"</f>
        <v>SP</v>
      </c>
      <c r="C1652" s="3" t="str">
        <f t="shared" si="64"/>
        <v>BRASIL</v>
      </c>
      <c r="D1652" s="4" t="str">
        <f>"SP157"</f>
        <v>SP157</v>
      </c>
    </row>
    <row r="1653" spans="1:4" x14ac:dyDescent="0.3">
      <c r="A1653" s="2" t="str">
        <f>"DOIS IRMAOS"</f>
        <v>DOIS IRMAOS</v>
      </c>
      <c r="B1653" s="3" t="str">
        <f>"RS"</f>
        <v>RS</v>
      </c>
      <c r="C1653" s="3" t="str">
        <f t="shared" si="64"/>
        <v>BRASIL</v>
      </c>
      <c r="D1653" s="4" t="str">
        <f>"RS132"</f>
        <v>RS132</v>
      </c>
    </row>
    <row r="1654" spans="1:4" x14ac:dyDescent="0.3">
      <c r="A1654" s="2" t="str">
        <f>"DOIS IRMAOS DAS MISSÕES"</f>
        <v>DOIS IRMAOS DAS MISSÕES</v>
      </c>
      <c r="B1654" s="3" t="str">
        <f>"RS"</f>
        <v>RS</v>
      </c>
      <c r="C1654" s="3" t="str">
        <f t="shared" si="64"/>
        <v>BRASIL</v>
      </c>
      <c r="D1654" s="4" t="str">
        <f>"RS133"</f>
        <v>RS133</v>
      </c>
    </row>
    <row r="1655" spans="1:4" x14ac:dyDescent="0.3">
      <c r="A1655" s="2" t="str">
        <f>"DOIS IRMAOS DO BURITI"</f>
        <v>DOIS IRMAOS DO BURITI</v>
      </c>
      <c r="B1655" s="3" t="str">
        <f>"MS"</f>
        <v>MS</v>
      </c>
      <c r="C1655" s="3" t="str">
        <f t="shared" si="64"/>
        <v>BRASIL</v>
      </c>
      <c r="D1655" s="4" t="str">
        <f>"MS030"</f>
        <v>MS030</v>
      </c>
    </row>
    <row r="1656" spans="1:4" x14ac:dyDescent="0.3">
      <c r="A1656" s="2" t="str">
        <f>"DOIS IRMAOS DO TOCANTINS"</f>
        <v>DOIS IRMAOS DO TOCANTINS</v>
      </c>
      <c r="B1656" s="3" t="str">
        <f>"TO"</f>
        <v>TO</v>
      </c>
      <c r="C1656" s="3" t="str">
        <f t="shared" si="64"/>
        <v>BRASIL</v>
      </c>
      <c r="D1656" s="4" t="str">
        <f>"TO047"</f>
        <v>TO047</v>
      </c>
    </row>
    <row r="1657" spans="1:4" x14ac:dyDescent="0.3">
      <c r="A1657" s="2" t="str">
        <f>"DOIS LAJEADOS"</f>
        <v>DOIS LAJEADOS</v>
      </c>
      <c r="B1657" s="3" t="str">
        <f>"RS"</f>
        <v>RS</v>
      </c>
      <c r="C1657" s="3" t="str">
        <f t="shared" si="64"/>
        <v>BRASIL</v>
      </c>
      <c r="D1657" s="4" t="str">
        <f>"RS134"</f>
        <v>RS134</v>
      </c>
    </row>
    <row r="1658" spans="1:4" x14ac:dyDescent="0.3">
      <c r="A1658" s="2" t="str">
        <f>"DOIS RIACHOS"</f>
        <v>DOIS RIACHOS</v>
      </c>
      <c r="B1658" s="3" t="str">
        <f>"AL"</f>
        <v>AL</v>
      </c>
      <c r="C1658" s="3" t="str">
        <f t="shared" si="64"/>
        <v>BRASIL</v>
      </c>
      <c r="D1658" s="4" t="str">
        <f>"AL027"</f>
        <v>AL027</v>
      </c>
    </row>
    <row r="1659" spans="1:4" x14ac:dyDescent="0.3">
      <c r="A1659" s="2" t="str">
        <f>"DOIS VIZINHOS"</f>
        <v>DOIS VIZINHOS</v>
      </c>
      <c r="B1659" s="3" t="str">
        <f>"PR"</f>
        <v>PR</v>
      </c>
      <c r="C1659" s="3" t="str">
        <f t="shared" si="64"/>
        <v>BRASIL</v>
      </c>
      <c r="D1659" s="4" t="str">
        <f>"PR099"</f>
        <v>PR099</v>
      </c>
    </row>
    <row r="1660" spans="1:4" x14ac:dyDescent="0.3">
      <c r="A1660" s="2" t="str">
        <f>"DOLCINOPOLIS"</f>
        <v>DOLCINOPOLIS</v>
      </c>
      <c r="B1660" s="3" t="str">
        <f>"SP"</f>
        <v>SP</v>
      </c>
      <c r="C1660" s="3" t="str">
        <f t="shared" si="64"/>
        <v>BRASIL</v>
      </c>
      <c r="D1660" s="4" t="str">
        <f>"SP158"</f>
        <v>SP158</v>
      </c>
    </row>
    <row r="1661" spans="1:4" x14ac:dyDescent="0.3">
      <c r="A1661" s="2" t="str">
        <f>"DOM AQUINO"</f>
        <v>DOM AQUINO</v>
      </c>
      <c r="B1661" s="3" t="str">
        <f>"MT"</f>
        <v>MT</v>
      </c>
      <c r="C1661" s="3" t="str">
        <f t="shared" si="64"/>
        <v>BRASIL</v>
      </c>
      <c r="D1661" s="4" t="str">
        <f>"MT042"</f>
        <v>MT042</v>
      </c>
    </row>
    <row r="1662" spans="1:4" x14ac:dyDescent="0.3">
      <c r="A1662" s="2" t="str">
        <f>"DOM BASILIO"</f>
        <v>DOM BASILIO</v>
      </c>
      <c r="B1662" s="3" t="str">
        <f>"BA"</f>
        <v>BA</v>
      </c>
      <c r="C1662" s="3" t="str">
        <f t="shared" si="64"/>
        <v>BRASIL</v>
      </c>
      <c r="D1662" s="4" t="str">
        <f>"BA121"</f>
        <v>BA121</v>
      </c>
    </row>
    <row r="1663" spans="1:4" x14ac:dyDescent="0.3">
      <c r="A1663" s="2" t="str">
        <f>"DOM BOSCO"</f>
        <v>DOM BOSCO</v>
      </c>
      <c r="B1663" s="3" t="str">
        <f>"MG"</f>
        <v>MG</v>
      </c>
      <c r="C1663" s="3" t="str">
        <f t="shared" si="64"/>
        <v>BRASIL</v>
      </c>
      <c r="D1663" s="4" t="str">
        <f>"MG251"</f>
        <v>MG251</v>
      </c>
    </row>
    <row r="1664" spans="1:4" x14ac:dyDescent="0.3">
      <c r="A1664" s="2" t="str">
        <f>"DOM CAVATI"</f>
        <v>DOM CAVATI</v>
      </c>
      <c r="B1664" s="3" t="str">
        <f>"MG"</f>
        <v>MG</v>
      </c>
      <c r="C1664" s="3" t="str">
        <f t="shared" si="64"/>
        <v>BRASIL</v>
      </c>
      <c r="D1664" s="4" t="str">
        <f>"MG252"</f>
        <v>MG252</v>
      </c>
    </row>
    <row r="1665" spans="1:4" x14ac:dyDescent="0.3">
      <c r="A1665" s="2" t="str">
        <f>"DOM ELISEU"</f>
        <v>DOM ELISEU</v>
      </c>
      <c r="B1665" s="3" t="str">
        <f>"PA"</f>
        <v>PA</v>
      </c>
      <c r="C1665" s="3" t="str">
        <f t="shared" si="64"/>
        <v>BRASIL</v>
      </c>
      <c r="D1665" s="4" t="str">
        <f>"PA046"</f>
        <v>PA046</v>
      </c>
    </row>
    <row r="1666" spans="1:4" x14ac:dyDescent="0.3">
      <c r="A1666" s="2" t="str">
        <f>"DOM EXPEDITO LOPES"</f>
        <v>DOM EXPEDITO LOPES</v>
      </c>
      <c r="B1666" s="3" t="str">
        <f>"PI"</f>
        <v>PI</v>
      </c>
      <c r="C1666" s="3" t="str">
        <f t="shared" si="64"/>
        <v>BRASIL</v>
      </c>
      <c r="D1666" s="4" t="str">
        <f>"PI074"</f>
        <v>PI074</v>
      </c>
    </row>
    <row r="1667" spans="1:4" x14ac:dyDescent="0.3">
      <c r="A1667" s="2" t="str">
        <f>"DOM FELICIANO"</f>
        <v>DOM FELICIANO</v>
      </c>
      <c r="B1667" s="3" t="str">
        <f>"RS"</f>
        <v>RS</v>
      </c>
      <c r="C1667" s="3" t="str">
        <f t="shared" si="64"/>
        <v>BRASIL</v>
      </c>
      <c r="D1667" s="4" t="str">
        <f>"RS135"</f>
        <v>RS135</v>
      </c>
    </row>
    <row r="1668" spans="1:4" x14ac:dyDescent="0.3">
      <c r="A1668" s="2" t="str">
        <f>"DOM INOCENCIO"</f>
        <v>DOM INOCENCIO</v>
      </c>
      <c r="B1668" s="3" t="str">
        <f>"PI"</f>
        <v>PI</v>
      </c>
      <c r="C1668" s="3" t="str">
        <f t="shared" si="64"/>
        <v>BRASIL</v>
      </c>
      <c r="D1668" s="4" t="str">
        <f>"PI076"</f>
        <v>PI076</v>
      </c>
    </row>
    <row r="1669" spans="1:4" x14ac:dyDescent="0.3">
      <c r="A1669" s="2" t="str">
        <f>"DOM JOAQUIM"</f>
        <v>DOM JOAQUIM</v>
      </c>
      <c r="B1669" s="3" t="str">
        <f>"MG"</f>
        <v>MG</v>
      </c>
      <c r="C1669" s="3" t="str">
        <f t="shared" si="64"/>
        <v>BRASIL</v>
      </c>
      <c r="D1669" s="4" t="str">
        <f>"MG253"</f>
        <v>MG253</v>
      </c>
    </row>
    <row r="1670" spans="1:4" x14ac:dyDescent="0.3">
      <c r="A1670" s="2" t="str">
        <f>"DOM MACEDO COSTA"</f>
        <v>DOM MACEDO COSTA</v>
      </c>
      <c r="B1670" s="3" t="str">
        <f>"BA"</f>
        <v>BA</v>
      </c>
      <c r="C1670" s="3" t="str">
        <f t="shared" ref="C1670:C1705" si="65">"BRASIL"</f>
        <v>BRASIL</v>
      </c>
      <c r="D1670" s="4" t="str">
        <f>"BA122"</f>
        <v>BA122</v>
      </c>
    </row>
    <row r="1671" spans="1:4" x14ac:dyDescent="0.3">
      <c r="A1671" s="2" t="str">
        <f>"DOM PEDRITO"</f>
        <v>DOM PEDRITO</v>
      </c>
      <c r="B1671" s="3" t="str">
        <f>"RS"</f>
        <v>RS</v>
      </c>
      <c r="C1671" s="3" t="str">
        <f t="shared" si="65"/>
        <v>BRASIL</v>
      </c>
      <c r="D1671" s="4" t="str">
        <f>"RS137"</f>
        <v>RS137</v>
      </c>
    </row>
    <row r="1672" spans="1:4" x14ac:dyDescent="0.3">
      <c r="A1672" s="2" t="str">
        <f>"DOM PEDRO"</f>
        <v>DOM PEDRO</v>
      </c>
      <c r="B1672" s="3" t="str">
        <f>"MA"</f>
        <v>MA</v>
      </c>
      <c r="C1672" s="3" t="str">
        <f t="shared" si="65"/>
        <v>BRASIL</v>
      </c>
      <c r="D1672" s="4" t="str">
        <f>"MA066"</f>
        <v>MA066</v>
      </c>
    </row>
    <row r="1673" spans="1:4" x14ac:dyDescent="0.3">
      <c r="A1673" s="2" t="str">
        <f>"DOM PEDRO DE ALCANTARA"</f>
        <v>DOM PEDRO DE ALCANTARA</v>
      </c>
      <c r="B1673" s="3" t="str">
        <f>"RS"</f>
        <v>RS</v>
      </c>
      <c r="C1673" s="3" t="str">
        <f t="shared" si="65"/>
        <v>BRASIL</v>
      </c>
      <c r="D1673" s="4" t="str">
        <f>"RS136"</f>
        <v>RS136</v>
      </c>
    </row>
    <row r="1674" spans="1:4" x14ac:dyDescent="0.3">
      <c r="A1674" s="2" t="str">
        <f>"DOM SILVERIO"</f>
        <v>DOM SILVERIO</v>
      </c>
      <c r="B1674" s="3" t="str">
        <f>"MG"</f>
        <v>MG</v>
      </c>
      <c r="C1674" s="3" t="str">
        <f t="shared" si="65"/>
        <v>BRASIL</v>
      </c>
      <c r="D1674" s="4" t="str">
        <f>"MG254"</f>
        <v>MG254</v>
      </c>
    </row>
    <row r="1675" spans="1:4" x14ac:dyDescent="0.3">
      <c r="A1675" s="2" t="str">
        <f>"DOM VICOSO"</f>
        <v>DOM VICOSO</v>
      </c>
      <c r="B1675" s="3" t="str">
        <f>"MG"</f>
        <v>MG</v>
      </c>
      <c r="C1675" s="3" t="str">
        <f t="shared" si="65"/>
        <v>BRASIL</v>
      </c>
      <c r="D1675" s="4" t="str">
        <f>"MG255"</f>
        <v>MG255</v>
      </c>
    </row>
    <row r="1676" spans="1:4" x14ac:dyDescent="0.3">
      <c r="A1676" s="2" t="str">
        <f>"DOMINGOS MARTINS"</f>
        <v>DOMINGOS MARTINS</v>
      </c>
      <c r="B1676" s="3" t="str">
        <f>"ES"</f>
        <v>ES</v>
      </c>
      <c r="C1676" s="3" t="str">
        <f t="shared" si="65"/>
        <v>BRASIL</v>
      </c>
      <c r="D1676" s="4" t="str">
        <f>"ES023"</f>
        <v>ES023</v>
      </c>
    </row>
    <row r="1677" spans="1:4" x14ac:dyDescent="0.3">
      <c r="A1677" s="2" t="str">
        <f>"DOMINGOS MOURAO"</f>
        <v>DOMINGOS MOURAO</v>
      </c>
      <c r="B1677" s="3" t="str">
        <f>"PI"</f>
        <v>PI</v>
      </c>
      <c r="C1677" s="3" t="str">
        <f t="shared" si="65"/>
        <v>BRASIL</v>
      </c>
      <c r="D1677" s="4" t="str">
        <f>"PI075"</f>
        <v>PI075</v>
      </c>
    </row>
    <row r="1678" spans="1:4" x14ac:dyDescent="0.3">
      <c r="A1678" s="2" t="str">
        <f>"DONA EMMA"</f>
        <v>DONA EMMA</v>
      </c>
      <c r="B1678" s="3" t="str">
        <f>"SC"</f>
        <v>SC</v>
      </c>
      <c r="C1678" s="3" t="str">
        <f t="shared" si="65"/>
        <v>BRASIL</v>
      </c>
      <c r="D1678" s="4" t="str">
        <f>"SC081"</f>
        <v>SC081</v>
      </c>
    </row>
    <row r="1679" spans="1:4" x14ac:dyDescent="0.3">
      <c r="A1679" s="2" t="str">
        <f>"DONA EUSEBIA"</f>
        <v>DONA EUSEBIA</v>
      </c>
      <c r="B1679" s="3" t="str">
        <f>"MG"</f>
        <v>MG</v>
      </c>
      <c r="C1679" s="3" t="str">
        <f t="shared" si="65"/>
        <v>BRASIL</v>
      </c>
      <c r="D1679" s="4" t="str">
        <f>"MG256"</f>
        <v>MG256</v>
      </c>
    </row>
    <row r="1680" spans="1:4" x14ac:dyDescent="0.3">
      <c r="A1680" s="2" t="str">
        <f>"DONA FRANCISCA"</f>
        <v>DONA FRANCISCA</v>
      </c>
      <c r="B1680" s="3" t="str">
        <f>"RS"</f>
        <v>RS</v>
      </c>
      <c r="C1680" s="3" t="str">
        <f t="shared" si="65"/>
        <v>BRASIL</v>
      </c>
      <c r="D1680" s="4" t="str">
        <f>"RS138"</f>
        <v>RS138</v>
      </c>
    </row>
    <row r="1681" spans="1:4" x14ac:dyDescent="0.3">
      <c r="A1681" s="2" t="str">
        <f>"DONA INES"</f>
        <v>DONA INES</v>
      </c>
      <c r="B1681" s="3" t="str">
        <f>"PB"</f>
        <v>PB</v>
      </c>
      <c r="C1681" s="3" t="str">
        <f t="shared" si="65"/>
        <v>BRASIL</v>
      </c>
      <c r="D1681" s="4" t="str">
        <f>"PB077"</f>
        <v>PB077</v>
      </c>
    </row>
    <row r="1682" spans="1:4" x14ac:dyDescent="0.3">
      <c r="A1682" s="2" t="str">
        <f>"DORES DE CAMPOS"</f>
        <v>DORES DE CAMPOS</v>
      </c>
      <c r="B1682" s="3" t="str">
        <f>"MG"</f>
        <v>MG</v>
      </c>
      <c r="C1682" s="3" t="str">
        <f t="shared" si="65"/>
        <v>BRASIL</v>
      </c>
      <c r="D1682" s="4" t="str">
        <f>"MG257"</f>
        <v>MG257</v>
      </c>
    </row>
    <row r="1683" spans="1:4" x14ac:dyDescent="0.3">
      <c r="A1683" s="2" t="str">
        <f>"DORES DE GUANHAES"</f>
        <v>DORES DE GUANHAES</v>
      </c>
      <c r="B1683" s="3" t="str">
        <f>"MG"</f>
        <v>MG</v>
      </c>
      <c r="C1683" s="3" t="str">
        <f t="shared" si="65"/>
        <v>BRASIL</v>
      </c>
      <c r="D1683" s="4" t="str">
        <f>"MG258"</f>
        <v>MG258</v>
      </c>
    </row>
    <row r="1684" spans="1:4" x14ac:dyDescent="0.3">
      <c r="A1684" s="2" t="str">
        <f>"DORES DO INDAIA"</f>
        <v>DORES DO INDAIA</v>
      </c>
      <c r="B1684" s="3" t="str">
        <f>"MG"</f>
        <v>MG</v>
      </c>
      <c r="C1684" s="3" t="str">
        <f t="shared" si="65"/>
        <v>BRASIL</v>
      </c>
      <c r="D1684" s="4" t="str">
        <f>"MG259"</f>
        <v>MG259</v>
      </c>
    </row>
    <row r="1685" spans="1:4" x14ac:dyDescent="0.3">
      <c r="A1685" s="2" t="str">
        <f>"DORES DO RIO PRETO"</f>
        <v>DORES DO RIO PRETO</v>
      </c>
      <c r="B1685" s="3" t="str">
        <f>"ES"</f>
        <v>ES</v>
      </c>
      <c r="C1685" s="3" t="str">
        <f t="shared" si="65"/>
        <v>BRASIL</v>
      </c>
      <c r="D1685" s="4" t="str">
        <f>"ES024"</f>
        <v>ES024</v>
      </c>
    </row>
    <row r="1686" spans="1:4" x14ac:dyDescent="0.3">
      <c r="A1686" s="2" t="str">
        <f>"DORES DO TURVO"</f>
        <v>DORES DO TURVO</v>
      </c>
      <c r="B1686" s="3" t="str">
        <f>"MG"</f>
        <v>MG</v>
      </c>
      <c r="C1686" s="3" t="str">
        <f t="shared" si="65"/>
        <v>BRASIL</v>
      </c>
      <c r="D1686" s="4" t="str">
        <f>"MG260"</f>
        <v>MG260</v>
      </c>
    </row>
    <row r="1687" spans="1:4" x14ac:dyDescent="0.3">
      <c r="A1687" s="2" t="str">
        <f>"DORESOPOLIS"</f>
        <v>DORESOPOLIS</v>
      </c>
      <c r="B1687" s="3" t="str">
        <f>"MG"</f>
        <v>MG</v>
      </c>
      <c r="C1687" s="3" t="str">
        <f t="shared" si="65"/>
        <v>BRASIL</v>
      </c>
      <c r="D1687" s="4" t="str">
        <f>"MG261"</f>
        <v>MG261</v>
      </c>
    </row>
    <row r="1688" spans="1:4" x14ac:dyDescent="0.3">
      <c r="A1688" s="2" t="str">
        <f>"DORMENTES"</f>
        <v>DORMENTES</v>
      </c>
      <c r="B1688" s="3" t="str">
        <f>"PE"</f>
        <v>PE</v>
      </c>
      <c r="C1688" s="3" t="str">
        <f t="shared" si="65"/>
        <v>BRASIL</v>
      </c>
      <c r="D1688" s="4" t="str">
        <f>"PE057"</f>
        <v>PE057</v>
      </c>
    </row>
    <row r="1689" spans="1:4" x14ac:dyDescent="0.3">
      <c r="A1689" s="2" t="str">
        <f>"DOURADINA"</f>
        <v>DOURADINA</v>
      </c>
      <c r="B1689" s="3" t="str">
        <f>"MS"</f>
        <v>MS</v>
      </c>
      <c r="C1689" s="3" t="str">
        <f t="shared" si="65"/>
        <v>BRASIL</v>
      </c>
      <c r="D1689" s="4" t="str">
        <f>"MS031"</f>
        <v>MS031</v>
      </c>
    </row>
    <row r="1690" spans="1:4" x14ac:dyDescent="0.3">
      <c r="A1690" s="2" t="str">
        <f>"DOURADINA"</f>
        <v>DOURADINA</v>
      </c>
      <c r="B1690" s="3" t="str">
        <f>"PR"</f>
        <v>PR</v>
      </c>
      <c r="C1690" s="3" t="str">
        <f t="shared" si="65"/>
        <v>BRASIL</v>
      </c>
      <c r="D1690" s="4" t="str">
        <f>"PR100"</f>
        <v>PR100</v>
      </c>
    </row>
    <row r="1691" spans="1:4" x14ac:dyDescent="0.3">
      <c r="A1691" s="2" t="str">
        <f>"DOURADO"</f>
        <v>DOURADO</v>
      </c>
      <c r="B1691" s="3" t="str">
        <f>"SP"</f>
        <v>SP</v>
      </c>
      <c r="C1691" s="3" t="str">
        <f t="shared" si="65"/>
        <v>BRASIL</v>
      </c>
      <c r="D1691" s="4" t="str">
        <f>"SP159"</f>
        <v>SP159</v>
      </c>
    </row>
    <row r="1692" spans="1:4" x14ac:dyDescent="0.3">
      <c r="A1692" s="2" t="str">
        <f>"DOURADOQUARA"</f>
        <v>DOURADOQUARA</v>
      </c>
      <c r="B1692" s="3" t="str">
        <f>"MG"</f>
        <v>MG</v>
      </c>
      <c r="C1692" s="3" t="str">
        <f t="shared" si="65"/>
        <v>BRASIL</v>
      </c>
      <c r="D1692" s="4" t="str">
        <f>"MG262"</f>
        <v>MG262</v>
      </c>
    </row>
    <row r="1693" spans="1:4" x14ac:dyDescent="0.3">
      <c r="A1693" s="2" t="str">
        <f>"DOURADOS"</f>
        <v>DOURADOS</v>
      </c>
      <c r="B1693" s="3" t="str">
        <f>"MS"</f>
        <v>MS</v>
      </c>
      <c r="C1693" s="3" t="str">
        <f t="shared" si="65"/>
        <v>BRASIL</v>
      </c>
      <c r="D1693" s="4" t="str">
        <f>"MS032"</f>
        <v>MS032</v>
      </c>
    </row>
    <row r="1694" spans="1:4" x14ac:dyDescent="0.3">
      <c r="A1694" s="2" t="str">
        <f>"DOUTOR CAMARGO"</f>
        <v>DOUTOR CAMARGO</v>
      </c>
      <c r="B1694" s="3" t="str">
        <f>"PR"</f>
        <v>PR</v>
      </c>
      <c r="C1694" s="3" t="str">
        <f t="shared" si="65"/>
        <v>BRASIL</v>
      </c>
      <c r="D1694" s="4" t="str">
        <f>"PR101"</f>
        <v>PR101</v>
      </c>
    </row>
    <row r="1695" spans="1:4" x14ac:dyDescent="0.3">
      <c r="A1695" s="2" t="str">
        <f>"DOUTOR MAURICIO CARDOSO"</f>
        <v>DOUTOR MAURICIO CARDOSO</v>
      </c>
      <c r="B1695" s="3" t="str">
        <f>"RS"</f>
        <v>RS</v>
      </c>
      <c r="C1695" s="3" t="str">
        <f t="shared" si="65"/>
        <v>BRASIL</v>
      </c>
      <c r="D1695" s="4" t="str">
        <f>"RS139"</f>
        <v>RS139</v>
      </c>
    </row>
    <row r="1696" spans="1:4" x14ac:dyDescent="0.3">
      <c r="A1696" s="2" t="str">
        <f>"DOUTOR PEDRINHO"</f>
        <v>DOUTOR PEDRINHO</v>
      </c>
      <c r="B1696" s="3" t="str">
        <f>"SC"</f>
        <v>SC</v>
      </c>
      <c r="C1696" s="3" t="str">
        <f t="shared" si="65"/>
        <v>BRASIL</v>
      </c>
      <c r="D1696" s="4" t="str">
        <f>"SC082"</f>
        <v>SC082</v>
      </c>
    </row>
    <row r="1697" spans="1:4" x14ac:dyDescent="0.3">
      <c r="A1697" s="2" t="str">
        <f>"DOUTOR RICARDO"</f>
        <v>DOUTOR RICARDO</v>
      </c>
      <c r="B1697" s="3" t="str">
        <f>"RS"</f>
        <v>RS</v>
      </c>
      <c r="C1697" s="3" t="str">
        <f t="shared" si="65"/>
        <v>BRASIL</v>
      </c>
      <c r="D1697" s="4" t="str">
        <f>"RS140"</f>
        <v>RS140</v>
      </c>
    </row>
    <row r="1698" spans="1:4" x14ac:dyDescent="0.3">
      <c r="A1698" s="2" t="str">
        <f>"DOUTOR SEVERIANO"</f>
        <v>DOUTOR SEVERIANO</v>
      </c>
      <c r="B1698" s="3" t="str">
        <f>"RN"</f>
        <v>RN</v>
      </c>
      <c r="C1698" s="3" t="str">
        <f t="shared" si="65"/>
        <v>BRASIL</v>
      </c>
      <c r="D1698" s="4" t="str">
        <f>"RN035"</f>
        <v>RN035</v>
      </c>
    </row>
    <row r="1699" spans="1:4" x14ac:dyDescent="0.3">
      <c r="A1699" s="2" t="str">
        <f>"DOUTOR ULYSSES"</f>
        <v>DOUTOR ULYSSES</v>
      </c>
      <c r="B1699" s="3" t="str">
        <f>"PR"</f>
        <v>PR</v>
      </c>
      <c r="C1699" s="3" t="str">
        <f t="shared" si="65"/>
        <v>BRASIL</v>
      </c>
      <c r="D1699" s="4" t="str">
        <f>"PR396"</f>
        <v>PR396</v>
      </c>
    </row>
    <row r="1700" spans="1:4" x14ac:dyDescent="0.3">
      <c r="A1700" s="2" t="str">
        <f>"DOVERLANDIA"</f>
        <v>DOVERLANDIA</v>
      </c>
      <c r="B1700" s="3" t="str">
        <f>"GO"</f>
        <v>GO</v>
      </c>
      <c r="C1700" s="3" t="str">
        <f t="shared" si="65"/>
        <v>BRASIL</v>
      </c>
      <c r="D1700" s="4" t="str">
        <f>"GO080"</f>
        <v>GO080</v>
      </c>
    </row>
    <row r="1701" spans="1:4" x14ac:dyDescent="0.3">
      <c r="A1701" s="2" t="str">
        <f>"DRACENA"</f>
        <v>DRACENA</v>
      </c>
      <c r="B1701" s="3" t="str">
        <f>"SP"</f>
        <v>SP</v>
      </c>
      <c r="C1701" s="3" t="str">
        <f t="shared" si="65"/>
        <v>BRASIL</v>
      </c>
      <c r="D1701" s="4" t="str">
        <f>"SP160"</f>
        <v>SP160</v>
      </c>
    </row>
    <row r="1702" spans="1:4" x14ac:dyDescent="0.3">
      <c r="A1702" s="2" t="str">
        <f>"DUARTINA"</f>
        <v>DUARTINA</v>
      </c>
      <c r="B1702" s="3" t="str">
        <f>"SP"</f>
        <v>SP</v>
      </c>
      <c r="C1702" s="3" t="str">
        <f t="shared" si="65"/>
        <v>BRASIL</v>
      </c>
      <c r="D1702" s="4" t="str">
        <f>"SP161"</f>
        <v>SP161</v>
      </c>
    </row>
    <row r="1703" spans="1:4" x14ac:dyDescent="0.3">
      <c r="A1703" s="2" t="str">
        <f>"DUAS BARRAS"</f>
        <v>DUAS BARRAS</v>
      </c>
      <c r="B1703" s="3" t="str">
        <f>"RJ"</f>
        <v>RJ</v>
      </c>
      <c r="C1703" s="3" t="str">
        <f t="shared" si="65"/>
        <v>BRASIL</v>
      </c>
      <c r="D1703" s="4" t="str">
        <f>"RJ024"</f>
        <v>RJ024</v>
      </c>
    </row>
    <row r="1704" spans="1:4" x14ac:dyDescent="0.3">
      <c r="A1704" s="2" t="str">
        <f>"DUAS ESTRADAS"</f>
        <v>DUAS ESTRADAS</v>
      </c>
      <c r="B1704" s="3" t="str">
        <f>"PB"</f>
        <v>PB</v>
      </c>
      <c r="C1704" s="3" t="str">
        <f t="shared" si="65"/>
        <v>BRASIL</v>
      </c>
      <c r="D1704" s="4" t="str">
        <f>"PB078"</f>
        <v>PB078</v>
      </c>
    </row>
    <row r="1705" spans="1:4" x14ac:dyDescent="0.3">
      <c r="A1705" s="2" t="str">
        <f>"DUERE"</f>
        <v>DUERE</v>
      </c>
      <c r="B1705" s="3" t="str">
        <f>"TO"</f>
        <v>TO</v>
      </c>
      <c r="C1705" s="3" t="str">
        <f t="shared" si="65"/>
        <v>BRASIL</v>
      </c>
      <c r="D1705" s="4" t="str">
        <f>"TO048"</f>
        <v>TO048</v>
      </c>
    </row>
    <row r="1706" spans="1:4" x14ac:dyDescent="0.3">
      <c r="A1706" s="2" t="str">
        <f>"DUESSELDORF"</f>
        <v>DUESSELDORF</v>
      </c>
      <c r="B1706" s="3" t="str">
        <f>"EX"</f>
        <v>EX</v>
      </c>
      <c r="C1706" s="3" t="str">
        <f>"ALEMANHA"</f>
        <v>ALEMANHA</v>
      </c>
      <c r="D1706" s="4" t="str">
        <f>"DUES"</f>
        <v>DUES</v>
      </c>
    </row>
    <row r="1707" spans="1:4" x14ac:dyDescent="0.3">
      <c r="A1707" s="2" t="str">
        <f>"DUISBURG"</f>
        <v>DUISBURG</v>
      </c>
      <c r="B1707" s="3" t="str">
        <f>"EX"</f>
        <v>EX</v>
      </c>
      <c r="C1707" s="3" t="str">
        <f>"ALEMANHA"</f>
        <v>ALEMANHA</v>
      </c>
      <c r="D1707" s="4" t="str">
        <f>"DUISB"</f>
        <v>DUISB</v>
      </c>
    </row>
    <row r="1708" spans="1:4" x14ac:dyDescent="0.3">
      <c r="A1708" s="2" t="str">
        <f>"DUMONT"</f>
        <v>DUMONT</v>
      </c>
      <c r="B1708" s="3" t="str">
        <f>"SP"</f>
        <v>SP</v>
      </c>
      <c r="C1708" s="3" t="str">
        <f>"BRASIL"</f>
        <v>BRASIL</v>
      </c>
      <c r="D1708" s="4" t="str">
        <f>"SP162"</f>
        <v>SP162</v>
      </c>
    </row>
    <row r="1709" spans="1:4" x14ac:dyDescent="0.3">
      <c r="A1709" s="2" t="str">
        <f>"DUQUE BACELAR"</f>
        <v>DUQUE BACELAR</v>
      </c>
      <c r="B1709" s="3" t="str">
        <f>"MA"</f>
        <v>MA</v>
      </c>
      <c r="C1709" s="3" t="str">
        <f>"BRASIL"</f>
        <v>BRASIL</v>
      </c>
      <c r="D1709" s="4" t="str">
        <f>"MA067"</f>
        <v>MA067</v>
      </c>
    </row>
    <row r="1710" spans="1:4" x14ac:dyDescent="0.3">
      <c r="A1710" s="2" t="str">
        <f>"DUQUE DE CAXIAS"</f>
        <v>DUQUE DE CAXIAS</v>
      </c>
      <c r="B1710" s="3" t="str">
        <f>"RJ"</f>
        <v>RJ</v>
      </c>
      <c r="C1710" s="3" t="str">
        <f>"BRASIL"</f>
        <v>BRASIL</v>
      </c>
      <c r="D1710" s="4" t="str">
        <f>"RJ025"</f>
        <v>RJ025</v>
      </c>
    </row>
    <row r="1711" spans="1:4" x14ac:dyDescent="0.3">
      <c r="A1711" s="2" t="str">
        <f>"DURACH"</f>
        <v>DURACH</v>
      </c>
      <c r="B1711" s="3" t="str">
        <f>"EX"</f>
        <v>EX</v>
      </c>
      <c r="C1711" s="3" t="str">
        <f>"ALEMANHA"</f>
        <v>ALEMANHA</v>
      </c>
      <c r="D1711" s="4" t="str">
        <f>"DURAC"</f>
        <v>DURAC</v>
      </c>
    </row>
    <row r="1712" spans="1:4" x14ac:dyDescent="0.3">
      <c r="A1712" s="2" t="str">
        <f>"DURANDE"</f>
        <v>DURANDE</v>
      </c>
      <c r="B1712" s="3" t="str">
        <f>"MG"</f>
        <v>MG</v>
      </c>
      <c r="C1712" s="3" t="str">
        <f>"BRASIL"</f>
        <v>BRASIL</v>
      </c>
      <c r="D1712" s="4" t="str">
        <f>"MG263"</f>
        <v>MG263</v>
      </c>
    </row>
    <row r="1713" spans="1:4" x14ac:dyDescent="0.3">
      <c r="A1713" s="2" t="str">
        <f>"DURANGO"</f>
        <v>DURANGO</v>
      </c>
      <c r="B1713" s="3" t="str">
        <f>"EX"</f>
        <v>EX</v>
      </c>
      <c r="C1713" s="3" t="str">
        <f>"MEXICO"</f>
        <v>MEXICO</v>
      </c>
      <c r="D1713" s="4" t="str">
        <f>"DUR"</f>
        <v>DUR</v>
      </c>
    </row>
    <row r="1714" spans="1:4" x14ac:dyDescent="0.3">
      <c r="A1714" s="2" t="str">
        <f>"DURANGO"</f>
        <v>DURANGO</v>
      </c>
      <c r="B1714" s="3" t="str">
        <f>"MEX"</f>
        <v>MEX</v>
      </c>
      <c r="C1714" s="3" t="str">
        <f>"MEXICO"</f>
        <v>MEXICO</v>
      </c>
      <c r="D1714" s="4" t="str">
        <f>"DGO"</f>
        <v>DGO</v>
      </c>
    </row>
    <row r="1715" spans="1:4" x14ac:dyDescent="0.3">
      <c r="A1715" s="2" t="str">
        <f>"DUREN"</f>
        <v>DUREN</v>
      </c>
      <c r="B1715" s="3" t="str">
        <f>"EX"</f>
        <v>EX</v>
      </c>
      <c r="C1715" s="3" t="str">
        <f>"ALEMANHA"</f>
        <v>ALEMANHA</v>
      </c>
      <c r="D1715" s="4" t="str">
        <f>"DUREN"</f>
        <v>DUREN</v>
      </c>
    </row>
    <row r="1716" spans="1:4" x14ac:dyDescent="0.3">
      <c r="A1716" s="2" t="str">
        <f>"ECHAPORA"</f>
        <v>ECHAPORA</v>
      </c>
      <c r="B1716" s="3" t="str">
        <f>"SP"</f>
        <v>SP</v>
      </c>
      <c r="C1716" s="3" t="str">
        <f t="shared" ref="C1716:C1729" si="66">"BRASIL"</f>
        <v>BRASIL</v>
      </c>
      <c r="D1716" s="4" t="str">
        <f>"SP163"</f>
        <v>SP163</v>
      </c>
    </row>
    <row r="1717" spans="1:4" x14ac:dyDescent="0.3">
      <c r="A1717" s="2" t="str">
        <f>"ECOPORANGA"</f>
        <v>ECOPORANGA</v>
      </c>
      <c r="B1717" s="3" t="str">
        <f>"ES"</f>
        <v>ES</v>
      </c>
      <c r="C1717" s="3" t="str">
        <f t="shared" si="66"/>
        <v>BRASIL</v>
      </c>
      <c r="D1717" s="4" t="str">
        <f>"ES025"</f>
        <v>ES025</v>
      </c>
    </row>
    <row r="1718" spans="1:4" x14ac:dyDescent="0.3">
      <c r="A1718" s="2" t="str">
        <f>"EDEALINA"</f>
        <v>EDEALINA</v>
      </c>
      <c r="B1718" s="3" t="str">
        <f>"GO"</f>
        <v>GO</v>
      </c>
      <c r="C1718" s="3" t="str">
        <f t="shared" si="66"/>
        <v>BRASIL</v>
      </c>
      <c r="D1718" s="4" t="str">
        <f>"GO081"</f>
        <v>GO081</v>
      </c>
    </row>
    <row r="1719" spans="1:4" x14ac:dyDescent="0.3">
      <c r="A1719" s="2" t="str">
        <f>"EDEIA"</f>
        <v>EDEIA</v>
      </c>
      <c r="B1719" s="3" t="str">
        <f>"GO"</f>
        <v>GO</v>
      </c>
      <c r="C1719" s="3" t="str">
        <f t="shared" si="66"/>
        <v>BRASIL</v>
      </c>
      <c r="D1719" s="4" t="str">
        <f>"GO082"</f>
        <v>GO082</v>
      </c>
    </row>
    <row r="1720" spans="1:4" x14ac:dyDescent="0.3">
      <c r="A1720" s="2" t="str">
        <f>"EIRUNEPE"</f>
        <v>EIRUNEPE</v>
      </c>
      <c r="B1720" s="3" t="str">
        <f>"AM"</f>
        <v>AM</v>
      </c>
      <c r="C1720" s="3" t="str">
        <f t="shared" si="66"/>
        <v>BRASIL</v>
      </c>
      <c r="D1720" s="4" t="str">
        <f>"AM022"</f>
        <v>AM022</v>
      </c>
    </row>
    <row r="1721" spans="1:4" x14ac:dyDescent="0.3">
      <c r="A1721" s="2" t="str">
        <f>"ELDORADO"</f>
        <v>ELDORADO</v>
      </c>
      <c r="B1721" s="3" t="str">
        <f>"MS"</f>
        <v>MS</v>
      </c>
      <c r="C1721" s="3" t="str">
        <f t="shared" si="66"/>
        <v>BRASIL</v>
      </c>
      <c r="D1721" s="4" t="str">
        <f>"MS033"</f>
        <v>MS033</v>
      </c>
    </row>
    <row r="1722" spans="1:4" x14ac:dyDescent="0.3">
      <c r="A1722" s="2" t="str">
        <f>"ELDORADO"</f>
        <v>ELDORADO</v>
      </c>
      <c r="B1722" s="3" t="str">
        <f>"SP"</f>
        <v>SP</v>
      </c>
      <c r="C1722" s="3" t="str">
        <f t="shared" si="66"/>
        <v>BRASIL</v>
      </c>
      <c r="D1722" s="4" t="str">
        <f>"SP164"</f>
        <v>SP164</v>
      </c>
    </row>
    <row r="1723" spans="1:4" x14ac:dyDescent="0.3">
      <c r="A1723" s="2" t="str">
        <f>"ELDORADO DO SUL"</f>
        <v>ELDORADO DO SUL</v>
      </c>
      <c r="B1723" s="3" t="str">
        <f>"RS"</f>
        <v>RS</v>
      </c>
      <c r="C1723" s="3" t="str">
        <f t="shared" si="66"/>
        <v>BRASIL</v>
      </c>
      <c r="D1723" s="4" t="str">
        <f>"RS141"</f>
        <v>RS141</v>
      </c>
    </row>
    <row r="1724" spans="1:4" x14ac:dyDescent="0.3">
      <c r="A1724" s="2" t="str">
        <f>"ELDORADO DOS CARAJAS"</f>
        <v>ELDORADO DOS CARAJAS</v>
      </c>
      <c r="B1724" s="3" t="str">
        <f>"PA"</f>
        <v>PA</v>
      </c>
      <c r="C1724" s="3" t="str">
        <f t="shared" si="66"/>
        <v>BRASIL</v>
      </c>
      <c r="D1724" s="4" t="str">
        <f>"PA047"</f>
        <v>PA047</v>
      </c>
    </row>
    <row r="1725" spans="1:4" x14ac:dyDescent="0.3">
      <c r="A1725" s="2" t="str">
        <f>"ELESBAO VELOSO"</f>
        <v>ELESBAO VELOSO</v>
      </c>
      <c r="B1725" s="3" t="str">
        <f>"PI"</f>
        <v>PI</v>
      </c>
      <c r="C1725" s="3" t="str">
        <f t="shared" si="66"/>
        <v>BRASIL</v>
      </c>
      <c r="D1725" s="4" t="str">
        <f>"PI077"</f>
        <v>PI077</v>
      </c>
    </row>
    <row r="1726" spans="1:4" x14ac:dyDescent="0.3">
      <c r="A1726" s="2" t="str">
        <f>"ELIAS FAUSTO"</f>
        <v>ELIAS FAUSTO</v>
      </c>
      <c r="B1726" s="3" t="str">
        <f>"SP"</f>
        <v>SP</v>
      </c>
      <c r="C1726" s="3" t="str">
        <f t="shared" si="66"/>
        <v>BRASIL</v>
      </c>
      <c r="D1726" s="4" t="str">
        <f>"SP165"</f>
        <v>SP165</v>
      </c>
    </row>
    <row r="1727" spans="1:4" x14ac:dyDescent="0.3">
      <c r="A1727" s="2" t="str">
        <f>"ELISEU MARTINS"</f>
        <v>ELISEU MARTINS</v>
      </c>
      <c r="B1727" s="3" t="str">
        <f>"PI"</f>
        <v>PI</v>
      </c>
      <c r="C1727" s="3" t="str">
        <f t="shared" si="66"/>
        <v>BRASIL</v>
      </c>
      <c r="D1727" s="4" t="str">
        <f>"PI078"</f>
        <v>PI078</v>
      </c>
    </row>
    <row r="1728" spans="1:4" x14ac:dyDescent="0.3">
      <c r="A1728" s="2" t="str">
        <f>"ELISIARIO"</f>
        <v>ELISIARIO</v>
      </c>
      <c r="B1728" s="3" t="str">
        <f>"SP"</f>
        <v>SP</v>
      </c>
      <c r="C1728" s="3" t="str">
        <f t="shared" si="66"/>
        <v>BRASIL</v>
      </c>
      <c r="D1728" s="4" t="str">
        <f>"SP166"</f>
        <v>SP166</v>
      </c>
    </row>
    <row r="1729" spans="1:4" x14ac:dyDescent="0.3">
      <c r="A1729" s="2" t="str">
        <f>"ELISIO MEDRADO"</f>
        <v>ELISIO MEDRADO</v>
      </c>
      <c r="B1729" s="3" t="str">
        <f>"BA"</f>
        <v>BA</v>
      </c>
      <c r="C1729" s="3" t="str">
        <f t="shared" si="66"/>
        <v>BRASIL</v>
      </c>
      <c r="D1729" s="4" t="str">
        <f>"BA123"</f>
        <v>BA123</v>
      </c>
    </row>
    <row r="1730" spans="1:4" x14ac:dyDescent="0.3">
      <c r="A1730" s="2" t="str">
        <f>"ELK"</f>
        <v>ELK</v>
      </c>
      <c r="B1730" s="3" t="str">
        <f>"EX"</f>
        <v>EX</v>
      </c>
      <c r="C1730" s="3" t="str">
        <f>"POLONIA"</f>
        <v>POLONIA</v>
      </c>
      <c r="D1730" s="4" t="str">
        <f>"ELK"</f>
        <v>ELK</v>
      </c>
    </row>
    <row r="1731" spans="1:4" x14ac:dyDescent="0.3">
      <c r="A1731" s="2" t="str">
        <f>"ELOI MENDES"</f>
        <v>ELOI MENDES</v>
      </c>
      <c r="B1731" s="3" t="str">
        <f>"MG"</f>
        <v>MG</v>
      </c>
      <c r="C1731" s="3" t="str">
        <f t="shared" ref="C1731:C1747" si="67">"BRASIL"</f>
        <v>BRASIL</v>
      </c>
      <c r="D1731" s="4" t="str">
        <f>"MG264"</f>
        <v>MG264</v>
      </c>
    </row>
    <row r="1732" spans="1:4" x14ac:dyDescent="0.3">
      <c r="A1732" s="2" t="str">
        <f>"EMAS"</f>
        <v>EMAS</v>
      </c>
      <c r="B1732" s="3" t="str">
        <f>"PB"</f>
        <v>PB</v>
      </c>
      <c r="C1732" s="3" t="str">
        <f t="shared" si="67"/>
        <v>BRASIL</v>
      </c>
      <c r="D1732" s="4" t="str">
        <f>"PB079"</f>
        <v>PB079</v>
      </c>
    </row>
    <row r="1733" spans="1:4" x14ac:dyDescent="0.3">
      <c r="A1733" s="2" t="str">
        <f>"EMBAUBA"</f>
        <v>EMBAUBA</v>
      </c>
      <c r="B1733" s="3" t="str">
        <f>"SP"</f>
        <v>SP</v>
      </c>
      <c r="C1733" s="3" t="str">
        <f t="shared" si="67"/>
        <v>BRASIL</v>
      </c>
      <c r="D1733" s="4" t="str">
        <f>"SP167"</f>
        <v>SP167</v>
      </c>
    </row>
    <row r="1734" spans="1:4" x14ac:dyDescent="0.3">
      <c r="A1734" s="2" t="str">
        <f>"EMBU"</f>
        <v>EMBU</v>
      </c>
      <c r="B1734" s="3" t="str">
        <f>"SP"</f>
        <v>SP</v>
      </c>
      <c r="C1734" s="3" t="str">
        <f t="shared" si="67"/>
        <v>BRASIL</v>
      </c>
      <c r="D1734" s="4" t="str">
        <f>"SP168"</f>
        <v>SP168</v>
      </c>
    </row>
    <row r="1735" spans="1:4" x14ac:dyDescent="0.3">
      <c r="A1735" s="2" t="str">
        <f>"EMBU-GUACU"</f>
        <v>EMBU-GUACU</v>
      </c>
      <c r="B1735" s="3" t="str">
        <f>"SP"</f>
        <v>SP</v>
      </c>
      <c r="C1735" s="3" t="str">
        <f t="shared" si="67"/>
        <v>BRASIL</v>
      </c>
      <c r="D1735" s="4" t="str">
        <f>"SP169"</f>
        <v>SP169</v>
      </c>
    </row>
    <row r="1736" spans="1:4" x14ac:dyDescent="0.3">
      <c r="A1736" s="2" t="str">
        <f>"EMILIANOPOLIS"</f>
        <v>EMILIANOPOLIS</v>
      </c>
      <c r="B1736" s="3" t="str">
        <f>"SP"</f>
        <v>SP</v>
      </c>
      <c r="C1736" s="3" t="str">
        <f t="shared" si="67"/>
        <v>BRASIL</v>
      </c>
      <c r="D1736" s="4" t="str">
        <f>"SP170"</f>
        <v>SP170</v>
      </c>
    </row>
    <row r="1737" spans="1:4" x14ac:dyDescent="0.3">
      <c r="A1737" s="2" t="str">
        <f>"ENCANTADO"</f>
        <v>ENCANTADO</v>
      </c>
      <c r="B1737" s="3" t="str">
        <f>"RS"</f>
        <v>RS</v>
      </c>
      <c r="C1737" s="3" t="str">
        <f t="shared" si="67"/>
        <v>BRASIL</v>
      </c>
      <c r="D1737" s="4" t="str">
        <f>"RS142"</f>
        <v>RS142</v>
      </c>
    </row>
    <row r="1738" spans="1:4" x14ac:dyDescent="0.3">
      <c r="A1738" s="2" t="str">
        <f>"ENCANTO"</f>
        <v>ENCANTO</v>
      </c>
      <c r="B1738" s="3" t="str">
        <f>"RN"</f>
        <v>RN</v>
      </c>
      <c r="C1738" s="3" t="str">
        <f t="shared" si="67"/>
        <v>BRASIL</v>
      </c>
      <c r="D1738" s="4" t="str">
        <f>"RN037"</f>
        <v>RN037</v>
      </c>
    </row>
    <row r="1739" spans="1:4" x14ac:dyDescent="0.3">
      <c r="A1739" s="2" t="str">
        <f>"ENCRUZILHADA"</f>
        <v>ENCRUZILHADA</v>
      </c>
      <c r="B1739" s="3" t="str">
        <f>"BA"</f>
        <v>BA</v>
      </c>
      <c r="C1739" s="3" t="str">
        <f t="shared" si="67"/>
        <v>BRASIL</v>
      </c>
      <c r="D1739" s="4" t="str">
        <f>"BA124"</f>
        <v>BA124</v>
      </c>
    </row>
    <row r="1740" spans="1:4" x14ac:dyDescent="0.3">
      <c r="A1740" s="2" t="str">
        <f>"ENCRUZILHADA DO SUL"</f>
        <v>ENCRUZILHADA DO SUL</v>
      </c>
      <c r="B1740" s="3" t="str">
        <f>"RS"</f>
        <v>RS</v>
      </c>
      <c r="C1740" s="3" t="str">
        <f t="shared" si="67"/>
        <v>BRASIL</v>
      </c>
      <c r="D1740" s="4" t="str">
        <f>"RS143"</f>
        <v>RS143</v>
      </c>
    </row>
    <row r="1741" spans="1:4" x14ac:dyDescent="0.3">
      <c r="A1741" s="2" t="str">
        <f>"ENEAS MARQUES"</f>
        <v>ENEAS MARQUES</v>
      </c>
      <c r="B1741" s="3" t="str">
        <f>"PR"</f>
        <v>PR</v>
      </c>
      <c r="C1741" s="3" t="str">
        <f t="shared" si="67"/>
        <v>BRASIL</v>
      </c>
      <c r="D1741" s="4" t="str">
        <f>"PR102"</f>
        <v>PR102</v>
      </c>
    </row>
    <row r="1742" spans="1:4" x14ac:dyDescent="0.3">
      <c r="A1742" s="2" t="str">
        <f>"ENGENHEIRO BELTRAO"</f>
        <v>ENGENHEIRO BELTRAO</v>
      </c>
      <c r="B1742" s="3" t="str">
        <f>"PR"</f>
        <v>PR</v>
      </c>
      <c r="C1742" s="3" t="str">
        <f t="shared" si="67"/>
        <v>BRASIL</v>
      </c>
      <c r="D1742" s="4" t="str">
        <f>"PR103"</f>
        <v>PR103</v>
      </c>
    </row>
    <row r="1743" spans="1:4" x14ac:dyDescent="0.3">
      <c r="A1743" s="2" t="str">
        <f>"ENGENHEIRO CALDAS"</f>
        <v>ENGENHEIRO CALDAS</v>
      </c>
      <c r="B1743" s="3" t="str">
        <f>"MG"</f>
        <v>MG</v>
      </c>
      <c r="C1743" s="3" t="str">
        <f t="shared" si="67"/>
        <v>BRASIL</v>
      </c>
      <c r="D1743" s="4" t="str">
        <f>"MG265"</f>
        <v>MG265</v>
      </c>
    </row>
    <row r="1744" spans="1:4" x14ac:dyDescent="0.3">
      <c r="A1744" s="2" t="str">
        <f>"ENGENHEIRO COELHO"</f>
        <v>ENGENHEIRO COELHO</v>
      </c>
      <c r="B1744" s="3" t="str">
        <f>"SP"</f>
        <v>SP</v>
      </c>
      <c r="C1744" s="3" t="str">
        <f t="shared" si="67"/>
        <v>BRASIL</v>
      </c>
      <c r="D1744" s="4" t="str">
        <f>"SP171"</f>
        <v>SP171</v>
      </c>
    </row>
    <row r="1745" spans="1:4" x14ac:dyDescent="0.3">
      <c r="A1745" s="2" t="str">
        <f>"ENGENHEIRO NAVARRO"</f>
        <v>ENGENHEIRO NAVARRO</v>
      </c>
      <c r="B1745" s="3" t="str">
        <f>"MG"</f>
        <v>MG</v>
      </c>
      <c r="C1745" s="3" t="str">
        <f t="shared" si="67"/>
        <v>BRASIL</v>
      </c>
      <c r="D1745" s="4" t="str">
        <f>"MG266"</f>
        <v>MG266</v>
      </c>
    </row>
    <row r="1746" spans="1:4" x14ac:dyDescent="0.3">
      <c r="A1746" s="2" t="str">
        <f>"ENGENHEIRO PAULO DE FRONT"</f>
        <v>ENGENHEIRO PAULO DE FRONT</v>
      </c>
      <c r="B1746" s="3" t="str">
        <f>"RJ"</f>
        <v>RJ</v>
      </c>
      <c r="C1746" s="3" t="str">
        <f t="shared" si="67"/>
        <v>BRASIL</v>
      </c>
      <c r="D1746" s="4" t="str">
        <f>"RJ026"</f>
        <v>RJ026</v>
      </c>
    </row>
    <row r="1747" spans="1:4" x14ac:dyDescent="0.3">
      <c r="A1747" s="2" t="str">
        <f>"ENGENHO VELHO"</f>
        <v>ENGENHO VELHO</v>
      </c>
      <c r="B1747" s="3" t="str">
        <f>"RS"</f>
        <v>RS</v>
      </c>
      <c r="C1747" s="3" t="str">
        <f t="shared" si="67"/>
        <v>BRASIL</v>
      </c>
      <c r="D1747" s="4" t="str">
        <f>"RS144"</f>
        <v>RS144</v>
      </c>
    </row>
    <row r="1748" spans="1:4" x14ac:dyDescent="0.3">
      <c r="A1748" s="2" t="str">
        <f>"ENGER"</f>
        <v>ENGER</v>
      </c>
      <c r="B1748" s="3" t="str">
        <f>"EX"</f>
        <v>EX</v>
      </c>
      <c r="C1748" s="3" t="str">
        <f>"ALEMANHA"</f>
        <v>ALEMANHA</v>
      </c>
      <c r="D1748" s="4" t="str">
        <f>"ENGER"</f>
        <v>ENGER</v>
      </c>
    </row>
    <row r="1749" spans="1:4" x14ac:dyDescent="0.3">
      <c r="A1749" s="2" t="str">
        <f>"ENSCHEDE"</f>
        <v>ENSCHEDE</v>
      </c>
      <c r="B1749" s="3" t="str">
        <f>"EX"</f>
        <v>EX</v>
      </c>
      <c r="C1749" s="3" t="str">
        <f>"HOLANDA"</f>
        <v>HOLANDA</v>
      </c>
      <c r="D1749" s="4" t="str">
        <f>"ENSC"</f>
        <v>ENSC</v>
      </c>
    </row>
    <row r="1750" spans="1:4" x14ac:dyDescent="0.3">
      <c r="A1750" s="2" t="str">
        <f>"ENTRE FOLHAS"</f>
        <v>ENTRE FOLHAS</v>
      </c>
      <c r="B1750" s="3" t="str">
        <f>"MG"</f>
        <v>MG</v>
      </c>
      <c r="C1750" s="3" t="str">
        <f>"BRASIL"</f>
        <v>BRASIL</v>
      </c>
      <c r="D1750" s="4" t="str">
        <f>"MG267"</f>
        <v>MG267</v>
      </c>
    </row>
    <row r="1751" spans="1:4" x14ac:dyDescent="0.3">
      <c r="A1751" s="2" t="str">
        <f>"ENTRE RIOS"</f>
        <v>ENTRE RIOS</v>
      </c>
      <c r="B1751" s="3" t="str">
        <f>"BA"</f>
        <v>BA</v>
      </c>
      <c r="C1751" s="3" t="str">
        <f>"BRASIL"</f>
        <v>BRASIL</v>
      </c>
      <c r="D1751" s="4" t="str">
        <f>"BA125"</f>
        <v>BA125</v>
      </c>
    </row>
    <row r="1752" spans="1:4" x14ac:dyDescent="0.3">
      <c r="A1752" s="2" t="str">
        <f>"ENTRE RIOS"</f>
        <v>ENTRE RIOS</v>
      </c>
      <c r="B1752" s="3" t="str">
        <f>"EX"</f>
        <v>EX</v>
      </c>
      <c r="C1752" s="3" t="str">
        <f>"ARGENTINA"</f>
        <v>ARGENTINA</v>
      </c>
      <c r="D1752" s="4" t="str">
        <f>"ENTR"</f>
        <v>ENTR</v>
      </c>
    </row>
    <row r="1753" spans="1:4" x14ac:dyDescent="0.3">
      <c r="A1753" s="2" t="str">
        <f>"ENTRE RIOS"</f>
        <v>ENTRE RIOS</v>
      </c>
      <c r="B1753" s="3" t="str">
        <f>"SC"</f>
        <v>SC</v>
      </c>
      <c r="C1753" s="3" t="str">
        <f t="shared" ref="C1753:C1764" si="68">"BRASIL"</f>
        <v>BRASIL</v>
      </c>
      <c r="D1753" s="4" t="str">
        <f>"SC083"</f>
        <v>SC083</v>
      </c>
    </row>
    <row r="1754" spans="1:4" x14ac:dyDescent="0.3">
      <c r="A1754" s="2" t="str">
        <f>"ENTRE RIOS DE MINAS"</f>
        <v>ENTRE RIOS DE MINAS</v>
      </c>
      <c r="B1754" s="3" t="str">
        <f>"MG"</f>
        <v>MG</v>
      </c>
      <c r="C1754" s="3" t="str">
        <f t="shared" si="68"/>
        <v>BRASIL</v>
      </c>
      <c r="D1754" s="4" t="str">
        <f>"MG268"</f>
        <v>MG268</v>
      </c>
    </row>
    <row r="1755" spans="1:4" x14ac:dyDescent="0.3">
      <c r="A1755" s="2" t="str">
        <f>"ENTRE RIOS DO OESTE"</f>
        <v>ENTRE RIOS DO OESTE</v>
      </c>
      <c r="B1755" s="3" t="str">
        <f>"PR"</f>
        <v>PR</v>
      </c>
      <c r="C1755" s="3" t="str">
        <f t="shared" si="68"/>
        <v>BRASIL</v>
      </c>
      <c r="D1755" s="4" t="str">
        <f>"PR105"</f>
        <v>PR105</v>
      </c>
    </row>
    <row r="1756" spans="1:4" x14ac:dyDescent="0.3">
      <c r="A1756" s="2" t="str">
        <f>"ENTRE RIOS DO SUL"</f>
        <v>ENTRE RIOS DO SUL</v>
      </c>
      <c r="B1756" s="3" t="str">
        <f>"RS"</f>
        <v>RS</v>
      </c>
      <c r="C1756" s="3" t="str">
        <f t="shared" si="68"/>
        <v>BRASIL</v>
      </c>
      <c r="D1756" s="4" t="str">
        <f>"RS146"</f>
        <v>RS146</v>
      </c>
    </row>
    <row r="1757" spans="1:4" x14ac:dyDescent="0.3">
      <c r="A1757" s="2" t="str">
        <f>"ENTRE-IJUIS"</f>
        <v>ENTRE-IJUIS</v>
      </c>
      <c r="B1757" s="3" t="str">
        <f>"RS"</f>
        <v>RS</v>
      </c>
      <c r="C1757" s="3" t="str">
        <f t="shared" si="68"/>
        <v>BRASIL</v>
      </c>
      <c r="D1757" s="4" t="str">
        <f>"RS145"</f>
        <v>RS145</v>
      </c>
    </row>
    <row r="1758" spans="1:4" x14ac:dyDescent="0.3">
      <c r="A1758" s="2" t="str">
        <f>"ENVIRA"</f>
        <v>ENVIRA</v>
      </c>
      <c r="B1758" s="3" t="str">
        <f>"AM"</f>
        <v>AM</v>
      </c>
      <c r="C1758" s="3" t="str">
        <f t="shared" si="68"/>
        <v>BRASIL</v>
      </c>
      <c r="D1758" s="4" t="str">
        <f>"AM023"</f>
        <v>AM023</v>
      </c>
    </row>
    <row r="1759" spans="1:4" x14ac:dyDescent="0.3">
      <c r="A1759" s="2" t="str">
        <f>"EPITACIOLANDIA"</f>
        <v>EPITACIOLANDIA</v>
      </c>
      <c r="B1759" s="3" t="str">
        <f>"AC"</f>
        <v>AC</v>
      </c>
      <c r="C1759" s="3" t="str">
        <f t="shared" si="68"/>
        <v>BRASIL</v>
      </c>
      <c r="D1759" s="4" t="str">
        <f>"AC007"</f>
        <v>AC007</v>
      </c>
    </row>
    <row r="1760" spans="1:4" x14ac:dyDescent="0.3">
      <c r="A1760" s="2" t="str">
        <f>"EQUADOR"</f>
        <v>EQUADOR</v>
      </c>
      <c r="B1760" s="3" t="str">
        <f>"RN"</f>
        <v>RN</v>
      </c>
      <c r="C1760" s="3" t="str">
        <f t="shared" si="68"/>
        <v>BRASIL</v>
      </c>
      <c r="D1760" s="4" t="str">
        <f>"RN038"</f>
        <v>RN038</v>
      </c>
    </row>
    <row r="1761" spans="1:4" x14ac:dyDescent="0.3">
      <c r="A1761" s="2" t="str">
        <f>"EREBANGO"</f>
        <v>EREBANGO</v>
      </c>
      <c r="B1761" s="3" t="str">
        <f>"RS"</f>
        <v>RS</v>
      </c>
      <c r="C1761" s="3" t="str">
        <f t="shared" si="68"/>
        <v>BRASIL</v>
      </c>
      <c r="D1761" s="4" t="str">
        <f>"RS147"</f>
        <v>RS147</v>
      </c>
    </row>
    <row r="1762" spans="1:4" x14ac:dyDescent="0.3">
      <c r="A1762" s="2" t="str">
        <f>"ERECHIM"</f>
        <v>ERECHIM</v>
      </c>
      <c r="B1762" s="3" t="str">
        <f>"RS"</f>
        <v>RS</v>
      </c>
      <c r="C1762" s="3" t="str">
        <f t="shared" si="68"/>
        <v>BRASIL</v>
      </c>
      <c r="D1762" s="4" t="str">
        <f>"RS148"</f>
        <v>RS148</v>
      </c>
    </row>
    <row r="1763" spans="1:4" x14ac:dyDescent="0.3">
      <c r="A1763" s="2" t="str">
        <f>"ERERE"</f>
        <v>ERERE</v>
      </c>
      <c r="B1763" s="3" t="str">
        <f>"CE"</f>
        <v>CE</v>
      </c>
      <c r="C1763" s="3" t="str">
        <f t="shared" si="68"/>
        <v>BRASIL</v>
      </c>
      <c r="D1763" s="4" t="str">
        <f>"CE055"</f>
        <v>CE055</v>
      </c>
    </row>
    <row r="1764" spans="1:4" x14ac:dyDescent="0.3">
      <c r="A1764" s="2" t="str">
        <f>"ERICO CARDOSO"</f>
        <v>ERICO CARDOSO</v>
      </c>
      <c r="B1764" s="3" t="str">
        <f>"BA"</f>
        <v>BA</v>
      </c>
      <c r="C1764" s="3" t="str">
        <f t="shared" si="68"/>
        <v>BRASIL</v>
      </c>
      <c r="D1764" s="4" t="str">
        <f>"BA006"</f>
        <v>BA006</v>
      </c>
    </row>
    <row r="1765" spans="1:4" x14ac:dyDescent="0.3">
      <c r="A1765" s="2" t="str">
        <f>"ERKRATH"</f>
        <v>ERKRATH</v>
      </c>
      <c r="B1765" s="3" t="str">
        <f>"EX"</f>
        <v>EX</v>
      </c>
      <c r="C1765" s="3" t="str">
        <f>"ALEMANHA"</f>
        <v>ALEMANHA</v>
      </c>
      <c r="D1765" s="4" t="str">
        <f>"ERKRA"</f>
        <v>ERKRA</v>
      </c>
    </row>
    <row r="1766" spans="1:4" x14ac:dyDescent="0.3">
      <c r="A1766" s="2" t="str">
        <f>"ERMO"</f>
        <v>ERMO</v>
      </c>
      <c r="B1766" s="3" t="str">
        <f>"SC"</f>
        <v>SC</v>
      </c>
      <c r="C1766" s="3" t="str">
        <f t="shared" ref="C1766:C1772" si="69">"BRASIL"</f>
        <v>BRASIL</v>
      </c>
      <c r="D1766" s="4" t="str">
        <f>"SC084"</f>
        <v>SC084</v>
      </c>
    </row>
    <row r="1767" spans="1:4" x14ac:dyDescent="0.3">
      <c r="A1767" s="2" t="str">
        <f>"ERNESTINA"</f>
        <v>ERNESTINA</v>
      </c>
      <c r="B1767" s="3" t="str">
        <f>"RS"</f>
        <v>RS</v>
      </c>
      <c r="C1767" s="3" t="str">
        <f t="shared" si="69"/>
        <v>BRASIL</v>
      </c>
      <c r="D1767" s="4" t="str">
        <f>"RS149"</f>
        <v>RS149</v>
      </c>
    </row>
    <row r="1768" spans="1:4" x14ac:dyDescent="0.3">
      <c r="A1768" s="2" t="str">
        <f>"ERVAL GRANDE"</f>
        <v>ERVAL GRANDE</v>
      </c>
      <c r="B1768" s="3" t="str">
        <f>"RS"</f>
        <v>RS</v>
      </c>
      <c r="C1768" s="3" t="str">
        <f t="shared" si="69"/>
        <v>BRASIL</v>
      </c>
      <c r="D1768" s="4" t="str">
        <f>"RS151"</f>
        <v>RS151</v>
      </c>
    </row>
    <row r="1769" spans="1:4" x14ac:dyDescent="0.3">
      <c r="A1769" s="2" t="str">
        <f>"ERVAL SECO"</f>
        <v>ERVAL SECO</v>
      </c>
      <c r="B1769" s="3" t="str">
        <f>"RS"</f>
        <v>RS</v>
      </c>
      <c r="C1769" s="3" t="str">
        <f t="shared" si="69"/>
        <v>BRASIL</v>
      </c>
      <c r="D1769" s="4" t="str">
        <f>"RS152"</f>
        <v>RS152</v>
      </c>
    </row>
    <row r="1770" spans="1:4" x14ac:dyDescent="0.3">
      <c r="A1770" s="2" t="str">
        <f>"ERVAL VELHO"</f>
        <v>ERVAL VELHO</v>
      </c>
      <c r="B1770" s="3" t="str">
        <f>"SC"</f>
        <v>SC</v>
      </c>
      <c r="C1770" s="3" t="str">
        <f t="shared" si="69"/>
        <v>BRASIL</v>
      </c>
      <c r="D1770" s="4" t="str">
        <f>"SC085"</f>
        <v>SC085</v>
      </c>
    </row>
    <row r="1771" spans="1:4" x14ac:dyDescent="0.3">
      <c r="A1771" s="2" t="str">
        <f>"ERVALIA"</f>
        <v>ERVALIA</v>
      </c>
      <c r="B1771" s="3" t="str">
        <f>"MG"</f>
        <v>MG</v>
      </c>
      <c r="C1771" s="3" t="str">
        <f t="shared" si="69"/>
        <v>BRASIL</v>
      </c>
      <c r="D1771" s="4" t="str">
        <f>"MG269"</f>
        <v>MG269</v>
      </c>
    </row>
    <row r="1772" spans="1:4" x14ac:dyDescent="0.3">
      <c r="A1772" s="2" t="str">
        <f>"ESCADA"</f>
        <v>ESCADA</v>
      </c>
      <c r="B1772" s="3" t="str">
        <f>"PE"</f>
        <v>PE</v>
      </c>
      <c r="C1772" s="3" t="str">
        <f t="shared" si="69"/>
        <v>BRASIL</v>
      </c>
      <c r="D1772" s="4" t="str">
        <f>"PE058"</f>
        <v>PE058</v>
      </c>
    </row>
    <row r="1773" spans="1:4" x14ac:dyDescent="0.3">
      <c r="A1773" s="2" t="str">
        <f>"ESCAZÚ"</f>
        <v>ESCAZÚ</v>
      </c>
      <c r="B1773" s="3" t="str">
        <f>"EX"</f>
        <v>EX</v>
      </c>
      <c r="C1773" s="3" t="str">
        <f>"COSTA RICA"</f>
        <v>COSTA RICA</v>
      </c>
      <c r="D1773" s="4" t="str">
        <f>"ESCAZ"</f>
        <v>ESCAZ</v>
      </c>
    </row>
    <row r="1774" spans="1:4" x14ac:dyDescent="0.3">
      <c r="A1774" s="2" t="str">
        <f>"ESMERALDA"</f>
        <v>ESMERALDA</v>
      </c>
      <c r="B1774" s="3" t="str">
        <f>"RS"</f>
        <v>RS</v>
      </c>
      <c r="C1774" s="3" t="str">
        <f t="shared" ref="C1774:C1814" si="70">"BRASIL"</f>
        <v>BRASIL</v>
      </c>
      <c r="D1774" s="4" t="str">
        <f>"RS153"</f>
        <v>RS153</v>
      </c>
    </row>
    <row r="1775" spans="1:4" x14ac:dyDescent="0.3">
      <c r="A1775" s="2" t="str">
        <f>"ESMERALDAS"</f>
        <v>ESMERALDAS</v>
      </c>
      <c r="B1775" s="3" t="str">
        <f>"MG"</f>
        <v>MG</v>
      </c>
      <c r="C1775" s="3" t="str">
        <f t="shared" si="70"/>
        <v>BRASIL</v>
      </c>
      <c r="D1775" s="4" t="str">
        <f>"MG270"</f>
        <v>MG270</v>
      </c>
    </row>
    <row r="1776" spans="1:4" x14ac:dyDescent="0.3">
      <c r="A1776" s="2" t="str">
        <f>"ESPERA FELIZ"</f>
        <v>ESPERA FELIZ</v>
      </c>
      <c r="B1776" s="3" t="str">
        <f>"MG"</f>
        <v>MG</v>
      </c>
      <c r="C1776" s="3" t="str">
        <f t="shared" si="70"/>
        <v>BRASIL</v>
      </c>
      <c r="D1776" s="4" t="str">
        <f>"MG271"</f>
        <v>MG271</v>
      </c>
    </row>
    <row r="1777" spans="1:4" x14ac:dyDescent="0.3">
      <c r="A1777" s="2" t="str">
        <f>"ESPERANCA"</f>
        <v>ESPERANCA</v>
      </c>
      <c r="B1777" s="3" t="str">
        <f>"PB"</f>
        <v>PB</v>
      </c>
      <c r="C1777" s="3" t="str">
        <f t="shared" si="70"/>
        <v>BRASIL</v>
      </c>
      <c r="D1777" s="4" t="str">
        <f>"PB080"</f>
        <v>PB080</v>
      </c>
    </row>
    <row r="1778" spans="1:4" x14ac:dyDescent="0.3">
      <c r="A1778" s="2" t="str">
        <f>"ESPERANCA DO SUL"</f>
        <v>ESPERANCA DO SUL</v>
      </c>
      <c r="B1778" s="3" t="str">
        <f>"RS"</f>
        <v>RS</v>
      </c>
      <c r="C1778" s="3" t="str">
        <f t="shared" si="70"/>
        <v>BRASIL</v>
      </c>
      <c r="D1778" s="4" t="str">
        <f>"RS154"</f>
        <v>RS154</v>
      </c>
    </row>
    <row r="1779" spans="1:4" x14ac:dyDescent="0.3">
      <c r="A1779" s="2" t="str">
        <f>"ESPERANCA NOVA"</f>
        <v>ESPERANCA NOVA</v>
      </c>
      <c r="B1779" s="3" t="str">
        <f>"PR"</f>
        <v>PR</v>
      </c>
      <c r="C1779" s="3" t="str">
        <f t="shared" si="70"/>
        <v>BRASIL</v>
      </c>
      <c r="D1779" s="4" t="str">
        <f>"PR104"</f>
        <v>PR104</v>
      </c>
    </row>
    <row r="1780" spans="1:4" x14ac:dyDescent="0.3">
      <c r="A1780" s="2" t="str">
        <f>"ESPERANTINA"</f>
        <v>ESPERANTINA</v>
      </c>
      <c r="B1780" s="3" t="str">
        <f>"PI"</f>
        <v>PI</v>
      </c>
      <c r="C1780" s="3" t="str">
        <f t="shared" si="70"/>
        <v>BRASIL</v>
      </c>
      <c r="D1780" s="4" t="str">
        <f>"PI079"</f>
        <v>PI079</v>
      </c>
    </row>
    <row r="1781" spans="1:4" x14ac:dyDescent="0.3">
      <c r="A1781" s="2" t="str">
        <f>"ESPERANTINA"</f>
        <v>ESPERANTINA</v>
      </c>
      <c r="B1781" s="3" t="str">
        <f>"TO"</f>
        <v>TO</v>
      </c>
      <c r="C1781" s="3" t="str">
        <f t="shared" si="70"/>
        <v>BRASIL</v>
      </c>
      <c r="D1781" s="4" t="str">
        <f>"TO049"</f>
        <v>TO049</v>
      </c>
    </row>
    <row r="1782" spans="1:4" x14ac:dyDescent="0.3">
      <c r="A1782" s="2" t="str">
        <f>"ESPERANTINOPOLIS"</f>
        <v>ESPERANTINOPOLIS</v>
      </c>
      <c r="B1782" s="3" t="str">
        <f>"MA"</f>
        <v>MA</v>
      </c>
      <c r="C1782" s="3" t="str">
        <f t="shared" si="70"/>
        <v>BRASIL</v>
      </c>
      <c r="D1782" s="4" t="str">
        <f>"MA068"</f>
        <v>MA068</v>
      </c>
    </row>
    <row r="1783" spans="1:4" x14ac:dyDescent="0.3">
      <c r="A1783" s="2" t="str">
        <f>"ESPIGAO ALTO DO IGUACU"</f>
        <v>ESPIGAO ALTO DO IGUACU</v>
      </c>
      <c r="B1783" s="3" t="str">
        <f>"PR"</f>
        <v>PR</v>
      </c>
      <c r="C1783" s="3" t="str">
        <f t="shared" si="70"/>
        <v>BRASIL</v>
      </c>
      <c r="D1783" s="4" t="str">
        <f>"PR106"</f>
        <v>PR106</v>
      </c>
    </row>
    <row r="1784" spans="1:4" x14ac:dyDescent="0.3">
      <c r="A1784" s="2" t="str">
        <f>"ESPIGAO D'OESTE"</f>
        <v>ESPIGAO D'OESTE</v>
      </c>
      <c r="B1784" s="3" t="str">
        <f>"RO"</f>
        <v>RO</v>
      </c>
      <c r="C1784" s="3" t="str">
        <f t="shared" si="70"/>
        <v>BRASIL</v>
      </c>
      <c r="D1784" s="4" t="str">
        <f>"RO009"</f>
        <v>RO009</v>
      </c>
    </row>
    <row r="1785" spans="1:4" x14ac:dyDescent="0.3">
      <c r="A1785" s="2" t="str">
        <f>"ESPINOSA"</f>
        <v>ESPINOSA</v>
      </c>
      <c r="B1785" s="3" t="str">
        <f>"MG"</f>
        <v>MG</v>
      </c>
      <c r="C1785" s="3" t="str">
        <f t="shared" si="70"/>
        <v>BRASIL</v>
      </c>
      <c r="D1785" s="4" t="str">
        <f>"MG272"</f>
        <v>MG272</v>
      </c>
    </row>
    <row r="1786" spans="1:4" x14ac:dyDescent="0.3">
      <c r="A1786" s="2" t="str">
        <f>"ESPIRITO SANTO"</f>
        <v>ESPIRITO SANTO</v>
      </c>
      <c r="B1786" s="3" t="str">
        <f>"RN"</f>
        <v>RN</v>
      </c>
      <c r="C1786" s="3" t="str">
        <f t="shared" si="70"/>
        <v>BRASIL</v>
      </c>
      <c r="D1786" s="4" t="str">
        <f>"RN039"</f>
        <v>RN039</v>
      </c>
    </row>
    <row r="1787" spans="1:4" x14ac:dyDescent="0.3">
      <c r="A1787" s="2" t="str">
        <f>"ESPIRITO SANTO DO DOURADO"</f>
        <v>ESPIRITO SANTO DO DOURADO</v>
      </c>
      <c r="B1787" s="3" t="str">
        <f>"MG"</f>
        <v>MG</v>
      </c>
      <c r="C1787" s="3" t="str">
        <f t="shared" si="70"/>
        <v>BRASIL</v>
      </c>
      <c r="D1787" s="4" t="str">
        <f>"MG273"</f>
        <v>MG273</v>
      </c>
    </row>
    <row r="1788" spans="1:4" x14ac:dyDescent="0.3">
      <c r="A1788" s="2" t="str">
        <f>"ESPIRITO SANTO DO PINHAL"</f>
        <v>ESPIRITO SANTO DO PINHAL</v>
      </c>
      <c r="B1788" s="3" t="str">
        <f>"SP"</f>
        <v>SP</v>
      </c>
      <c r="C1788" s="3" t="str">
        <f t="shared" si="70"/>
        <v>BRASIL</v>
      </c>
      <c r="D1788" s="4" t="str">
        <f>"SP172"</f>
        <v>SP172</v>
      </c>
    </row>
    <row r="1789" spans="1:4" x14ac:dyDescent="0.3">
      <c r="A1789" s="2" t="str">
        <f>"ESPIRITO SANTO DO TURVO"</f>
        <v>ESPIRITO SANTO DO TURVO</v>
      </c>
      <c r="B1789" s="3" t="str">
        <f>"SP"</f>
        <v>SP</v>
      </c>
      <c r="C1789" s="3" t="str">
        <f t="shared" si="70"/>
        <v>BRASIL</v>
      </c>
      <c r="D1789" s="4" t="str">
        <f>"SP173"</f>
        <v>SP173</v>
      </c>
    </row>
    <row r="1790" spans="1:4" x14ac:dyDescent="0.3">
      <c r="A1790" s="2" t="str">
        <f>"ESPLANADA"</f>
        <v>ESPLANADA</v>
      </c>
      <c r="B1790" s="3" t="str">
        <f>"BA"</f>
        <v>BA</v>
      </c>
      <c r="C1790" s="3" t="str">
        <f t="shared" si="70"/>
        <v>BRASIL</v>
      </c>
      <c r="D1790" s="4" t="str">
        <f>"BA126"</f>
        <v>BA126</v>
      </c>
    </row>
    <row r="1791" spans="1:4" x14ac:dyDescent="0.3">
      <c r="A1791" s="2" t="str">
        <f>"ESPUMOSO"</f>
        <v>ESPUMOSO</v>
      </c>
      <c r="B1791" s="3" t="str">
        <f>"RS"</f>
        <v>RS</v>
      </c>
      <c r="C1791" s="3" t="str">
        <f t="shared" si="70"/>
        <v>BRASIL</v>
      </c>
      <c r="D1791" s="4" t="str">
        <f>"RS155"</f>
        <v>RS155</v>
      </c>
    </row>
    <row r="1792" spans="1:4" x14ac:dyDescent="0.3">
      <c r="A1792" s="2" t="str">
        <f>"ESTACAO"</f>
        <v>ESTACAO</v>
      </c>
      <c r="B1792" s="3" t="str">
        <f>"RS"</f>
        <v>RS</v>
      </c>
      <c r="C1792" s="3" t="str">
        <f t="shared" si="70"/>
        <v>BRASIL</v>
      </c>
      <c r="D1792" s="4" t="str">
        <f>"RS156"</f>
        <v>RS156</v>
      </c>
    </row>
    <row r="1793" spans="1:4" x14ac:dyDescent="0.3">
      <c r="A1793" s="2" t="str">
        <f>"ESTANCIA"</f>
        <v>ESTANCIA</v>
      </c>
      <c r="B1793" s="3" t="str">
        <f>"SE"</f>
        <v>SE</v>
      </c>
      <c r="C1793" s="3" t="str">
        <f t="shared" si="70"/>
        <v>BRASIL</v>
      </c>
      <c r="D1793" s="4" t="str">
        <f>"SE019"</f>
        <v>SE019</v>
      </c>
    </row>
    <row r="1794" spans="1:4" x14ac:dyDescent="0.3">
      <c r="A1794" s="2" t="str">
        <f>"ESTANCIA VELHA"</f>
        <v>ESTANCIA VELHA</v>
      </c>
      <c r="B1794" s="3" t="str">
        <f>"RS"</f>
        <v>RS</v>
      </c>
      <c r="C1794" s="3" t="str">
        <f t="shared" si="70"/>
        <v>BRASIL</v>
      </c>
      <c r="D1794" s="4" t="str">
        <f>"RS157"</f>
        <v>RS157</v>
      </c>
    </row>
    <row r="1795" spans="1:4" x14ac:dyDescent="0.3">
      <c r="A1795" s="2" t="str">
        <f>"ESTEIO"</f>
        <v>ESTEIO</v>
      </c>
      <c r="B1795" s="3" t="str">
        <f>"RS"</f>
        <v>RS</v>
      </c>
      <c r="C1795" s="3" t="str">
        <f t="shared" si="70"/>
        <v>BRASIL</v>
      </c>
      <c r="D1795" s="4" t="str">
        <f>"RS158"</f>
        <v>RS158</v>
      </c>
    </row>
    <row r="1796" spans="1:4" x14ac:dyDescent="0.3">
      <c r="A1796" s="2" t="str">
        <f>"ESTIVA"</f>
        <v>ESTIVA</v>
      </c>
      <c r="B1796" s="3" t="str">
        <f>"MG"</f>
        <v>MG</v>
      </c>
      <c r="C1796" s="3" t="str">
        <f t="shared" si="70"/>
        <v>BRASIL</v>
      </c>
      <c r="D1796" s="4" t="str">
        <f>"MG274"</f>
        <v>MG274</v>
      </c>
    </row>
    <row r="1797" spans="1:4" x14ac:dyDescent="0.3">
      <c r="A1797" s="2" t="str">
        <f>"ESTIVA GERBI"</f>
        <v>ESTIVA GERBI</v>
      </c>
      <c r="B1797" s="3" t="str">
        <f>"SP"</f>
        <v>SP</v>
      </c>
      <c r="C1797" s="3" t="str">
        <f t="shared" si="70"/>
        <v>BRASIL</v>
      </c>
      <c r="D1797" s="4" t="str">
        <f>"SP645"</f>
        <v>SP645</v>
      </c>
    </row>
    <row r="1798" spans="1:4" x14ac:dyDescent="0.3">
      <c r="A1798" s="2" t="str">
        <f>"ESTREITO"</f>
        <v>ESTREITO</v>
      </c>
      <c r="B1798" s="3" t="str">
        <f>"MA"</f>
        <v>MA</v>
      </c>
      <c r="C1798" s="3" t="str">
        <f t="shared" si="70"/>
        <v>BRASIL</v>
      </c>
      <c r="D1798" s="4" t="str">
        <f>"MA069"</f>
        <v>MA069</v>
      </c>
    </row>
    <row r="1799" spans="1:4" x14ac:dyDescent="0.3">
      <c r="A1799" s="2" t="str">
        <f>"ESTRELA"</f>
        <v>ESTRELA</v>
      </c>
      <c r="B1799" s="3" t="str">
        <f>"RS"</f>
        <v>RS</v>
      </c>
      <c r="C1799" s="3" t="str">
        <f t="shared" si="70"/>
        <v>BRASIL</v>
      </c>
      <c r="D1799" s="4" t="str">
        <f>"RS159"</f>
        <v>RS159</v>
      </c>
    </row>
    <row r="1800" spans="1:4" x14ac:dyDescent="0.3">
      <c r="A1800" s="2" t="str">
        <f>"ESTRELA D'OESTE"</f>
        <v>ESTRELA D'OESTE</v>
      </c>
      <c r="B1800" s="3" t="str">
        <f>"SP"</f>
        <v>SP</v>
      </c>
      <c r="C1800" s="3" t="str">
        <f t="shared" si="70"/>
        <v>BRASIL</v>
      </c>
      <c r="D1800" s="4" t="str">
        <f>"SP174"</f>
        <v>SP174</v>
      </c>
    </row>
    <row r="1801" spans="1:4" x14ac:dyDescent="0.3">
      <c r="A1801" s="2" t="str">
        <f>"ESTRELA DALVA"</f>
        <v>ESTRELA DALVA</v>
      </c>
      <c r="B1801" s="3" t="str">
        <f>"MG"</f>
        <v>MG</v>
      </c>
      <c r="C1801" s="3" t="str">
        <f t="shared" si="70"/>
        <v>BRASIL</v>
      </c>
      <c r="D1801" s="4" t="str">
        <f>"MG275"</f>
        <v>MG275</v>
      </c>
    </row>
    <row r="1802" spans="1:4" x14ac:dyDescent="0.3">
      <c r="A1802" s="2" t="str">
        <f>"ESTRELA DE ALAGOAS"</f>
        <v>ESTRELA DE ALAGOAS</v>
      </c>
      <c r="B1802" s="3" t="str">
        <f>"AL"</f>
        <v>AL</v>
      </c>
      <c r="C1802" s="3" t="str">
        <f t="shared" si="70"/>
        <v>BRASIL</v>
      </c>
      <c r="D1802" s="4" t="str">
        <f>"AL028"</f>
        <v>AL028</v>
      </c>
    </row>
    <row r="1803" spans="1:4" x14ac:dyDescent="0.3">
      <c r="A1803" s="2" t="str">
        <f>"ESTRELA DO INDAIA"</f>
        <v>ESTRELA DO INDAIA</v>
      </c>
      <c r="B1803" s="3" t="str">
        <f>"MG"</f>
        <v>MG</v>
      </c>
      <c r="C1803" s="3" t="str">
        <f t="shared" si="70"/>
        <v>BRASIL</v>
      </c>
      <c r="D1803" s="4" t="str">
        <f>"MG276"</f>
        <v>MG276</v>
      </c>
    </row>
    <row r="1804" spans="1:4" x14ac:dyDescent="0.3">
      <c r="A1804" s="2" t="str">
        <f>"ESTRELA DO NORTE"</f>
        <v>ESTRELA DO NORTE</v>
      </c>
      <c r="B1804" s="3" t="str">
        <f>"GO"</f>
        <v>GO</v>
      </c>
      <c r="C1804" s="3" t="str">
        <f t="shared" si="70"/>
        <v>BRASIL</v>
      </c>
      <c r="D1804" s="4" t="str">
        <f>"GO083"</f>
        <v>GO083</v>
      </c>
    </row>
    <row r="1805" spans="1:4" x14ac:dyDescent="0.3">
      <c r="A1805" s="2" t="str">
        <f>"ESTRELA DO NORTE"</f>
        <v>ESTRELA DO NORTE</v>
      </c>
      <c r="B1805" s="3" t="str">
        <f>"SP"</f>
        <v>SP</v>
      </c>
      <c r="C1805" s="3" t="str">
        <f t="shared" si="70"/>
        <v>BRASIL</v>
      </c>
      <c r="D1805" s="4" t="str">
        <f>"SP175"</f>
        <v>SP175</v>
      </c>
    </row>
    <row r="1806" spans="1:4" x14ac:dyDescent="0.3">
      <c r="A1806" s="2" t="str">
        <f>"ESTRELA DO SUL"</f>
        <v>ESTRELA DO SUL</v>
      </c>
      <c r="B1806" s="3" t="str">
        <f>"MG"</f>
        <v>MG</v>
      </c>
      <c r="C1806" s="3" t="str">
        <f t="shared" si="70"/>
        <v>BRASIL</v>
      </c>
      <c r="D1806" s="4" t="str">
        <f>"MG277"</f>
        <v>MG277</v>
      </c>
    </row>
    <row r="1807" spans="1:4" x14ac:dyDescent="0.3">
      <c r="A1807" s="2" t="str">
        <f>"ESTRELA VELHA"</f>
        <v>ESTRELA VELHA</v>
      </c>
      <c r="B1807" s="3" t="str">
        <f>"RS"</f>
        <v>RS</v>
      </c>
      <c r="C1807" s="3" t="str">
        <f t="shared" si="70"/>
        <v>BRASIL</v>
      </c>
      <c r="D1807" s="4" t="str">
        <f>"RS160"</f>
        <v>RS160</v>
      </c>
    </row>
    <row r="1808" spans="1:4" x14ac:dyDescent="0.3">
      <c r="A1808" s="2" t="str">
        <f>"EUCLIDES DA CUNHA"</f>
        <v>EUCLIDES DA CUNHA</v>
      </c>
      <c r="B1808" s="3" t="str">
        <f>"BA"</f>
        <v>BA</v>
      </c>
      <c r="C1808" s="3" t="str">
        <f t="shared" si="70"/>
        <v>BRASIL</v>
      </c>
      <c r="D1808" s="4" t="str">
        <f>"BA127"</f>
        <v>BA127</v>
      </c>
    </row>
    <row r="1809" spans="1:4" x14ac:dyDescent="0.3">
      <c r="A1809" s="2" t="str">
        <f>"EUCLIDES DA CUNHA PAULIST"</f>
        <v>EUCLIDES DA CUNHA PAULIST</v>
      </c>
      <c r="B1809" s="3" t="str">
        <f>"SP"</f>
        <v>SP</v>
      </c>
      <c r="C1809" s="3" t="str">
        <f t="shared" si="70"/>
        <v>BRASIL</v>
      </c>
      <c r="D1809" s="4" t="str">
        <f>"SP176"</f>
        <v>SP176</v>
      </c>
    </row>
    <row r="1810" spans="1:4" x14ac:dyDescent="0.3">
      <c r="A1810" s="2" t="str">
        <f>"EUGENIO DE CASTRO"</f>
        <v>EUGENIO DE CASTRO</v>
      </c>
      <c r="B1810" s="3" t="str">
        <f>"RS"</f>
        <v>RS</v>
      </c>
      <c r="C1810" s="3" t="str">
        <f t="shared" si="70"/>
        <v>BRASIL</v>
      </c>
      <c r="D1810" s="4" t="str">
        <f>"RS161"</f>
        <v>RS161</v>
      </c>
    </row>
    <row r="1811" spans="1:4" x14ac:dyDescent="0.3">
      <c r="A1811" s="2" t="str">
        <f>"EUGENOPOLIS"</f>
        <v>EUGENOPOLIS</v>
      </c>
      <c r="B1811" s="3" t="str">
        <f>"MG"</f>
        <v>MG</v>
      </c>
      <c r="C1811" s="3" t="str">
        <f t="shared" si="70"/>
        <v>BRASIL</v>
      </c>
      <c r="D1811" s="4" t="str">
        <f>"MG278"</f>
        <v>MG278</v>
      </c>
    </row>
    <row r="1812" spans="1:4" x14ac:dyDescent="0.3">
      <c r="A1812" s="2" t="str">
        <f>"EUNAPOLIS"</f>
        <v>EUNAPOLIS</v>
      </c>
      <c r="B1812" s="3" t="str">
        <f>"BA"</f>
        <v>BA</v>
      </c>
      <c r="C1812" s="3" t="str">
        <f t="shared" si="70"/>
        <v>BRASIL</v>
      </c>
      <c r="D1812" s="4" t="str">
        <f>"BA128"</f>
        <v>BA128</v>
      </c>
    </row>
    <row r="1813" spans="1:4" x14ac:dyDescent="0.3">
      <c r="A1813" s="2" t="str">
        <f>"EUSEBIO"</f>
        <v>EUSEBIO</v>
      </c>
      <c r="B1813" s="3" t="str">
        <f>"CE"</f>
        <v>CE</v>
      </c>
      <c r="C1813" s="3" t="str">
        <f t="shared" si="70"/>
        <v>BRASIL</v>
      </c>
      <c r="D1813" s="4" t="str">
        <f>"CE056"</f>
        <v>CE056</v>
      </c>
    </row>
    <row r="1814" spans="1:4" x14ac:dyDescent="0.3">
      <c r="A1814" s="2" t="str">
        <f>"EWBANK DA CAMARA"</f>
        <v>EWBANK DA CAMARA</v>
      </c>
      <c r="B1814" s="3" t="str">
        <f>"MG"</f>
        <v>MG</v>
      </c>
      <c r="C1814" s="3" t="str">
        <f t="shared" si="70"/>
        <v>BRASIL</v>
      </c>
      <c r="D1814" s="4" t="str">
        <f>"MG279"</f>
        <v>MG279</v>
      </c>
    </row>
    <row r="1815" spans="1:4" x14ac:dyDescent="0.3">
      <c r="A1815" s="2" t="str">
        <f>"EXTERIOR"</f>
        <v>EXTERIOR</v>
      </c>
      <c r="B1815" s="3" t="str">
        <f>"EX"</f>
        <v>EX</v>
      </c>
      <c r="C1815" s="3" t="str">
        <f>"ARGENTINA"</f>
        <v>ARGENTINA</v>
      </c>
      <c r="D1815" s="4" t="str">
        <f>"EXT"</f>
        <v>EXT</v>
      </c>
    </row>
    <row r="1816" spans="1:4" x14ac:dyDescent="0.3">
      <c r="A1816" s="2" t="str">
        <f>"EXTREMA"</f>
        <v>EXTREMA</v>
      </c>
      <c r="B1816" s="3" t="str">
        <f>"MG"</f>
        <v>MG</v>
      </c>
      <c r="C1816" s="3" t="str">
        <f t="shared" ref="C1816:C1847" si="71">"BRASIL"</f>
        <v>BRASIL</v>
      </c>
      <c r="D1816" s="4" t="str">
        <f>"MG280"</f>
        <v>MG280</v>
      </c>
    </row>
    <row r="1817" spans="1:4" x14ac:dyDescent="0.3">
      <c r="A1817" s="2" t="str">
        <f>"EXTREMOZ"</f>
        <v>EXTREMOZ</v>
      </c>
      <c r="B1817" s="3" t="str">
        <f>"RN"</f>
        <v>RN</v>
      </c>
      <c r="C1817" s="3" t="str">
        <f t="shared" si="71"/>
        <v>BRASIL</v>
      </c>
      <c r="D1817" s="4" t="str">
        <f>"RN040"</f>
        <v>RN040</v>
      </c>
    </row>
    <row r="1818" spans="1:4" x14ac:dyDescent="0.3">
      <c r="A1818" s="2" t="str">
        <f>"EXU"</f>
        <v>EXU</v>
      </c>
      <c r="B1818" s="3" t="str">
        <f>"PE"</f>
        <v>PE</v>
      </c>
      <c r="C1818" s="3" t="str">
        <f t="shared" si="71"/>
        <v>BRASIL</v>
      </c>
      <c r="D1818" s="4" t="str">
        <f>"PE059"</f>
        <v>PE059</v>
      </c>
    </row>
    <row r="1819" spans="1:4" x14ac:dyDescent="0.3">
      <c r="A1819" s="2" t="str">
        <f>"FAGUNDES"</f>
        <v>FAGUNDES</v>
      </c>
      <c r="B1819" s="3" t="str">
        <f>"PB"</f>
        <v>PB</v>
      </c>
      <c r="C1819" s="3" t="str">
        <f t="shared" si="71"/>
        <v>BRASIL</v>
      </c>
      <c r="D1819" s="4" t="str">
        <f>"PB081"</f>
        <v>PB081</v>
      </c>
    </row>
    <row r="1820" spans="1:4" x14ac:dyDescent="0.3">
      <c r="A1820" s="2" t="str">
        <f>"FAGUNDES VARELA"</f>
        <v>FAGUNDES VARELA</v>
      </c>
      <c r="B1820" s="3" t="str">
        <f>"RS"</f>
        <v>RS</v>
      </c>
      <c r="C1820" s="3" t="str">
        <f t="shared" si="71"/>
        <v>BRASIL</v>
      </c>
      <c r="D1820" s="4" t="str">
        <f>"RS162"</f>
        <v>RS162</v>
      </c>
    </row>
    <row r="1821" spans="1:4" x14ac:dyDescent="0.3">
      <c r="A1821" s="2" t="str">
        <f>"FAINA"</f>
        <v>FAINA</v>
      </c>
      <c r="B1821" s="3" t="str">
        <f>"GO"</f>
        <v>GO</v>
      </c>
      <c r="C1821" s="3" t="str">
        <f t="shared" si="71"/>
        <v>BRASIL</v>
      </c>
      <c r="D1821" s="4" t="str">
        <f>"GO084"</f>
        <v>GO084</v>
      </c>
    </row>
    <row r="1822" spans="1:4" x14ac:dyDescent="0.3">
      <c r="A1822" s="2" t="str">
        <f>"FAMA"</f>
        <v>FAMA</v>
      </c>
      <c r="B1822" s="3" t="str">
        <f>"MG"</f>
        <v>MG</v>
      </c>
      <c r="C1822" s="3" t="str">
        <f t="shared" si="71"/>
        <v>BRASIL</v>
      </c>
      <c r="D1822" s="4" t="str">
        <f>"MG281"</f>
        <v>MG281</v>
      </c>
    </row>
    <row r="1823" spans="1:4" x14ac:dyDescent="0.3">
      <c r="A1823" s="2" t="str">
        <f>"FARIA LEMOS"</f>
        <v>FARIA LEMOS</v>
      </c>
      <c r="B1823" s="3" t="str">
        <f>"MG"</f>
        <v>MG</v>
      </c>
      <c r="C1823" s="3" t="str">
        <f t="shared" si="71"/>
        <v>BRASIL</v>
      </c>
      <c r="D1823" s="4" t="str">
        <f>"MG282"</f>
        <v>MG282</v>
      </c>
    </row>
    <row r="1824" spans="1:4" x14ac:dyDescent="0.3">
      <c r="A1824" s="2" t="str">
        <f>"FARIAS BRITO"</f>
        <v>FARIAS BRITO</v>
      </c>
      <c r="B1824" s="3" t="str">
        <f>"CE"</f>
        <v>CE</v>
      </c>
      <c r="C1824" s="3" t="str">
        <f t="shared" si="71"/>
        <v>BRASIL</v>
      </c>
      <c r="D1824" s="4" t="str">
        <f>"CE057"</f>
        <v>CE057</v>
      </c>
    </row>
    <row r="1825" spans="1:4" x14ac:dyDescent="0.3">
      <c r="A1825" s="2" t="str">
        <f>"FARO"</f>
        <v>FARO</v>
      </c>
      <c r="B1825" s="3" t="str">
        <f>"PA"</f>
        <v>PA</v>
      </c>
      <c r="C1825" s="3" t="str">
        <f t="shared" si="71"/>
        <v>BRASIL</v>
      </c>
      <c r="D1825" s="4" t="str">
        <f>"PA048"</f>
        <v>PA048</v>
      </c>
    </row>
    <row r="1826" spans="1:4" x14ac:dyDescent="0.3">
      <c r="A1826" s="2" t="str">
        <f>"FAROL"</f>
        <v>FAROL</v>
      </c>
      <c r="B1826" s="3" t="str">
        <f>"PR"</f>
        <v>PR</v>
      </c>
      <c r="C1826" s="3" t="str">
        <f t="shared" si="71"/>
        <v>BRASIL</v>
      </c>
      <c r="D1826" s="4" t="str">
        <f>"PR107"</f>
        <v>PR107</v>
      </c>
    </row>
    <row r="1827" spans="1:4" x14ac:dyDescent="0.3">
      <c r="A1827" s="2" t="str">
        <f>"FARROUPILHA"</f>
        <v>FARROUPILHA</v>
      </c>
      <c r="B1827" s="3" t="str">
        <f>"RS"</f>
        <v>RS</v>
      </c>
      <c r="C1827" s="3" t="str">
        <f t="shared" si="71"/>
        <v>BRASIL</v>
      </c>
      <c r="D1827" s="4" t="str">
        <f>"RS163"</f>
        <v>RS163</v>
      </c>
    </row>
    <row r="1828" spans="1:4" x14ac:dyDescent="0.3">
      <c r="A1828" s="2" t="str">
        <f>"FARTURA"</f>
        <v>FARTURA</v>
      </c>
      <c r="B1828" s="3" t="str">
        <f>"SP"</f>
        <v>SP</v>
      </c>
      <c r="C1828" s="3" t="str">
        <f t="shared" si="71"/>
        <v>BRASIL</v>
      </c>
      <c r="D1828" s="4" t="str">
        <f>"SP177"</f>
        <v>SP177</v>
      </c>
    </row>
    <row r="1829" spans="1:4" x14ac:dyDescent="0.3">
      <c r="A1829" s="2" t="str">
        <f>"FARTURA DO PIAUI"</f>
        <v>FARTURA DO PIAUI</v>
      </c>
      <c r="B1829" s="3" t="str">
        <f>"PI"</f>
        <v>PI</v>
      </c>
      <c r="C1829" s="3" t="str">
        <f t="shared" si="71"/>
        <v>BRASIL</v>
      </c>
      <c r="D1829" s="4" t="str">
        <f>"PI080"</f>
        <v>PI080</v>
      </c>
    </row>
    <row r="1830" spans="1:4" x14ac:dyDescent="0.3">
      <c r="A1830" s="2" t="str">
        <f>"FATIMA"</f>
        <v>FATIMA</v>
      </c>
      <c r="B1830" s="3" t="str">
        <f>"BA"</f>
        <v>BA</v>
      </c>
      <c r="C1830" s="3" t="str">
        <f t="shared" si="71"/>
        <v>BRASIL</v>
      </c>
      <c r="D1830" s="4" t="str">
        <f>"BA129"</f>
        <v>BA129</v>
      </c>
    </row>
    <row r="1831" spans="1:4" x14ac:dyDescent="0.3">
      <c r="A1831" s="2" t="str">
        <f>"FATIMA"</f>
        <v>FATIMA</v>
      </c>
      <c r="B1831" s="3" t="str">
        <f>"TO"</f>
        <v>TO</v>
      </c>
      <c r="C1831" s="3" t="str">
        <f t="shared" si="71"/>
        <v>BRASIL</v>
      </c>
      <c r="D1831" s="4" t="str">
        <f>"TO050"</f>
        <v>TO050</v>
      </c>
    </row>
    <row r="1832" spans="1:4" x14ac:dyDescent="0.3">
      <c r="A1832" s="2" t="str">
        <f>"FATIMA DO SUL"</f>
        <v>FATIMA DO SUL</v>
      </c>
      <c r="B1832" s="3" t="str">
        <f>"MS"</f>
        <v>MS</v>
      </c>
      <c r="C1832" s="3" t="str">
        <f t="shared" si="71"/>
        <v>BRASIL</v>
      </c>
      <c r="D1832" s="4" t="str">
        <f>"MS034"</f>
        <v>MS034</v>
      </c>
    </row>
    <row r="1833" spans="1:4" x14ac:dyDescent="0.3">
      <c r="A1833" s="2" t="str">
        <f>"FAXINAL"</f>
        <v>FAXINAL</v>
      </c>
      <c r="B1833" s="3" t="str">
        <f>"PR"</f>
        <v>PR</v>
      </c>
      <c r="C1833" s="3" t="str">
        <f t="shared" si="71"/>
        <v>BRASIL</v>
      </c>
      <c r="D1833" s="4" t="str">
        <f>"PR108"</f>
        <v>PR108</v>
      </c>
    </row>
    <row r="1834" spans="1:4" x14ac:dyDescent="0.3">
      <c r="A1834" s="2" t="str">
        <f>"FAXINAL DO SOTURNO"</f>
        <v>FAXINAL DO SOTURNO</v>
      </c>
      <c r="B1834" s="3" t="str">
        <f>"RS"</f>
        <v>RS</v>
      </c>
      <c r="C1834" s="3" t="str">
        <f t="shared" si="71"/>
        <v>BRASIL</v>
      </c>
      <c r="D1834" s="4" t="str">
        <f>"RS164"</f>
        <v>RS164</v>
      </c>
    </row>
    <row r="1835" spans="1:4" x14ac:dyDescent="0.3">
      <c r="A1835" s="2" t="str">
        <f>"FAXINAL DOS GUEDES"</f>
        <v>FAXINAL DOS GUEDES</v>
      </c>
      <c r="B1835" s="3" t="str">
        <f>"SC"</f>
        <v>SC</v>
      </c>
      <c r="C1835" s="3" t="str">
        <f t="shared" si="71"/>
        <v>BRASIL</v>
      </c>
      <c r="D1835" s="4" t="str">
        <f>"SC086"</f>
        <v>SC086</v>
      </c>
    </row>
    <row r="1836" spans="1:4" x14ac:dyDescent="0.3">
      <c r="A1836" s="2" t="str">
        <f>"FAXINALZINHO"</f>
        <v>FAXINALZINHO</v>
      </c>
      <c r="B1836" s="3" t="str">
        <f>"RS"</f>
        <v>RS</v>
      </c>
      <c r="C1836" s="3" t="str">
        <f t="shared" si="71"/>
        <v>BRASIL</v>
      </c>
      <c r="D1836" s="4" t="str">
        <f>"RS165"</f>
        <v>RS165</v>
      </c>
    </row>
    <row r="1837" spans="1:4" x14ac:dyDescent="0.3">
      <c r="A1837" s="2" t="str">
        <f>"FAZENDA NOVA"</f>
        <v>FAZENDA NOVA</v>
      </c>
      <c r="B1837" s="3" t="str">
        <f>"GO"</f>
        <v>GO</v>
      </c>
      <c r="C1837" s="3" t="str">
        <f t="shared" si="71"/>
        <v>BRASIL</v>
      </c>
      <c r="D1837" s="4" t="str">
        <f>"GO085"</f>
        <v>GO085</v>
      </c>
    </row>
    <row r="1838" spans="1:4" x14ac:dyDescent="0.3">
      <c r="A1838" s="2" t="str">
        <f>"FAZENDA RIO GRANDE"</f>
        <v>FAZENDA RIO GRANDE</v>
      </c>
      <c r="B1838" s="3" t="str">
        <f>"PR"</f>
        <v>PR</v>
      </c>
      <c r="C1838" s="3" t="str">
        <f t="shared" si="71"/>
        <v>BRASIL</v>
      </c>
      <c r="D1838" s="4" t="str">
        <f>"PR109"</f>
        <v>PR109</v>
      </c>
    </row>
    <row r="1839" spans="1:4" x14ac:dyDescent="0.3">
      <c r="A1839" s="2" t="str">
        <f>"FAZENDA VILANOVA"</f>
        <v>FAZENDA VILANOVA</v>
      </c>
      <c r="B1839" s="3" t="str">
        <f>"RS"</f>
        <v>RS</v>
      </c>
      <c r="C1839" s="3" t="str">
        <f t="shared" si="71"/>
        <v>BRASIL</v>
      </c>
      <c r="D1839" s="4" t="str">
        <f>"RS166"</f>
        <v>RS166</v>
      </c>
    </row>
    <row r="1840" spans="1:4" x14ac:dyDescent="0.3">
      <c r="A1840" s="2" t="str">
        <f>"FEIJO"</f>
        <v>FEIJO</v>
      </c>
      <c r="B1840" s="3" t="str">
        <f>"AC"</f>
        <v>AC</v>
      </c>
      <c r="C1840" s="3" t="str">
        <f t="shared" si="71"/>
        <v>BRASIL</v>
      </c>
      <c r="D1840" s="4" t="str">
        <f>"AC008"</f>
        <v>AC008</v>
      </c>
    </row>
    <row r="1841" spans="1:4" x14ac:dyDescent="0.3">
      <c r="A1841" s="2" t="str">
        <f>"FEIRA DA MATA"</f>
        <v>FEIRA DA MATA</v>
      </c>
      <c r="B1841" s="3" t="str">
        <f>"BA"</f>
        <v>BA</v>
      </c>
      <c r="C1841" s="3" t="str">
        <f t="shared" si="71"/>
        <v>BRASIL</v>
      </c>
      <c r="D1841" s="4" t="str">
        <f>"BA130"</f>
        <v>BA130</v>
      </c>
    </row>
    <row r="1842" spans="1:4" x14ac:dyDescent="0.3">
      <c r="A1842" s="2" t="str">
        <f>"FEIRA DE SANTANA"</f>
        <v>FEIRA DE SANTANA</v>
      </c>
      <c r="B1842" s="3" t="str">
        <f>"BA"</f>
        <v>BA</v>
      </c>
      <c r="C1842" s="3" t="str">
        <f t="shared" si="71"/>
        <v>BRASIL</v>
      </c>
      <c r="D1842" s="4" t="str">
        <f>"BA131"</f>
        <v>BA131</v>
      </c>
    </row>
    <row r="1843" spans="1:4" x14ac:dyDescent="0.3">
      <c r="A1843" s="2" t="str">
        <f>"FEIRA GRANDE"</f>
        <v>FEIRA GRANDE</v>
      </c>
      <c r="B1843" s="3" t="str">
        <f>"AL"</f>
        <v>AL</v>
      </c>
      <c r="C1843" s="3" t="str">
        <f t="shared" si="71"/>
        <v>BRASIL</v>
      </c>
      <c r="D1843" s="4" t="str">
        <f>"AL029"</f>
        <v>AL029</v>
      </c>
    </row>
    <row r="1844" spans="1:4" x14ac:dyDescent="0.3">
      <c r="A1844" s="2" t="str">
        <f>"FEIRA NOVA"</f>
        <v>FEIRA NOVA</v>
      </c>
      <c r="B1844" s="3" t="str">
        <f>"PE"</f>
        <v>PE</v>
      </c>
      <c r="C1844" s="3" t="str">
        <f t="shared" si="71"/>
        <v>BRASIL</v>
      </c>
      <c r="D1844" s="4" t="str">
        <f>"PE060"</f>
        <v>PE060</v>
      </c>
    </row>
    <row r="1845" spans="1:4" x14ac:dyDescent="0.3">
      <c r="A1845" s="2" t="str">
        <f>"FEIRA NOVA"</f>
        <v>FEIRA NOVA</v>
      </c>
      <c r="B1845" s="3" t="str">
        <f>"SE"</f>
        <v>SE</v>
      </c>
      <c r="C1845" s="3" t="str">
        <f t="shared" si="71"/>
        <v>BRASIL</v>
      </c>
      <c r="D1845" s="4" t="str">
        <f>"SE020"</f>
        <v>SE020</v>
      </c>
    </row>
    <row r="1846" spans="1:4" x14ac:dyDescent="0.3">
      <c r="A1846" s="2" t="str">
        <f>"FEIRA NOVA DO MARANHAO"</f>
        <v>FEIRA NOVA DO MARANHAO</v>
      </c>
      <c r="B1846" s="3" t="str">
        <f>"MA"</f>
        <v>MA</v>
      </c>
      <c r="C1846" s="3" t="str">
        <f t="shared" si="71"/>
        <v>BRASIL</v>
      </c>
      <c r="D1846" s="4" t="str">
        <f>"MA070"</f>
        <v>MA070</v>
      </c>
    </row>
    <row r="1847" spans="1:4" x14ac:dyDescent="0.3">
      <c r="A1847" s="2" t="str">
        <f>"FELICIO DOS SANTOS"</f>
        <v>FELICIO DOS SANTOS</v>
      </c>
      <c r="B1847" s="3" t="str">
        <f>"MG"</f>
        <v>MG</v>
      </c>
      <c r="C1847" s="3" t="str">
        <f t="shared" si="71"/>
        <v>BRASIL</v>
      </c>
      <c r="D1847" s="4" t="str">
        <f>"MG283"</f>
        <v>MG283</v>
      </c>
    </row>
    <row r="1848" spans="1:4" x14ac:dyDescent="0.3">
      <c r="A1848" s="2" t="str">
        <f>"FELIPE GUERRA"</f>
        <v>FELIPE GUERRA</v>
      </c>
      <c r="B1848" s="3" t="str">
        <f>"RN"</f>
        <v>RN</v>
      </c>
      <c r="C1848" s="3" t="str">
        <f t="shared" ref="C1848:C1879" si="72">"BRASIL"</f>
        <v>BRASIL</v>
      </c>
      <c r="D1848" s="4" t="str">
        <f>"RN041"</f>
        <v>RN041</v>
      </c>
    </row>
    <row r="1849" spans="1:4" x14ac:dyDescent="0.3">
      <c r="A1849" s="2" t="str">
        <f>"FELISBURGO"</f>
        <v>FELISBURGO</v>
      </c>
      <c r="B1849" s="3" t="str">
        <f>"MG"</f>
        <v>MG</v>
      </c>
      <c r="C1849" s="3" t="str">
        <f t="shared" si="72"/>
        <v>BRASIL</v>
      </c>
      <c r="D1849" s="4" t="str">
        <f>"MG285"</f>
        <v>MG285</v>
      </c>
    </row>
    <row r="1850" spans="1:4" x14ac:dyDescent="0.3">
      <c r="A1850" s="2" t="str">
        <f>"FELIXLANDIA"</f>
        <v>FELIXLANDIA</v>
      </c>
      <c r="B1850" s="3" t="str">
        <f>"MG"</f>
        <v>MG</v>
      </c>
      <c r="C1850" s="3" t="str">
        <f t="shared" si="72"/>
        <v>BRASIL</v>
      </c>
      <c r="D1850" s="4" t="str">
        <f>"MG286"</f>
        <v>MG286</v>
      </c>
    </row>
    <row r="1851" spans="1:4" x14ac:dyDescent="0.3">
      <c r="A1851" s="2" t="str">
        <f>"FELIZ"</f>
        <v>FELIZ</v>
      </c>
      <c r="B1851" s="3" t="str">
        <f>"RS"</f>
        <v>RS</v>
      </c>
      <c r="C1851" s="3" t="str">
        <f t="shared" si="72"/>
        <v>BRASIL</v>
      </c>
      <c r="D1851" s="4" t="str">
        <f>"RS167"</f>
        <v>RS167</v>
      </c>
    </row>
    <row r="1852" spans="1:4" x14ac:dyDescent="0.3">
      <c r="A1852" s="2" t="str">
        <f>"FELIZ DESERTO"</f>
        <v>FELIZ DESERTO</v>
      </c>
      <c r="B1852" s="3" t="str">
        <f>"AL"</f>
        <v>AL</v>
      </c>
      <c r="C1852" s="3" t="str">
        <f t="shared" si="72"/>
        <v>BRASIL</v>
      </c>
      <c r="D1852" s="4" t="str">
        <f>"AL030"</f>
        <v>AL030</v>
      </c>
    </row>
    <row r="1853" spans="1:4" x14ac:dyDescent="0.3">
      <c r="A1853" s="2" t="str">
        <f>"FELIZ NATAL"</f>
        <v>FELIZ NATAL</v>
      </c>
      <c r="B1853" s="3" t="str">
        <f>"MT"</f>
        <v>MT</v>
      </c>
      <c r="C1853" s="3" t="str">
        <f t="shared" si="72"/>
        <v>BRASIL</v>
      </c>
      <c r="D1853" s="4" t="str">
        <f>"MT043"</f>
        <v>MT043</v>
      </c>
    </row>
    <row r="1854" spans="1:4" x14ac:dyDescent="0.3">
      <c r="A1854" s="2" t="str">
        <f>"FENIX"</f>
        <v>FENIX</v>
      </c>
      <c r="B1854" s="3" t="str">
        <f>"PR"</f>
        <v>PR</v>
      </c>
      <c r="C1854" s="3" t="str">
        <f t="shared" si="72"/>
        <v>BRASIL</v>
      </c>
      <c r="D1854" s="4" t="str">
        <f>"PR110"</f>
        <v>PR110</v>
      </c>
    </row>
    <row r="1855" spans="1:4" x14ac:dyDescent="0.3">
      <c r="A1855" s="2" t="str">
        <f>"FERNANDES PINHEIRO"</f>
        <v>FERNANDES PINHEIRO</v>
      </c>
      <c r="B1855" s="3" t="str">
        <f>"PR"</f>
        <v>PR</v>
      </c>
      <c r="C1855" s="3" t="str">
        <f t="shared" si="72"/>
        <v>BRASIL</v>
      </c>
      <c r="D1855" s="4" t="str">
        <f>"PR111"</f>
        <v>PR111</v>
      </c>
    </row>
    <row r="1856" spans="1:4" x14ac:dyDescent="0.3">
      <c r="A1856" s="2" t="str">
        <f>"FERNANDES TOURINHO"</f>
        <v>FERNANDES TOURINHO</v>
      </c>
      <c r="B1856" s="3" t="str">
        <f>"MG"</f>
        <v>MG</v>
      </c>
      <c r="C1856" s="3" t="str">
        <f t="shared" si="72"/>
        <v>BRASIL</v>
      </c>
      <c r="D1856" s="4" t="str">
        <f>"MG287"</f>
        <v>MG287</v>
      </c>
    </row>
    <row r="1857" spans="1:4" x14ac:dyDescent="0.3">
      <c r="A1857" s="2" t="str">
        <f>"FERNANDO DE NORONHA"</f>
        <v>FERNANDO DE NORONHA</v>
      </c>
      <c r="B1857" s="3" t="str">
        <f>"PE"</f>
        <v>PE</v>
      </c>
      <c r="C1857" s="3" t="str">
        <f t="shared" si="72"/>
        <v>BRASIL</v>
      </c>
      <c r="D1857" s="4" t="str">
        <f>"PE061"</f>
        <v>PE061</v>
      </c>
    </row>
    <row r="1858" spans="1:4" x14ac:dyDescent="0.3">
      <c r="A1858" s="2" t="str">
        <f>"FERNANDO FALCAO"</f>
        <v>FERNANDO FALCAO</v>
      </c>
      <c r="B1858" s="3" t="str">
        <f>"MA"</f>
        <v>MA</v>
      </c>
      <c r="C1858" s="3" t="str">
        <f t="shared" si="72"/>
        <v>BRASIL</v>
      </c>
      <c r="D1858" s="4" t="str">
        <f>"MA071"</f>
        <v>MA071</v>
      </c>
    </row>
    <row r="1859" spans="1:4" x14ac:dyDescent="0.3">
      <c r="A1859" s="2" t="str">
        <f>"FERNANDO PEDROZA"</f>
        <v>FERNANDO PEDROZA</v>
      </c>
      <c r="B1859" s="3" t="str">
        <f>"RN"</f>
        <v>RN</v>
      </c>
      <c r="C1859" s="3" t="str">
        <f t="shared" si="72"/>
        <v>BRASIL</v>
      </c>
      <c r="D1859" s="4" t="str">
        <f>"RN042"</f>
        <v>RN042</v>
      </c>
    </row>
    <row r="1860" spans="1:4" x14ac:dyDescent="0.3">
      <c r="A1860" s="2" t="str">
        <f>"FERNANDO PRESTES"</f>
        <v>FERNANDO PRESTES</v>
      </c>
      <c r="B1860" s="3" t="str">
        <f>"SP"</f>
        <v>SP</v>
      </c>
      <c r="C1860" s="3" t="str">
        <f t="shared" si="72"/>
        <v>BRASIL</v>
      </c>
      <c r="D1860" s="4" t="str">
        <f>"SP179"</f>
        <v>SP179</v>
      </c>
    </row>
    <row r="1861" spans="1:4" x14ac:dyDescent="0.3">
      <c r="A1861" s="2" t="str">
        <f>"FERNANDOPOLIS"</f>
        <v>FERNANDOPOLIS</v>
      </c>
      <c r="B1861" s="3" t="str">
        <f>"SP"</f>
        <v>SP</v>
      </c>
      <c r="C1861" s="3" t="str">
        <f t="shared" si="72"/>
        <v>BRASIL</v>
      </c>
      <c r="D1861" s="4" t="str">
        <f>"SP178"</f>
        <v>SP178</v>
      </c>
    </row>
    <row r="1862" spans="1:4" x14ac:dyDescent="0.3">
      <c r="A1862" s="2" t="str">
        <f>"FERNAO"</f>
        <v>FERNAO</v>
      </c>
      <c r="B1862" s="3" t="str">
        <f>"SP"</f>
        <v>SP</v>
      </c>
      <c r="C1862" s="3" t="str">
        <f t="shared" si="72"/>
        <v>BRASIL</v>
      </c>
      <c r="D1862" s="4" t="str">
        <f>"SP180"</f>
        <v>SP180</v>
      </c>
    </row>
    <row r="1863" spans="1:4" x14ac:dyDescent="0.3">
      <c r="A1863" s="2" t="str">
        <f>"FERRAZ DE VASCONCELOS"</f>
        <v>FERRAZ DE VASCONCELOS</v>
      </c>
      <c r="B1863" s="3" t="str">
        <f>"SP"</f>
        <v>SP</v>
      </c>
      <c r="C1863" s="3" t="str">
        <f t="shared" si="72"/>
        <v>BRASIL</v>
      </c>
      <c r="D1863" s="4" t="str">
        <f>"SP181"</f>
        <v>SP181</v>
      </c>
    </row>
    <row r="1864" spans="1:4" x14ac:dyDescent="0.3">
      <c r="A1864" s="2" t="str">
        <f>"FERREIRA GOMES"</f>
        <v>FERREIRA GOMES</v>
      </c>
      <c r="B1864" s="3" t="str">
        <f>"AP"</f>
        <v>AP</v>
      </c>
      <c r="C1864" s="3" t="str">
        <f t="shared" si="72"/>
        <v>BRASIL</v>
      </c>
      <c r="D1864" s="4" t="str">
        <f>"AP006"</f>
        <v>AP006</v>
      </c>
    </row>
    <row r="1865" spans="1:4" x14ac:dyDescent="0.3">
      <c r="A1865" s="2" t="str">
        <f>"FERREIROS"</f>
        <v>FERREIROS</v>
      </c>
      <c r="B1865" s="3" t="str">
        <f>"PE"</f>
        <v>PE</v>
      </c>
      <c r="C1865" s="3" t="str">
        <f t="shared" si="72"/>
        <v>BRASIL</v>
      </c>
      <c r="D1865" s="4" t="str">
        <f>"PE062"</f>
        <v>PE062</v>
      </c>
    </row>
    <row r="1866" spans="1:4" x14ac:dyDescent="0.3">
      <c r="A1866" s="2" t="str">
        <f>"FERROS"</f>
        <v>FERROS</v>
      </c>
      <c r="B1866" s="3" t="str">
        <f>"MG"</f>
        <v>MG</v>
      </c>
      <c r="C1866" s="3" t="str">
        <f t="shared" si="72"/>
        <v>BRASIL</v>
      </c>
      <c r="D1866" s="4" t="str">
        <f>"MG288"</f>
        <v>MG288</v>
      </c>
    </row>
    <row r="1867" spans="1:4" x14ac:dyDescent="0.3">
      <c r="A1867" s="2" t="str">
        <f>"FERVEDOURO"</f>
        <v>FERVEDOURO</v>
      </c>
      <c r="B1867" s="3" t="str">
        <f>"MG"</f>
        <v>MG</v>
      </c>
      <c r="C1867" s="3" t="str">
        <f t="shared" si="72"/>
        <v>BRASIL</v>
      </c>
      <c r="D1867" s="4" t="str">
        <f>"MG289"</f>
        <v>MG289</v>
      </c>
    </row>
    <row r="1868" spans="1:4" x14ac:dyDescent="0.3">
      <c r="A1868" s="2" t="str">
        <f>"FIGUEIRA"</f>
        <v>FIGUEIRA</v>
      </c>
      <c r="B1868" s="3" t="str">
        <f>"PR"</f>
        <v>PR</v>
      </c>
      <c r="C1868" s="3" t="str">
        <f t="shared" si="72"/>
        <v>BRASIL</v>
      </c>
      <c r="D1868" s="4" t="str">
        <f>"PR112"</f>
        <v>PR112</v>
      </c>
    </row>
    <row r="1869" spans="1:4" x14ac:dyDescent="0.3">
      <c r="A1869" s="2" t="str">
        <f>"FIGUEIRAO"</f>
        <v>FIGUEIRAO</v>
      </c>
      <c r="B1869" s="3" t="str">
        <f>"MS"</f>
        <v>MS</v>
      </c>
      <c r="C1869" s="3" t="str">
        <f t="shared" si="72"/>
        <v>BRASIL</v>
      </c>
      <c r="D1869" s="4" t="str">
        <f>"MS035"</f>
        <v>MS035</v>
      </c>
    </row>
    <row r="1870" spans="1:4" x14ac:dyDescent="0.3">
      <c r="A1870" s="2" t="str">
        <f>"FIGUEIROPOLIS"</f>
        <v>FIGUEIROPOLIS</v>
      </c>
      <c r="B1870" s="3" t="str">
        <f>"TO"</f>
        <v>TO</v>
      </c>
      <c r="C1870" s="3" t="str">
        <f t="shared" si="72"/>
        <v>BRASIL</v>
      </c>
      <c r="D1870" s="4" t="str">
        <f>"TO051"</f>
        <v>TO051</v>
      </c>
    </row>
    <row r="1871" spans="1:4" x14ac:dyDescent="0.3">
      <c r="A1871" s="2" t="str">
        <f>"FIGUEIROPOLIS D'OESTE"</f>
        <v>FIGUEIROPOLIS D'OESTE</v>
      </c>
      <c r="B1871" s="3" t="str">
        <f>"MT"</f>
        <v>MT</v>
      </c>
      <c r="C1871" s="3" t="str">
        <f t="shared" si="72"/>
        <v>BRASIL</v>
      </c>
      <c r="D1871" s="4" t="str">
        <f>"MT044"</f>
        <v>MT044</v>
      </c>
    </row>
    <row r="1872" spans="1:4" x14ac:dyDescent="0.3">
      <c r="A1872" s="2" t="str">
        <f>"FILADELFIA"</f>
        <v>FILADELFIA</v>
      </c>
      <c r="B1872" s="3" t="str">
        <f>"BA"</f>
        <v>BA</v>
      </c>
      <c r="C1872" s="3" t="str">
        <f t="shared" si="72"/>
        <v>BRASIL</v>
      </c>
      <c r="D1872" s="4" t="str">
        <f>"BA132"</f>
        <v>BA132</v>
      </c>
    </row>
    <row r="1873" spans="1:4" x14ac:dyDescent="0.3">
      <c r="A1873" s="2" t="str">
        <f>"FILADELFIA"</f>
        <v>FILADELFIA</v>
      </c>
      <c r="B1873" s="3" t="str">
        <f>"TO"</f>
        <v>TO</v>
      </c>
      <c r="C1873" s="3" t="str">
        <f t="shared" si="72"/>
        <v>BRASIL</v>
      </c>
      <c r="D1873" s="4" t="str">
        <f>"TO052"</f>
        <v>TO052</v>
      </c>
    </row>
    <row r="1874" spans="1:4" x14ac:dyDescent="0.3">
      <c r="A1874" s="2" t="str">
        <f>"FIRMINO ALVES"</f>
        <v>FIRMINO ALVES</v>
      </c>
      <c r="B1874" s="3" t="str">
        <f>"BA"</f>
        <v>BA</v>
      </c>
      <c r="C1874" s="3" t="str">
        <f t="shared" si="72"/>
        <v>BRASIL</v>
      </c>
      <c r="D1874" s="4" t="str">
        <f>"BA133"</f>
        <v>BA133</v>
      </c>
    </row>
    <row r="1875" spans="1:4" x14ac:dyDescent="0.3">
      <c r="A1875" s="2" t="str">
        <f>"FIRMINOPOLIS"</f>
        <v>FIRMINOPOLIS</v>
      </c>
      <c r="B1875" s="3" t="str">
        <f>"GO"</f>
        <v>GO</v>
      </c>
      <c r="C1875" s="3" t="str">
        <f t="shared" si="72"/>
        <v>BRASIL</v>
      </c>
      <c r="D1875" s="4" t="str">
        <f>"GO086"</f>
        <v>GO086</v>
      </c>
    </row>
    <row r="1876" spans="1:4" x14ac:dyDescent="0.3">
      <c r="A1876" s="2" t="str">
        <f>"FLEXEIRAS"</f>
        <v>FLEXEIRAS</v>
      </c>
      <c r="B1876" s="3" t="str">
        <f>"AL"</f>
        <v>AL</v>
      </c>
      <c r="C1876" s="3" t="str">
        <f t="shared" si="72"/>
        <v>BRASIL</v>
      </c>
      <c r="D1876" s="4" t="str">
        <f>"AL031"</f>
        <v>AL031</v>
      </c>
    </row>
    <row r="1877" spans="1:4" x14ac:dyDescent="0.3">
      <c r="A1877" s="2" t="str">
        <f>"FLOR DA SERRA DO SUL"</f>
        <v>FLOR DA SERRA DO SUL</v>
      </c>
      <c r="B1877" s="3" t="str">
        <f>"PR"</f>
        <v>PR</v>
      </c>
      <c r="C1877" s="3" t="str">
        <f t="shared" si="72"/>
        <v>BRASIL</v>
      </c>
      <c r="D1877" s="4" t="str">
        <f>"PR114"</f>
        <v>PR114</v>
      </c>
    </row>
    <row r="1878" spans="1:4" x14ac:dyDescent="0.3">
      <c r="A1878" s="2" t="str">
        <f>"FLOR DO SERTAO"</f>
        <v>FLOR DO SERTAO</v>
      </c>
      <c r="B1878" s="3" t="str">
        <f>"SC"</f>
        <v>SC</v>
      </c>
      <c r="C1878" s="3" t="str">
        <f t="shared" si="72"/>
        <v>BRASIL</v>
      </c>
      <c r="D1878" s="4" t="str">
        <f>"SC087"</f>
        <v>SC087</v>
      </c>
    </row>
    <row r="1879" spans="1:4" x14ac:dyDescent="0.3">
      <c r="A1879" s="2" t="str">
        <f>"FLORA RICA"</f>
        <v>FLORA RICA</v>
      </c>
      <c r="B1879" s="3" t="str">
        <f>"SP"</f>
        <v>SP</v>
      </c>
      <c r="C1879" s="3" t="str">
        <f t="shared" si="72"/>
        <v>BRASIL</v>
      </c>
      <c r="D1879" s="4" t="str">
        <f>"SP182"</f>
        <v>SP182</v>
      </c>
    </row>
    <row r="1880" spans="1:4" x14ac:dyDescent="0.3">
      <c r="A1880" s="2" t="str">
        <f>"FLORAI"</f>
        <v>FLORAI</v>
      </c>
      <c r="B1880" s="3" t="str">
        <f>"PR"</f>
        <v>PR</v>
      </c>
      <c r="C1880" s="3" t="str">
        <f t="shared" ref="C1880:C1896" si="73">"BRASIL"</f>
        <v>BRASIL</v>
      </c>
      <c r="D1880" s="4" t="str">
        <f>"PR113"</f>
        <v>PR113</v>
      </c>
    </row>
    <row r="1881" spans="1:4" x14ac:dyDescent="0.3">
      <c r="A1881" s="2" t="str">
        <f>"FLORANIA"</f>
        <v>FLORANIA</v>
      </c>
      <c r="B1881" s="3" t="str">
        <f>"RN"</f>
        <v>RN</v>
      </c>
      <c r="C1881" s="3" t="str">
        <f t="shared" si="73"/>
        <v>BRASIL</v>
      </c>
      <c r="D1881" s="4" t="str">
        <f>"RN043"</f>
        <v>RN043</v>
      </c>
    </row>
    <row r="1882" spans="1:4" x14ac:dyDescent="0.3">
      <c r="A1882" s="2" t="str">
        <f>"FLOREAL"</f>
        <v>FLOREAL</v>
      </c>
      <c r="B1882" s="3" t="str">
        <f>"SP"</f>
        <v>SP</v>
      </c>
      <c r="C1882" s="3" t="str">
        <f t="shared" si="73"/>
        <v>BRASIL</v>
      </c>
      <c r="D1882" s="4" t="str">
        <f>"SP183"</f>
        <v>SP183</v>
      </c>
    </row>
    <row r="1883" spans="1:4" x14ac:dyDescent="0.3">
      <c r="A1883" s="2" t="str">
        <f>"FLORES"</f>
        <v>FLORES</v>
      </c>
      <c r="B1883" s="3" t="str">
        <f>"PE"</f>
        <v>PE</v>
      </c>
      <c r="C1883" s="3" t="str">
        <f t="shared" si="73"/>
        <v>BRASIL</v>
      </c>
      <c r="D1883" s="4" t="str">
        <f>"PE063"</f>
        <v>PE063</v>
      </c>
    </row>
    <row r="1884" spans="1:4" x14ac:dyDescent="0.3">
      <c r="A1884" s="2" t="str">
        <f>"FLORES DA CUNHA"</f>
        <v>FLORES DA CUNHA</v>
      </c>
      <c r="B1884" s="3" t="str">
        <f>"RS"</f>
        <v>RS</v>
      </c>
      <c r="C1884" s="3" t="str">
        <f t="shared" si="73"/>
        <v>BRASIL</v>
      </c>
      <c r="D1884" s="4" t="str">
        <f>"RS168"</f>
        <v>RS168</v>
      </c>
    </row>
    <row r="1885" spans="1:4" x14ac:dyDescent="0.3">
      <c r="A1885" s="2" t="str">
        <f>"FLORES DE GOIAS"</f>
        <v>FLORES DE GOIAS</v>
      </c>
      <c r="B1885" s="3" t="str">
        <f>"GO"</f>
        <v>GO</v>
      </c>
      <c r="C1885" s="3" t="str">
        <f t="shared" si="73"/>
        <v>BRASIL</v>
      </c>
      <c r="D1885" s="4" t="str">
        <f>"GO087"</f>
        <v>GO087</v>
      </c>
    </row>
    <row r="1886" spans="1:4" x14ac:dyDescent="0.3">
      <c r="A1886" s="2" t="str">
        <f>"FLORES DO PIAUI"</f>
        <v>FLORES DO PIAUI</v>
      </c>
      <c r="B1886" s="3" t="str">
        <f>"PI"</f>
        <v>PI</v>
      </c>
      <c r="C1886" s="3" t="str">
        <f t="shared" si="73"/>
        <v>BRASIL</v>
      </c>
      <c r="D1886" s="4" t="str">
        <f>"PI081"</f>
        <v>PI081</v>
      </c>
    </row>
    <row r="1887" spans="1:4" x14ac:dyDescent="0.3">
      <c r="A1887" s="2" t="str">
        <f>"FLORESTA"</f>
        <v>FLORESTA</v>
      </c>
      <c r="B1887" s="3" t="str">
        <f>"PE"</f>
        <v>PE</v>
      </c>
      <c r="C1887" s="3" t="str">
        <f t="shared" si="73"/>
        <v>BRASIL</v>
      </c>
      <c r="D1887" s="4" t="str">
        <f>"PE064"</f>
        <v>PE064</v>
      </c>
    </row>
    <row r="1888" spans="1:4" x14ac:dyDescent="0.3">
      <c r="A1888" s="2" t="str">
        <f>"FLORESTA"</f>
        <v>FLORESTA</v>
      </c>
      <c r="B1888" s="3" t="str">
        <f>"PR"</f>
        <v>PR</v>
      </c>
      <c r="C1888" s="3" t="str">
        <f t="shared" si="73"/>
        <v>BRASIL</v>
      </c>
      <c r="D1888" s="4" t="str">
        <f>"PR115"</f>
        <v>PR115</v>
      </c>
    </row>
    <row r="1889" spans="1:4" x14ac:dyDescent="0.3">
      <c r="A1889" s="2" t="str">
        <f>"FLORESTA AZUL"</f>
        <v>FLORESTA AZUL</v>
      </c>
      <c r="B1889" s="3" t="str">
        <f>"BA"</f>
        <v>BA</v>
      </c>
      <c r="C1889" s="3" t="str">
        <f t="shared" si="73"/>
        <v>BRASIL</v>
      </c>
      <c r="D1889" s="4" t="str">
        <f>"BA134"</f>
        <v>BA134</v>
      </c>
    </row>
    <row r="1890" spans="1:4" x14ac:dyDescent="0.3">
      <c r="A1890" s="2" t="str">
        <f>"FLORESTA DO ARAGUAIA"</f>
        <v>FLORESTA DO ARAGUAIA</v>
      </c>
      <c r="B1890" s="3" t="str">
        <f>"PA"</f>
        <v>PA</v>
      </c>
      <c r="C1890" s="3" t="str">
        <f t="shared" si="73"/>
        <v>BRASIL</v>
      </c>
      <c r="D1890" s="4" t="str">
        <f>"PA049"</f>
        <v>PA049</v>
      </c>
    </row>
    <row r="1891" spans="1:4" x14ac:dyDescent="0.3">
      <c r="A1891" s="2" t="str">
        <f>"FLORESTA DO PIAUI"</f>
        <v>FLORESTA DO PIAUI</v>
      </c>
      <c r="B1891" s="3" t="str">
        <f>"PI"</f>
        <v>PI</v>
      </c>
      <c r="C1891" s="3" t="str">
        <f t="shared" si="73"/>
        <v>BRASIL</v>
      </c>
      <c r="D1891" s="4" t="str">
        <f>"PI082"</f>
        <v>PI082</v>
      </c>
    </row>
    <row r="1892" spans="1:4" x14ac:dyDescent="0.3">
      <c r="A1892" s="2" t="str">
        <f>"FLORESTAL"</f>
        <v>FLORESTAL</v>
      </c>
      <c r="B1892" s="3" t="str">
        <f>"MG"</f>
        <v>MG</v>
      </c>
      <c r="C1892" s="3" t="str">
        <f t="shared" si="73"/>
        <v>BRASIL</v>
      </c>
      <c r="D1892" s="4" t="str">
        <f>"MG290"</f>
        <v>MG290</v>
      </c>
    </row>
    <row r="1893" spans="1:4" x14ac:dyDescent="0.3">
      <c r="A1893" s="2" t="str">
        <f>"FLORESTOPOLIS"</f>
        <v>FLORESTOPOLIS</v>
      </c>
      <c r="B1893" s="3" t="str">
        <f>"PR"</f>
        <v>PR</v>
      </c>
      <c r="C1893" s="3" t="str">
        <f t="shared" si="73"/>
        <v>BRASIL</v>
      </c>
      <c r="D1893" s="4" t="str">
        <f>"PR116"</f>
        <v>PR116</v>
      </c>
    </row>
    <row r="1894" spans="1:4" x14ac:dyDescent="0.3">
      <c r="A1894" s="2" t="str">
        <f>"FLORIANO"</f>
        <v>FLORIANO</v>
      </c>
      <c r="B1894" s="3" t="str">
        <f>"PI"</f>
        <v>PI</v>
      </c>
      <c r="C1894" s="3" t="str">
        <f t="shared" si="73"/>
        <v>BRASIL</v>
      </c>
      <c r="D1894" s="4" t="str">
        <f>"PI083"</f>
        <v>PI083</v>
      </c>
    </row>
    <row r="1895" spans="1:4" x14ac:dyDescent="0.3">
      <c r="A1895" s="2" t="str">
        <f>"FLORIANO PEIXOTO"</f>
        <v>FLORIANO PEIXOTO</v>
      </c>
      <c r="B1895" s="3" t="str">
        <f>"RS"</f>
        <v>RS</v>
      </c>
      <c r="C1895" s="3" t="str">
        <f t="shared" si="73"/>
        <v>BRASIL</v>
      </c>
      <c r="D1895" s="4" t="str">
        <f>"RS169"</f>
        <v>RS169</v>
      </c>
    </row>
    <row r="1896" spans="1:4" x14ac:dyDescent="0.3">
      <c r="A1896" s="2" t="str">
        <f>"FLORIANOPOLIS"</f>
        <v>FLORIANOPOLIS</v>
      </c>
      <c r="B1896" s="3" t="str">
        <f>"SC"</f>
        <v>SC</v>
      </c>
      <c r="C1896" s="3" t="str">
        <f t="shared" si="73"/>
        <v>BRASIL</v>
      </c>
      <c r="D1896" s="4" t="str">
        <f>"SC088"</f>
        <v>SC088</v>
      </c>
    </row>
    <row r="1897" spans="1:4" x14ac:dyDescent="0.3">
      <c r="A1897" s="2" t="str">
        <f>"FLORIDA"</f>
        <v>FLORIDA</v>
      </c>
      <c r="B1897" s="3" t="str">
        <f>"EX"</f>
        <v>EX</v>
      </c>
      <c r="C1897" s="3" t="str">
        <f>"ESTADOS UNIDOS"</f>
        <v>ESTADOS UNIDOS</v>
      </c>
      <c r="D1897" s="4" t="str">
        <f>"FLOR1"</f>
        <v>FLOR1</v>
      </c>
    </row>
    <row r="1898" spans="1:4" x14ac:dyDescent="0.3">
      <c r="A1898" s="2" t="str">
        <f>"FLORIDA"</f>
        <v>FLORIDA</v>
      </c>
      <c r="B1898" s="3" t="str">
        <f>"PR"</f>
        <v>PR</v>
      </c>
      <c r="C1898" s="3" t="str">
        <f>"BRASIL"</f>
        <v>BRASIL</v>
      </c>
      <c r="D1898" s="4" t="str">
        <f>"PR117"</f>
        <v>PR117</v>
      </c>
    </row>
    <row r="1899" spans="1:4" x14ac:dyDescent="0.3">
      <c r="A1899" s="2" t="str">
        <f>"FLORIDA PAULISTA"</f>
        <v>FLORIDA PAULISTA</v>
      </c>
      <c r="B1899" s="3" t="str">
        <f>"SP"</f>
        <v>SP</v>
      </c>
      <c r="C1899" s="3" t="str">
        <f>"BRASIL"</f>
        <v>BRASIL</v>
      </c>
      <c r="D1899" s="4" t="str">
        <f>"SP184"</f>
        <v>SP184</v>
      </c>
    </row>
    <row r="1900" spans="1:4" x14ac:dyDescent="0.3">
      <c r="A1900" s="2" t="str">
        <f>"FLORINIA"</f>
        <v>FLORINIA</v>
      </c>
      <c r="B1900" s="3" t="str">
        <f>"SP"</f>
        <v>SP</v>
      </c>
      <c r="C1900" s="3" t="str">
        <f>"BRASIL"</f>
        <v>BRASIL</v>
      </c>
      <c r="D1900" s="4" t="str">
        <f>"SP185"</f>
        <v>SP185</v>
      </c>
    </row>
    <row r="1901" spans="1:4" x14ac:dyDescent="0.3">
      <c r="A1901" s="2" t="str">
        <f>"FMO MUENSTER"</f>
        <v>FMO MUENSTER</v>
      </c>
      <c r="B1901" s="3" t="str">
        <f>"EX"</f>
        <v>EX</v>
      </c>
      <c r="C1901" s="3" t="str">
        <f>"AFRICA DO SUL"</f>
        <v>AFRICA DO SUL</v>
      </c>
      <c r="D1901" s="4" t="str">
        <f>"AFRI"</f>
        <v>AFRI</v>
      </c>
    </row>
    <row r="1902" spans="1:4" x14ac:dyDescent="0.3">
      <c r="A1902" s="2" t="str">
        <f>"FONTE BOA"</f>
        <v>FONTE BOA</v>
      </c>
      <c r="B1902" s="3" t="str">
        <f>"AM"</f>
        <v>AM</v>
      </c>
      <c r="C1902" s="3" t="str">
        <f t="shared" ref="C1902:C1941" si="74">"BRASIL"</f>
        <v>BRASIL</v>
      </c>
      <c r="D1902" s="4" t="str">
        <f>"AM024"</f>
        <v>AM024</v>
      </c>
    </row>
    <row r="1903" spans="1:4" x14ac:dyDescent="0.3">
      <c r="A1903" s="2" t="str">
        <f>"FONTOURA XAVIER"</f>
        <v>FONTOURA XAVIER</v>
      </c>
      <c r="B1903" s="3" t="str">
        <f>"RS"</f>
        <v>RS</v>
      </c>
      <c r="C1903" s="3" t="str">
        <f t="shared" si="74"/>
        <v>BRASIL</v>
      </c>
      <c r="D1903" s="4" t="str">
        <f>"RS170"</f>
        <v>RS170</v>
      </c>
    </row>
    <row r="1904" spans="1:4" x14ac:dyDescent="0.3">
      <c r="A1904" s="2" t="str">
        <f>"FORMIGA"</f>
        <v>FORMIGA</v>
      </c>
      <c r="B1904" s="3" t="str">
        <f>"MG"</f>
        <v>MG</v>
      </c>
      <c r="C1904" s="3" t="str">
        <f t="shared" si="74"/>
        <v>BRASIL</v>
      </c>
      <c r="D1904" s="4" t="str">
        <f>"MG291"</f>
        <v>MG291</v>
      </c>
    </row>
    <row r="1905" spans="1:4" x14ac:dyDescent="0.3">
      <c r="A1905" s="2" t="str">
        <f>"FORMIGUEIRO"</f>
        <v>FORMIGUEIRO</v>
      </c>
      <c r="B1905" s="3" t="str">
        <f>"RS"</f>
        <v>RS</v>
      </c>
      <c r="C1905" s="3" t="str">
        <f t="shared" si="74"/>
        <v>BRASIL</v>
      </c>
      <c r="D1905" s="4" t="str">
        <f>"RS171"</f>
        <v>RS171</v>
      </c>
    </row>
    <row r="1906" spans="1:4" x14ac:dyDescent="0.3">
      <c r="A1906" s="2" t="str">
        <f>"FORMOSA"</f>
        <v>FORMOSA</v>
      </c>
      <c r="B1906" s="3" t="str">
        <f>"GO"</f>
        <v>GO</v>
      </c>
      <c r="C1906" s="3" t="str">
        <f t="shared" si="74"/>
        <v>BRASIL</v>
      </c>
      <c r="D1906" s="4" t="str">
        <f>"GO088"</f>
        <v>GO088</v>
      </c>
    </row>
    <row r="1907" spans="1:4" x14ac:dyDescent="0.3">
      <c r="A1907" s="2" t="str">
        <f>"FORMOSA DA SERRA NEGRA"</f>
        <v>FORMOSA DA SERRA NEGRA</v>
      </c>
      <c r="B1907" s="3" t="str">
        <f>"MA"</f>
        <v>MA</v>
      </c>
      <c r="C1907" s="3" t="str">
        <f t="shared" si="74"/>
        <v>BRASIL</v>
      </c>
      <c r="D1907" s="4" t="str">
        <f>"MA072"</f>
        <v>MA072</v>
      </c>
    </row>
    <row r="1908" spans="1:4" x14ac:dyDescent="0.3">
      <c r="A1908" s="2" t="str">
        <f>"FORMOSA DO OESTE"</f>
        <v>FORMOSA DO OESTE</v>
      </c>
      <c r="B1908" s="3" t="str">
        <f>"PR"</f>
        <v>PR</v>
      </c>
      <c r="C1908" s="3" t="str">
        <f t="shared" si="74"/>
        <v>BRASIL</v>
      </c>
      <c r="D1908" s="4" t="str">
        <f>"PR118"</f>
        <v>PR118</v>
      </c>
    </row>
    <row r="1909" spans="1:4" x14ac:dyDescent="0.3">
      <c r="A1909" s="2" t="str">
        <f>"FORMOSA DO RIO PRETO"</f>
        <v>FORMOSA DO RIO PRETO</v>
      </c>
      <c r="B1909" s="3" t="str">
        <f>"BA"</f>
        <v>BA</v>
      </c>
      <c r="C1909" s="3" t="str">
        <f t="shared" si="74"/>
        <v>BRASIL</v>
      </c>
      <c r="D1909" s="4" t="str">
        <f>"BA135"</f>
        <v>BA135</v>
      </c>
    </row>
    <row r="1910" spans="1:4" x14ac:dyDescent="0.3">
      <c r="A1910" s="2" t="str">
        <f>"FORMOSA DO SUL"</f>
        <v>FORMOSA DO SUL</v>
      </c>
      <c r="B1910" s="3" t="str">
        <f>"SC"</f>
        <v>SC</v>
      </c>
      <c r="C1910" s="3" t="str">
        <f t="shared" si="74"/>
        <v>BRASIL</v>
      </c>
      <c r="D1910" s="4" t="str">
        <f>"SC089"</f>
        <v>SC089</v>
      </c>
    </row>
    <row r="1911" spans="1:4" x14ac:dyDescent="0.3">
      <c r="A1911" s="2" t="str">
        <f>"FORMOSO"</f>
        <v>FORMOSO</v>
      </c>
      <c r="B1911" s="3" t="str">
        <f>"GO"</f>
        <v>GO</v>
      </c>
      <c r="C1911" s="3" t="str">
        <f t="shared" si="74"/>
        <v>BRASIL</v>
      </c>
      <c r="D1911" s="4" t="str">
        <f>"GO089"</f>
        <v>GO089</v>
      </c>
    </row>
    <row r="1912" spans="1:4" x14ac:dyDescent="0.3">
      <c r="A1912" s="2" t="str">
        <f>"FORMOSO"</f>
        <v>FORMOSO</v>
      </c>
      <c r="B1912" s="3" t="str">
        <f>"MG"</f>
        <v>MG</v>
      </c>
      <c r="C1912" s="3" t="str">
        <f t="shared" si="74"/>
        <v>BRASIL</v>
      </c>
      <c r="D1912" s="4" t="str">
        <f>"MG292"</f>
        <v>MG292</v>
      </c>
    </row>
    <row r="1913" spans="1:4" x14ac:dyDescent="0.3">
      <c r="A1913" s="2" t="str">
        <f>"FORMOSO DO ARAGUAIA"</f>
        <v>FORMOSO DO ARAGUAIA</v>
      </c>
      <c r="B1913" s="3" t="str">
        <f>"TO"</f>
        <v>TO</v>
      </c>
      <c r="C1913" s="3" t="str">
        <f t="shared" si="74"/>
        <v>BRASIL</v>
      </c>
      <c r="D1913" s="4" t="str">
        <f>"TO053"</f>
        <v>TO053</v>
      </c>
    </row>
    <row r="1914" spans="1:4" x14ac:dyDescent="0.3">
      <c r="A1914" s="2" t="str">
        <f>"FORQUETINHA"</f>
        <v>FORQUETINHA</v>
      </c>
      <c r="B1914" s="3" t="str">
        <f>"RS"</f>
        <v>RS</v>
      </c>
      <c r="C1914" s="3" t="str">
        <f t="shared" si="74"/>
        <v>BRASIL</v>
      </c>
      <c r="D1914" s="4" t="str">
        <f>"RS172"</f>
        <v>RS172</v>
      </c>
    </row>
    <row r="1915" spans="1:4" x14ac:dyDescent="0.3">
      <c r="A1915" s="2" t="str">
        <f>"FORQUILHA"</f>
        <v>FORQUILHA</v>
      </c>
      <c r="B1915" s="3" t="str">
        <f>"CE"</f>
        <v>CE</v>
      </c>
      <c r="C1915" s="3" t="str">
        <f t="shared" si="74"/>
        <v>BRASIL</v>
      </c>
      <c r="D1915" s="4" t="str">
        <f>"CE058"</f>
        <v>CE058</v>
      </c>
    </row>
    <row r="1916" spans="1:4" x14ac:dyDescent="0.3">
      <c r="A1916" s="2" t="str">
        <f>"FORQUILHINHA"</f>
        <v>FORQUILHINHA</v>
      </c>
      <c r="B1916" s="3" t="str">
        <f>"SC"</f>
        <v>SC</v>
      </c>
      <c r="C1916" s="3" t="str">
        <f t="shared" si="74"/>
        <v>BRASIL</v>
      </c>
      <c r="D1916" s="4" t="str">
        <f>"SC090"</f>
        <v>SC090</v>
      </c>
    </row>
    <row r="1917" spans="1:4" x14ac:dyDescent="0.3">
      <c r="A1917" s="2" t="str">
        <f>"FORTALEZA"</f>
        <v>FORTALEZA</v>
      </c>
      <c r="B1917" s="3" t="str">
        <f>"CE"</f>
        <v>CE</v>
      </c>
      <c r="C1917" s="3" t="str">
        <f t="shared" si="74"/>
        <v>BRASIL</v>
      </c>
      <c r="D1917" s="4" t="str">
        <f>"CE059"</f>
        <v>CE059</v>
      </c>
    </row>
    <row r="1918" spans="1:4" x14ac:dyDescent="0.3">
      <c r="A1918" s="2" t="str">
        <f>"FORTALEZA DE MINAS"</f>
        <v>FORTALEZA DE MINAS</v>
      </c>
      <c r="B1918" s="3" t="str">
        <f>"MG"</f>
        <v>MG</v>
      </c>
      <c r="C1918" s="3" t="str">
        <f t="shared" si="74"/>
        <v>BRASIL</v>
      </c>
      <c r="D1918" s="4" t="str">
        <f>"MG293"</f>
        <v>MG293</v>
      </c>
    </row>
    <row r="1919" spans="1:4" x14ac:dyDescent="0.3">
      <c r="A1919" s="2" t="str">
        <f>"FORTALEZA DO TABOCAO"</f>
        <v>FORTALEZA DO TABOCAO</v>
      </c>
      <c r="B1919" s="3" t="str">
        <f>"TO"</f>
        <v>TO</v>
      </c>
      <c r="C1919" s="3" t="str">
        <f t="shared" si="74"/>
        <v>BRASIL</v>
      </c>
      <c r="D1919" s="4" t="str">
        <f>"TO054"</f>
        <v>TO054</v>
      </c>
    </row>
    <row r="1920" spans="1:4" x14ac:dyDescent="0.3">
      <c r="A1920" s="2" t="str">
        <f>"FORTALEZA DOS NOGUEIRAS"</f>
        <v>FORTALEZA DOS NOGUEIRAS</v>
      </c>
      <c r="B1920" s="3" t="str">
        <f>"MA"</f>
        <v>MA</v>
      </c>
      <c r="C1920" s="3" t="str">
        <f t="shared" si="74"/>
        <v>BRASIL</v>
      </c>
      <c r="D1920" s="4" t="str">
        <f>"MA073"</f>
        <v>MA073</v>
      </c>
    </row>
    <row r="1921" spans="1:4" x14ac:dyDescent="0.3">
      <c r="A1921" s="2" t="str">
        <f>"FORTALEZA DOS VALOS"</f>
        <v>FORTALEZA DOS VALOS</v>
      </c>
      <c r="B1921" s="3" t="str">
        <f>"RS"</f>
        <v>RS</v>
      </c>
      <c r="C1921" s="3" t="str">
        <f t="shared" si="74"/>
        <v>BRASIL</v>
      </c>
      <c r="D1921" s="4" t="str">
        <f>"RS173"</f>
        <v>RS173</v>
      </c>
    </row>
    <row r="1922" spans="1:4" x14ac:dyDescent="0.3">
      <c r="A1922" s="2" t="str">
        <f>"FORTIM"</f>
        <v>FORTIM</v>
      </c>
      <c r="B1922" s="3" t="str">
        <f>"CE"</f>
        <v>CE</v>
      </c>
      <c r="C1922" s="3" t="str">
        <f t="shared" si="74"/>
        <v>BRASIL</v>
      </c>
      <c r="D1922" s="4" t="str">
        <f>"CE060"</f>
        <v>CE060</v>
      </c>
    </row>
    <row r="1923" spans="1:4" x14ac:dyDescent="0.3">
      <c r="A1923" s="2" t="str">
        <f>"FORTUNA"</f>
        <v>FORTUNA</v>
      </c>
      <c r="B1923" s="3" t="str">
        <f>"MA"</f>
        <v>MA</v>
      </c>
      <c r="C1923" s="3" t="str">
        <f t="shared" si="74"/>
        <v>BRASIL</v>
      </c>
      <c r="D1923" s="4" t="str">
        <f>"MA074"</f>
        <v>MA074</v>
      </c>
    </row>
    <row r="1924" spans="1:4" x14ac:dyDescent="0.3">
      <c r="A1924" s="2" t="str">
        <f>"FORTUNA DE MINAS"</f>
        <v>FORTUNA DE MINAS</v>
      </c>
      <c r="B1924" s="3" t="str">
        <f>"MG"</f>
        <v>MG</v>
      </c>
      <c r="C1924" s="3" t="str">
        <f t="shared" si="74"/>
        <v>BRASIL</v>
      </c>
      <c r="D1924" s="4" t="str">
        <f>"MG294"</f>
        <v>MG294</v>
      </c>
    </row>
    <row r="1925" spans="1:4" x14ac:dyDescent="0.3">
      <c r="A1925" s="2" t="str">
        <f>"FOZ DO IGUACU"</f>
        <v>FOZ DO IGUACU</v>
      </c>
      <c r="B1925" s="3" t="str">
        <f>"PR"</f>
        <v>PR</v>
      </c>
      <c r="C1925" s="3" t="str">
        <f t="shared" si="74"/>
        <v>BRASIL</v>
      </c>
      <c r="D1925" s="4" t="str">
        <f>"PR119"</f>
        <v>PR119</v>
      </c>
    </row>
    <row r="1926" spans="1:4" x14ac:dyDescent="0.3">
      <c r="A1926" s="2" t="str">
        <f>"FOZ DO JORDAO"</f>
        <v>FOZ DO JORDAO</v>
      </c>
      <c r="B1926" s="3" t="str">
        <f>"PR"</f>
        <v>PR</v>
      </c>
      <c r="C1926" s="3" t="str">
        <f t="shared" si="74"/>
        <v>BRASIL</v>
      </c>
      <c r="D1926" s="4" t="str">
        <f>"PR122"</f>
        <v>PR122</v>
      </c>
    </row>
    <row r="1927" spans="1:4" x14ac:dyDescent="0.3">
      <c r="A1927" s="2" t="str">
        <f>"FRAIBURGO"</f>
        <v>FRAIBURGO</v>
      </c>
      <c r="B1927" s="3" t="str">
        <f>"SC"</f>
        <v>SC</v>
      </c>
      <c r="C1927" s="3" t="str">
        <f t="shared" si="74"/>
        <v>BRASIL</v>
      </c>
      <c r="D1927" s="4" t="str">
        <f>"SC091"</f>
        <v>SC091</v>
      </c>
    </row>
    <row r="1928" spans="1:4" x14ac:dyDescent="0.3">
      <c r="A1928" s="2" t="str">
        <f>"FRANCA"</f>
        <v>FRANCA</v>
      </c>
      <c r="B1928" s="3" t="str">
        <f>"SP"</f>
        <v>SP</v>
      </c>
      <c r="C1928" s="3" t="str">
        <f t="shared" si="74"/>
        <v>BRASIL</v>
      </c>
      <c r="D1928" s="4" t="str">
        <f>"SP186"</f>
        <v>SP186</v>
      </c>
    </row>
    <row r="1929" spans="1:4" x14ac:dyDescent="0.3">
      <c r="A1929" s="2" t="str">
        <f>"FRANCINOPOLIS"</f>
        <v>FRANCINOPOLIS</v>
      </c>
      <c r="B1929" s="3" t="str">
        <f>"PI"</f>
        <v>PI</v>
      </c>
      <c r="C1929" s="3" t="str">
        <f t="shared" si="74"/>
        <v>BRASIL</v>
      </c>
      <c r="D1929" s="4" t="str">
        <f>"PI084"</f>
        <v>PI084</v>
      </c>
    </row>
    <row r="1930" spans="1:4" x14ac:dyDescent="0.3">
      <c r="A1930" s="2" t="str">
        <f>"FRANCISCO ALVES"</f>
        <v>FRANCISCO ALVES</v>
      </c>
      <c r="B1930" s="3" t="str">
        <f>"PR"</f>
        <v>PR</v>
      </c>
      <c r="C1930" s="3" t="str">
        <f t="shared" si="74"/>
        <v>BRASIL</v>
      </c>
      <c r="D1930" s="4" t="str">
        <f>"PR120"</f>
        <v>PR120</v>
      </c>
    </row>
    <row r="1931" spans="1:4" x14ac:dyDescent="0.3">
      <c r="A1931" s="2" t="str">
        <f>"FRANCISCO AYRES"</f>
        <v>FRANCISCO AYRES</v>
      </c>
      <c r="B1931" s="3" t="str">
        <f>"PI"</f>
        <v>PI</v>
      </c>
      <c r="C1931" s="3" t="str">
        <f t="shared" si="74"/>
        <v>BRASIL</v>
      </c>
      <c r="D1931" s="4" t="str">
        <f>"PI085"</f>
        <v>PI085</v>
      </c>
    </row>
    <row r="1932" spans="1:4" x14ac:dyDescent="0.3">
      <c r="A1932" s="2" t="str">
        <f>"FRANCISCO BADARO"</f>
        <v>FRANCISCO BADARO</v>
      </c>
      <c r="B1932" s="3" t="str">
        <f>"MG"</f>
        <v>MG</v>
      </c>
      <c r="C1932" s="3" t="str">
        <f t="shared" si="74"/>
        <v>BRASIL</v>
      </c>
      <c r="D1932" s="4" t="str">
        <f>"MG295"</f>
        <v>MG295</v>
      </c>
    </row>
    <row r="1933" spans="1:4" x14ac:dyDescent="0.3">
      <c r="A1933" s="2" t="str">
        <f>"FRANCISCO BELTRAO"</f>
        <v>FRANCISCO BELTRAO</v>
      </c>
      <c r="B1933" s="3" t="str">
        <f>"PR"</f>
        <v>PR</v>
      </c>
      <c r="C1933" s="3" t="str">
        <f t="shared" si="74"/>
        <v>BRASIL</v>
      </c>
      <c r="D1933" s="4" t="str">
        <f>"PR121"</f>
        <v>PR121</v>
      </c>
    </row>
    <row r="1934" spans="1:4" x14ac:dyDescent="0.3">
      <c r="A1934" s="2" t="str">
        <f>"FRANCISCO DANTAS"</f>
        <v>FRANCISCO DANTAS</v>
      </c>
      <c r="B1934" s="3" t="str">
        <f>"RN"</f>
        <v>RN</v>
      </c>
      <c r="C1934" s="3" t="str">
        <f t="shared" si="74"/>
        <v>BRASIL</v>
      </c>
      <c r="D1934" s="4" t="str">
        <f>"RN044"</f>
        <v>RN044</v>
      </c>
    </row>
    <row r="1935" spans="1:4" x14ac:dyDescent="0.3">
      <c r="A1935" s="2" t="str">
        <f>"FRANCISCO DUMONT"</f>
        <v>FRANCISCO DUMONT</v>
      </c>
      <c r="B1935" s="3" t="str">
        <f>"MG"</f>
        <v>MG</v>
      </c>
      <c r="C1935" s="3" t="str">
        <f t="shared" si="74"/>
        <v>BRASIL</v>
      </c>
      <c r="D1935" s="4" t="str">
        <f>"MG296"</f>
        <v>MG296</v>
      </c>
    </row>
    <row r="1936" spans="1:4" x14ac:dyDescent="0.3">
      <c r="A1936" s="2" t="str">
        <f>"FRANCISCO MACEDO"</f>
        <v>FRANCISCO MACEDO</v>
      </c>
      <c r="B1936" s="3" t="str">
        <f>"PI"</f>
        <v>PI</v>
      </c>
      <c r="C1936" s="3" t="str">
        <f t="shared" si="74"/>
        <v>BRASIL</v>
      </c>
      <c r="D1936" s="4" t="str">
        <f>"PI086"</f>
        <v>PI086</v>
      </c>
    </row>
    <row r="1937" spans="1:4" x14ac:dyDescent="0.3">
      <c r="A1937" s="2" t="str">
        <f>"FRANCISCO MORATO"</f>
        <v>FRANCISCO MORATO</v>
      </c>
      <c r="B1937" s="3" t="str">
        <f>"SP"</f>
        <v>SP</v>
      </c>
      <c r="C1937" s="3" t="str">
        <f t="shared" si="74"/>
        <v>BRASIL</v>
      </c>
      <c r="D1937" s="4" t="str">
        <f>"SP187"</f>
        <v>SP187</v>
      </c>
    </row>
    <row r="1938" spans="1:4" x14ac:dyDescent="0.3">
      <c r="A1938" s="2" t="str">
        <f>"FRANCISCO SA"</f>
        <v>FRANCISCO SA</v>
      </c>
      <c r="B1938" s="3" t="str">
        <f>"MG"</f>
        <v>MG</v>
      </c>
      <c r="C1938" s="3" t="str">
        <f t="shared" si="74"/>
        <v>BRASIL</v>
      </c>
      <c r="D1938" s="4" t="str">
        <f>"MG297"</f>
        <v>MG297</v>
      </c>
    </row>
    <row r="1939" spans="1:4" x14ac:dyDescent="0.3">
      <c r="A1939" s="2" t="str">
        <f>"FRANCISCO SANTOS"</f>
        <v>FRANCISCO SANTOS</v>
      </c>
      <c r="B1939" s="3" t="str">
        <f>"PI"</f>
        <v>PI</v>
      </c>
      <c r="C1939" s="3" t="str">
        <f t="shared" si="74"/>
        <v>BRASIL</v>
      </c>
      <c r="D1939" s="4" t="str">
        <f>"PI087"</f>
        <v>PI087</v>
      </c>
    </row>
    <row r="1940" spans="1:4" x14ac:dyDescent="0.3">
      <c r="A1940" s="2" t="str">
        <f>"FRANCISCOPOLIS"</f>
        <v>FRANCISCOPOLIS</v>
      </c>
      <c r="B1940" s="3" t="str">
        <f>"MG"</f>
        <v>MG</v>
      </c>
      <c r="C1940" s="3" t="str">
        <f t="shared" si="74"/>
        <v>BRASIL</v>
      </c>
      <c r="D1940" s="4" t="str">
        <f>"MG298"</f>
        <v>MG298</v>
      </c>
    </row>
    <row r="1941" spans="1:4" x14ac:dyDescent="0.3">
      <c r="A1941" s="2" t="str">
        <f>"FRANCO DA ROCHA"</f>
        <v>FRANCO DA ROCHA</v>
      </c>
      <c r="B1941" s="3" t="str">
        <f>"SP"</f>
        <v>SP</v>
      </c>
      <c r="C1941" s="3" t="str">
        <f t="shared" si="74"/>
        <v>BRASIL</v>
      </c>
      <c r="D1941" s="4" t="str">
        <f>"SP188"</f>
        <v>SP188</v>
      </c>
    </row>
    <row r="1942" spans="1:4" x14ac:dyDescent="0.3">
      <c r="A1942" s="2" t="str">
        <f>"FRANKFURT"</f>
        <v>FRANKFURT</v>
      </c>
      <c r="B1942" s="3" t="str">
        <f>"EX"</f>
        <v>EX</v>
      </c>
      <c r="C1942" s="3" t="str">
        <f>"ALEMANHA"</f>
        <v>ALEMANHA</v>
      </c>
      <c r="D1942" s="4" t="str">
        <f>"FRANK"</f>
        <v>FRANK</v>
      </c>
    </row>
    <row r="1943" spans="1:4" x14ac:dyDescent="0.3">
      <c r="A1943" s="2" t="str">
        <f>"FRECHEIRINHA"</f>
        <v>FRECHEIRINHA</v>
      </c>
      <c r="B1943" s="3" t="str">
        <f>"CE"</f>
        <v>CE</v>
      </c>
      <c r="C1943" s="3" t="str">
        <f>"BRASIL"</f>
        <v>BRASIL</v>
      </c>
      <c r="D1943" s="4" t="str">
        <f>"CE061"</f>
        <v>CE061</v>
      </c>
    </row>
    <row r="1944" spans="1:4" x14ac:dyDescent="0.3">
      <c r="A1944" s="2" t="str">
        <f>"FREDERICO WESTPHALEN"</f>
        <v>FREDERICO WESTPHALEN</v>
      </c>
      <c r="B1944" s="3" t="str">
        <f>"RS"</f>
        <v>RS</v>
      </c>
      <c r="C1944" s="3" t="str">
        <f>"BRASIL"</f>
        <v>BRASIL</v>
      </c>
      <c r="D1944" s="4" t="str">
        <f>"RS174"</f>
        <v>RS174</v>
      </c>
    </row>
    <row r="1945" spans="1:4" x14ac:dyDescent="0.3">
      <c r="A1945" s="2" t="str">
        <f>"FREDRIKSTAD"</f>
        <v>FREDRIKSTAD</v>
      </c>
      <c r="B1945" s="3" t="str">
        <f>"EX"</f>
        <v>EX</v>
      </c>
      <c r="C1945" s="3" t="str">
        <f>"NORUEGA"</f>
        <v>NORUEGA</v>
      </c>
      <c r="D1945" s="4" t="str">
        <f>"FRE"</f>
        <v>FRE</v>
      </c>
    </row>
    <row r="1946" spans="1:4" x14ac:dyDescent="0.3">
      <c r="A1946" s="2" t="str">
        <f>"FREDRIKSTAD"</f>
        <v>FREDRIKSTAD</v>
      </c>
      <c r="B1946" s="3" t="str">
        <f>"EX"</f>
        <v>EX</v>
      </c>
      <c r="C1946" s="3" t="str">
        <f>"NORUEGA - (NORWAY)"</f>
        <v>NORUEGA - (NORWAY)</v>
      </c>
      <c r="D1946" s="4" t="str">
        <f>"FRED"</f>
        <v>FRED</v>
      </c>
    </row>
    <row r="1947" spans="1:4" x14ac:dyDescent="0.3">
      <c r="A1947" s="2" t="str">
        <f>"FREI GASPAR"</f>
        <v>FREI GASPAR</v>
      </c>
      <c r="B1947" s="3" t="str">
        <f>"MG"</f>
        <v>MG</v>
      </c>
      <c r="C1947" s="3" t="str">
        <f t="shared" ref="C1947:C1953" si="75">"BRASIL"</f>
        <v>BRASIL</v>
      </c>
      <c r="D1947" s="4" t="str">
        <f>"MG299"</f>
        <v>MG299</v>
      </c>
    </row>
    <row r="1948" spans="1:4" x14ac:dyDescent="0.3">
      <c r="A1948" s="2" t="str">
        <f>"FREI INOCENCIO"</f>
        <v>FREI INOCENCIO</v>
      </c>
      <c r="B1948" s="3" t="str">
        <f>"MG"</f>
        <v>MG</v>
      </c>
      <c r="C1948" s="3" t="str">
        <f t="shared" si="75"/>
        <v>BRASIL</v>
      </c>
      <c r="D1948" s="4" t="str">
        <f>"MG300"</f>
        <v>MG300</v>
      </c>
    </row>
    <row r="1949" spans="1:4" x14ac:dyDescent="0.3">
      <c r="A1949" s="2" t="str">
        <f>"FREI LAGONEGRO"</f>
        <v>FREI LAGONEGRO</v>
      </c>
      <c r="B1949" s="3" t="str">
        <f>"MG"</f>
        <v>MG</v>
      </c>
      <c r="C1949" s="3" t="str">
        <f t="shared" si="75"/>
        <v>BRASIL</v>
      </c>
      <c r="D1949" s="4" t="str">
        <f>"MG301"</f>
        <v>MG301</v>
      </c>
    </row>
    <row r="1950" spans="1:4" x14ac:dyDescent="0.3">
      <c r="A1950" s="2" t="str">
        <f>"FREI MARTINHO"</f>
        <v>FREI MARTINHO</v>
      </c>
      <c r="B1950" s="3" t="str">
        <f>"PB"</f>
        <v>PB</v>
      </c>
      <c r="C1950" s="3" t="str">
        <f t="shared" si="75"/>
        <v>BRASIL</v>
      </c>
      <c r="D1950" s="4" t="str">
        <f>"PB082"</f>
        <v>PB082</v>
      </c>
    </row>
    <row r="1951" spans="1:4" x14ac:dyDescent="0.3">
      <c r="A1951" s="2" t="str">
        <f>"FREI MIGUELINHO"</f>
        <v>FREI MIGUELINHO</v>
      </c>
      <c r="B1951" s="3" t="str">
        <f>"PE"</f>
        <v>PE</v>
      </c>
      <c r="C1951" s="3" t="str">
        <f t="shared" si="75"/>
        <v>BRASIL</v>
      </c>
      <c r="D1951" s="4" t="str">
        <f>"PE065"</f>
        <v>PE065</v>
      </c>
    </row>
    <row r="1952" spans="1:4" x14ac:dyDescent="0.3">
      <c r="A1952" s="2" t="str">
        <f>"FREI PAULO"</f>
        <v>FREI PAULO</v>
      </c>
      <c r="B1952" s="3" t="str">
        <f>"SE"</f>
        <v>SE</v>
      </c>
      <c r="C1952" s="3" t="str">
        <f t="shared" si="75"/>
        <v>BRASIL</v>
      </c>
      <c r="D1952" s="4" t="str">
        <f>"SE021"</f>
        <v>SE021</v>
      </c>
    </row>
    <row r="1953" spans="1:4" x14ac:dyDescent="0.3">
      <c r="A1953" s="2" t="str">
        <f>"FREI ROGERIO"</f>
        <v>FREI ROGERIO</v>
      </c>
      <c r="B1953" s="3" t="str">
        <f>"SC"</f>
        <v>SC</v>
      </c>
      <c r="C1953" s="3" t="str">
        <f t="shared" si="75"/>
        <v>BRASIL</v>
      </c>
      <c r="D1953" s="4" t="str">
        <f>"SC092"</f>
        <v>SC092</v>
      </c>
    </row>
    <row r="1954" spans="1:4" x14ac:dyDescent="0.3">
      <c r="A1954" s="2" t="str">
        <f>"FREUDENSTADT"</f>
        <v>FREUDENSTADT</v>
      </c>
      <c r="B1954" s="3" t="str">
        <f>"EX"</f>
        <v>EX</v>
      </c>
      <c r="C1954" s="3" t="str">
        <f>"ALEMANHA"</f>
        <v>ALEMANHA</v>
      </c>
      <c r="D1954" s="4" t="str">
        <f>"FREUD"</f>
        <v>FREUD</v>
      </c>
    </row>
    <row r="1955" spans="1:4" x14ac:dyDescent="0.3">
      <c r="A1955" s="2" t="str">
        <f>"FREUTSMOOS"</f>
        <v>FREUTSMOOS</v>
      </c>
      <c r="B1955" s="3" t="str">
        <f>"EX"</f>
        <v>EX</v>
      </c>
      <c r="C1955" s="3" t="str">
        <f>"ALEMANHA"</f>
        <v>ALEMANHA</v>
      </c>
      <c r="D1955" s="4" t="str">
        <f>"FREU"</f>
        <v>FREU</v>
      </c>
    </row>
    <row r="1956" spans="1:4" x14ac:dyDescent="0.3">
      <c r="A1956" s="2" t="str">
        <f>"FREUTSMOOS"</f>
        <v>FREUTSMOOS</v>
      </c>
      <c r="B1956" s="3" t="str">
        <f>"GER"</f>
        <v>GER</v>
      </c>
      <c r="C1956" s="3" t="str">
        <f>"ALEMANHA"</f>
        <v>ALEMANHA</v>
      </c>
      <c r="D1956" s="4" t="str">
        <f>"FREUT"</f>
        <v>FREUT</v>
      </c>
    </row>
    <row r="1957" spans="1:4" x14ac:dyDescent="0.3">
      <c r="A1957" s="2" t="str">
        <f>"FRONTEIRA"</f>
        <v>FRONTEIRA</v>
      </c>
      <c r="B1957" s="3" t="str">
        <f>"MG"</f>
        <v>MG</v>
      </c>
      <c r="C1957" s="3" t="str">
        <f t="shared" ref="C1957:C1966" si="76">"BRASIL"</f>
        <v>BRASIL</v>
      </c>
      <c r="D1957" s="4" t="str">
        <f>"MG302"</f>
        <v>MG302</v>
      </c>
    </row>
    <row r="1958" spans="1:4" x14ac:dyDescent="0.3">
      <c r="A1958" s="2" t="str">
        <f>"FRONTEIRA DOS VALES"</f>
        <v>FRONTEIRA DOS VALES</v>
      </c>
      <c r="B1958" s="3" t="str">
        <f>"MG"</f>
        <v>MG</v>
      </c>
      <c r="C1958" s="3" t="str">
        <f t="shared" si="76"/>
        <v>BRASIL</v>
      </c>
      <c r="D1958" s="4" t="str">
        <f>"MG303"</f>
        <v>MG303</v>
      </c>
    </row>
    <row r="1959" spans="1:4" x14ac:dyDescent="0.3">
      <c r="A1959" s="2" t="str">
        <f>"FRONTEIRAS"</f>
        <v>FRONTEIRAS</v>
      </c>
      <c r="B1959" s="3" t="str">
        <f>"PI"</f>
        <v>PI</v>
      </c>
      <c r="C1959" s="3" t="str">
        <f t="shared" si="76"/>
        <v>BRASIL</v>
      </c>
      <c r="D1959" s="4" t="str">
        <f>"PI088"</f>
        <v>PI088</v>
      </c>
    </row>
    <row r="1960" spans="1:4" x14ac:dyDescent="0.3">
      <c r="A1960" s="2" t="str">
        <f>"FRUTA DE LEITE"</f>
        <v>FRUTA DE LEITE</v>
      </c>
      <c r="B1960" s="3" t="str">
        <f>"MG"</f>
        <v>MG</v>
      </c>
      <c r="C1960" s="3" t="str">
        <f t="shared" si="76"/>
        <v>BRASIL</v>
      </c>
      <c r="D1960" s="4" t="str">
        <f>"MG304"</f>
        <v>MG304</v>
      </c>
    </row>
    <row r="1961" spans="1:4" x14ac:dyDescent="0.3">
      <c r="A1961" s="2" t="str">
        <f>"FRUTAL"</f>
        <v>FRUTAL</v>
      </c>
      <c r="B1961" s="3" t="str">
        <f>"MG"</f>
        <v>MG</v>
      </c>
      <c r="C1961" s="3" t="str">
        <f t="shared" si="76"/>
        <v>BRASIL</v>
      </c>
      <c r="D1961" s="4" t="str">
        <f>"MG305"</f>
        <v>MG305</v>
      </c>
    </row>
    <row r="1962" spans="1:4" x14ac:dyDescent="0.3">
      <c r="A1962" s="2" t="str">
        <f>"FRUTUOSO GOMES"</f>
        <v>FRUTUOSO GOMES</v>
      </c>
      <c r="B1962" s="3" t="str">
        <f>"RN"</f>
        <v>RN</v>
      </c>
      <c r="C1962" s="3" t="str">
        <f t="shared" si="76"/>
        <v>BRASIL</v>
      </c>
      <c r="D1962" s="4" t="str">
        <f>"RN045"</f>
        <v>RN045</v>
      </c>
    </row>
    <row r="1963" spans="1:4" x14ac:dyDescent="0.3">
      <c r="A1963" s="2" t="str">
        <f>"FUNDAO"</f>
        <v>FUNDAO</v>
      </c>
      <c r="B1963" s="3" t="str">
        <f>"ES"</f>
        <v>ES</v>
      </c>
      <c r="C1963" s="3" t="str">
        <f t="shared" si="76"/>
        <v>BRASIL</v>
      </c>
      <c r="D1963" s="4" t="str">
        <f>"ES026"</f>
        <v>ES026</v>
      </c>
    </row>
    <row r="1964" spans="1:4" x14ac:dyDescent="0.3">
      <c r="A1964" s="2" t="str">
        <f>"FUNILANDIA"</f>
        <v>FUNILANDIA</v>
      </c>
      <c r="B1964" s="3" t="str">
        <f>"MG"</f>
        <v>MG</v>
      </c>
      <c r="C1964" s="3" t="str">
        <f t="shared" si="76"/>
        <v>BRASIL</v>
      </c>
      <c r="D1964" s="4" t="str">
        <f>"MG306"</f>
        <v>MG306</v>
      </c>
    </row>
    <row r="1965" spans="1:4" x14ac:dyDescent="0.3">
      <c r="A1965" s="2" t="str">
        <f>"GABRIEL MONTEIRO"</f>
        <v>GABRIEL MONTEIRO</v>
      </c>
      <c r="B1965" s="3" t="str">
        <f>"SP"</f>
        <v>SP</v>
      </c>
      <c r="C1965" s="3" t="str">
        <f t="shared" si="76"/>
        <v>BRASIL</v>
      </c>
      <c r="D1965" s="4" t="str">
        <f>"SP189"</f>
        <v>SP189</v>
      </c>
    </row>
    <row r="1966" spans="1:4" x14ac:dyDescent="0.3">
      <c r="A1966" s="2" t="str">
        <f>"GADO BRAVO"</f>
        <v>GADO BRAVO</v>
      </c>
      <c r="B1966" s="3" t="str">
        <f>"PB"</f>
        <v>PB</v>
      </c>
      <c r="C1966" s="3" t="str">
        <f t="shared" si="76"/>
        <v>BRASIL</v>
      </c>
      <c r="D1966" s="4" t="str">
        <f>"PB083"</f>
        <v>PB083</v>
      </c>
    </row>
    <row r="1967" spans="1:4" x14ac:dyDescent="0.3">
      <c r="A1967" s="2" t="str">
        <f>"GALGAGNANO"</f>
        <v>GALGAGNANO</v>
      </c>
      <c r="B1967" s="3" t="str">
        <f>"EX"</f>
        <v>EX</v>
      </c>
      <c r="C1967" s="3" t="str">
        <f>"ITALIA"</f>
        <v>ITALIA</v>
      </c>
      <c r="D1967" s="4" t="str">
        <f>"GALG"</f>
        <v>GALG</v>
      </c>
    </row>
    <row r="1968" spans="1:4" x14ac:dyDescent="0.3">
      <c r="A1968" s="2" t="str">
        <f>"GALIA"</f>
        <v>GALIA</v>
      </c>
      <c r="B1968" s="3" t="str">
        <f>"SP"</f>
        <v>SP</v>
      </c>
      <c r="C1968" s="3" t="str">
        <f t="shared" ref="C1968:C1989" si="77">"BRASIL"</f>
        <v>BRASIL</v>
      </c>
      <c r="D1968" s="4" t="str">
        <f>"SP190"</f>
        <v>SP190</v>
      </c>
    </row>
    <row r="1969" spans="1:4" x14ac:dyDescent="0.3">
      <c r="A1969" s="2" t="str">
        <f>"GALILEIA"</f>
        <v>GALILEIA</v>
      </c>
      <c r="B1969" s="3" t="str">
        <f>"MG"</f>
        <v>MG</v>
      </c>
      <c r="C1969" s="3" t="str">
        <f t="shared" si="77"/>
        <v>BRASIL</v>
      </c>
      <c r="D1969" s="4" t="str">
        <f>"MG307"</f>
        <v>MG307</v>
      </c>
    </row>
    <row r="1970" spans="1:4" x14ac:dyDescent="0.3">
      <c r="A1970" s="2" t="str">
        <f>"GALINHOS"</f>
        <v>GALINHOS</v>
      </c>
      <c r="B1970" s="3" t="str">
        <f>"RN"</f>
        <v>RN</v>
      </c>
      <c r="C1970" s="3" t="str">
        <f t="shared" si="77"/>
        <v>BRASIL</v>
      </c>
      <c r="D1970" s="4" t="str">
        <f>"RN046"</f>
        <v>RN046</v>
      </c>
    </row>
    <row r="1971" spans="1:4" x14ac:dyDescent="0.3">
      <c r="A1971" s="2" t="str">
        <f>"GALVAO"</f>
        <v>GALVAO</v>
      </c>
      <c r="B1971" s="3" t="str">
        <f>"SC"</f>
        <v>SC</v>
      </c>
      <c r="C1971" s="3" t="str">
        <f t="shared" si="77"/>
        <v>BRASIL</v>
      </c>
      <c r="D1971" s="4" t="str">
        <f>"SC093"</f>
        <v>SC093</v>
      </c>
    </row>
    <row r="1972" spans="1:4" x14ac:dyDescent="0.3">
      <c r="A1972" s="2" t="str">
        <f>"GAMELEIRA"</f>
        <v>GAMELEIRA</v>
      </c>
      <c r="B1972" s="3" t="str">
        <f>"PE"</f>
        <v>PE</v>
      </c>
      <c r="C1972" s="3" t="str">
        <f t="shared" si="77"/>
        <v>BRASIL</v>
      </c>
      <c r="D1972" s="4" t="str">
        <f>"PE066"</f>
        <v>PE066</v>
      </c>
    </row>
    <row r="1973" spans="1:4" x14ac:dyDescent="0.3">
      <c r="A1973" s="2" t="str">
        <f>"GAMELEIRA DE GOIAS"</f>
        <v>GAMELEIRA DE GOIAS</v>
      </c>
      <c r="B1973" s="3" t="str">
        <f>"GO"</f>
        <v>GO</v>
      </c>
      <c r="C1973" s="3" t="str">
        <f t="shared" si="77"/>
        <v>BRASIL</v>
      </c>
      <c r="D1973" s="4" t="str">
        <f>"GO090"</f>
        <v>GO090</v>
      </c>
    </row>
    <row r="1974" spans="1:4" x14ac:dyDescent="0.3">
      <c r="A1974" s="2" t="str">
        <f>"GAMELEIRAS"</f>
        <v>GAMELEIRAS</v>
      </c>
      <c r="B1974" s="3" t="str">
        <f>"MG"</f>
        <v>MG</v>
      </c>
      <c r="C1974" s="3" t="str">
        <f t="shared" si="77"/>
        <v>BRASIL</v>
      </c>
      <c r="D1974" s="4" t="str">
        <f>"MG308"</f>
        <v>MG308</v>
      </c>
    </row>
    <row r="1975" spans="1:4" x14ac:dyDescent="0.3">
      <c r="A1975" s="2" t="str">
        <f>"GANDU"</f>
        <v>GANDU</v>
      </c>
      <c r="B1975" s="3" t="str">
        <f>"BA"</f>
        <v>BA</v>
      </c>
      <c r="C1975" s="3" t="str">
        <f t="shared" si="77"/>
        <v>BRASIL</v>
      </c>
      <c r="D1975" s="4" t="str">
        <f>"BA136"</f>
        <v>BA136</v>
      </c>
    </row>
    <row r="1976" spans="1:4" x14ac:dyDescent="0.3">
      <c r="A1976" s="2" t="str">
        <f>"GARANHUNS"</f>
        <v>GARANHUNS</v>
      </c>
      <c r="B1976" s="3" t="str">
        <f>"PE"</f>
        <v>PE</v>
      </c>
      <c r="C1976" s="3" t="str">
        <f t="shared" si="77"/>
        <v>BRASIL</v>
      </c>
      <c r="D1976" s="4" t="str">
        <f>"PE067"</f>
        <v>PE067</v>
      </c>
    </row>
    <row r="1977" spans="1:4" x14ac:dyDescent="0.3">
      <c r="A1977" s="2" t="str">
        <f>"GARARU"</f>
        <v>GARARU</v>
      </c>
      <c r="B1977" s="3" t="str">
        <f>"SE"</f>
        <v>SE</v>
      </c>
      <c r="C1977" s="3" t="str">
        <f t="shared" si="77"/>
        <v>BRASIL</v>
      </c>
      <c r="D1977" s="4" t="str">
        <f>"SE022"</f>
        <v>SE022</v>
      </c>
    </row>
    <row r="1978" spans="1:4" x14ac:dyDescent="0.3">
      <c r="A1978" s="2" t="str">
        <f>"GARCA"</f>
        <v>GARCA</v>
      </c>
      <c r="B1978" s="3" t="str">
        <f>"SP"</f>
        <v>SP</v>
      </c>
      <c r="C1978" s="3" t="str">
        <f t="shared" si="77"/>
        <v>BRASIL</v>
      </c>
      <c r="D1978" s="4" t="str">
        <f>"SP191"</f>
        <v>SP191</v>
      </c>
    </row>
    <row r="1979" spans="1:4" x14ac:dyDescent="0.3">
      <c r="A1979" s="2" t="str">
        <f>"GARIBALDI"</f>
        <v>GARIBALDI</v>
      </c>
      <c r="B1979" s="3" t="str">
        <f>"RS"</f>
        <v>RS</v>
      </c>
      <c r="C1979" s="3" t="str">
        <f t="shared" si="77"/>
        <v>BRASIL</v>
      </c>
      <c r="D1979" s="4" t="str">
        <f>"RS175"</f>
        <v>RS175</v>
      </c>
    </row>
    <row r="1980" spans="1:4" x14ac:dyDescent="0.3">
      <c r="A1980" s="2" t="str">
        <f>"GAROPABA"</f>
        <v>GAROPABA</v>
      </c>
      <c r="B1980" s="3" t="str">
        <f>"SC"</f>
        <v>SC</v>
      </c>
      <c r="C1980" s="3" t="str">
        <f t="shared" si="77"/>
        <v>BRASIL</v>
      </c>
      <c r="D1980" s="4" t="str">
        <f>"SC094"</f>
        <v>SC094</v>
      </c>
    </row>
    <row r="1981" spans="1:4" x14ac:dyDescent="0.3">
      <c r="A1981" s="2" t="str">
        <f>"GARRAFAO DO NORTE"</f>
        <v>GARRAFAO DO NORTE</v>
      </c>
      <c r="B1981" s="3" t="str">
        <f>"PA"</f>
        <v>PA</v>
      </c>
      <c r="C1981" s="3" t="str">
        <f t="shared" si="77"/>
        <v>BRASIL</v>
      </c>
      <c r="D1981" s="4" t="str">
        <f>"PA050"</f>
        <v>PA050</v>
      </c>
    </row>
    <row r="1982" spans="1:4" x14ac:dyDescent="0.3">
      <c r="A1982" s="2" t="str">
        <f>"GARRUCHOS"</f>
        <v>GARRUCHOS</v>
      </c>
      <c r="B1982" s="3" t="str">
        <f>"RS"</f>
        <v>RS</v>
      </c>
      <c r="C1982" s="3" t="str">
        <f t="shared" si="77"/>
        <v>BRASIL</v>
      </c>
      <c r="D1982" s="4" t="str">
        <f>"RS176"</f>
        <v>RS176</v>
      </c>
    </row>
    <row r="1983" spans="1:4" x14ac:dyDescent="0.3">
      <c r="A1983" s="2" t="str">
        <f>"GARUVA"</f>
        <v>GARUVA</v>
      </c>
      <c r="B1983" s="3" t="str">
        <f>"SC"</f>
        <v>SC</v>
      </c>
      <c r="C1983" s="3" t="str">
        <f t="shared" si="77"/>
        <v>BRASIL</v>
      </c>
      <c r="D1983" s="4" t="str">
        <f>"SC095"</f>
        <v>SC095</v>
      </c>
    </row>
    <row r="1984" spans="1:4" x14ac:dyDescent="0.3">
      <c r="A1984" s="2" t="str">
        <f>"GASPAR"</f>
        <v>GASPAR</v>
      </c>
      <c r="B1984" s="3" t="str">
        <f>"SC"</f>
        <v>SC</v>
      </c>
      <c r="C1984" s="3" t="str">
        <f t="shared" si="77"/>
        <v>BRASIL</v>
      </c>
      <c r="D1984" s="4" t="str">
        <f>"SC096"</f>
        <v>SC096</v>
      </c>
    </row>
    <row r="1985" spans="1:4" x14ac:dyDescent="0.3">
      <c r="A1985" s="2" t="str">
        <f>"GASTAO VIDIGAL"</f>
        <v>GASTAO VIDIGAL</v>
      </c>
      <c r="B1985" s="3" t="str">
        <f>"SP"</f>
        <v>SP</v>
      </c>
      <c r="C1985" s="3" t="str">
        <f t="shared" si="77"/>
        <v>BRASIL</v>
      </c>
      <c r="D1985" s="4" t="str">
        <f>"SP192"</f>
        <v>SP192</v>
      </c>
    </row>
    <row r="1986" spans="1:4" x14ac:dyDescent="0.3">
      <c r="A1986" s="2" t="str">
        <f>"GAUCHA DO NORTE"</f>
        <v>GAUCHA DO NORTE</v>
      </c>
      <c r="B1986" s="3" t="str">
        <f>"MT"</f>
        <v>MT</v>
      </c>
      <c r="C1986" s="3" t="str">
        <f t="shared" si="77"/>
        <v>BRASIL</v>
      </c>
      <c r="D1986" s="4" t="str">
        <f>"MT045"</f>
        <v>MT045</v>
      </c>
    </row>
    <row r="1987" spans="1:4" x14ac:dyDescent="0.3">
      <c r="A1987" s="2" t="str">
        <f>"GAURAMA"</f>
        <v>GAURAMA</v>
      </c>
      <c r="B1987" s="3" t="str">
        <f>"RS"</f>
        <v>RS</v>
      </c>
      <c r="C1987" s="3" t="str">
        <f t="shared" si="77"/>
        <v>BRASIL</v>
      </c>
      <c r="D1987" s="4" t="str">
        <f>"RS177"</f>
        <v>RS177</v>
      </c>
    </row>
    <row r="1988" spans="1:4" x14ac:dyDescent="0.3">
      <c r="A1988" s="2" t="str">
        <f>"GAVIAO"</f>
        <v>GAVIAO</v>
      </c>
      <c r="B1988" s="3" t="str">
        <f>"BA"</f>
        <v>BA</v>
      </c>
      <c r="C1988" s="3" t="str">
        <f t="shared" si="77"/>
        <v>BRASIL</v>
      </c>
      <c r="D1988" s="4" t="str">
        <f>"BA137"</f>
        <v>BA137</v>
      </c>
    </row>
    <row r="1989" spans="1:4" x14ac:dyDescent="0.3">
      <c r="A1989" s="2" t="str">
        <f>"GAVIAO PEIXOTO"</f>
        <v>GAVIAO PEIXOTO</v>
      </c>
      <c r="B1989" s="3" t="str">
        <f>"SP"</f>
        <v>SP</v>
      </c>
      <c r="C1989" s="3" t="str">
        <f t="shared" si="77"/>
        <v>BRASIL</v>
      </c>
      <c r="D1989" s="4" t="str">
        <f>"SP193"</f>
        <v>SP193</v>
      </c>
    </row>
    <row r="1990" spans="1:4" x14ac:dyDescent="0.3">
      <c r="A1990" s="2" t="str">
        <f>"GELSENKIRCHEN"</f>
        <v>GELSENKIRCHEN</v>
      </c>
      <c r="B1990" s="3" t="str">
        <f>"EX"</f>
        <v>EX</v>
      </c>
      <c r="C1990" s="3" t="str">
        <f>"ALEMANHA"</f>
        <v>ALEMANHA</v>
      </c>
      <c r="D1990" s="4" t="str">
        <f>"GELSE"</f>
        <v>GELSE</v>
      </c>
    </row>
    <row r="1991" spans="1:4" x14ac:dyDescent="0.3">
      <c r="A1991" s="2" t="str">
        <f>"GEMINIANO"</f>
        <v>GEMINIANO</v>
      </c>
      <c r="B1991" s="3" t="str">
        <f>"PI"</f>
        <v>PI</v>
      </c>
      <c r="C1991" s="3" t="str">
        <f t="shared" ref="C1991:C1997" si="78">"BRASIL"</f>
        <v>BRASIL</v>
      </c>
      <c r="D1991" s="4" t="str">
        <f>"PI089"</f>
        <v>PI089</v>
      </c>
    </row>
    <row r="1992" spans="1:4" x14ac:dyDescent="0.3">
      <c r="A1992" s="2" t="str">
        <f>"GENERAL CAMARA"</f>
        <v>GENERAL CAMARA</v>
      </c>
      <c r="B1992" s="3" t="str">
        <f>"RS"</f>
        <v>RS</v>
      </c>
      <c r="C1992" s="3" t="str">
        <f t="shared" si="78"/>
        <v>BRASIL</v>
      </c>
      <c r="D1992" s="4" t="str">
        <f>"RS178"</f>
        <v>RS178</v>
      </c>
    </row>
    <row r="1993" spans="1:4" x14ac:dyDescent="0.3">
      <c r="A1993" s="2" t="str">
        <f>"GENERAL CARNEIRO"</f>
        <v>GENERAL CARNEIRO</v>
      </c>
      <c r="B1993" s="3" t="str">
        <f>"MT"</f>
        <v>MT</v>
      </c>
      <c r="C1993" s="3" t="str">
        <f t="shared" si="78"/>
        <v>BRASIL</v>
      </c>
      <c r="D1993" s="4" t="str">
        <f>"MT046"</f>
        <v>MT046</v>
      </c>
    </row>
    <row r="1994" spans="1:4" x14ac:dyDescent="0.3">
      <c r="A1994" s="2" t="str">
        <f>"GENERAL CARNEIRO"</f>
        <v>GENERAL CARNEIRO</v>
      </c>
      <c r="B1994" s="3" t="str">
        <f>"PR"</f>
        <v>PR</v>
      </c>
      <c r="C1994" s="3" t="str">
        <f t="shared" si="78"/>
        <v>BRASIL</v>
      </c>
      <c r="D1994" s="4" t="str">
        <f>"PR123"</f>
        <v>PR123</v>
      </c>
    </row>
    <row r="1995" spans="1:4" x14ac:dyDescent="0.3">
      <c r="A1995" s="2" t="str">
        <f>"GENERAL MAYNARD"</f>
        <v>GENERAL MAYNARD</v>
      </c>
      <c r="B1995" s="3" t="str">
        <f>"SE"</f>
        <v>SE</v>
      </c>
      <c r="C1995" s="3" t="str">
        <f t="shared" si="78"/>
        <v>BRASIL</v>
      </c>
      <c r="D1995" s="4" t="str">
        <f>"SE023"</f>
        <v>SE023</v>
      </c>
    </row>
    <row r="1996" spans="1:4" x14ac:dyDescent="0.3">
      <c r="A1996" s="2" t="str">
        <f>"GENERAL SALGADO"</f>
        <v>GENERAL SALGADO</v>
      </c>
      <c r="B1996" s="3" t="str">
        <f>"SP"</f>
        <v>SP</v>
      </c>
      <c r="C1996" s="3" t="str">
        <f t="shared" si="78"/>
        <v>BRASIL</v>
      </c>
      <c r="D1996" s="4" t="str">
        <f>"SP194"</f>
        <v>SP194</v>
      </c>
    </row>
    <row r="1997" spans="1:4" x14ac:dyDescent="0.3">
      <c r="A1997" s="2" t="str">
        <f>"GENERAL SAMPAIO"</f>
        <v>GENERAL SAMPAIO</v>
      </c>
      <c r="B1997" s="3" t="str">
        <f>"CE"</f>
        <v>CE</v>
      </c>
      <c r="C1997" s="3" t="str">
        <f t="shared" si="78"/>
        <v>BRASIL</v>
      </c>
      <c r="D1997" s="4" t="str">
        <f>"CE062"</f>
        <v>CE062</v>
      </c>
    </row>
    <row r="1998" spans="1:4" x14ac:dyDescent="0.3">
      <c r="A1998" s="2" t="str">
        <f>"GENEVA"</f>
        <v>GENEVA</v>
      </c>
      <c r="B1998" s="3" t="str">
        <f>"EX"</f>
        <v>EX</v>
      </c>
      <c r="C1998" s="3" t="str">
        <f>"SUICA"</f>
        <v>SUICA</v>
      </c>
      <c r="D1998" s="4" t="str">
        <f>"GENV"</f>
        <v>GENV</v>
      </c>
    </row>
    <row r="1999" spans="1:4" x14ac:dyDescent="0.3">
      <c r="A1999" s="2" t="str">
        <f>"GENTIL"</f>
        <v>GENTIL</v>
      </c>
      <c r="B1999" s="3" t="str">
        <f>"RS"</f>
        <v>RS</v>
      </c>
      <c r="C1999" s="3" t="str">
        <f>"BRASIL"</f>
        <v>BRASIL</v>
      </c>
      <c r="D1999" s="4" t="str">
        <f>"RS179"</f>
        <v>RS179</v>
      </c>
    </row>
    <row r="2000" spans="1:4" x14ac:dyDescent="0.3">
      <c r="A2000" s="2" t="str">
        <f>"GENTIO DO OURO"</f>
        <v>GENTIO DO OURO</v>
      </c>
      <c r="B2000" s="3" t="str">
        <f>"BA"</f>
        <v>BA</v>
      </c>
      <c r="C2000" s="3" t="str">
        <f>"BRASIL"</f>
        <v>BRASIL</v>
      </c>
      <c r="D2000" s="4" t="str">
        <f>"BA138"</f>
        <v>BA138</v>
      </c>
    </row>
    <row r="2001" spans="1:4" x14ac:dyDescent="0.3">
      <c r="A2001" s="2" t="str">
        <f>"GERNSBACH"</f>
        <v>GERNSBACH</v>
      </c>
      <c r="B2001" s="3" t="str">
        <f>"EX"</f>
        <v>EX</v>
      </c>
      <c r="C2001" s="3" t="str">
        <f>"ALEMANHA"</f>
        <v>ALEMANHA</v>
      </c>
      <c r="D2001" s="4" t="str">
        <f>"GERNS"</f>
        <v>GERNS</v>
      </c>
    </row>
    <row r="2002" spans="1:4" x14ac:dyDescent="0.3">
      <c r="A2002" s="2" t="str">
        <f>"GETULINA"</f>
        <v>GETULINA</v>
      </c>
      <c r="B2002" s="3" t="str">
        <f>"SP"</f>
        <v>SP</v>
      </c>
      <c r="C2002" s="3" t="str">
        <f t="shared" ref="C2002:C2007" si="79">"BRASIL"</f>
        <v>BRASIL</v>
      </c>
      <c r="D2002" s="4" t="str">
        <f>"SP195"</f>
        <v>SP195</v>
      </c>
    </row>
    <row r="2003" spans="1:4" x14ac:dyDescent="0.3">
      <c r="A2003" s="2" t="str">
        <f>"GETULIO VARGAS"</f>
        <v>GETULIO VARGAS</v>
      </c>
      <c r="B2003" s="3" t="str">
        <f>"RS"</f>
        <v>RS</v>
      </c>
      <c r="C2003" s="3" t="str">
        <f t="shared" si="79"/>
        <v>BRASIL</v>
      </c>
      <c r="D2003" s="4" t="str">
        <f>"RS180"</f>
        <v>RS180</v>
      </c>
    </row>
    <row r="2004" spans="1:4" x14ac:dyDescent="0.3">
      <c r="A2004" s="2" t="str">
        <f>"GILBUES"</f>
        <v>GILBUES</v>
      </c>
      <c r="B2004" s="3" t="str">
        <f>"PI"</f>
        <v>PI</v>
      </c>
      <c r="C2004" s="3" t="str">
        <f t="shared" si="79"/>
        <v>BRASIL</v>
      </c>
      <c r="D2004" s="4" t="str">
        <f>"PI090"</f>
        <v>PI090</v>
      </c>
    </row>
    <row r="2005" spans="1:4" x14ac:dyDescent="0.3">
      <c r="A2005" s="2" t="str">
        <f>"GIRAU DO PONCIANO"</f>
        <v>GIRAU DO PONCIANO</v>
      </c>
      <c r="B2005" s="3" t="str">
        <f>"AL"</f>
        <v>AL</v>
      </c>
      <c r="C2005" s="3" t="str">
        <f t="shared" si="79"/>
        <v>BRASIL</v>
      </c>
      <c r="D2005" s="4" t="str">
        <f>"AL032"</f>
        <v>AL032</v>
      </c>
    </row>
    <row r="2006" spans="1:4" x14ac:dyDescent="0.3">
      <c r="A2006" s="2" t="str">
        <f>"GIRUA"</f>
        <v>GIRUA</v>
      </c>
      <c r="B2006" s="3" t="str">
        <f>"RS"</f>
        <v>RS</v>
      </c>
      <c r="C2006" s="3" t="str">
        <f t="shared" si="79"/>
        <v>BRASIL</v>
      </c>
      <c r="D2006" s="4" t="str">
        <f>"RS181"</f>
        <v>RS181</v>
      </c>
    </row>
    <row r="2007" spans="1:4" x14ac:dyDescent="0.3">
      <c r="A2007" s="2" t="str">
        <f>"GLAUCILANDIA"</f>
        <v>GLAUCILANDIA</v>
      </c>
      <c r="B2007" s="3" t="str">
        <f>"MG"</f>
        <v>MG</v>
      </c>
      <c r="C2007" s="3" t="str">
        <f t="shared" si="79"/>
        <v>BRASIL</v>
      </c>
      <c r="D2007" s="4" t="str">
        <f>"MG309"</f>
        <v>MG309</v>
      </c>
    </row>
    <row r="2008" spans="1:4" x14ac:dyDescent="0.3">
      <c r="A2008" s="2" t="str">
        <f>"GLENDALE HEIGHTS"</f>
        <v>GLENDALE HEIGHTS</v>
      </c>
      <c r="B2008" s="3" t="str">
        <f>"EX"</f>
        <v>EX</v>
      </c>
      <c r="C2008" s="3" t="str">
        <f>"ESTADOS UNIDOS"</f>
        <v>ESTADOS UNIDOS</v>
      </c>
      <c r="D2008" s="4" t="str">
        <f>"GLEND"</f>
        <v>GLEND</v>
      </c>
    </row>
    <row r="2009" spans="1:4" x14ac:dyDescent="0.3">
      <c r="A2009" s="2" t="str">
        <f>"GLICERIO"</f>
        <v>GLICERIO</v>
      </c>
      <c r="B2009" s="3" t="str">
        <f>"SP"</f>
        <v>SP</v>
      </c>
      <c r="C2009" s="3" t="str">
        <f t="shared" ref="C2009:C2014" si="80">"BRASIL"</f>
        <v>BRASIL</v>
      </c>
      <c r="D2009" s="4" t="str">
        <f>"SP196"</f>
        <v>SP196</v>
      </c>
    </row>
    <row r="2010" spans="1:4" x14ac:dyDescent="0.3">
      <c r="A2010" s="2" t="str">
        <f>"GLORIA"</f>
        <v>GLORIA</v>
      </c>
      <c r="B2010" s="3" t="str">
        <f>"BA"</f>
        <v>BA</v>
      </c>
      <c r="C2010" s="3" t="str">
        <f t="shared" si="80"/>
        <v>BRASIL</v>
      </c>
      <c r="D2010" s="4" t="str">
        <f>"BA139"</f>
        <v>BA139</v>
      </c>
    </row>
    <row r="2011" spans="1:4" x14ac:dyDescent="0.3">
      <c r="A2011" s="2" t="str">
        <f>"GLORIA D'OESTE"</f>
        <v>GLORIA D'OESTE</v>
      </c>
      <c r="B2011" s="3" t="str">
        <f>"MT"</f>
        <v>MT</v>
      </c>
      <c r="C2011" s="3" t="str">
        <f t="shared" si="80"/>
        <v>BRASIL</v>
      </c>
      <c r="D2011" s="4" t="str">
        <f>"MT047"</f>
        <v>MT047</v>
      </c>
    </row>
    <row r="2012" spans="1:4" x14ac:dyDescent="0.3">
      <c r="A2012" s="2" t="str">
        <f>"GLORIA DE DOURADOS"</f>
        <v>GLORIA DE DOURADOS</v>
      </c>
      <c r="B2012" s="3" t="str">
        <f>"MS"</f>
        <v>MS</v>
      </c>
      <c r="C2012" s="3" t="str">
        <f t="shared" si="80"/>
        <v>BRASIL</v>
      </c>
      <c r="D2012" s="4" t="str">
        <f>"MS036"</f>
        <v>MS036</v>
      </c>
    </row>
    <row r="2013" spans="1:4" x14ac:dyDescent="0.3">
      <c r="A2013" s="2" t="str">
        <f>"GLORIA DO GOITA"</f>
        <v>GLORIA DO GOITA</v>
      </c>
      <c r="B2013" s="3" t="str">
        <f>"PE"</f>
        <v>PE</v>
      </c>
      <c r="C2013" s="3" t="str">
        <f t="shared" si="80"/>
        <v>BRASIL</v>
      </c>
      <c r="D2013" s="4" t="str">
        <f>"PE068"</f>
        <v>PE068</v>
      </c>
    </row>
    <row r="2014" spans="1:4" x14ac:dyDescent="0.3">
      <c r="A2014" s="2" t="str">
        <f>"GLORINHA"</f>
        <v>GLORINHA</v>
      </c>
      <c r="B2014" s="3" t="str">
        <f>"RS"</f>
        <v>RS</v>
      </c>
      <c r="C2014" s="3" t="str">
        <f t="shared" si="80"/>
        <v>BRASIL</v>
      </c>
      <c r="D2014" s="4" t="str">
        <f>"RS182"</f>
        <v>RS182</v>
      </c>
    </row>
    <row r="2015" spans="1:4" x14ac:dyDescent="0.3">
      <c r="A2015" s="2" t="str">
        <f>"GMUNDEN"</f>
        <v>GMUNDEN</v>
      </c>
      <c r="B2015" s="3" t="str">
        <f>"EX"</f>
        <v>EX</v>
      </c>
      <c r="C2015" s="3" t="str">
        <f>"AUSTRIA"</f>
        <v>AUSTRIA</v>
      </c>
      <c r="D2015" s="4" t="str">
        <f>"GMUND"</f>
        <v>GMUND</v>
      </c>
    </row>
    <row r="2016" spans="1:4" x14ac:dyDescent="0.3">
      <c r="A2016" s="2" t="str">
        <f>"GODOFREDO VIANA"</f>
        <v>GODOFREDO VIANA</v>
      </c>
      <c r="B2016" s="3" t="str">
        <f>"MA"</f>
        <v>MA</v>
      </c>
      <c r="C2016" s="3" t="str">
        <f t="shared" ref="C2016:C2037" si="81">"BRASIL"</f>
        <v>BRASIL</v>
      </c>
      <c r="D2016" s="4" t="str">
        <f>"MA075"</f>
        <v>MA075</v>
      </c>
    </row>
    <row r="2017" spans="1:4" x14ac:dyDescent="0.3">
      <c r="A2017" s="2" t="str">
        <f>"GODOY MOREIRA"</f>
        <v>GODOY MOREIRA</v>
      </c>
      <c r="B2017" s="3" t="str">
        <f>"PR"</f>
        <v>PR</v>
      </c>
      <c r="C2017" s="3" t="str">
        <f t="shared" si="81"/>
        <v>BRASIL</v>
      </c>
      <c r="D2017" s="4" t="str">
        <f>"PR124"</f>
        <v>PR124</v>
      </c>
    </row>
    <row r="2018" spans="1:4" x14ac:dyDescent="0.3">
      <c r="A2018" s="2" t="str">
        <f>"GOIABEIRA"</f>
        <v>GOIABEIRA</v>
      </c>
      <c r="B2018" s="3" t="str">
        <f>"MG"</f>
        <v>MG</v>
      </c>
      <c r="C2018" s="3" t="str">
        <f t="shared" si="81"/>
        <v>BRASIL</v>
      </c>
      <c r="D2018" s="4" t="str">
        <f>"MG310"</f>
        <v>MG310</v>
      </c>
    </row>
    <row r="2019" spans="1:4" x14ac:dyDescent="0.3">
      <c r="A2019" s="2" t="str">
        <f>"GOIANA"</f>
        <v>GOIANA</v>
      </c>
      <c r="B2019" s="3" t="str">
        <f>"MG"</f>
        <v>MG</v>
      </c>
      <c r="C2019" s="3" t="str">
        <f t="shared" si="81"/>
        <v>BRASIL</v>
      </c>
      <c r="D2019" s="4" t="str">
        <f>"MG311"</f>
        <v>MG311</v>
      </c>
    </row>
    <row r="2020" spans="1:4" x14ac:dyDescent="0.3">
      <c r="A2020" s="2" t="str">
        <f>"GOIANA"</f>
        <v>GOIANA</v>
      </c>
      <c r="B2020" s="3" t="str">
        <f>"PE"</f>
        <v>PE</v>
      </c>
      <c r="C2020" s="3" t="str">
        <f t="shared" si="81"/>
        <v>BRASIL</v>
      </c>
      <c r="D2020" s="4" t="str">
        <f>"PE069"</f>
        <v>PE069</v>
      </c>
    </row>
    <row r="2021" spans="1:4" x14ac:dyDescent="0.3">
      <c r="A2021" s="2" t="str">
        <f>"GOIANAPOLIS"</f>
        <v>GOIANAPOLIS</v>
      </c>
      <c r="B2021" s="3" t="str">
        <f>"GO"</f>
        <v>GO</v>
      </c>
      <c r="C2021" s="3" t="str">
        <f t="shared" si="81"/>
        <v>BRASIL</v>
      </c>
      <c r="D2021" s="4" t="str">
        <f>"GO092"</f>
        <v>GO092</v>
      </c>
    </row>
    <row r="2022" spans="1:4" x14ac:dyDescent="0.3">
      <c r="A2022" s="2" t="str">
        <f>"GOIANDIRA"</f>
        <v>GOIANDIRA</v>
      </c>
      <c r="B2022" s="3" t="str">
        <f>"GO"</f>
        <v>GO</v>
      </c>
      <c r="C2022" s="3" t="str">
        <f t="shared" si="81"/>
        <v>BRASIL</v>
      </c>
      <c r="D2022" s="4" t="str">
        <f>"GO093"</f>
        <v>GO093</v>
      </c>
    </row>
    <row r="2023" spans="1:4" x14ac:dyDescent="0.3">
      <c r="A2023" s="2" t="str">
        <f>"GOIANESIA"</f>
        <v>GOIANESIA</v>
      </c>
      <c r="B2023" s="3" t="str">
        <f>"GO"</f>
        <v>GO</v>
      </c>
      <c r="C2023" s="3" t="str">
        <f t="shared" si="81"/>
        <v>BRASIL</v>
      </c>
      <c r="D2023" s="4" t="str">
        <f>"GO094"</f>
        <v>GO094</v>
      </c>
    </row>
    <row r="2024" spans="1:4" x14ac:dyDescent="0.3">
      <c r="A2024" s="2" t="str">
        <f>"GOIANESIA DO PARA"</f>
        <v>GOIANESIA DO PARA</v>
      </c>
      <c r="B2024" s="3" t="str">
        <f>"PA"</f>
        <v>PA</v>
      </c>
      <c r="C2024" s="3" t="str">
        <f t="shared" si="81"/>
        <v>BRASIL</v>
      </c>
      <c r="D2024" s="4" t="str">
        <f>"PA051"</f>
        <v>PA051</v>
      </c>
    </row>
    <row r="2025" spans="1:4" x14ac:dyDescent="0.3">
      <c r="A2025" s="2" t="str">
        <f>"GOIANIA"</f>
        <v>GOIANIA</v>
      </c>
      <c r="B2025" s="3" t="str">
        <f>"GO"</f>
        <v>GO</v>
      </c>
      <c r="C2025" s="3" t="str">
        <f t="shared" si="81"/>
        <v>BRASIL</v>
      </c>
      <c r="D2025" s="4" t="str">
        <f>"GO095"</f>
        <v>GO095</v>
      </c>
    </row>
    <row r="2026" spans="1:4" x14ac:dyDescent="0.3">
      <c r="A2026" s="2" t="str">
        <f>"GOIANINHA"</f>
        <v>GOIANINHA</v>
      </c>
      <c r="B2026" s="3" t="str">
        <f>"RN"</f>
        <v>RN</v>
      </c>
      <c r="C2026" s="3" t="str">
        <f t="shared" si="81"/>
        <v>BRASIL</v>
      </c>
      <c r="D2026" s="4" t="str">
        <f>"RN047"</f>
        <v>RN047</v>
      </c>
    </row>
    <row r="2027" spans="1:4" x14ac:dyDescent="0.3">
      <c r="A2027" s="2" t="str">
        <f>"GOIANIRA"</f>
        <v>GOIANIRA</v>
      </c>
      <c r="B2027" s="3" t="str">
        <f>"GO"</f>
        <v>GO</v>
      </c>
      <c r="C2027" s="3" t="str">
        <f t="shared" si="81"/>
        <v>BRASIL</v>
      </c>
      <c r="D2027" s="4" t="str">
        <f>"GO096"</f>
        <v>GO096</v>
      </c>
    </row>
    <row r="2028" spans="1:4" x14ac:dyDescent="0.3">
      <c r="A2028" s="2" t="str">
        <f>"GOIANORTE"</f>
        <v>GOIANORTE</v>
      </c>
      <c r="B2028" s="3" t="str">
        <f>"TO"</f>
        <v>TO</v>
      </c>
      <c r="C2028" s="3" t="str">
        <f t="shared" si="81"/>
        <v>BRASIL</v>
      </c>
      <c r="D2028" s="4" t="str">
        <f>"TO055"</f>
        <v>TO055</v>
      </c>
    </row>
    <row r="2029" spans="1:4" x14ac:dyDescent="0.3">
      <c r="A2029" s="2" t="str">
        <f>"GOIAS"</f>
        <v>GOIAS</v>
      </c>
      <c r="B2029" s="3" t="str">
        <f>"GO"</f>
        <v>GO</v>
      </c>
      <c r="C2029" s="3" t="str">
        <f t="shared" si="81"/>
        <v>BRASIL</v>
      </c>
      <c r="D2029" s="4" t="str">
        <f>"GO097"</f>
        <v>GO097</v>
      </c>
    </row>
    <row r="2030" spans="1:4" x14ac:dyDescent="0.3">
      <c r="A2030" s="2" t="str">
        <f>"GOIATINS"</f>
        <v>GOIATINS</v>
      </c>
      <c r="B2030" s="3" t="str">
        <f>"TO"</f>
        <v>TO</v>
      </c>
      <c r="C2030" s="3" t="str">
        <f t="shared" si="81"/>
        <v>BRASIL</v>
      </c>
      <c r="D2030" s="4" t="str">
        <f>"TO056"</f>
        <v>TO056</v>
      </c>
    </row>
    <row r="2031" spans="1:4" x14ac:dyDescent="0.3">
      <c r="A2031" s="2" t="str">
        <f>"GOIATUBA"</f>
        <v>GOIATUBA</v>
      </c>
      <c r="B2031" s="3" t="str">
        <f>"GO"</f>
        <v>GO</v>
      </c>
      <c r="C2031" s="3" t="str">
        <f t="shared" si="81"/>
        <v>BRASIL</v>
      </c>
      <c r="D2031" s="4" t="str">
        <f>"GO098"</f>
        <v>GO098</v>
      </c>
    </row>
    <row r="2032" spans="1:4" x14ac:dyDescent="0.3">
      <c r="A2032" s="2" t="str">
        <f>"GOIOERE"</f>
        <v>GOIOERE</v>
      </c>
      <c r="B2032" s="3" t="str">
        <f>"PR"</f>
        <v>PR</v>
      </c>
      <c r="C2032" s="3" t="str">
        <f t="shared" si="81"/>
        <v>BRASIL</v>
      </c>
      <c r="D2032" s="4" t="str">
        <f>"PR125"</f>
        <v>PR125</v>
      </c>
    </row>
    <row r="2033" spans="1:4" x14ac:dyDescent="0.3">
      <c r="A2033" s="2" t="str">
        <f>"GOIOXIM"</f>
        <v>GOIOXIM</v>
      </c>
      <c r="B2033" s="3" t="str">
        <f>"PR"</f>
        <v>PR</v>
      </c>
      <c r="C2033" s="3" t="str">
        <f t="shared" si="81"/>
        <v>BRASIL</v>
      </c>
      <c r="D2033" s="4" t="str">
        <f>"PR126"</f>
        <v>PR126</v>
      </c>
    </row>
    <row r="2034" spans="1:4" x14ac:dyDescent="0.3">
      <c r="A2034" s="2" t="str">
        <f>"GONCALVES"</f>
        <v>GONCALVES</v>
      </c>
      <c r="B2034" s="3" t="str">
        <f>"MG"</f>
        <v>MG</v>
      </c>
      <c r="C2034" s="3" t="str">
        <f t="shared" si="81"/>
        <v>BRASIL</v>
      </c>
      <c r="D2034" s="4" t="str">
        <f>"MG312"</f>
        <v>MG312</v>
      </c>
    </row>
    <row r="2035" spans="1:4" x14ac:dyDescent="0.3">
      <c r="A2035" s="2" t="str">
        <f>"GONCALVES DIAS"</f>
        <v>GONCALVES DIAS</v>
      </c>
      <c r="B2035" s="3" t="str">
        <f>"MA"</f>
        <v>MA</v>
      </c>
      <c r="C2035" s="3" t="str">
        <f t="shared" si="81"/>
        <v>BRASIL</v>
      </c>
      <c r="D2035" s="4" t="str">
        <f>"MA076"</f>
        <v>MA076</v>
      </c>
    </row>
    <row r="2036" spans="1:4" x14ac:dyDescent="0.3">
      <c r="A2036" s="2" t="str">
        <f>"GONGOGI"</f>
        <v>GONGOGI</v>
      </c>
      <c r="B2036" s="3" t="str">
        <f>"BA"</f>
        <v>BA</v>
      </c>
      <c r="C2036" s="3" t="str">
        <f t="shared" si="81"/>
        <v>BRASIL</v>
      </c>
      <c r="D2036" s="4" t="str">
        <f>"BA140"</f>
        <v>BA140</v>
      </c>
    </row>
    <row r="2037" spans="1:4" x14ac:dyDescent="0.3">
      <c r="A2037" s="2" t="str">
        <f>"GONZAGA"</f>
        <v>GONZAGA</v>
      </c>
      <c r="B2037" s="3" t="str">
        <f>"MG"</f>
        <v>MG</v>
      </c>
      <c r="C2037" s="3" t="str">
        <f t="shared" si="81"/>
        <v>BRASIL</v>
      </c>
      <c r="D2037" s="4" t="str">
        <f>"MG313"</f>
        <v>MG313</v>
      </c>
    </row>
    <row r="2038" spans="1:4" x14ac:dyDescent="0.3">
      <c r="A2038" s="2" t="str">
        <f>"GÖPPINGEN"</f>
        <v>GÖPPINGEN</v>
      </c>
      <c r="B2038" s="3" t="str">
        <f>"EX"</f>
        <v>EX</v>
      </c>
      <c r="C2038" s="3" t="str">
        <f>"ALEMANHA"</f>
        <v>ALEMANHA</v>
      </c>
      <c r="D2038" s="4" t="str">
        <f>"GOPP"</f>
        <v>GOPP</v>
      </c>
    </row>
    <row r="2039" spans="1:4" x14ac:dyDescent="0.3">
      <c r="A2039" s="2" t="str">
        <f>"GOUVEIA"</f>
        <v>GOUVEIA</v>
      </c>
      <c r="B2039" s="3" t="str">
        <f>"MG"</f>
        <v>MG</v>
      </c>
      <c r="C2039" s="3" t="str">
        <f t="shared" ref="C2039:C2052" si="82">"BRASIL"</f>
        <v>BRASIL</v>
      </c>
      <c r="D2039" s="4" t="str">
        <f>"MG314"</f>
        <v>MG314</v>
      </c>
    </row>
    <row r="2040" spans="1:4" x14ac:dyDescent="0.3">
      <c r="A2040" s="2" t="str">
        <f>"GOUVELANDIA"</f>
        <v>GOUVELANDIA</v>
      </c>
      <c r="B2040" s="3" t="str">
        <f>"GO"</f>
        <v>GO</v>
      </c>
      <c r="C2040" s="3" t="str">
        <f t="shared" si="82"/>
        <v>BRASIL</v>
      </c>
      <c r="D2040" s="4" t="str">
        <f>"GO099"</f>
        <v>GO099</v>
      </c>
    </row>
    <row r="2041" spans="1:4" x14ac:dyDescent="0.3">
      <c r="A2041" s="2" t="str">
        <f>"GOVERNADOR ARCHER"</f>
        <v>GOVERNADOR ARCHER</v>
      </c>
      <c r="B2041" s="3" t="str">
        <f>"MA"</f>
        <v>MA</v>
      </c>
      <c r="C2041" s="3" t="str">
        <f t="shared" si="82"/>
        <v>BRASIL</v>
      </c>
      <c r="D2041" s="4" t="str">
        <f>"MA077"</f>
        <v>MA077</v>
      </c>
    </row>
    <row r="2042" spans="1:4" x14ac:dyDescent="0.3">
      <c r="A2042" s="2" t="str">
        <f>"GOVERNADOR CELSO RAMOS"</f>
        <v>GOVERNADOR CELSO RAMOS</v>
      </c>
      <c r="B2042" s="3" t="str">
        <f>"SC"</f>
        <v>SC</v>
      </c>
      <c r="C2042" s="3" t="str">
        <f t="shared" si="82"/>
        <v>BRASIL</v>
      </c>
      <c r="D2042" s="4" t="str">
        <f>"SC097"</f>
        <v>SC097</v>
      </c>
    </row>
    <row r="2043" spans="1:4" x14ac:dyDescent="0.3">
      <c r="A2043" s="2" t="str">
        <f>"GOVERNADOR DIX-SEPT ROSAD"</f>
        <v>GOVERNADOR DIX-SEPT ROSAD</v>
      </c>
      <c r="B2043" s="3" t="str">
        <f>"RN"</f>
        <v>RN</v>
      </c>
      <c r="C2043" s="3" t="str">
        <f t="shared" si="82"/>
        <v>BRASIL</v>
      </c>
      <c r="D2043" s="4" t="str">
        <f>"RN048"</f>
        <v>RN048</v>
      </c>
    </row>
    <row r="2044" spans="1:4" x14ac:dyDescent="0.3">
      <c r="A2044" s="2" t="str">
        <f>"GOVERNADOR EDISON LOBAO"</f>
        <v>GOVERNADOR EDISON LOBAO</v>
      </c>
      <c r="B2044" s="3" t="str">
        <f>"MA"</f>
        <v>MA</v>
      </c>
      <c r="C2044" s="3" t="str">
        <f t="shared" si="82"/>
        <v>BRASIL</v>
      </c>
      <c r="D2044" s="4" t="str">
        <f>"MA078"</f>
        <v>MA078</v>
      </c>
    </row>
    <row r="2045" spans="1:4" x14ac:dyDescent="0.3">
      <c r="A2045" s="2" t="str">
        <f>"GOVERNADOR EUGENIO BARROS"</f>
        <v>GOVERNADOR EUGENIO BARROS</v>
      </c>
      <c r="B2045" s="3" t="str">
        <f>"MA"</f>
        <v>MA</v>
      </c>
      <c r="C2045" s="3" t="str">
        <f t="shared" si="82"/>
        <v>BRASIL</v>
      </c>
      <c r="D2045" s="4" t="str">
        <f>"MA079"</f>
        <v>MA079</v>
      </c>
    </row>
    <row r="2046" spans="1:4" x14ac:dyDescent="0.3">
      <c r="A2046" s="2" t="str">
        <f>"GOVERNADOR JORGE TEIXEIRA"</f>
        <v>GOVERNADOR JORGE TEIXEIRA</v>
      </c>
      <c r="B2046" s="3" t="str">
        <f>"RO"</f>
        <v>RO</v>
      </c>
      <c r="C2046" s="3" t="str">
        <f t="shared" si="82"/>
        <v>BRASIL</v>
      </c>
      <c r="D2046" s="4" t="str">
        <f>"RO036"</f>
        <v>RO036</v>
      </c>
    </row>
    <row r="2047" spans="1:4" x14ac:dyDescent="0.3">
      <c r="A2047" s="2" t="str">
        <f>"GOVERNADOR LINDENBERG"</f>
        <v>GOVERNADOR LINDENBERG</v>
      </c>
      <c r="B2047" s="3" t="str">
        <f>"ES"</f>
        <v>ES</v>
      </c>
      <c r="C2047" s="3" t="str">
        <f t="shared" si="82"/>
        <v>BRASIL</v>
      </c>
      <c r="D2047" s="4" t="str">
        <f>"ES027"</f>
        <v>ES027</v>
      </c>
    </row>
    <row r="2048" spans="1:4" x14ac:dyDescent="0.3">
      <c r="A2048" s="2" t="str">
        <f>"GOVERNADOR LUIZ ROCHA"</f>
        <v>GOVERNADOR LUIZ ROCHA</v>
      </c>
      <c r="B2048" s="3" t="str">
        <f>"MA"</f>
        <v>MA</v>
      </c>
      <c r="C2048" s="3" t="str">
        <f t="shared" si="82"/>
        <v>BRASIL</v>
      </c>
      <c r="D2048" s="4" t="str">
        <f>"MA080"</f>
        <v>MA080</v>
      </c>
    </row>
    <row r="2049" spans="1:4" x14ac:dyDescent="0.3">
      <c r="A2049" s="2" t="str">
        <f>"GOVERNADOR MANGABEIRA"</f>
        <v>GOVERNADOR MANGABEIRA</v>
      </c>
      <c r="B2049" s="3" t="str">
        <f>"BA"</f>
        <v>BA</v>
      </c>
      <c r="C2049" s="3" t="str">
        <f t="shared" si="82"/>
        <v>BRASIL</v>
      </c>
      <c r="D2049" s="4" t="str">
        <f>"BA141"</f>
        <v>BA141</v>
      </c>
    </row>
    <row r="2050" spans="1:4" x14ac:dyDescent="0.3">
      <c r="A2050" s="2" t="str">
        <f>"GOVERNADOR NEWTON BELLO"</f>
        <v>GOVERNADOR NEWTON BELLO</v>
      </c>
      <c r="B2050" s="3" t="str">
        <f>"MA"</f>
        <v>MA</v>
      </c>
      <c r="C2050" s="3" t="str">
        <f t="shared" si="82"/>
        <v>BRASIL</v>
      </c>
      <c r="D2050" s="4" t="str">
        <f>"MA081"</f>
        <v>MA081</v>
      </c>
    </row>
    <row r="2051" spans="1:4" x14ac:dyDescent="0.3">
      <c r="A2051" s="2" t="str">
        <f>"GOVERNADOR NUNES FREIRE"</f>
        <v>GOVERNADOR NUNES FREIRE</v>
      </c>
      <c r="B2051" s="3" t="str">
        <f>"MA"</f>
        <v>MA</v>
      </c>
      <c r="C2051" s="3" t="str">
        <f t="shared" si="82"/>
        <v>BRASIL</v>
      </c>
      <c r="D2051" s="4" t="str">
        <f>"MA082"</f>
        <v>MA082</v>
      </c>
    </row>
    <row r="2052" spans="1:4" x14ac:dyDescent="0.3">
      <c r="A2052" s="2" t="str">
        <f>"GOVERNADOR VALADARES"</f>
        <v>GOVERNADOR VALADARES</v>
      </c>
      <c r="B2052" s="3" t="str">
        <f>"MG"</f>
        <v>MG</v>
      </c>
      <c r="C2052" s="3" t="str">
        <f t="shared" si="82"/>
        <v>BRASIL</v>
      </c>
      <c r="D2052" s="4" t="str">
        <f>"MG315"</f>
        <v>MG315</v>
      </c>
    </row>
    <row r="2053" spans="1:4" x14ac:dyDescent="0.3">
      <c r="A2053" s="2" t="str">
        <f>"GOYA"</f>
        <v>GOYA</v>
      </c>
      <c r="B2053" s="3" t="str">
        <f>"EX"</f>
        <v>EX</v>
      </c>
      <c r="C2053" s="3" t="str">
        <f>"ARGENTINA"</f>
        <v>ARGENTINA</v>
      </c>
      <c r="D2053" s="4" t="str">
        <f>"CR"</f>
        <v>CR</v>
      </c>
    </row>
    <row r="2054" spans="1:4" x14ac:dyDescent="0.3">
      <c r="A2054" s="2" t="str">
        <f>"GRACA"</f>
        <v>GRACA</v>
      </c>
      <c r="B2054" s="3" t="str">
        <f>"CE"</f>
        <v>CE</v>
      </c>
      <c r="C2054" s="3" t="str">
        <f>"BRASIL"</f>
        <v>BRASIL</v>
      </c>
      <c r="D2054" s="4" t="str">
        <f>"CE063"</f>
        <v>CE063</v>
      </c>
    </row>
    <row r="2055" spans="1:4" x14ac:dyDescent="0.3">
      <c r="A2055" s="2" t="str">
        <f>"GRACA ARANHA"</f>
        <v>GRACA ARANHA</v>
      </c>
      <c r="B2055" s="3" t="str">
        <f>"MA"</f>
        <v>MA</v>
      </c>
      <c r="C2055" s="3" t="str">
        <f>"BRASIL"</f>
        <v>BRASIL</v>
      </c>
      <c r="D2055" s="4" t="str">
        <f>"MA083"</f>
        <v>MA083</v>
      </c>
    </row>
    <row r="2056" spans="1:4" x14ac:dyDescent="0.3">
      <c r="A2056" s="2" t="str">
        <f>"GRACHO CARDOSO"</f>
        <v>GRACHO CARDOSO</v>
      </c>
      <c r="B2056" s="3" t="str">
        <f>"SE"</f>
        <v>SE</v>
      </c>
      <c r="C2056" s="3" t="str">
        <f>"BRASIL"</f>
        <v>BRASIL</v>
      </c>
      <c r="D2056" s="4" t="str">
        <f>"SE024"</f>
        <v>SE024</v>
      </c>
    </row>
    <row r="2057" spans="1:4" x14ac:dyDescent="0.3">
      <c r="A2057" s="2" t="str">
        <f>"GRAFELFING"</f>
        <v>GRAFELFING</v>
      </c>
      <c r="B2057" s="3" t="str">
        <f>"EX"</f>
        <v>EX</v>
      </c>
      <c r="C2057" s="3" t="str">
        <f>"ALEMANHA"</f>
        <v>ALEMANHA</v>
      </c>
      <c r="D2057" s="4" t="str">
        <f>"GRAFE"</f>
        <v>GRAFE</v>
      </c>
    </row>
    <row r="2058" spans="1:4" x14ac:dyDescent="0.3">
      <c r="A2058" s="2" t="str">
        <f>"GRAJAU"</f>
        <v>GRAJAU</v>
      </c>
      <c r="B2058" s="3" t="str">
        <f>"MA"</f>
        <v>MA</v>
      </c>
      <c r="C2058" s="3" t="str">
        <f>"BRASIL"</f>
        <v>BRASIL</v>
      </c>
      <c r="D2058" s="4" t="str">
        <f>"MA084"</f>
        <v>MA084</v>
      </c>
    </row>
    <row r="2059" spans="1:4" x14ac:dyDescent="0.3">
      <c r="A2059" s="2" t="str">
        <f>"GRAMADO"</f>
        <v>GRAMADO</v>
      </c>
      <c r="B2059" s="3" t="str">
        <f>"RS"</f>
        <v>RS</v>
      </c>
      <c r="C2059" s="3" t="str">
        <f>"BRASIL"</f>
        <v>BRASIL</v>
      </c>
      <c r="D2059" s="4" t="str">
        <f>"RS183"</f>
        <v>RS183</v>
      </c>
    </row>
    <row r="2060" spans="1:4" x14ac:dyDescent="0.3">
      <c r="A2060" s="2" t="str">
        <f>"GRAMADO DOS LOUREIROS"</f>
        <v>GRAMADO DOS LOUREIROS</v>
      </c>
      <c r="B2060" s="3" t="str">
        <f>"RS"</f>
        <v>RS</v>
      </c>
      <c r="C2060" s="3" t="str">
        <f>"BRASIL"</f>
        <v>BRASIL</v>
      </c>
      <c r="D2060" s="4" t="str">
        <f>"RS184"</f>
        <v>RS184</v>
      </c>
    </row>
    <row r="2061" spans="1:4" x14ac:dyDescent="0.3">
      <c r="A2061" s="2" t="str">
        <f>"GRAMADO XAVIER"</f>
        <v>GRAMADO XAVIER</v>
      </c>
      <c r="B2061" s="3" t="str">
        <f>"RS"</f>
        <v>RS</v>
      </c>
      <c r="C2061" s="3" t="str">
        <f>"BRASIL"</f>
        <v>BRASIL</v>
      </c>
      <c r="D2061" s="4" t="str">
        <f>"RS185"</f>
        <v>RS185</v>
      </c>
    </row>
    <row r="2062" spans="1:4" x14ac:dyDescent="0.3">
      <c r="A2062" s="2" t="str">
        <f>"GRANDES RIOS"</f>
        <v>GRANDES RIOS</v>
      </c>
      <c r="B2062" s="3" t="str">
        <f>"PR"</f>
        <v>PR</v>
      </c>
      <c r="C2062" s="3" t="str">
        <f>"BRASIL"</f>
        <v>BRASIL</v>
      </c>
      <c r="D2062" s="4" t="str">
        <f>"PR127"</f>
        <v>PR127</v>
      </c>
    </row>
    <row r="2063" spans="1:4" x14ac:dyDescent="0.3">
      <c r="A2063" s="2" t="str">
        <f>"GRANDVILLE, MICHIGAN"</f>
        <v>GRANDVILLE, MICHIGAN</v>
      </c>
      <c r="B2063" s="3" t="str">
        <f>"EX"</f>
        <v>EX</v>
      </c>
      <c r="C2063" s="3" t="str">
        <f>"ESTADOS UNIDOS"</f>
        <v>ESTADOS UNIDOS</v>
      </c>
      <c r="D2063" s="4" t="str">
        <f>"GRAND"</f>
        <v>GRAND</v>
      </c>
    </row>
    <row r="2064" spans="1:4" x14ac:dyDescent="0.3">
      <c r="A2064" s="2" t="str">
        <f>"GRANITO"</f>
        <v>GRANITO</v>
      </c>
      <c r="B2064" s="3" t="str">
        <f>"PE"</f>
        <v>PE</v>
      </c>
      <c r="C2064" s="3" t="str">
        <f>"BRASIL"</f>
        <v>BRASIL</v>
      </c>
      <c r="D2064" s="4" t="str">
        <f>"PE070"</f>
        <v>PE070</v>
      </c>
    </row>
    <row r="2065" spans="1:4" x14ac:dyDescent="0.3">
      <c r="A2065" s="2" t="str">
        <f>"GRANJA"</f>
        <v>GRANJA</v>
      </c>
      <c r="B2065" s="3" t="str">
        <f>"CE"</f>
        <v>CE</v>
      </c>
      <c r="C2065" s="3" t="str">
        <f>"BRASIL"</f>
        <v>BRASIL</v>
      </c>
      <c r="D2065" s="4" t="str">
        <f>"CE064"</f>
        <v>CE064</v>
      </c>
    </row>
    <row r="2066" spans="1:4" x14ac:dyDescent="0.3">
      <c r="A2066" s="2" t="str">
        <f>"GRANJEIRO"</f>
        <v>GRANJEIRO</v>
      </c>
      <c r="B2066" s="3" t="str">
        <f>"CE"</f>
        <v>CE</v>
      </c>
      <c r="C2066" s="3" t="str">
        <f>"BRASIL"</f>
        <v>BRASIL</v>
      </c>
      <c r="D2066" s="4" t="str">
        <f>"CE065"</f>
        <v>CE065</v>
      </c>
    </row>
    <row r="2067" spans="1:4" x14ac:dyDescent="0.3">
      <c r="A2067" s="2" t="str">
        <f>"GRANOLLER"</f>
        <v>GRANOLLER</v>
      </c>
      <c r="B2067" s="3" t="str">
        <f>"EX"</f>
        <v>EX</v>
      </c>
      <c r="C2067" s="3" t="str">
        <f>"ESPANHA"</f>
        <v>ESPANHA</v>
      </c>
      <c r="D2067" s="4" t="str">
        <f>"GRA"</f>
        <v>GRA</v>
      </c>
    </row>
    <row r="2068" spans="1:4" x14ac:dyDescent="0.3">
      <c r="A2068" s="2" t="str">
        <f>"GRANOLLERS"</f>
        <v>GRANOLLERS</v>
      </c>
      <c r="B2068" s="3" t="str">
        <f>"EX"</f>
        <v>EX</v>
      </c>
      <c r="C2068" s="3" t="str">
        <f>"ESPANHA"</f>
        <v>ESPANHA</v>
      </c>
      <c r="D2068" s="4" t="str">
        <f>"GRA1"</f>
        <v>GRA1</v>
      </c>
    </row>
    <row r="2069" spans="1:4" x14ac:dyDescent="0.3">
      <c r="A2069" s="2" t="str">
        <f>"GRANOLLES"</f>
        <v>GRANOLLES</v>
      </c>
      <c r="B2069" s="3" t="str">
        <f>"EX"</f>
        <v>EX</v>
      </c>
      <c r="C2069" s="3" t="str">
        <f>"ESPANHA"</f>
        <v>ESPANHA</v>
      </c>
      <c r="D2069" s="4" t="str">
        <f>"GRANO"</f>
        <v>GRANO</v>
      </c>
    </row>
    <row r="2070" spans="1:4" x14ac:dyDescent="0.3">
      <c r="A2070" s="2" t="str">
        <f>"GRAO MOGOL"</f>
        <v>GRAO MOGOL</v>
      </c>
      <c r="B2070" s="3" t="str">
        <f>"MG"</f>
        <v>MG</v>
      </c>
      <c r="C2070" s="3" t="str">
        <f>"BRASIL"</f>
        <v>BRASIL</v>
      </c>
      <c r="D2070" s="4" t="str">
        <f>"MG316"</f>
        <v>MG316</v>
      </c>
    </row>
    <row r="2071" spans="1:4" x14ac:dyDescent="0.3">
      <c r="A2071" s="2" t="str">
        <f>"GRAO PARA"</f>
        <v>GRAO PARA</v>
      </c>
      <c r="B2071" s="3" t="str">
        <f>"SC"</f>
        <v>SC</v>
      </c>
      <c r="C2071" s="3" t="str">
        <f>"BRASIL"</f>
        <v>BRASIL</v>
      </c>
      <c r="D2071" s="4" t="str">
        <f>"SC098"</f>
        <v>SC098</v>
      </c>
    </row>
    <row r="2072" spans="1:4" x14ac:dyDescent="0.3">
      <c r="A2072" s="2" t="str">
        <f>"GRASSOBIO"</f>
        <v>GRASSOBIO</v>
      </c>
      <c r="B2072" s="3" t="str">
        <f>"EX"</f>
        <v>EX</v>
      </c>
      <c r="C2072" s="3" t="str">
        <f>"ITALIA"</f>
        <v>ITALIA</v>
      </c>
      <c r="D2072" s="4" t="str">
        <f>"GRAEX"</f>
        <v>GRAEX</v>
      </c>
    </row>
    <row r="2073" spans="1:4" x14ac:dyDescent="0.3">
      <c r="A2073" s="2" t="str">
        <f>"GRASSOBIO"</f>
        <v>GRASSOBIO</v>
      </c>
      <c r="B2073" s="3" t="str">
        <f>"IT"</f>
        <v>IT</v>
      </c>
      <c r="C2073" s="3" t="str">
        <f>"ITALIA"</f>
        <v>ITALIA</v>
      </c>
      <c r="D2073" s="4" t="str">
        <f>"GRASS"</f>
        <v>GRASS</v>
      </c>
    </row>
    <row r="2074" spans="1:4" x14ac:dyDescent="0.3">
      <c r="A2074" s="2" t="str">
        <f>"GRAVATA"</f>
        <v>GRAVATA</v>
      </c>
      <c r="B2074" s="3" t="str">
        <f>"PE"</f>
        <v>PE</v>
      </c>
      <c r="C2074" s="3" t="str">
        <f>"BRASIL"</f>
        <v>BRASIL</v>
      </c>
      <c r="D2074" s="4" t="str">
        <f>"PE071"</f>
        <v>PE071</v>
      </c>
    </row>
    <row r="2075" spans="1:4" x14ac:dyDescent="0.3">
      <c r="A2075" s="2" t="str">
        <f>"GRAVATAI"</f>
        <v>GRAVATAI</v>
      </c>
      <c r="B2075" s="3" t="str">
        <f>"RS"</f>
        <v>RS</v>
      </c>
      <c r="C2075" s="3" t="str">
        <f>"BRASIL"</f>
        <v>BRASIL</v>
      </c>
      <c r="D2075" s="4" t="str">
        <f>"RS186"</f>
        <v>RS186</v>
      </c>
    </row>
    <row r="2076" spans="1:4" x14ac:dyDescent="0.3">
      <c r="A2076" s="2" t="str">
        <f>"GRAVATAL"</f>
        <v>GRAVATAL</v>
      </c>
      <c r="B2076" s="3" t="str">
        <f>"SC"</f>
        <v>SC</v>
      </c>
      <c r="C2076" s="3" t="str">
        <f>"BRASIL"</f>
        <v>BRASIL</v>
      </c>
      <c r="D2076" s="4" t="str">
        <f>"SC099"</f>
        <v>SC099</v>
      </c>
    </row>
    <row r="2077" spans="1:4" x14ac:dyDescent="0.3">
      <c r="A2077" s="2" t="str">
        <f>"GRENZACH WYHLEN"</f>
        <v>GRENZACH WYHLEN</v>
      </c>
      <c r="B2077" s="3" t="str">
        <f>"EX"</f>
        <v>EX</v>
      </c>
      <c r="C2077" s="3" t="str">
        <f>"ALEMANHA"</f>
        <v>ALEMANHA</v>
      </c>
      <c r="D2077" s="4" t="str">
        <f>"GRENZ"</f>
        <v>GRENZ</v>
      </c>
    </row>
    <row r="2078" spans="1:4" x14ac:dyDescent="0.3">
      <c r="A2078" s="2" t="str">
        <f>"GRIMSBY"</f>
        <v>GRIMSBY</v>
      </c>
      <c r="B2078" s="3" t="str">
        <f>"EX"</f>
        <v>EX</v>
      </c>
      <c r="C2078" s="3" t="str">
        <f>"REINO UNIDO"</f>
        <v>REINO UNIDO</v>
      </c>
      <c r="D2078" s="4" t="str">
        <f>"GRIMS"</f>
        <v>GRIMS</v>
      </c>
    </row>
    <row r="2079" spans="1:4" x14ac:dyDescent="0.3">
      <c r="A2079" s="2" t="str">
        <f>"GROAIRAS"</f>
        <v>GROAIRAS</v>
      </c>
      <c r="B2079" s="3" t="str">
        <f>"CE"</f>
        <v>CE</v>
      </c>
      <c r="C2079" s="3" t="str">
        <f>"BRASIL"</f>
        <v>BRASIL</v>
      </c>
      <c r="D2079" s="4" t="str">
        <f>"CE066"</f>
        <v>CE066</v>
      </c>
    </row>
    <row r="2080" spans="1:4" x14ac:dyDescent="0.3">
      <c r="A2080" s="2" t="str">
        <f>"GRONAU"</f>
        <v>GRONAU</v>
      </c>
      <c r="B2080" s="3" t="str">
        <f>"EX"</f>
        <v>EX</v>
      </c>
      <c r="C2080" s="3" t="str">
        <f>"ALEMANHA"</f>
        <v>ALEMANHA</v>
      </c>
      <c r="D2080" s="4" t="str">
        <f>"GRONA"</f>
        <v>GRONA</v>
      </c>
    </row>
    <row r="2081" spans="1:4" x14ac:dyDescent="0.3">
      <c r="A2081" s="2" t="str">
        <f>"GROSSOS"</f>
        <v>GROSSOS</v>
      </c>
      <c r="B2081" s="3" t="str">
        <f>"RN"</f>
        <v>RN</v>
      </c>
      <c r="C2081" s="3" t="str">
        <f>"BRASIL"</f>
        <v>BRASIL</v>
      </c>
      <c r="D2081" s="4" t="str">
        <f>"RN049"</f>
        <v>RN049</v>
      </c>
    </row>
    <row r="2082" spans="1:4" x14ac:dyDescent="0.3">
      <c r="A2082" s="2" t="str">
        <f>"GROßOSTHEIM"</f>
        <v>GROßOSTHEIM</v>
      </c>
      <c r="B2082" s="3" t="str">
        <f>"EX"</f>
        <v>EX</v>
      </c>
      <c r="C2082" s="3" t="str">
        <f>"ALEMANHA"</f>
        <v>ALEMANHA</v>
      </c>
      <c r="D2082" s="4" t="str">
        <f>"GRO"</f>
        <v>GRO</v>
      </c>
    </row>
    <row r="2083" spans="1:4" x14ac:dyDescent="0.3">
      <c r="A2083" s="2" t="str">
        <f>"GRUPIARA"</f>
        <v>GRUPIARA</v>
      </c>
      <c r="B2083" s="3" t="str">
        <f>"MG"</f>
        <v>MG</v>
      </c>
      <c r="C2083" s="3" t="str">
        <f t="shared" ref="C2083:C2114" si="83">"BRASIL"</f>
        <v>BRASIL</v>
      </c>
      <c r="D2083" s="4" t="str">
        <f>"MG317"</f>
        <v>MG317</v>
      </c>
    </row>
    <row r="2084" spans="1:4" x14ac:dyDescent="0.3">
      <c r="A2084" s="2" t="str">
        <f>"GUABIJU"</f>
        <v>GUABIJU</v>
      </c>
      <c r="B2084" s="3" t="str">
        <f>"RS"</f>
        <v>RS</v>
      </c>
      <c r="C2084" s="3" t="str">
        <f t="shared" si="83"/>
        <v>BRASIL</v>
      </c>
      <c r="D2084" s="4" t="str">
        <f>"RS187"</f>
        <v>RS187</v>
      </c>
    </row>
    <row r="2085" spans="1:4" x14ac:dyDescent="0.3">
      <c r="A2085" s="2" t="str">
        <f>"GUABIRUBA"</f>
        <v>GUABIRUBA</v>
      </c>
      <c r="B2085" s="3" t="str">
        <f>"SC"</f>
        <v>SC</v>
      </c>
      <c r="C2085" s="3" t="str">
        <f t="shared" si="83"/>
        <v>BRASIL</v>
      </c>
      <c r="D2085" s="4" t="str">
        <f>"SC100"</f>
        <v>SC100</v>
      </c>
    </row>
    <row r="2086" spans="1:4" x14ac:dyDescent="0.3">
      <c r="A2086" s="2" t="str">
        <f>"GUACUI"</f>
        <v>GUACUI</v>
      </c>
      <c r="B2086" s="3" t="str">
        <f>"ES"</f>
        <v>ES</v>
      </c>
      <c r="C2086" s="3" t="str">
        <f t="shared" si="83"/>
        <v>BRASIL</v>
      </c>
      <c r="D2086" s="4" t="str">
        <f>"ES028"</f>
        <v>ES028</v>
      </c>
    </row>
    <row r="2087" spans="1:4" x14ac:dyDescent="0.3">
      <c r="A2087" s="2" t="str">
        <f>"GUADALUPE"</f>
        <v>GUADALUPE</v>
      </c>
      <c r="B2087" s="3" t="str">
        <f>"PI"</f>
        <v>PI</v>
      </c>
      <c r="C2087" s="3" t="str">
        <f t="shared" si="83"/>
        <v>BRASIL</v>
      </c>
      <c r="D2087" s="4" t="str">
        <f>"PI091"</f>
        <v>PI091</v>
      </c>
    </row>
    <row r="2088" spans="1:4" x14ac:dyDescent="0.3">
      <c r="A2088" s="2" t="str">
        <f>"GUAIBA"</f>
        <v>GUAIBA</v>
      </c>
      <c r="B2088" s="3" t="str">
        <f>"RS"</f>
        <v>RS</v>
      </c>
      <c r="C2088" s="3" t="str">
        <f t="shared" si="83"/>
        <v>BRASIL</v>
      </c>
      <c r="D2088" s="4" t="str">
        <f>"RS188"</f>
        <v>RS188</v>
      </c>
    </row>
    <row r="2089" spans="1:4" x14ac:dyDescent="0.3">
      <c r="A2089" s="2" t="str">
        <f>"GUAICARA"</f>
        <v>GUAICARA</v>
      </c>
      <c r="B2089" s="3" t="str">
        <f>"SP"</f>
        <v>SP</v>
      </c>
      <c r="C2089" s="3" t="str">
        <f t="shared" si="83"/>
        <v>BRASIL</v>
      </c>
      <c r="D2089" s="4" t="str">
        <f>"SP197"</f>
        <v>SP197</v>
      </c>
    </row>
    <row r="2090" spans="1:4" x14ac:dyDescent="0.3">
      <c r="A2090" s="2" t="str">
        <f>"GUAIMBE"</f>
        <v>GUAIMBE</v>
      </c>
      <c r="B2090" s="3" t="str">
        <f>"SP"</f>
        <v>SP</v>
      </c>
      <c r="C2090" s="3" t="str">
        <f t="shared" si="83"/>
        <v>BRASIL</v>
      </c>
      <c r="D2090" s="4" t="str">
        <f>"SP198"</f>
        <v>SP198</v>
      </c>
    </row>
    <row r="2091" spans="1:4" x14ac:dyDescent="0.3">
      <c r="A2091" s="2" t="str">
        <f>"GUAIRA"</f>
        <v>GUAIRA</v>
      </c>
      <c r="B2091" s="3" t="str">
        <f>"PR"</f>
        <v>PR</v>
      </c>
      <c r="C2091" s="3" t="str">
        <f t="shared" si="83"/>
        <v>BRASIL</v>
      </c>
      <c r="D2091" s="4" t="str">
        <f>"PR128"</f>
        <v>PR128</v>
      </c>
    </row>
    <row r="2092" spans="1:4" x14ac:dyDescent="0.3">
      <c r="A2092" s="2" t="str">
        <f>"GUAIRA"</f>
        <v>GUAIRA</v>
      </c>
      <c r="B2092" s="3" t="str">
        <f>"SP"</f>
        <v>SP</v>
      </c>
      <c r="C2092" s="3" t="str">
        <f t="shared" si="83"/>
        <v>BRASIL</v>
      </c>
      <c r="D2092" s="4" t="str">
        <f>"SP199"</f>
        <v>SP199</v>
      </c>
    </row>
    <row r="2093" spans="1:4" x14ac:dyDescent="0.3">
      <c r="A2093" s="2" t="str">
        <f>"GUAIRACA"</f>
        <v>GUAIRACA</v>
      </c>
      <c r="B2093" s="3" t="str">
        <f>"PR"</f>
        <v>PR</v>
      </c>
      <c r="C2093" s="3" t="str">
        <f t="shared" si="83"/>
        <v>BRASIL</v>
      </c>
      <c r="D2093" s="4" t="str">
        <f>"PR129"</f>
        <v>PR129</v>
      </c>
    </row>
    <row r="2094" spans="1:4" x14ac:dyDescent="0.3">
      <c r="A2094" s="2" t="str">
        <f>"GUAIUBA"</f>
        <v>GUAIUBA</v>
      </c>
      <c r="B2094" s="3" t="str">
        <f>"CE"</f>
        <v>CE</v>
      </c>
      <c r="C2094" s="3" t="str">
        <f t="shared" si="83"/>
        <v>BRASIL</v>
      </c>
      <c r="D2094" s="4" t="str">
        <f>"CE067"</f>
        <v>CE067</v>
      </c>
    </row>
    <row r="2095" spans="1:4" x14ac:dyDescent="0.3">
      <c r="A2095" s="2" t="str">
        <f>"GUAJARA"</f>
        <v>GUAJARA</v>
      </c>
      <c r="B2095" s="3" t="str">
        <f>"AM"</f>
        <v>AM</v>
      </c>
      <c r="C2095" s="3" t="str">
        <f t="shared" si="83"/>
        <v>BRASIL</v>
      </c>
      <c r="D2095" s="4" t="str">
        <f>"AM025"</f>
        <v>AM025</v>
      </c>
    </row>
    <row r="2096" spans="1:4" x14ac:dyDescent="0.3">
      <c r="A2096" s="2" t="str">
        <f>"GUAJARA-MIRIM"</f>
        <v>GUAJARA-MIRIM</v>
      </c>
      <c r="B2096" s="3" t="str">
        <f>"RO"</f>
        <v>RO</v>
      </c>
      <c r="C2096" s="3" t="str">
        <f t="shared" si="83"/>
        <v>BRASIL</v>
      </c>
      <c r="D2096" s="4" t="str">
        <f>"RO010"</f>
        <v>RO010</v>
      </c>
    </row>
    <row r="2097" spans="1:4" x14ac:dyDescent="0.3">
      <c r="A2097" s="2" t="str">
        <f>"GUAJERU"</f>
        <v>GUAJERU</v>
      </c>
      <c r="B2097" s="3" t="str">
        <f>"BA"</f>
        <v>BA</v>
      </c>
      <c r="C2097" s="3" t="str">
        <f t="shared" si="83"/>
        <v>BRASIL</v>
      </c>
      <c r="D2097" s="4" t="str">
        <f>"BA142"</f>
        <v>BA142</v>
      </c>
    </row>
    <row r="2098" spans="1:4" x14ac:dyDescent="0.3">
      <c r="A2098" s="2" t="str">
        <f>"GUAMARE"</f>
        <v>GUAMARE</v>
      </c>
      <c r="B2098" s="3" t="str">
        <f>"RN"</f>
        <v>RN</v>
      </c>
      <c r="C2098" s="3" t="str">
        <f t="shared" si="83"/>
        <v>BRASIL</v>
      </c>
      <c r="D2098" s="4" t="str">
        <f>"RN050"</f>
        <v>RN050</v>
      </c>
    </row>
    <row r="2099" spans="1:4" x14ac:dyDescent="0.3">
      <c r="A2099" s="2" t="str">
        <f>"GUAMIRANGA"</f>
        <v>GUAMIRANGA</v>
      </c>
      <c r="B2099" s="3" t="str">
        <f>"PR"</f>
        <v>PR</v>
      </c>
      <c r="C2099" s="3" t="str">
        <f t="shared" si="83"/>
        <v>BRASIL</v>
      </c>
      <c r="D2099" s="4" t="str">
        <f>"PR130"</f>
        <v>PR130</v>
      </c>
    </row>
    <row r="2100" spans="1:4" x14ac:dyDescent="0.3">
      <c r="A2100" s="2" t="str">
        <f>"GUANAMBI"</f>
        <v>GUANAMBI</v>
      </c>
      <c r="B2100" s="3" t="str">
        <f>"BA"</f>
        <v>BA</v>
      </c>
      <c r="C2100" s="3" t="str">
        <f t="shared" si="83"/>
        <v>BRASIL</v>
      </c>
      <c r="D2100" s="4" t="str">
        <f>"BA143"</f>
        <v>BA143</v>
      </c>
    </row>
    <row r="2101" spans="1:4" x14ac:dyDescent="0.3">
      <c r="A2101" s="2" t="str">
        <f>"GUANHAES"</f>
        <v>GUANHAES</v>
      </c>
      <c r="B2101" s="3" t="str">
        <f>"MG"</f>
        <v>MG</v>
      </c>
      <c r="C2101" s="3" t="str">
        <f t="shared" si="83"/>
        <v>BRASIL</v>
      </c>
      <c r="D2101" s="4" t="str">
        <f>"MG318"</f>
        <v>MG318</v>
      </c>
    </row>
    <row r="2102" spans="1:4" x14ac:dyDescent="0.3">
      <c r="A2102" s="2" t="str">
        <f>"GUAPE"</f>
        <v>GUAPE</v>
      </c>
      <c r="B2102" s="3" t="str">
        <f>"MG"</f>
        <v>MG</v>
      </c>
      <c r="C2102" s="3" t="str">
        <f t="shared" si="83"/>
        <v>BRASIL</v>
      </c>
      <c r="D2102" s="4" t="str">
        <f>"MG319"</f>
        <v>MG319</v>
      </c>
    </row>
    <row r="2103" spans="1:4" x14ac:dyDescent="0.3">
      <c r="A2103" s="2" t="str">
        <f>"GUAPIACU"</f>
        <v>GUAPIACU</v>
      </c>
      <c r="B2103" s="3" t="str">
        <f>"SP"</f>
        <v>SP</v>
      </c>
      <c r="C2103" s="3" t="str">
        <f t="shared" si="83"/>
        <v>BRASIL</v>
      </c>
      <c r="D2103" s="4" t="str">
        <f>"SP200"</f>
        <v>SP200</v>
      </c>
    </row>
    <row r="2104" spans="1:4" x14ac:dyDescent="0.3">
      <c r="A2104" s="2" t="str">
        <f>"GUAPIARA"</f>
        <v>GUAPIARA</v>
      </c>
      <c r="B2104" s="3" t="str">
        <f>"SP"</f>
        <v>SP</v>
      </c>
      <c r="C2104" s="3" t="str">
        <f t="shared" si="83"/>
        <v>BRASIL</v>
      </c>
      <c r="D2104" s="4" t="str">
        <f>"SP201"</f>
        <v>SP201</v>
      </c>
    </row>
    <row r="2105" spans="1:4" x14ac:dyDescent="0.3">
      <c r="A2105" s="2" t="str">
        <f>"GUAPIMIRIM"</f>
        <v>GUAPIMIRIM</v>
      </c>
      <c r="B2105" s="3" t="str">
        <f>"RJ"</f>
        <v>RJ</v>
      </c>
      <c r="C2105" s="3" t="str">
        <f t="shared" si="83"/>
        <v>BRASIL</v>
      </c>
      <c r="D2105" s="4" t="str">
        <f>"RJ027"</f>
        <v>RJ027</v>
      </c>
    </row>
    <row r="2106" spans="1:4" x14ac:dyDescent="0.3">
      <c r="A2106" s="2" t="str">
        <f>"GUAPIRAMA"</f>
        <v>GUAPIRAMA</v>
      </c>
      <c r="B2106" s="3" t="str">
        <f>"PR"</f>
        <v>PR</v>
      </c>
      <c r="C2106" s="3" t="str">
        <f t="shared" si="83"/>
        <v>BRASIL</v>
      </c>
      <c r="D2106" s="4" t="str">
        <f>"PR131"</f>
        <v>PR131</v>
      </c>
    </row>
    <row r="2107" spans="1:4" x14ac:dyDescent="0.3">
      <c r="A2107" s="2" t="str">
        <f>"GUAPO"</f>
        <v>GUAPO</v>
      </c>
      <c r="B2107" s="3" t="str">
        <f>"GO"</f>
        <v>GO</v>
      </c>
      <c r="C2107" s="3" t="str">
        <f t="shared" si="83"/>
        <v>BRASIL</v>
      </c>
      <c r="D2107" s="4" t="str">
        <f>"GO100"</f>
        <v>GO100</v>
      </c>
    </row>
    <row r="2108" spans="1:4" x14ac:dyDescent="0.3">
      <c r="A2108" s="2" t="str">
        <f>"GUAPORE"</f>
        <v>GUAPORE</v>
      </c>
      <c r="B2108" s="3" t="str">
        <f>"RS"</f>
        <v>RS</v>
      </c>
      <c r="C2108" s="3" t="str">
        <f t="shared" si="83"/>
        <v>BRASIL</v>
      </c>
      <c r="D2108" s="4" t="str">
        <f>"RS189"</f>
        <v>RS189</v>
      </c>
    </row>
    <row r="2109" spans="1:4" x14ac:dyDescent="0.3">
      <c r="A2109" s="2" t="str">
        <f>"GUAPOREMA"</f>
        <v>GUAPOREMA</v>
      </c>
      <c r="B2109" s="3" t="str">
        <f>"PR"</f>
        <v>PR</v>
      </c>
      <c r="C2109" s="3" t="str">
        <f t="shared" si="83"/>
        <v>BRASIL</v>
      </c>
      <c r="D2109" s="4" t="str">
        <f>"PR132"</f>
        <v>PR132</v>
      </c>
    </row>
    <row r="2110" spans="1:4" x14ac:dyDescent="0.3">
      <c r="A2110" s="2" t="str">
        <f>"GUARA"</f>
        <v>GUARA</v>
      </c>
      <c r="B2110" s="3" t="str">
        <f>"SP"</f>
        <v>SP</v>
      </c>
      <c r="C2110" s="3" t="str">
        <f t="shared" si="83"/>
        <v>BRASIL</v>
      </c>
      <c r="D2110" s="4" t="str">
        <f>"SP202"</f>
        <v>SP202</v>
      </c>
    </row>
    <row r="2111" spans="1:4" x14ac:dyDescent="0.3">
      <c r="A2111" s="2" t="str">
        <f>"GUARABIRA"</f>
        <v>GUARABIRA</v>
      </c>
      <c r="B2111" s="3" t="str">
        <f>"PB"</f>
        <v>PB</v>
      </c>
      <c r="C2111" s="3" t="str">
        <f t="shared" si="83"/>
        <v>BRASIL</v>
      </c>
      <c r="D2111" s="4" t="str">
        <f>"PB084"</f>
        <v>PB084</v>
      </c>
    </row>
    <row r="2112" spans="1:4" x14ac:dyDescent="0.3">
      <c r="A2112" s="2" t="str">
        <f>"GUARACAI"</f>
        <v>GUARACAI</v>
      </c>
      <c r="B2112" s="3" t="str">
        <f>"SP"</f>
        <v>SP</v>
      </c>
      <c r="C2112" s="3" t="str">
        <f t="shared" si="83"/>
        <v>BRASIL</v>
      </c>
      <c r="D2112" s="4" t="str">
        <f>"SP203"</f>
        <v>SP203</v>
      </c>
    </row>
    <row r="2113" spans="1:4" x14ac:dyDescent="0.3">
      <c r="A2113" s="2" t="str">
        <f>"GUARACI"</f>
        <v>GUARACI</v>
      </c>
      <c r="B2113" s="3" t="str">
        <f>"PR"</f>
        <v>PR</v>
      </c>
      <c r="C2113" s="3" t="str">
        <f t="shared" si="83"/>
        <v>BRASIL</v>
      </c>
      <c r="D2113" s="4" t="str">
        <f>"PR133"</f>
        <v>PR133</v>
      </c>
    </row>
    <row r="2114" spans="1:4" x14ac:dyDescent="0.3">
      <c r="A2114" s="2" t="str">
        <f>"GUARACI"</f>
        <v>GUARACI</v>
      </c>
      <c r="B2114" s="3" t="str">
        <f>"SP"</f>
        <v>SP</v>
      </c>
      <c r="C2114" s="3" t="str">
        <f t="shared" si="83"/>
        <v>BRASIL</v>
      </c>
      <c r="D2114" s="4" t="str">
        <f>"SP204"</f>
        <v>SP204</v>
      </c>
    </row>
    <row r="2115" spans="1:4" x14ac:dyDescent="0.3">
      <c r="A2115" s="2" t="str">
        <f>"GUARACIABA"</f>
        <v>GUARACIABA</v>
      </c>
      <c r="B2115" s="3" t="str">
        <f>"MG"</f>
        <v>MG</v>
      </c>
      <c r="C2115" s="3" t="str">
        <f t="shared" ref="C2115:C2139" si="84">"BRASIL"</f>
        <v>BRASIL</v>
      </c>
      <c r="D2115" s="4" t="str">
        <f>"MG320"</f>
        <v>MG320</v>
      </c>
    </row>
    <row r="2116" spans="1:4" x14ac:dyDescent="0.3">
      <c r="A2116" s="2" t="str">
        <f>"GUARACIABA"</f>
        <v>GUARACIABA</v>
      </c>
      <c r="B2116" s="3" t="str">
        <f>"SC"</f>
        <v>SC</v>
      </c>
      <c r="C2116" s="3" t="str">
        <f t="shared" si="84"/>
        <v>BRASIL</v>
      </c>
      <c r="D2116" s="4" t="str">
        <f>"SC101"</f>
        <v>SC101</v>
      </c>
    </row>
    <row r="2117" spans="1:4" x14ac:dyDescent="0.3">
      <c r="A2117" s="2" t="str">
        <f>"GUARACIABA DO NORTE"</f>
        <v>GUARACIABA DO NORTE</v>
      </c>
      <c r="B2117" s="3" t="str">
        <f>"CE"</f>
        <v>CE</v>
      </c>
      <c r="C2117" s="3" t="str">
        <f t="shared" si="84"/>
        <v>BRASIL</v>
      </c>
      <c r="D2117" s="4" t="str">
        <f>"CE068"</f>
        <v>CE068</v>
      </c>
    </row>
    <row r="2118" spans="1:4" x14ac:dyDescent="0.3">
      <c r="A2118" s="2" t="str">
        <f>"GUARACIAMA"</f>
        <v>GUARACIAMA</v>
      </c>
      <c r="B2118" s="3" t="str">
        <f>"MG"</f>
        <v>MG</v>
      </c>
      <c r="C2118" s="3" t="str">
        <f t="shared" si="84"/>
        <v>BRASIL</v>
      </c>
      <c r="D2118" s="4" t="str">
        <f>"MG321"</f>
        <v>MG321</v>
      </c>
    </row>
    <row r="2119" spans="1:4" x14ac:dyDescent="0.3">
      <c r="A2119" s="2" t="str">
        <f>"GUARAI"</f>
        <v>GUARAI</v>
      </c>
      <c r="B2119" s="3" t="str">
        <f>"TO"</f>
        <v>TO</v>
      </c>
      <c r="C2119" s="3" t="str">
        <f t="shared" si="84"/>
        <v>BRASIL</v>
      </c>
      <c r="D2119" s="4" t="str">
        <f>"TO057"</f>
        <v>TO057</v>
      </c>
    </row>
    <row r="2120" spans="1:4" x14ac:dyDescent="0.3">
      <c r="A2120" s="2" t="str">
        <f>"GUARAITA"</f>
        <v>GUARAITA</v>
      </c>
      <c r="B2120" s="3" t="str">
        <f>"GO"</f>
        <v>GO</v>
      </c>
      <c r="C2120" s="3" t="str">
        <f t="shared" si="84"/>
        <v>BRASIL</v>
      </c>
      <c r="D2120" s="4" t="str">
        <f>"GO101"</f>
        <v>GO101</v>
      </c>
    </row>
    <row r="2121" spans="1:4" x14ac:dyDescent="0.3">
      <c r="A2121" s="2" t="str">
        <f>"GUARAMIRANGA"</f>
        <v>GUARAMIRANGA</v>
      </c>
      <c r="B2121" s="3" t="str">
        <f>"CE"</f>
        <v>CE</v>
      </c>
      <c r="C2121" s="3" t="str">
        <f t="shared" si="84"/>
        <v>BRASIL</v>
      </c>
      <c r="D2121" s="4" t="str">
        <f>"CE069"</f>
        <v>CE069</v>
      </c>
    </row>
    <row r="2122" spans="1:4" x14ac:dyDescent="0.3">
      <c r="A2122" s="2" t="str">
        <f>"GUARAMIRIM"</f>
        <v>GUARAMIRIM</v>
      </c>
      <c r="B2122" s="3" t="str">
        <f>"SC"</f>
        <v>SC</v>
      </c>
      <c r="C2122" s="3" t="str">
        <f t="shared" si="84"/>
        <v>BRASIL</v>
      </c>
      <c r="D2122" s="4" t="str">
        <f>"SC102"</f>
        <v>SC102</v>
      </c>
    </row>
    <row r="2123" spans="1:4" x14ac:dyDescent="0.3">
      <c r="A2123" s="2" t="str">
        <f>"GUARANESIA"</f>
        <v>GUARANESIA</v>
      </c>
      <c r="B2123" s="3" t="str">
        <f>"MG"</f>
        <v>MG</v>
      </c>
      <c r="C2123" s="3" t="str">
        <f t="shared" si="84"/>
        <v>BRASIL</v>
      </c>
      <c r="D2123" s="4" t="str">
        <f>"MG322"</f>
        <v>MG322</v>
      </c>
    </row>
    <row r="2124" spans="1:4" x14ac:dyDescent="0.3">
      <c r="A2124" s="2" t="str">
        <f>"GUARANI"</f>
        <v>GUARANI</v>
      </c>
      <c r="B2124" s="3" t="str">
        <f>"MG"</f>
        <v>MG</v>
      </c>
      <c r="C2124" s="3" t="str">
        <f t="shared" si="84"/>
        <v>BRASIL</v>
      </c>
      <c r="D2124" s="4" t="str">
        <f>"MG323"</f>
        <v>MG323</v>
      </c>
    </row>
    <row r="2125" spans="1:4" x14ac:dyDescent="0.3">
      <c r="A2125" s="2" t="str">
        <f>"GUARANI D'OESTE"</f>
        <v>GUARANI D'OESTE</v>
      </c>
      <c r="B2125" s="3" t="str">
        <f>"SP"</f>
        <v>SP</v>
      </c>
      <c r="C2125" s="3" t="str">
        <f t="shared" si="84"/>
        <v>BRASIL</v>
      </c>
      <c r="D2125" s="4" t="str">
        <f>"SP205"</f>
        <v>SP205</v>
      </c>
    </row>
    <row r="2126" spans="1:4" x14ac:dyDescent="0.3">
      <c r="A2126" s="2" t="str">
        <f>"GUARANI DAS MISSÕES"</f>
        <v>GUARANI DAS MISSÕES</v>
      </c>
      <c r="B2126" s="3" t="str">
        <f>"RS"</f>
        <v>RS</v>
      </c>
      <c r="C2126" s="3" t="str">
        <f t="shared" si="84"/>
        <v>BRASIL</v>
      </c>
      <c r="D2126" s="4" t="str">
        <f>"RS190"</f>
        <v>RS190</v>
      </c>
    </row>
    <row r="2127" spans="1:4" x14ac:dyDescent="0.3">
      <c r="A2127" s="2" t="str">
        <f>"GUARANI DE GOIAS"</f>
        <v>GUARANI DE GOIAS</v>
      </c>
      <c r="B2127" s="3" t="str">
        <f>"GO"</f>
        <v>GO</v>
      </c>
      <c r="C2127" s="3" t="str">
        <f t="shared" si="84"/>
        <v>BRASIL</v>
      </c>
      <c r="D2127" s="4" t="str">
        <f>"GO102"</f>
        <v>GO102</v>
      </c>
    </row>
    <row r="2128" spans="1:4" x14ac:dyDescent="0.3">
      <c r="A2128" s="2" t="str">
        <f>"GUARANIACU"</f>
        <v>GUARANIACU</v>
      </c>
      <c r="B2128" s="3" t="str">
        <f>"PR"</f>
        <v>PR</v>
      </c>
      <c r="C2128" s="3" t="str">
        <f t="shared" si="84"/>
        <v>BRASIL</v>
      </c>
      <c r="D2128" s="4" t="str">
        <f>"PR134"</f>
        <v>PR134</v>
      </c>
    </row>
    <row r="2129" spans="1:4" x14ac:dyDescent="0.3">
      <c r="A2129" s="2" t="str">
        <f>"GUARANTA"</f>
        <v>GUARANTA</v>
      </c>
      <c r="B2129" s="3" t="str">
        <f>"SP"</f>
        <v>SP</v>
      </c>
      <c r="C2129" s="3" t="str">
        <f t="shared" si="84"/>
        <v>BRASIL</v>
      </c>
      <c r="D2129" s="4" t="str">
        <f>"SP206"</f>
        <v>SP206</v>
      </c>
    </row>
    <row r="2130" spans="1:4" x14ac:dyDescent="0.3">
      <c r="A2130" s="2" t="str">
        <f>"GUARANTA DO NORTE"</f>
        <v>GUARANTA DO NORTE</v>
      </c>
      <c r="B2130" s="3" t="str">
        <f>"MT"</f>
        <v>MT</v>
      </c>
      <c r="C2130" s="3" t="str">
        <f t="shared" si="84"/>
        <v>BRASIL</v>
      </c>
      <c r="D2130" s="4" t="str">
        <f>"MT048"</f>
        <v>MT048</v>
      </c>
    </row>
    <row r="2131" spans="1:4" x14ac:dyDescent="0.3">
      <c r="A2131" s="2" t="str">
        <f>"GUARAPARI"</f>
        <v>GUARAPARI</v>
      </c>
      <c r="B2131" s="3" t="str">
        <f>"ES"</f>
        <v>ES</v>
      </c>
      <c r="C2131" s="3" t="str">
        <f t="shared" si="84"/>
        <v>BRASIL</v>
      </c>
      <c r="D2131" s="4" t="str">
        <f>"ES029"</f>
        <v>ES029</v>
      </c>
    </row>
    <row r="2132" spans="1:4" x14ac:dyDescent="0.3">
      <c r="A2132" s="2" t="str">
        <f>"GUARAPUAVA"</f>
        <v>GUARAPUAVA</v>
      </c>
      <c r="B2132" s="3" t="str">
        <f>"PR"</f>
        <v>PR</v>
      </c>
      <c r="C2132" s="3" t="str">
        <f t="shared" si="84"/>
        <v>BRASIL</v>
      </c>
      <c r="D2132" s="4" t="str">
        <f>"PR135"</f>
        <v>PR135</v>
      </c>
    </row>
    <row r="2133" spans="1:4" x14ac:dyDescent="0.3">
      <c r="A2133" s="2" t="str">
        <f>"GUARAQUECABA"</f>
        <v>GUARAQUECABA</v>
      </c>
      <c r="B2133" s="3" t="str">
        <f>"PR"</f>
        <v>PR</v>
      </c>
      <c r="C2133" s="3" t="str">
        <f t="shared" si="84"/>
        <v>BRASIL</v>
      </c>
      <c r="D2133" s="4" t="str">
        <f>"PR136"</f>
        <v>PR136</v>
      </c>
    </row>
    <row r="2134" spans="1:4" x14ac:dyDescent="0.3">
      <c r="A2134" s="2" t="str">
        <f>"GUARARA"</f>
        <v>GUARARA</v>
      </c>
      <c r="B2134" s="3" t="str">
        <f>"MG"</f>
        <v>MG</v>
      </c>
      <c r="C2134" s="3" t="str">
        <f t="shared" si="84"/>
        <v>BRASIL</v>
      </c>
      <c r="D2134" s="4" t="str">
        <f>"MG324"</f>
        <v>MG324</v>
      </c>
    </row>
    <row r="2135" spans="1:4" x14ac:dyDescent="0.3">
      <c r="A2135" s="2" t="str">
        <f>"GUARARAPES"</f>
        <v>GUARARAPES</v>
      </c>
      <c r="B2135" s="3" t="str">
        <f>"SP"</f>
        <v>SP</v>
      </c>
      <c r="C2135" s="3" t="str">
        <f t="shared" si="84"/>
        <v>BRASIL</v>
      </c>
      <c r="D2135" s="4" t="str">
        <f>"SP207"</f>
        <v>SP207</v>
      </c>
    </row>
    <row r="2136" spans="1:4" x14ac:dyDescent="0.3">
      <c r="A2136" s="2" t="str">
        <f>"GUARAREMA"</f>
        <v>GUARAREMA</v>
      </c>
      <c r="B2136" s="3" t="str">
        <f>"SP"</f>
        <v>SP</v>
      </c>
      <c r="C2136" s="3" t="str">
        <f t="shared" si="84"/>
        <v>BRASIL</v>
      </c>
      <c r="D2136" s="4" t="str">
        <f>"SP208"</f>
        <v>SP208</v>
      </c>
    </row>
    <row r="2137" spans="1:4" x14ac:dyDescent="0.3">
      <c r="A2137" s="2" t="str">
        <f>"GUARATINGA"</f>
        <v>GUARATINGA</v>
      </c>
      <c r="B2137" s="3" t="str">
        <f>"BA"</f>
        <v>BA</v>
      </c>
      <c r="C2137" s="3" t="str">
        <f t="shared" si="84"/>
        <v>BRASIL</v>
      </c>
      <c r="D2137" s="4" t="str">
        <f>"BA144"</f>
        <v>BA144</v>
      </c>
    </row>
    <row r="2138" spans="1:4" x14ac:dyDescent="0.3">
      <c r="A2138" s="2" t="str">
        <f>"GUARATINGUETÁ"</f>
        <v>GUARATINGUETÁ</v>
      </c>
      <c r="B2138" s="3" t="str">
        <f>"SP"</f>
        <v>SP</v>
      </c>
      <c r="C2138" s="3" t="str">
        <f t="shared" si="84"/>
        <v>BRASIL</v>
      </c>
      <c r="D2138" s="4" t="str">
        <f>"GUA"</f>
        <v>GUA</v>
      </c>
    </row>
    <row r="2139" spans="1:4" x14ac:dyDescent="0.3">
      <c r="A2139" s="2" t="str">
        <f>"GUARATUBA"</f>
        <v>GUARATUBA</v>
      </c>
      <c r="B2139" s="3" t="str">
        <f>"PR"</f>
        <v>PR</v>
      </c>
      <c r="C2139" s="3" t="str">
        <f t="shared" si="84"/>
        <v>BRASIL</v>
      </c>
      <c r="D2139" s="4" t="str">
        <f>"PR137"</f>
        <v>PR137</v>
      </c>
    </row>
    <row r="2140" spans="1:4" x14ac:dyDescent="0.3">
      <c r="A2140" s="2" t="str">
        <f>"GUARCINO"</f>
        <v>GUARCINO</v>
      </c>
      <c r="B2140" s="3" t="str">
        <f>"EX"</f>
        <v>EX</v>
      </c>
      <c r="C2140" s="3" t="str">
        <f>"ITALIA"</f>
        <v>ITALIA</v>
      </c>
      <c r="D2140" s="4" t="str">
        <f>"GUAR"</f>
        <v>GUAR</v>
      </c>
    </row>
    <row r="2141" spans="1:4" x14ac:dyDescent="0.3">
      <c r="A2141" s="2" t="str">
        <f>"GUARDA-MOR"</f>
        <v>GUARDA-MOR</v>
      </c>
      <c r="B2141" s="3" t="str">
        <f>"MG"</f>
        <v>MG</v>
      </c>
      <c r="C2141" s="3" t="str">
        <f t="shared" ref="C2141:C2151" si="85">"BRASIL"</f>
        <v>BRASIL</v>
      </c>
      <c r="D2141" s="4" t="str">
        <f>"MG325"</f>
        <v>MG325</v>
      </c>
    </row>
    <row r="2142" spans="1:4" x14ac:dyDescent="0.3">
      <c r="A2142" s="2" t="str">
        <f>"GUAREI"</f>
        <v>GUAREI</v>
      </c>
      <c r="B2142" s="3" t="str">
        <f>"SP"</f>
        <v>SP</v>
      </c>
      <c r="C2142" s="3" t="str">
        <f t="shared" si="85"/>
        <v>BRASIL</v>
      </c>
      <c r="D2142" s="4" t="str">
        <f>"SP210"</f>
        <v>SP210</v>
      </c>
    </row>
    <row r="2143" spans="1:4" x14ac:dyDescent="0.3">
      <c r="A2143" s="2" t="str">
        <f>"GUARIBA"</f>
        <v>GUARIBA</v>
      </c>
      <c r="B2143" s="3" t="str">
        <f>"SP"</f>
        <v>SP</v>
      </c>
      <c r="C2143" s="3" t="str">
        <f t="shared" si="85"/>
        <v>BRASIL</v>
      </c>
      <c r="D2143" s="4" t="str">
        <f>"SP211"</f>
        <v>SP211</v>
      </c>
    </row>
    <row r="2144" spans="1:4" x14ac:dyDescent="0.3">
      <c r="A2144" s="2" t="str">
        <f>"GUARIBAS"</f>
        <v>GUARIBAS</v>
      </c>
      <c r="B2144" s="3" t="str">
        <f>"PI"</f>
        <v>PI</v>
      </c>
      <c r="C2144" s="3" t="str">
        <f t="shared" si="85"/>
        <v>BRASIL</v>
      </c>
      <c r="D2144" s="4" t="str">
        <f>"PI092"</f>
        <v>PI092</v>
      </c>
    </row>
    <row r="2145" spans="1:4" x14ac:dyDescent="0.3">
      <c r="A2145" s="2" t="str">
        <f>"GUARINOS"</f>
        <v>GUARINOS</v>
      </c>
      <c r="B2145" s="3" t="str">
        <f>"GO"</f>
        <v>GO</v>
      </c>
      <c r="C2145" s="3" t="str">
        <f t="shared" si="85"/>
        <v>BRASIL</v>
      </c>
      <c r="D2145" s="4" t="str">
        <f>"GO103"</f>
        <v>GO103</v>
      </c>
    </row>
    <row r="2146" spans="1:4" x14ac:dyDescent="0.3">
      <c r="A2146" s="2" t="str">
        <f>"GUARUJA"</f>
        <v>GUARUJA</v>
      </c>
      <c r="B2146" s="3" t="str">
        <f>"SP"</f>
        <v>SP</v>
      </c>
      <c r="C2146" s="3" t="str">
        <f t="shared" si="85"/>
        <v>BRASIL</v>
      </c>
      <c r="D2146" s="4" t="str">
        <f>"SP212"</f>
        <v>SP212</v>
      </c>
    </row>
    <row r="2147" spans="1:4" x14ac:dyDescent="0.3">
      <c r="A2147" s="2" t="str">
        <f>"GUARUJA DO SUL"</f>
        <v>GUARUJA DO SUL</v>
      </c>
      <c r="B2147" s="3" t="str">
        <f>"SC"</f>
        <v>SC</v>
      </c>
      <c r="C2147" s="3" t="str">
        <f t="shared" si="85"/>
        <v>BRASIL</v>
      </c>
      <c r="D2147" s="4" t="str">
        <f>"SC103"</f>
        <v>SC103</v>
      </c>
    </row>
    <row r="2148" spans="1:4" x14ac:dyDescent="0.3">
      <c r="A2148" s="2" t="str">
        <f>"GUARULHOS"</f>
        <v>GUARULHOS</v>
      </c>
      <c r="B2148" s="3" t="str">
        <f>"SP"</f>
        <v>SP</v>
      </c>
      <c r="C2148" s="3" t="str">
        <f t="shared" si="85"/>
        <v>BRASIL</v>
      </c>
      <c r="D2148" s="4" t="str">
        <f>"SP213"</f>
        <v>SP213</v>
      </c>
    </row>
    <row r="2149" spans="1:4" x14ac:dyDescent="0.3">
      <c r="A2149" s="2" t="str">
        <f>"GUATAMBU"</f>
        <v>GUATAMBU</v>
      </c>
      <c r="B2149" s="3" t="str">
        <f>"SC"</f>
        <v>SC</v>
      </c>
      <c r="C2149" s="3" t="str">
        <f t="shared" si="85"/>
        <v>BRASIL</v>
      </c>
      <c r="D2149" s="4" t="str">
        <f>"SC104"</f>
        <v>SC104</v>
      </c>
    </row>
    <row r="2150" spans="1:4" x14ac:dyDescent="0.3">
      <c r="A2150" s="2" t="str">
        <f>"GUATAPARA"</f>
        <v>GUATAPARA</v>
      </c>
      <c r="B2150" s="3" t="str">
        <f>"SP"</f>
        <v>SP</v>
      </c>
      <c r="C2150" s="3" t="str">
        <f t="shared" si="85"/>
        <v>BRASIL</v>
      </c>
      <c r="D2150" s="4" t="str">
        <f>"SP214"</f>
        <v>SP214</v>
      </c>
    </row>
    <row r="2151" spans="1:4" x14ac:dyDescent="0.3">
      <c r="A2151" s="2" t="str">
        <f>"GUAXUPE"</f>
        <v>GUAXUPE</v>
      </c>
      <c r="B2151" s="3" t="str">
        <f>"MG"</f>
        <v>MG</v>
      </c>
      <c r="C2151" s="3" t="str">
        <f t="shared" si="85"/>
        <v>BRASIL</v>
      </c>
      <c r="D2151" s="4" t="str">
        <f>"MG326"</f>
        <v>MG326</v>
      </c>
    </row>
    <row r="2152" spans="1:4" x14ac:dyDescent="0.3">
      <c r="A2152" s="2" t="str">
        <f>"GUAYAQUIL"</f>
        <v>GUAYAQUIL</v>
      </c>
      <c r="B2152" s="3" t="str">
        <f>"EX"</f>
        <v>EX</v>
      </c>
      <c r="C2152" s="3" t="str">
        <f>"EQUADOR"</f>
        <v>EQUADOR</v>
      </c>
      <c r="D2152" s="4" t="str">
        <f>"GUAYA"</f>
        <v>GUAYA</v>
      </c>
    </row>
    <row r="2153" spans="1:4" x14ac:dyDescent="0.3">
      <c r="A2153" s="2" t="str">
        <f>"GUIA LOPES DA LAGUNA"</f>
        <v>GUIA LOPES DA LAGUNA</v>
      </c>
      <c r="B2153" s="3" t="str">
        <f>"MS"</f>
        <v>MS</v>
      </c>
      <c r="C2153" s="3" t="str">
        <f>"BRASIL"</f>
        <v>BRASIL</v>
      </c>
      <c r="D2153" s="4" t="str">
        <f>"MS037"</f>
        <v>MS037</v>
      </c>
    </row>
    <row r="2154" spans="1:4" x14ac:dyDescent="0.3">
      <c r="A2154" s="2" t="str">
        <f>"GUIDOVAL"</f>
        <v>GUIDOVAL</v>
      </c>
      <c r="B2154" s="3" t="str">
        <f>"MG"</f>
        <v>MG</v>
      </c>
      <c r="C2154" s="3" t="str">
        <f>"BRASIL"</f>
        <v>BRASIL</v>
      </c>
      <c r="D2154" s="4" t="str">
        <f>"MG327"</f>
        <v>MG327</v>
      </c>
    </row>
    <row r="2155" spans="1:4" x14ac:dyDescent="0.3">
      <c r="A2155" s="2" t="str">
        <f>"GUIMARAES"</f>
        <v>GUIMARAES</v>
      </c>
      <c r="B2155" s="3" t="str">
        <f>"MA"</f>
        <v>MA</v>
      </c>
      <c r="C2155" s="3" t="str">
        <f>"BRASIL"</f>
        <v>BRASIL</v>
      </c>
      <c r="D2155" s="4" t="str">
        <f>"MA085"</f>
        <v>MA085</v>
      </c>
    </row>
    <row r="2156" spans="1:4" x14ac:dyDescent="0.3">
      <c r="A2156" s="2" t="str">
        <f>"GUIMARANIA"</f>
        <v>GUIMARANIA</v>
      </c>
      <c r="B2156" s="3" t="str">
        <f>"MG"</f>
        <v>MG</v>
      </c>
      <c r="C2156" s="3" t="str">
        <f>"BRASIL"</f>
        <v>BRASIL</v>
      </c>
      <c r="D2156" s="4" t="str">
        <f>"MG328"</f>
        <v>MG328</v>
      </c>
    </row>
    <row r="2157" spans="1:4" x14ac:dyDescent="0.3">
      <c r="A2157" s="2" t="str">
        <f>"GUIN"</f>
        <v>GUIN</v>
      </c>
      <c r="B2157" s="3" t="str">
        <f>"EX"</f>
        <v>EX</v>
      </c>
      <c r="C2157" s="3" t="str">
        <f>"ESTADOS UNIDOS"</f>
        <v>ESTADOS UNIDOS</v>
      </c>
      <c r="D2157" s="4" t="str">
        <f>"GUIN"</f>
        <v>GUIN</v>
      </c>
    </row>
    <row r="2158" spans="1:4" x14ac:dyDescent="0.3">
      <c r="A2158" s="2" t="str">
        <f>"GUIRATINGA"</f>
        <v>GUIRATINGA</v>
      </c>
      <c r="B2158" s="3" t="str">
        <f>"MT"</f>
        <v>MT</v>
      </c>
      <c r="C2158" s="3" t="str">
        <f>"BRASIL"</f>
        <v>BRASIL</v>
      </c>
      <c r="D2158" s="4" t="str">
        <f>"MT049"</f>
        <v>MT049</v>
      </c>
    </row>
    <row r="2159" spans="1:4" x14ac:dyDescent="0.3">
      <c r="A2159" s="2" t="str">
        <f>"GUIRICEMA"</f>
        <v>GUIRICEMA</v>
      </c>
      <c r="B2159" s="3" t="str">
        <f>"MG"</f>
        <v>MG</v>
      </c>
      <c r="C2159" s="3" t="str">
        <f>"BRASIL"</f>
        <v>BRASIL</v>
      </c>
      <c r="D2159" s="4" t="str">
        <f>"MG329"</f>
        <v>MG329</v>
      </c>
    </row>
    <row r="2160" spans="1:4" x14ac:dyDescent="0.3">
      <c r="A2160" s="2" t="str">
        <f>"GUNZACH"</f>
        <v>GUNZACH</v>
      </c>
      <c r="B2160" s="3" t="str">
        <f>"EX"</f>
        <v>EX</v>
      </c>
      <c r="C2160" s="3" t="str">
        <f>"ALEMANHA"</f>
        <v>ALEMANHA</v>
      </c>
      <c r="D2160" s="4" t="str">
        <f>"GUNZZ"</f>
        <v>GUNZZ</v>
      </c>
    </row>
    <row r="2161" spans="1:4" x14ac:dyDescent="0.3">
      <c r="A2161" s="2" t="str">
        <f>"GURINHATA"</f>
        <v>GURINHATA</v>
      </c>
      <c r="B2161" s="3" t="str">
        <f>"MG"</f>
        <v>MG</v>
      </c>
      <c r="C2161" s="3" t="str">
        <f>"BRASIL"</f>
        <v>BRASIL</v>
      </c>
      <c r="D2161" s="4" t="str">
        <f>"MG330"</f>
        <v>MG330</v>
      </c>
    </row>
    <row r="2162" spans="1:4" x14ac:dyDescent="0.3">
      <c r="A2162" s="2" t="str">
        <f>"GURINHEM"</f>
        <v>GURINHEM</v>
      </c>
      <c r="B2162" s="3" t="str">
        <f>"PB"</f>
        <v>PB</v>
      </c>
      <c r="C2162" s="3" t="str">
        <f>"BRASIL"</f>
        <v>BRASIL</v>
      </c>
      <c r="D2162" s="4" t="str">
        <f>"PB085"</f>
        <v>PB085</v>
      </c>
    </row>
    <row r="2163" spans="1:4" x14ac:dyDescent="0.3">
      <c r="A2163" s="2" t="str">
        <f>"GURJAO"</f>
        <v>GURJAO</v>
      </c>
      <c r="B2163" s="3" t="str">
        <f>"PB"</f>
        <v>PB</v>
      </c>
      <c r="C2163" s="3" t="str">
        <f>"BRASIL"</f>
        <v>BRASIL</v>
      </c>
      <c r="D2163" s="4" t="str">
        <f>"PB086"</f>
        <v>PB086</v>
      </c>
    </row>
    <row r="2164" spans="1:4" x14ac:dyDescent="0.3">
      <c r="A2164" s="2" t="str">
        <f>"GURUPA"</f>
        <v>GURUPA</v>
      </c>
      <c r="B2164" s="3" t="str">
        <f>"PA"</f>
        <v>PA</v>
      </c>
      <c r="C2164" s="3" t="str">
        <f>"BRASIL"</f>
        <v>BRASIL</v>
      </c>
      <c r="D2164" s="4" t="str">
        <f>"PA052"</f>
        <v>PA052</v>
      </c>
    </row>
    <row r="2165" spans="1:4" x14ac:dyDescent="0.3">
      <c r="A2165" s="2" t="str">
        <f>"GURUPI"</f>
        <v>GURUPI</v>
      </c>
      <c r="B2165" s="3" t="str">
        <f>"TO"</f>
        <v>TO</v>
      </c>
      <c r="C2165" s="3" t="str">
        <f>"BRASIL"</f>
        <v>BRASIL</v>
      </c>
      <c r="D2165" s="4" t="str">
        <f>"TO058"</f>
        <v>TO058</v>
      </c>
    </row>
    <row r="2166" spans="1:4" x14ac:dyDescent="0.3">
      <c r="A2166" s="2" t="str">
        <f>"GUSTAVO A. MADERO"</f>
        <v>GUSTAVO A. MADERO</v>
      </c>
      <c r="B2166" s="3" t="str">
        <f>"MEX"</f>
        <v>MEX</v>
      </c>
      <c r="C2166" s="3" t="str">
        <f>"MEXICO"</f>
        <v>MEXICO</v>
      </c>
      <c r="D2166" s="4" t="str">
        <f>"GUSTA"</f>
        <v>GUSTA</v>
      </c>
    </row>
    <row r="2167" spans="1:4" x14ac:dyDescent="0.3">
      <c r="A2167" s="2" t="str">
        <f>"GUSTAVO MADERO"</f>
        <v>GUSTAVO MADERO</v>
      </c>
      <c r="B2167" s="3" t="str">
        <f>"ex"</f>
        <v>ex</v>
      </c>
      <c r="C2167" s="3" t="str">
        <f>"MEXICO"</f>
        <v>MEXICO</v>
      </c>
      <c r="D2167" s="4" t="str">
        <f>"GUST"</f>
        <v>GUST</v>
      </c>
    </row>
    <row r="2168" spans="1:4" x14ac:dyDescent="0.3">
      <c r="A2168" s="2" t="str">
        <f>"GUZOLANDIA"</f>
        <v>GUZOLANDIA</v>
      </c>
      <c r="B2168" s="3" t="str">
        <f>"SP"</f>
        <v>SP</v>
      </c>
      <c r="C2168" s="3" t="str">
        <f>"BRASIL"</f>
        <v>BRASIL</v>
      </c>
      <c r="D2168" s="4" t="str">
        <f>"SP215"</f>
        <v>SP215</v>
      </c>
    </row>
    <row r="2169" spans="1:4" x14ac:dyDescent="0.3">
      <c r="A2169" s="2" t="str">
        <f>"HAAKSBERGEN"</f>
        <v>HAAKSBERGEN</v>
      </c>
      <c r="B2169" s="3" t="str">
        <f t="shared" ref="B2169:B2174" si="86">"EX"</f>
        <v>EX</v>
      </c>
      <c r="C2169" s="3" t="str">
        <f>"PAISES BAIXOS"</f>
        <v>PAISES BAIXOS</v>
      </c>
      <c r="D2169" s="4" t="str">
        <f>"HAAK"</f>
        <v>HAAK</v>
      </c>
    </row>
    <row r="2170" spans="1:4" x14ac:dyDescent="0.3">
      <c r="A2170" s="2" t="str">
        <f>"HAGEN"</f>
        <v>HAGEN</v>
      </c>
      <c r="B2170" s="3" t="str">
        <f t="shared" si="86"/>
        <v>EX</v>
      </c>
      <c r="C2170" s="3" t="str">
        <f>"ALEMANHA"</f>
        <v>ALEMANHA</v>
      </c>
      <c r="D2170" s="4" t="str">
        <f>"HAGEN"</f>
        <v>HAGEN</v>
      </c>
    </row>
    <row r="2171" spans="1:4" x14ac:dyDescent="0.3">
      <c r="A2171" s="2" t="str">
        <f>"HAMBURGO"</f>
        <v>HAMBURGO</v>
      </c>
      <c r="B2171" s="3" t="str">
        <f t="shared" si="86"/>
        <v>EX</v>
      </c>
      <c r="C2171" s="3" t="str">
        <f>"ALEMANHA"</f>
        <v>ALEMANHA</v>
      </c>
      <c r="D2171" s="4" t="str">
        <f>"HAMBU"</f>
        <v>HAMBU</v>
      </c>
    </row>
    <row r="2172" spans="1:4" x14ac:dyDescent="0.3">
      <c r="A2172" s="2" t="str">
        <f>"HAMM"</f>
        <v>HAMM</v>
      </c>
      <c r="B2172" s="3" t="str">
        <f t="shared" si="86"/>
        <v>EX</v>
      </c>
      <c r="C2172" s="3" t="str">
        <f>"ALEMANHA"</f>
        <v>ALEMANHA</v>
      </c>
      <c r="D2172" s="4" t="str">
        <f>"HAMM"</f>
        <v>HAMM</v>
      </c>
    </row>
    <row r="2173" spans="1:4" x14ac:dyDescent="0.3">
      <c r="A2173" s="2" t="str">
        <f>"HAMMINKELN"</f>
        <v>HAMMINKELN</v>
      </c>
      <c r="B2173" s="3" t="str">
        <f t="shared" si="86"/>
        <v>EX</v>
      </c>
      <c r="C2173" s="3" t="str">
        <f>"ALEMANHA"</f>
        <v>ALEMANHA</v>
      </c>
      <c r="D2173" s="4" t="str">
        <f>"HAMMI"</f>
        <v>HAMMI</v>
      </c>
    </row>
    <row r="2174" spans="1:4" x14ac:dyDescent="0.3">
      <c r="A2174" s="2" t="str">
        <f>"HAPUR"</f>
        <v>HAPUR</v>
      </c>
      <c r="B2174" s="3" t="str">
        <f t="shared" si="86"/>
        <v>EX</v>
      </c>
      <c r="C2174" s="3" t="str">
        <f>"INDIA"</f>
        <v>INDIA</v>
      </c>
      <c r="D2174" s="4" t="str">
        <f>"HAPU"</f>
        <v>HAPU</v>
      </c>
    </row>
    <row r="2175" spans="1:4" x14ac:dyDescent="0.3">
      <c r="A2175" s="2" t="str">
        <f>"HARMONIA"</f>
        <v>HARMONIA</v>
      </c>
      <c r="B2175" s="3" t="str">
        <f>"RS"</f>
        <v>RS</v>
      </c>
      <c r="C2175" s="3" t="str">
        <f>"BRASIL"</f>
        <v>BRASIL</v>
      </c>
      <c r="D2175" s="4" t="str">
        <f>"RS191"</f>
        <v>RS191</v>
      </c>
    </row>
    <row r="2176" spans="1:4" x14ac:dyDescent="0.3">
      <c r="A2176" s="2" t="str">
        <f>"HEITORAI"</f>
        <v>HEITORAI</v>
      </c>
      <c r="B2176" s="3" t="str">
        <f>"GO"</f>
        <v>GO</v>
      </c>
      <c r="C2176" s="3" t="str">
        <f>"BRASIL"</f>
        <v>BRASIL</v>
      </c>
      <c r="D2176" s="4" t="str">
        <f>"GO104"</f>
        <v>GO104</v>
      </c>
    </row>
    <row r="2177" spans="1:4" x14ac:dyDescent="0.3">
      <c r="A2177" s="2" t="str">
        <f>"HELIODORA"</f>
        <v>HELIODORA</v>
      </c>
      <c r="B2177" s="3" t="str">
        <f>"MG"</f>
        <v>MG</v>
      </c>
      <c r="C2177" s="3" t="str">
        <f>"BRASIL"</f>
        <v>BRASIL</v>
      </c>
      <c r="D2177" s="4" t="str">
        <f>"MG331"</f>
        <v>MG331</v>
      </c>
    </row>
    <row r="2178" spans="1:4" x14ac:dyDescent="0.3">
      <c r="A2178" s="2" t="str">
        <f>"HELIOPOLIS"</f>
        <v>HELIOPOLIS</v>
      </c>
      <c r="B2178" s="3" t="str">
        <f>"BA"</f>
        <v>BA</v>
      </c>
      <c r="C2178" s="3" t="str">
        <f>"BRASIL"</f>
        <v>BRASIL</v>
      </c>
      <c r="D2178" s="4" t="str">
        <f>"BA145"</f>
        <v>BA145</v>
      </c>
    </row>
    <row r="2179" spans="1:4" x14ac:dyDescent="0.3">
      <c r="A2179" s="2" t="str">
        <f>"HERCULANDIA"</f>
        <v>HERCULANDIA</v>
      </c>
      <c r="B2179" s="3" t="str">
        <f>"SP"</f>
        <v>SP</v>
      </c>
      <c r="C2179" s="3" t="str">
        <f>"BRASIL"</f>
        <v>BRASIL</v>
      </c>
      <c r="D2179" s="4" t="str">
        <f>"SP216"</f>
        <v>SP216</v>
      </c>
    </row>
    <row r="2180" spans="1:4" x14ac:dyDescent="0.3">
      <c r="A2180" s="2" t="str">
        <f>"HERFORD"</f>
        <v>HERFORD</v>
      </c>
      <c r="B2180" s="3" t="str">
        <f>"EX"</f>
        <v>EX</v>
      </c>
      <c r="C2180" s="3" t="str">
        <f>"ALEMANHA"</f>
        <v>ALEMANHA</v>
      </c>
      <c r="D2180" s="4" t="str">
        <f>"HERF"</f>
        <v>HERF</v>
      </c>
    </row>
    <row r="2181" spans="1:4" x14ac:dyDescent="0.3">
      <c r="A2181" s="2" t="str">
        <f>"HERVAL"</f>
        <v>HERVAL</v>
      </c>
      <c r="B2181" s="3" t="str">
        <f>"RS"</f>
        <v>RS</v>
      </c>
      <c r="C2181" s="3" t="str">
        <f t="shared" ref="C2181:C2188" si="87">"BRASIL"</f>
        <v>BRASIL</v>
      </c>
      <c r="D2181" s="4" t="str">
        <f>"RS150"</f>
        <v>RS150</v>
      </c>
    </row>
    <row r="2182" spans="1:4" x14ac:dyDescent="0.3">
      <c r="A2182" s="2" t="str">
        <f>"HERVAL D OESTE"</f>
        <v>HERVAL D OESTE</v>
      </c>
      <c r="B2182" s="3" t="str">
        <f>"SC"</f>
        <v>SC</v>
      </c>
      <c r="C2182" s="3" t="str">
        <f t="shared" si="87"/>
        <v>BRASIL</v>
      </c>
      <c r="D2182" s="4" t="str">
        <f>"HD"</f>
        <v>HD</v>
      </c>
    </row>
    <row r="2183" spans="1:4" x14ac:dyDescent="0.3">
      <c r="A2183" s="2" t="str">
        <f>"HERVAL D'OESTE"</f>
        <v>HERVAL D'OESTE</v>
      </c>
      <c r="B2183" s="3" t="str">
        <f>"SC"</f>
        <v>SC</v>
      </c>
      <c r="C2183" s="3" t="str">
        <f t="shared" si="87"/>
        <v>BRASIL</v>
      </c>
      <c r="D2183" s="4" t="str">
        <f>"SC105"</f>
        <v>SC105</v>
      </c>
    </row>
    <row r="2184" spans="1:4" x14ac:dyDescent="0.3">
      <c r="A2184" s="2" t="str">
        <f>"HERVEIRAS"</f>
        <v>HERVEIRAS</v>
      </c>
      <c r="B2184" s="3" t="str">
        <f>"RS"</f>
        <v>RS</v>
      </c>
      <c r="C2184" s="3" t="str">
        <f t="shared" si="87"/>
        <v>BRASIL</v>
      </c>
      <c r="D2184" s="4" t="str">
        <f>"RS192"</f>
        <v>RS192</v>
      </c>
    </row>
    <row r="2185" spans="1:4" x14ac:dyDescent="0.3">
      <c r="A2185" s="2" t="str">
        <f>"HIDROLANDIA"</f>
        <v>HIDROLANDIA</v>
      </c>
      <c r="B2185" s="3" t="str">
        <f>"CE"</f>
        <v>CE</v>
      </c>
      <c r="C2185" s="3" t="str">
        <f t="shared" si="87"/>
        <v>BRASIL</v>
      </c>
      <c r="D2185" s="4" t="str">
        <f>"CE070"</f>
        <v>CE070</v>
      </c>
    </row>
    <row r="2186" spans="1:4" x14ac:dyDescent="0.3">
      <c r="A2186" s="2" t="str">
        <f>"HIDROLANDIA"</f>
        <v>HIDROLANDIA</v>
      </c>
      <c r="B2186" s="3" t="str">
        <f>"GO"</f>
        <v>GO</v>
      </c>
      <c r="C2186" s="3" t="str">
        <f t="shared" si="87"/>
        <v>BRASIL</v>
      </c>
      <c r="D2186" s="4" t="str">
        <f>"GO105"</f>
        <v>GO105</v>
      </c>
    </row>
    <row r="2187" spans="1:4" x14ac:dyDescent="0.3">
      <c r="A2187" s="2" t="str">
        <f>"HIDROLINA"</f>
        <v>HIDROLINA</v>
      </c>
      <c r="B2187" s="3" t="str">
        <f>"GO"</f>
        <v>GO</v>
      </c>
      <c r="C2187" s="3" t="str">
        <f t="shared" si="87"/>
        <v>BRASIL</v>
      </c>
      <c r="D2187" s="4" t="str">
        <f>"GO106"</f>
        <v>GO106</v>
      </c>
    </row>
    <row r="2188" spans="1:4" x14ac:dyDescent="0.3">
      <c r="A2188" s="2" t="str">
        <f>"HOLAMBRA"</f>
        <v>HOLAMBRA</v>
      </c>
      <c r="B2188" s="3" t="str">
        <f>"SP"</f>
        <v>SP</v>
      </c>
      <c r="C2188" s="3" t="str">
        <f t="shared" si="87"/>
        <v>BRASIL</v>
      </c>
      <c r="D2188" s="4" t="str">
        <f>"SP217"</f>
        <v>SP217</v>
      </c>
    </row>
    <row r="2189" spans="1:4" x14ac:dyDescent="0.3">
      <c r="A2189" s="2" t="str">
        <f>"HONG KONG"</f>
        <v>HONG KONG</v>
      </c>
      <c r="B2189" s="3" t="str">
        <f>"CH"</f>
        <v>CH</v>
      </c>
      <c r="C2189" s="3" t="str">
        <f>"CHINA"</f>
        <v>CHINA</v>
      </c>
      <c r="D2189" s="4" t="str">
        <f>"HONG"</f>
        <v>HONG</v>
      </c>
    </row>
    <row r="2190" spans="1:4" x14ac:dyDescent="0.3">
      <c r="A2190" s="2" t="str">
        <f>"HONG KONG"</f>
        <v>HONG KONG</v>
      </c>
      <c r="B2190" s="3" t="str">
        <f>"EX"</f>
        <v>EX</v>
      </c>
      <c r="C2190" s="3" t="str">
        <f>"CHINA"</f>
        <v>CHINA</v>
      </c>
      <c r="D2190" s="4" t="str">
        <f>"HONGK"</f>
        <v>HONGK</v>
      </c>
    </row>
    <row r="2191" spans="1:4" x14ac:dyDescent="0.3">
      <c r="A2191" s="2" t="str">
        <f>"HONORIO SERPA"</f>
        <v>HONORIO SERPA</v>
      </c>
      <c r="B2191" s="3" t="str">
        <f>"PR"</f>
        <v>PR</v>
      </c>
      <c r="C2191" s="3" t="str">
        <f>"BRASIL"</f>
        <v>BRASIL</v>
      </c>
      <c r="D2191" s="4" t="str">
        <f>"PR138"</f>
        <v>PR138</v>
      </c>
    </row>
    <row r="2192" spans="1:4" x14ac:dyDescent="0.3">
      <c r="A2192" s="2" t="str">
        <f>"HORIZONTE"</f>
        <v>HORIZONTE</v>
      </c>
      <c r="B2192" s="3" t="str">
        <f>"CE"</f>
        <v>CE</v>
      </c>
      <c r="C2192" s="3" t="str">
        <f>"BRASIL"</f>
        <v>BRASIL</v>
      </c>
      <c r="D2192" s="4" t="str">
        <f>"CE071"</f>
        <v>CE071</v>
      </c>
    </row>
    <row r="2193" spans="1:4" x14ac:dyDescent="0.3">
      <c r="A2193" s="2" t="str">
        <f>"HORIZONTINA"</f>
        <v>HORIZONTINA</v>
      </c>
      <c r="B2193" s="3" t="str">
        <f>"RS"</f>
        <v>RS</v>
      </c>
      <c r="C2193" s="3" t="str">
        <f>"BRASIL"</f>
        <v>BRASIL</v>
      </c>
      <c r="D2193" s="4" t="str">
        <f>"RS193"</f>
        <v>RS193</v>
      </c>
    </row>
    <row r="2194" spans="1:4" x14ac:dyDescent="0.3">
      <c r="A2194" s="2" t="str">
        <f>"HORTOLANDIA"</f>
        <v>HORTOLANDIA</v>
      </c>
      <c r="B2194" s="3" t="str">
        <f>"SP"</f>
        <v>SP</v>
      </c>
      <c r="C2194" s="3" t="str">
        <f>"BRASIL"</f>
        <v>BRASIL</v>
      </c>
      <c r="D2194" s="4" t="str">
        <f>"SP218"</f>
        <v>SP218</v>
      </c>
    </row>
    <row r="2195" spans="1:4" x14ac:dyDescent="0.3">
      <c r="A2195" s="2" t="str">
        <f>"HUBEI"</f>
        <v>HUBEI</v>
      </c>
      <c r="B2195" s="3" t="str">
        <f>"EX"</f>
        <v>EX</v>
      </c>
      <c r="C2195" s="3" t="str">
        <f>"CHINA"</f>
        <v>CHINA</v>
      </c>
      <c r="D2195" s="4" t="str">
        <f>"HUBEI"</f>
        <v>HUBEI</v>
      </c>
    </row>
    <row r="2196" spans="1:4" x14ac:dyDescent="0.3">
      <c r="A2196" s="2" t="str">
        <f>"HUELVA"</f>
        <v>HUELVA</v>
      </c>
      <c r="B2196" s="3" t="str">
        <f>"HUEL"</f>
        <v>HUEL</v>
      </c>
      <c r="C2196" s="3" t="str">
        <f>"ESPANHA"</f>
        <v>ESPANHA</v>
      </c>
      <c r="D2196" s="4" t="str">
        <f>"HUELV"</f>
        <v>HUELV</v>
      </c>
    </row>
    <row r="2197" spans="1:4" x14ac:dyDescent="0.3">
      <c r="A2197" s="2" t="str">
        <f>"HUGO NAPOLEAO"</f>
        <v>HUGO NAPOLEAO</v>
      </c>
      <c r="B2197" s="3" t="str">
        <f>"PI"</f>
        <v>PI</v>
      </c>
      <c r="C2197" s="3" t="str">
        <f>"BRASIL"</f>
        <v>BRASIL</v>
      </c>
      <c r="D2197" s="4" t="str">
        <f>"PI093"</f>
        <v>PI093</v>
      </c>
    </row>
    <row r="2198" spans="1:4" x14ac:dyDescent="0.3">
      <c r="A2198" s="2" t="str">
        <f>"HUKOU TOWN"</f>
        <v>HUKOU TOWN</v>
      </c>
      <c r="B2198" s="3" t="str">
        <f>"EX"</f>
        <v>EX</v>
      </c>
      <c r="C2198" s="3" t="str">
        <f>"CHINA"</f>
        <v>CHINA</v>
      </c>
      <c r="D2198" s="4" t="str">
        <f>"HUKOU"</f>
        <v>HUKOU</v>
      </c>
    </row>
    <row r="2199" spans="1:4" x14ac:dyDescent="0.3">
      <c r="A2199" s="2" t="str">
        <f>"HULHA NEGRA"</f>
        <v>HULHA NEGRA</v>
      </c>
      <c r="B2199" s="3" t="str">
        <f>"RS"</f>
        <v>RS</v>
      </c>
      <c r="C2199" s="3" t="str">
        <f>"BRASIL"</f>
        <v>BRASIL</v>
      </c>
      <c r="D2199" s="4" t="str">
        <f>"RS194"</f>
        <v>RS194</v>
      </c>
    </row>
    <row r="2200" spans="1:4" x14ac:dyDescent="0.3">
      <c r="A2200" s="2" t="str">
        <f>"HUMAITA"</f>
        <v>HUMAITA</v>
      </c>
      <c r="B2200" s="3" t="str">
        <f>"AM"</f>
        <v>AM</v>
      </c>
      <c r="C2200" s="3" t="str">
        <f>"BRASIL"</f>
        <v>BRASIL</v>
      </c>
      <c r="D2200" s="4" t="str">
        <f>"AM026"</f>
        <v>AM026</v>
      </c>
    </row>
    <row r="2201" spans="1:4" x14ac:dyDescent="0.3">
      <c r="A2201" s="2" t="str">
        <f>"HUMAITA"</f>
        <v>HUMAITA</v>
      </c>
      <c r="B2201" s="3" t="str">
        <f>"RS"</f>
        <v>RS</v>
      </c>
      <c r="C2201" s="3" t="str">
        <f>"BRASIL"</f>
        <v>BRASIL</v>
      </c>
      <c r="D2201" s="4" t="str">
        <f>"RS195"</f>
        <v>RS195</v>
      </c>
    </row>
    <row r="2202" spans="1:4" x14ac:dyDescent="0.3">
      <c r="A2202" s="2" t="str">
        <f>"HUMANGUILLO"</f>
        <v>HUMANGUILLO</v>
      </c>
      <c r="B2202" s="3" t="str">
        <f>"ex"</f>
        <v>ex</v>
      </c>
      <c r="C2202" s="3" t="str">
        <f>"MEXICO"</f>
        <v>MEXICO</v>
      </c>
      <c r="D2202" s="4" t="str">
        <f>"TB"</f>
        <v>TB</v>
      </c>
    </row>
    <row r="2203" spans="1:4" x14ac:dyDescent="0.3">
      <c r="A2203" s="2" t="str">
        <f>"HUMBERTO DE CAMPOS"</f>
        <v>HUMBERTO DE CAMPOS</v>
      </c>
      <c r="B2203" s="3" t="str">
        <f>"MA"</f>
        <v>MA</v>
      </c>
      <c r="C2203" s="3" t="str">
        <f t="shared" ref="C2203:C2234" si="88">"BRASIL"</f>
        <v>BRASIL</v>
      </c>
      <c r="D2203" s="4" t="str">
        <f>"MA086"</f>
        <v>MA086</v>
      </c>
    </row>
    <row r="2204" spans="1:4" x14ac:dyDescent="0.3">
      <c r="A2204" s="2" t="str">
        <f>"IACANGA"</f>
        <v>IACANGA</v>
      </c>
      <c r="B2204" s="3" t="str">
        <f>"SP"</f>
        <v>SP</v>
      </c>
      <c r="C2204" s="3" t="str">
        <f t="shared" si="88"/>
        <v>BRASIL</v>
      </c>
      <c r="D2204" s="4" t="str">
        <f>"SP219"</f>
        <v>SP219</v>
      </c>
    </row>
    <row r="2205" spans="1:4" x14ac:dyDescent="0.3">
      <c r="A2205" s="2" t="str">
        <f>"IACIARA"</f>
        <v>IACIARA</v>
      </c>
      <c r="B2205" s="3" t="str">
        <f>"GO"</f>
        <v>GO</v>
      </c>
      <c r="C2205" s="3" t="str">
        <f t="shared" si="88"/>
        <v>BRASIL</v>
      </c>
      <c r="D2205" s="4" t="str">
        <f>"GO107"</f>
        <v>GO107</v>
      </c>
    </row>
    <row r="2206" spans="1:4" x14ac:dyDescent="0.3">
      <c r="A2206" s="2" t="str">
        <f>"IACRI"</f>
        <v>IACRI</v>
      </c>
      <c r="B2206" s="3" t="str">
        <f>"SP"</f>
        <v>SP</v>
      </c>
      <c r="C2206" s="3" t="str">
        <f t="shared" si="88"/>
        <v>BRASIL</v>
      </c>
      <c r="D2206" s="4" t="str">
        <f>"SP220"</f>
        <v>SP220</v>
      </c>
    </row>
    <row r="2207" spans="1:4" x14ac:dyDescent="0.3">
      <c r="A2207" s="2" t="str">
        <f>"IACU"</f>
        <v>IACU</v>
      </c>
      <c r="B2207" s="3" t="str">
        <f>"BA"</f>
        <v>BA</v>
      </c>
      <c r="C2207" s="3" t="str">
        <f t="shared" si="88"/>
        <v>BRASIL</v>
      </c>
      <c r="D2207" s="4" t="str">
        <f>"BA146"</f>
        <v>BA146</v>
      </c>
    </row>
    <row r="2208" spans="1:4" x14ac:dyDescent="0.3">
      <c r="A2208" s="2" t="str">
        <f>"IAPU"</f>
        <v>IAPU</v>
      </c>
      <c r="B2208" s="3" t="str">
        <f>"MG"</f>
        <v>MG</v>
      </c>
      <c r="C2208" s="3" t="str">
        <f t="shared" si="88"/>
        <v>BRASIL</v>
      </c>
      <c r="D2208" s="4" t="str">
        <f>"MG332"</f>
        <v>MG332</v>
      </c>
    </row>
    <row r="2209" spans="1:4" x14ac:dyDescent="0.3">
      <c r="A2209" s="2" t="str">
        <f>"IARAS"</f>
        <v>IARAS</v>
      </c>
      <c r="B2209" s="3" t="str">
        <f>"SP"</f>
        <v>SP</v>
      </c>
      <c r="C2209" s="3" t="str">
        <f t="shared" si="88"/>
        <v>BRASIL</v>
      </c>
      <c r="D2209" s="4" t="str">
        <f>"SP221"</f>
        <v>SP221</v>
      </c>
    </row>
    <row r="2210" spans="1:4" x14ac:dyDescent="0.3">
      <c r="A2210" s="2" t="str">
        <f>"IATI"</f>
        <v>IATI</v>
      </c>
      <c r="B2210" s="3" t="str">
        <f>"PE"</f>
        <v>PE</v>
      </c>
      <c r="C2210" s="3" t="str">
        <f t="shared" si="88"/>
        <v>BRASIL</v>
      </c>
      <c r="D2210" s="4" t="str">
        <f>"PE072"</f>
        <v>PE072</v>
      </c>
    </row>
    <row r="2211" spans="1:4" x14ac:dyDescent="0.3">
      <c r="A2211" s="2" t="str">
        <f>"IBAITI"</f>
        <v>IBAITI</v>
      </c>
      <c r="B2211" s="3" t="str">
        <f>"PR"</f>
        <v>PR</v>
      </c>
      <c r="C2211" s="3" t="str">
        <f t="shared" si="88"/>
        <v>BRASIL</v>
      </c>
      <c r="D2211" s="4" t="str">
        <f>"PR139"</f>
        <v>PR139</v>
      </c>
    </row>
    <row r="2212" spans="1:4" x14ac:dyDescent="0.3">
      <c r="A2212" s="2" t="str">
        <f>"IBARAMA"</f>
        <v>IBARAMA</v>
      </c>
      <c r="B2212" s="3" t="str">
        <f>"RS"</f>
        <v>RS</v>
      </c>
      <c r="C2212" s="3" t="str">
        <f t="shared" si="88"/>
        <v>BRASIL</v>
      </c>
      <c r="D2212" s="4" t="str">
        <f>"RS196"</f>
        <v>RS196</v>
      </c>
    </row>
    <row r="2213" spans="1:4" x14ac:dyDescent="0.3">
      <c r="A2213" s="2" t="str">
        <f>"IBARETAMA"</f>
        <v>IBARETAMA</v>
      </c>
      <c r="B2213" s="3" t="str">
        <f>"CE"</f>
        <v>CE</v>
      </c>
      <c r="C2213" s="3" t="str">
        <f t="shared" si="88"/>
        <v>BRASIL</v>
      </c>
      <c r="D2213" s="4" t="str">
        <f>"CE072"</f>
        <v>CE072</v>
      </c>
    </row>
    <row r="2214" spans="1:4" x14ac:dyDescent="0.3">
      <c r="A2214" s="2" t="str">
        <f>"IBATE"</f>
        <v>IBATE</v>
      </c>
      <c r="B2214" s="3" t="str">
        <f>"SP"</f>
        <v>SP</v>
      </c>
      <c r="C2214" s="3" t="str">
        <f t="shared" si="88"/>
        <v>BRASIL</v>
      </c>
      <c r="D2214" s="4" t="str">
        <f>"SP222"</f>
        <v>SP222</v>
      </c>
    </row>
    <row r="2215" spans="1:4" x14ac:dyDescent="0.3">
      <c r="A2215" s="2" t="str">
        <f>"IBATEGUARA"</f>
        <v>IBATEGUARA</v>
      </c>
      <c r="B2215" s="3" t="str">
        <f>"AL"</f>
        <v>AL</v>
      </c>
      <c r="C2215" s="3" t="str">
        <f t="shared" si="88"/>
        <v>BRASIL</v>
      </c>
      <c r="D2215" s="4" t="str">
        <f>"AL033"</f>
        <v>AL033</v>
      </c>
    </row>
    <row r="2216" spans="1:4" x14ac:dyDescent="0.3">
      <c r="A2216" s="2" t="str">
        <f>"IBATIBA"</f>
        <v>IBATIBA</v>
      </c>
      <c r="B2216" s="3" t="str">
        <f>"ES"</f>
        <v>ES</v>
      </c>
      <c r="C2216" s="3" t="str">
        <f t="shared" si="88"/>
        <v>BRASIL</v>
      </c>
      <c r="D2216" s="4" t="str">
        <f>"ES030"</f>
        <v>ES030</v>
      </c>
    </row>
    <row r="2217" spans="1:4" x14ac:dyDescent="0.3">
      <c r="A2217" s="2" t="str">
        <f>"IBEMA"</f>
        <v>IBEMA</v>
      </c>
      <c r="B2217" s="3" t="str">
        <f>"PR"</f>
        <v>PR</v>
      </c>
      <c r="C2217" s="3" t="str">
        <f t="shared" si="88"/>
        <v>BRASIL</v>
      </c>
      <c r="D2217" s="4" t="str">
        <f>"PR140"</f>
        <v>PR140</v>
      </c>
    </row>
    <row r="2218" spans="1:4" x14ac:dyDescent="0.3">
      <c r="A2218" s="2" t="str">
        <f>"IBERTIOGA"</f>
        <v>IBERTIOGA</v>
      </c>
      <c r="B2218" s="3" t="str">
        <f>"MG"</f>
        <v>MG</v>
      </c>
      <c r="C2218" s="3" t="str">
        <f t="shared" si="88"/>
        <v>BRASIL</v>
      </c>
      <c r="D2218" s="4" t="str">
        <f>"MG333"</f>
        <v>MG333</v>
      </c>
    </row>
    <row r="2219" spans="1:4" x14ac:dyDescent="0.3">
      <c r="A2219" s="2" t="str">
        <f>"IBIA"</f>
        <v>IBIA</v>
      </c>
      <c r="B2219" s="3" t="str">
        <f>"MG"</f>
        <v>MG</v>
      </c>
      <c r="C2219" s="3" t="str">
        <f t="shared" si="88"/>
        <v>BRASIL</v>
      </c>
      <c r="D2219" s="4" t="str">
        <f>"MG334"</f>
        <v>MG334</v>
      </c>
    </row>
    <row r="2220" spans="1:4" x14ac:dyDescent="0.3">
      <c r="A2220" s="2" t="str">
        <f>"IBIACA"</f>
        <v>IBIACA</v>
      </c>
      <c r="B2220" s="3" t="str">
        <f>"RS"</f>
        <v>RS</v>
      </c>
      <c r="C2220" s="3" t="str">
        <f t="shared" si="88"/>
        <v>BRASIL</v>
      </c>
      <c r="D2220" s="4" t="str">
        <f>"RS197"</f>
        <v>RS197</v>
      </c>
    </row>
    <row r="2221" spans="1:4" x14ac:dyDescent="0.3">
      <c r="A2221" s="2" t="str">
        <f>"IBIAI"</f>
        <v>IBIAI</v>
      </c>
      <c r="B2221" s="3" t="str">
        <f>"MG"</f>
        <v>MG</v>
      </c>
      <c r="C2221" s="3" t="str">
        <f t="shared" si="88"/>
        <v>BRASIL</v>
      </c>
      <c r="D2221" s="4" t="str">
        <f>"MG335"</f>
        <v>MG335</v>
      </c>
    </row>
    <row r="2222" spans="1:4" x14ac:dyDescent="0.3">
      <c r="A2222" s="2" t="str">
        <f>"IBIAM"</f>
        <v>IBIAM</v>
      </c>
      <c r="B2222" s="3" t="str">
        <f>"SC"</f>
        <v>SC</v>
      </c>
      <c r="C2222" s="3" t="str">
        <f t="shared" si="88"/>
        <v>BRASIL</v>
      </c>
      <c r="D2222" s="4" t="str">
        <f>"SC106"</f>
        <v>SC106</v>
      </c>
    </row>
    <row r="2223" spans="1:4" x14ac:dyDescent="0.3">
      <c r="A2223" s="2" t="str">
        <f>"IBIAPINA"</f>
        <v>IBIAPINA</v>
      </c>
      <c r="B2223" s="3" t="str">
        <f>"CE"</f>
        <v>CE</v>
      </c>
      <c r="C2223" s="3" t="str">
        <f t="shared" si="88"/>
        <v>BRASIL</v>
      </c>
      <c r="D2223" s="4" t="str">
        <f>"CE073"</f>
        <v>CE073</v>
      </c>
    </row>
    <row r="2224" spans="1:4" x14ac:dyDescent="0.3">
      <c r="A2224" s="2" t="str">
        <f>"IBIARA"</f>
        <v>IBIARA</v>
      </c>
      <c r="B2224" s="3" t="str">
        <f>"PB"</f>
        <v>PB</v>
      </c>
      <c r="C2224" s="3" t="str">
        <f t="shared" si="88"/>
        <v>BRASIL</v>
      </c>
      <c r="D2224" s="4" t="str">
        <f>"PB087"</f>
        <v>PB087</v>
      </c>
    </row>
    <row r="2225" spans="1:4" x14ac:dyDescent="0.3">
      <c r="A2225" s="2" t="str">
        <f>"IBIASSUCE"</f>
        <v>IBIASSUCE</v>
      </c>
      <c r="B2225" s="3" t="str">
        <f>"BA"</f>
        <v>BA</v>
      </c>
      <c r="C2225" s="3" t="str">
        <f t="shared" si="88"/>
        <v>BRASIL</v>
      </c>
      <c r="D2225" s="4" t="str">
        <f>"BA147"</f>
        <v>BA147</v>
      </c>
    </row>
    <row r="2226" spans="1:4" x14ac:dyDescent="0.3">
      <c r="A2226" s="2" t="str">
        <f>"IBICARAI"</f>
        <v>IBICARAI</v>
      </c>
      <c r="B2226" s="3" t="str">
        <f>"BA"</f>
        <v>BA</v>
      </c>
      <c r="C2226" s="3" t="str">
        <f t="shared" si="88"/>
        <v>BRASIL</v>
      </c>
      <c r="D2226" s="4" t="str">
        <f>"BA148"</f>
        <v>BA148</v>
      </c>
    </row>
    <row r="2227" spans="1:4" x14ac:dyDescent="0.3">
      <c r="A2227" s="2" t="str">
        <f>"IBICARE"</f>
        <v>IBICARE</v>
      </c>
      <c r="B2227" s="3" t="str">
        <f>"SC"</f>
        <v>SC</v>
      </c>
      <c r="C2227" s="3" t="str">
        <f t="shared" si="88"/>
        <v>BRASIL</v>
      </c>
      <c r="D2227" s="4" t="str">
        <f>"SC107"</f>
        <v>SC107</v>
      </c>
    </row>
    <row r="2228" spans="1:4" x14ac:dyDescent="0.3">
      <c r="A2228" s="2" t="str">
        <f>"IBICOARA"</f>
        <v>IBICOARA</v>
      </c>
      <c r="B2228" s="3" t="str">
        <f>"BA"</f>
        <v>BA</v>
      </c>
      <c r="C2228" s="3" t="str">
        <f t="shared" si="88"/>
        <v>BRASIL</v>
      </c>
      <c r="D2228" s="4" t="str">
        <f>"BA149"</f>
        <v>BA149</v>
      </c>
    </row>
    <row r="2229" spans="1:4" x14ac:dyDescent="0.3">
      <c r="A2229" s="2" t="str">
        <f>"IBICUI"</f>
        <v>IBICUI</v>
      </c>
      <c r="B2229" s="3" t="str">
        <f>"BA"</f>
        <v>BA</v>
      </c>
      <c r="C2229" s="3" t="str">
        <f t="shared" si="88"/>
        <v>BRASIL</v>
      </c>
      <c r="D2229" s="4" t="str">
        <f>"BA150"</f>
        <v>BA150</v>
      </c>
    </row>
    <row r="2230" spans="1:4" x14ac:dyDescent="0.3">
      <c r="A2230" s="2" t="str">
        <f>"IBICUITINGA"</f>
        <v>IBICUITINGA</v>
      </c>
      <c r="B2230" s="3" t="str">
        <f>"CE"</f>
        <v>CE</v>
      </c>
      <c r="C2230" s="3" t="str">
        <f t="shared" si="88"/>
        <v>BRASIL</v>
      </c>
      <c r="D2230" s="4" t="str">
        <f>"CE074"</f>
        <v>CE074</v>
      </c>
    </row>
    <row r="2231" spans="1:4" x14ac:dyDescent="0.3">
      <c r="A2231" s="2" t="str">
        <f>"IBIMIRIM"</f>
        <v>IBIMIRIM</v>
      </c>
      <c r="B2231" s="3" t="str">
        <f>"PE"</f>
        <v>PE</v>
      </c>
      <c r="C2231" s="3" t="str">
        <f t="shared" si="88"/>
        <v>BRASIL</v>
      </c>
      <c r="D2231" s="4" t="str">
        <f>"PE073"</f>
        <v>PE073</v>
      </c>
    </row>
    <row r="2232" spans="1:4" x14ac:dyDescent="0.3">
      <c r="A2232" s="2" t="str">
        <f>"IBIPEBA"</f>
        <v>IBIPEBA</v>
      </c>
      <c r="B2232" s="3" t="str">
        <f>"BA"</f>
        <v>BA</v>
      </c>
      <c r="C2232" s="3" t="str">
        <f t="shared" si="88"/>
        <v>BRASIL</v>
      </c>
      <c r="D2232" s="4" t="str">
        <f>"BA151"</f>
        <v>BA151</v>
      </c>
    </row>
    <row r="2233" spans="1:4" x14ac:dyDescent="0.3">
      <c r="A2233" s="2" t="str">
        <f>"IBIPITANGA"</f>
        <v>IBIPITANGA</v>
      </c>
      <c r="B2233" s="3" t="str">
        <f>"BA"</f>
        <v>BA</v>
      </c>
      <c r="C2233" s="3" t="str">
        <f t="shared" si="88"/>
        <v>BRASIL</v>
      </c>
      <c r="D2233" s="4" t="str">
        <f>"BA152"</f>
        <v>BA152</v>
      </c>
    </row>
    <row r="2234" spans="1:4" x14ac:dyDescent="0.3">
      <c r="A2234" s="2" t="str">
        <f>"IBIPORA"</f>
        <v>IBIPORA</v>
      </c>
      <c r="B2234" s="3" t="str">
        <f>"PR"</f>
        <v>PR</v>
      </c>
      <c r="C2234" s="3" t="str">
        <f t="shared" si="88"/>
        <v>BRASIL</v>
      </c>
      <c r="D2234" s="4" t="str">
        <f>"PR141"</f>
        <v>PR141</v>
      </c>
    </row>
    <row r="2235" spans="1:4" x14ac:dyDescent="0.3">
      <c r="A2235" s="2" t="str">
        <f>"IBIQUERA"</f>
        <v>IBIQUERA</v>
      </c>
      <c r="B2235" s="3" t="str">
        <f>"BA"</f>
        <v>BA</v>
      </c>
      <c r="C2235" s="3" t="str">
        <f t="shared" ref="C2235:C2266" si="89">"BRASIL"</f>
        <v>BRASIL</v>
      </c>
      <c r="D2235" s="4" t="str">
        <f>"BA153"</f>
        <v>BA153</v>
      </c>
    </row>
    <row r="2236" spans="1:4" x14ac:dyDescent="0.3">
      <c r="A2236" s="2" t="str">
        <f>"IBIRA"</f>
        <v>IBIRA</v>
      </c>
      <c r="B2236" s="3" t="str">
        <f>"SP"</f>
        <v>SP</v>
      </c>
      <c r="C2236" s="3" t="str">
        <f t="shared" si="89"/>
        <v>BRASIL</v>
      </c>
      <c r="D2236" s="4" t="str">
        <f>"SP223"</f>
        <v>SP223</v>
      </c>
    </row>
    <row r="2237" spans="1:4" x14ac:dyDescent="0.3">
      <c r="A2237" s="2" t="str">
        <f>"IBIRACATU"</f>
        <v>IBIRACATU</v>
      </c>
      <c r="B2237" s="3" t="str">
        <f>"MG"</f>
        <v>MG</v>
      </c>
      <c r="C2237" s="3" t="str">
        <f t="shared" si="89"/>
        <v>BRASIL</v>
      </c>
      <c r="D2237" s="4" t="str">
        <f>"MG336"</f>
        <v>MG336</v>
      </c>
    </row>
    <row r="2238" spans="1:4" x14ac:dyDescent="0.3">
      <c r="A2238" s="2" t="str">
        <f>"IBIRACI"</f>
        <v>IBIRACI</v>
      </c>
      <c r="B2238" s="3" t="str">
        <f>"MG"</f>
        <v>MG</v>
      </c>
      <c r="C2238" s="3" t="str">
        <f t="shared" si="89"/>
        <v>BRASIL</v>
      </c>
      <c r="D2238" s="4" t="str">
        <f>"MG337"</f>
        <v>MG337</v>
      </c>
    </row>
    <row r="2239" spans="1:4" x14ac:dyDescent="0.3">
      <c r="A2239" s="2" t="str">
        <f>"IBIRACU"</f>
        <v>IBIRACU</v>
      </c>
      <c r="B2239" s="3" t="str">
        <f>"ES"</f>
        <v>ES</v>
      </c>
      <c r="C2239" s="3" t="str">
        <f t="shared" si="89"/>
        <v>BRASIL</v>
      </c>
      <c r="D2239" s="4" t="str">
        <f>"ES031"</f>
        <v>ES031</v>
      </c>
    </row>
    <row r="2240" spans="1:4" x14ac:dyDescent="0.3">
      <c r="A2240" s="2" t="str">
        <f>"IBIRAIARAS"</f>
        <v>IBIRAIARAS</v>
      </c>
      <c r="B2240" s="3" t="str">
        <f>"RS"</f>
        <v>RS</v>
      </c>
      <c r="C2240" s="3" t="str">
        <f t="shared" si="89"/>
        <v>BRASIL</v>
      </c>
      <c r="D2240" s="4" t="str">
        <f>"RS198"</f>
        <v>RS198</v>
      </c>
    </row>
    <row r="2241" spans="1:4" x14ac:dyDescent="0.3">
      <c r="A2241" s="2" t="str">
        <f>"IBIRAJUBA"</f>
        <v>IBIRAJUBA</v>
      </c>
      <c r="B2241" s="3" t="str">
        <f>"PE"</f>
        <v>PE</v>
      </c>
      <c r="C2241" s="3" t="str">
        <f t="shared" si="89"/>
        <v>BRASIL</v>
      </c>
      <c r="D2241" s="4" t="str">
        <f>"PE074"</f>
        <v>PE074</v>
      </c>
    </row>
    <row r="2242" spans="1:4" x14ac:dyDescent="0.3">
      <c r="A2242" s="2" t="str">
        <f>"IBIRAMA"</f>
        <v>IBIRAMA</v>
      </c>
      <c r="B2242" s="3" t="str">
        <f>"SC"</f>
        <v>SC</v>
      </c>
      <c r="C2242" s="3" t="str">
        <f t="shared" si="89"/>
        <v>BRASIL</v>
      </c>
      <c r="D2242" s="4" t="str">
        <f>"SC108"</f>
        <v>SC108</v>
      </c>
    </row>
    <row r="2243" spans="1:4" x14ac:dyDescent="0.3">
      <c r="A2243" s="2" t="str">
        <f>"IBIRAPITANGA"</f>
        <v>IBIRAPITANGA</v>
      </c>
      <c r="B2243" s="3" t="str">
        <f>"BA"</f>
        <v>BA</v>
      </c>
      <c r="C2243" s="3" t="str">
        <f t="shared" si="89"/>
        <v>BRASIL</v>
      </c>
      <c r="D2243" s="4" t="str">
        <f>"BA154"</f>
        <v>BA154</v>
      </c>
    </row>
    <row r="2244" spans="1:4" x14ac:dyDescent="0.3">
      <c r="A2244" s="2" t="str">
        <f>"IBIRAPUA"</f>
        <v>IBIRAPUA</v>
      </c>
      <c r="B2244" s="3" t="str">
        <f>"BA"</f>
        <v>BA</v>
      </c>
      <c r="C2244" s="3" t="str">
        <f t="shared" si="89"/>
        <v>BRASIL</v>
      </c>
      <c r="D2244" s="4" t="str">
        <f>"BA155"</f>
        <v>BA155</v>
      </c>
    </row>
    <row r="2245" spans="1:4" x14ac:dyDescent="0.3">
      <c r="A2245" s="2" t="str">
        <f>"IBIRAPUITA"</f>
        <v>IBIRAPUITA</v>
      </c>
      <c r="B2245" s="3" t="str">
        <f>"RS"</f>
        <v>RS</v>
      </c>
      <c r="C2245" s="3" t="str">
        <f t="shared" si="89"/>
        <v>BRASIL</v>
      </c>
      <c r="D2245" s="4" t="str">
        <f>"RS199"</f>
        <v>RS199</v>
      </c>
    </row>
    <row r="2246" spans="1:4" x14ac:dyDescent="0.3">
      <c r="A2246" s="2" t="str">
        <f>"IBIRAREMA"</f>
        <v>IBIRAREMA</v>
      </c>
      <c r="B2246" s="3" t="str">
        <f>"SP"</f>
        <v>SP</v>
      </c>
      <c r="C2246" s="3" t="str">
        <f t="shared" si="89"/>
        <v>BRASIL</v>
      </c>
      <c r="D2246" s="4" t="str">
        <f>"SP224"</f>
        <v>SP224</v>
      </c>
    </row>
    <row r="2247" spans="1:4" x14ac:dyDescent="0.3">
      <c r="A2247" s="2" t="str">
        <f>"IBIRATAIA"</f>
        <v>IBIRATAIA</v>
      </c>
      <c r="B2247" s="3" t="str">
        <f>"BA"</f>
        <v>BA</v>
      </c>
      <c r="C2247" s="3" t="str">
        <f t="shared" si="89"/>
        <v>BRASIL</v>
      </c>
      <c r="D2247" s="4" t="str">
        <f>"BA156"</f>
        <v>BA156</v>
      </c>
    </row>
    <row r="2248" spans="1:4" x14ac:dyDescent="0.3">
      <c r="A2248" s="2" t="str">
        <f>"IBIRITE"</f>
        <v>IBIRITE</v>
      </c>
      <c r="B2248" s="3" t="str">
        <f>"MG"</f>
        <v>MG</v>
      </c>
      <c r="C2248" s="3" t="str">
        <f t="shared" si="89"/>
        <v>BRASIL</v>
      </c>
      <c r="D2248" s="4" t="str">
        <f>"MG338"</f>
        <v>MG338</v>
      </c>
    </row>
    <row r="2249" spans="1:4" x14ac:dyDescent="0.3">
      <c r="A2249" s="2" t="str">
        <f>"IBIRUBA"</f>
        <v>IBIRUBA</v>
      </c>
      <c r="B2249" s="3" t="str">
        <f>"RS"</f>
        <v>RS</v>
      </c>
      <c r="C2249" s="3" t="str">
        <f t="shared" si="89"/>
        <v>BRASIL</v>
      </c>
      <c r="D2249" s="4" t="str">
        <f>"RS200"</f>
        <v>RS200</v>
      </c>
    </row>
    <row r="2250" spans="1:4" x14ac:dyDescent="0.3">
      <c r="A2250" s="2" t="str">
        <f>"IBITIARA"</f>
        <v>IBITIARA</v>
      </c>
      <c r="B2250" s="3" t="str">
        <f>"BA"</f>
        <v>BA</v>
      </c>
      <c r="C2250" s="3" t="str">
        <f t="shared" si="89"/>
        <v>BRASIL</v>
      </c>
      <c r="D2250" s="4" t="str">
        <f>"BA157"</f>
        <v>BA157</v>
      </c>
    </row>
    <row r="2251" spans="1:4" x14ac:dyDescent="0.3">
      <c r="A2251" s="2" t="str">
        <f>"IBITINGA"</f>
        <v>IBITINGA</v>
      </c>
      <c r="B2251" s="3" t="str">
        <f>"SP"</f>
        <v>SP</v>
      </c>
      <c r="C2251" s="3" t="str">
        <f t="shared" si="89"/>
        <v>BRASIL</v>
      </c>
      <c r="D2251" s="4" t="str">
        <f>"SP225"</f>
        <v>SP225</v>
      </c>
    </row>
    <row r="2252" spans="1:4" x14ac:dyDescent="0.3">
      <c r="A2252" s="2" t="str">
        <f>"IBITIRAMA"</f>
        <v>IBITIRAMA</v>
      </c>
      <c r="B2252" s="3" t="str">
        <f>"ES"</f>
        <v>ES</v>
      </c>
      <c r="C2252" s="3" t="str">
        <f t="shared" si="89"/>
        <v>BRASIL</v>
      </c>
      <c r="D2252" s="4" t="str">
        <f>"ES032"</f>
        <v>ES032</v>
      </c>
    </row>
    <row r="2253" spans="1:4" x14ac:dyDescent="0.3">
      <c r="A2253" s="2" t="str">
        <f>"IBITITA"</f>
        <v>IBITITA</v>
      </c>
      <c r="B2253" s="3" t="str">
        <f>"BA"</f>
        <v>BA</v>
      </c>
      <c r="C2253" s="3" t="str">
        <f t="shared" si="89"/>
        <v>BRASIL</v>
      </c>
      <c r="D2253" s="4" t="str">
        <f>"BA158"</f>
        <v>BA158</v>
      </c>
    </row>
    <row r="2254" spans="1:4" x14ac:dyDescent="0.3">
      <c r="A2254" s="2" t="str">
        <f>"IBITIURA DE MINAS"</f>
        <v>IBITIURA DE MINAS</v>
      </c>
      <c r="B2254" s="3" t="str">
        <f>"MG"</f>
        <v>MG</v>
      </c>
      <c r="C2254" s="3" t="str">
        <f t="shared" si="89"/>
        <v>BRASIL</v>
      </c>
      <c r="D2254" s="4" t="str">
        <f>"MG339"</f>
        <v>MG339</v>
      </c>
    </row>
    <row r="2255" spans="1:4" x14ac:dyDescent="0.3">
      <c r="A2255" s="2" t="str">
        <f>"IBITURUNA"</f>
        <v>IBITURUNA</v>
      </c>
      <c r="B2255" s="3" t="str">
        <f>"MG"</f>
        <v>MG</v>
      </c>
      <c r="C2255" s="3" t="str">
        <f t="shared" si="89"/>
        <v>BRASIL</v>
      </c>
      <c r="D2255" s="4" t="str">
        <f>"MG340"</f>
        <v>MG340</v>
      </c>
    </row>
    <row r="2256" spans="1:4" x14ac:dyDescent="0.3">
      <c r="A2256" s="2" t="str">
        <f>"IBIUNA"</f>
        <v>IBIUNA</v>
      </c>
      <c r="B2256" s="3" t="str">
        <f>"SP"</f>
        <v>SP</v>
      </c>
      <c r="C2256" s="3" t="str">
        <f t="shared" si="89"/>
        <v>BRASIL</v>
      </c>
      <c r="D2256" s="4" t="str">
        <f>"SP226"</f>
        <v>SP226</v>
      </c>
    </row>
    <row r="2257" spans="1:4" x14ac:dyDescent="0.3">
      <c r="A2257" s="2" t="str">
        <f>"IBOTIRAMA"</f>
        <v>IBOTIRAMA</v>
      </c>
      <c r="B2257" s="3" t="str">
        <f>"BA"</f>
        <v>BA</v>
      </c>
      <c r="C2257" s="3" t="str">
        <f t="shared" si="89"/>
        <v>BRASIL</v>
      </c>
      <c r="D2257" s="4" t="str">
        <f>"BA159"</f>
        <v>BA159</v>
      </c>
    </row>
    <row r="2258" spans="1:4" x14ac:dyDescent="0.3">
      <c r="A2258" s="2" t="str">
        <f>"ICAPUI"</f>
        <v>ICAPUI</v>
      </c>
      <c r="B2258" s="3" t="str">
        <f>"CE"</f>
        <v>CE</v>
      </c>
      <c r="C2258" s="3" t="str">
        <f t="shared" si="89"/>
        <v>BRASIL</v>
      </c>
      <c r="D2258" s="4" t="str">
        <f>"CE075"</f>
        <v>CE075</v>
      </c>
    </row>
    <row r="2259" spans="1:4" x14ac:dyDescent="0.3">
      <c r="A2259" s="2" t="str">
        <f>"ICARA"</f>
        <v>ICARA</v>
      </c>
      <c r="B2259" s="3" t="str">
        <f>"SC"</f>
        <v>SC</v>
      </c>
      <c r="C2259" s="3" t="str">
        <f t="shared" si="89"/>
        <v>BRASIL</v>
      </c>
      <c r="D2259" s="4" t="str">
        <f>"SC109"</f>
        <v>SC109</v>
      </c>
    </row>
    <row r="2260" spans="1:4" x14ac:dyDescent="0.3">
      <c r="A2260" s="2" t="str">
        <f>"ICARAI DE MINAS"</f>
        <v>ICARAI DE MINAS</v>
      </c>
      <c r="B2260" s="3" t="str">
        <f>"MG"</f>
        <v>MG</v>
      </c>
      <c r="C2260" s="3" t="str">
        <f t="shared" si="89"/>
        <v>BRASIL</v>
      </c>
      <c r="D2260" s="4" t="str">
        <f>"MG341"</f>
        <v>MG341</v>
      </c>
    </row>
    <row r="2261" spans="1:4" x14ac:dyDescent="0.3">
      <c r="A2261" s="2" t="str">
        <f>"ICARAIMA"</f>
        <v>ICARAIMA</v>
      </c>
      <c r="B2261" s="3" t="str">
        <f>"PR"</f>
        <v>PR</v>
      </c>
      <c r="C2261" s="3" t="str">
        <f t="shared" si="89"/>
        <v>BRASIL</v>
      </c>
      <c r="D2261" s="4" t="str">
        <f>"PR142"</f>
        <v>PR142</v>
      </c>
    </row>
    <row r="2262" spans="1:4" x14ac:dyDescent="0.3">
      <c r="A2262" s="2" t="str">
        <f>"ICATU"</f>
        <v>ICATU</v>
      </c>
      <c r="B2262" s="3" t="str">
        <f>"MA"</f>
        <v>MA</v>
      </c>
      <c r="C2262" s="3" t="str">
        <f t="shared" si="89"/>
        <v>BRASIL</v>
      </c>
      <c r="D2262" s="4" t="str">
        <f>"MA087"</f>
        <v>MA087</v>
      </c>
    </row>
    <row r="2263" spans="1:4" x14ac:dyDescent="0.3">
      <c r="A2263" s="2" t="str">
        <f>"ICEM"</f>
        <v>ICEM</v>
      </c>
      <c r="B2263" s="3" t="str">
        <f>"SP"</f>
        <v>SP</v>
      </c>
      <c r="C2263" s="3" t="str">
        <f t="shared" si="89"/>
        <v>BRASIL</v>
      </c>
      <c r="D2263" s="4" t="str">
        <f>"SP227"</f>
        <v>SP227</v>
      </c>
    </row>
    <row r="2264" spans="1:4" x14ac:dyDescent="0.3">
      <c r="A2264" s="2" t="str">
        <f>"ICHU"</f>
        <v>ICHU</v>
      </c>
      <c r="B2264" s="3" t="str">
        <f>"BA"</f>
        <v>BA</v>
      </c>
      <c r="C2264" s="3" t="str">
        <f t="shared" si="89"/>
        <v>BRASIL</v>
      </c>
      <c r="D2264" s="4" t="str">
        <f>"BA160"</f>
        <v>BA160</v>
      </c>
    </row>
    <row r="2265" spans="1:4" x14ac:dyDescent="0.3">
      <c r="A2265" s="2" t="str">
        <f>"ICO"</f>
        <v>ICO</v>
      </c>
      <c r="B2265" s="3" t="str">
        <f>"CE"</f>
        <v>CE</v>
      </c>
      <c r="C2265" s="3" t="str">
        <f t="shared" si="89"/>
        <v>BRASIL</v>
      </c>
      <c r="D2265" s="4" t="str">
        <f>"CE076"</f>
        <v>CE076</v>
      </c>
    </row>
    <row r="2266" spans="1:4" x14ac:dyDescent="0.3">
      <c r="A2266" s="2" t="str">
        <f>"ICONHA"</f>
        <v>ICONHA</v>
      </c>
      <c r="B2266" s="3" t="str">
        <f>"ES"</f>
        <v>ES</v>
      </c>
      <c r="C2266" s="3" t="str">
        <f t="shared" si="89"/>
        <v>BRASIL</v>
      </c>
      <c r="D2266" s="4" t="str">
        <f>"ES033"</f>
        <v>ES033</v>
      </c>
    </row>
    <row r="2267" spans="1:4" x14ac:dyDescent="0.3">
      <c r="A2267" s="2" t="str">
        <f>"IELMO MARINHO"</f>
        <v>IELMO MARINHO</v>
      </c>
      <c r="B2267" s="3" t="str">
        <f>"RN"</f>
        <v>RN</v>
      </c>
      <c r="C2267" s="3" t="str">
        <f t="shared" ref="C2267:C2298" si="90">"BRASIL"</f>
        <v>BRASIL</v>
      </c>
      <c r="D2267" s="4" t="str">
        <f>"RN051"</f>
        <v>RN051</v>
      </c>
    </row>
    <row r="2268" spans="1:4" x14ac:dyDescent="0.3">
      <c r="A2268" s="2" t="str">
        <f>"IEPE"</f>
        <v>IEPE</v>
      </c>
      <c r="B2268" s="3" t="str">
        <f>"SP"</f>
        <v>SP</v>
      </c>
      <c r="C2268" s="3" t="str">
        <f t="shared" si="90"/>
        <v>BRASIL</v>
      </c>
      <c r="D2268" s="4" t="str">
        <f>"SP228"</f>
        <v>SP228</v>
      </c>
    </row>
    <row r="2269" spans="1:4" x14ac:dyDescent="0.3">
      <c r="A2269" s="2" t="str">
        <f>"IGACI"</f>
        <v>IGACI</v>
      </c>
      <c r="B2269" s="3" t="str">
        <f>"AL"</f>
        <v>AL</v>
      </c>
      <c r="C2269" s="3" t="str">
        <f t="shared" si="90"/>
        <v>BRASIL</v>
      </c>
      <c r="D2269" s="4" t="str">
        <f>"AL034"</f>
        <v>AL034</v>
      </c>
    </row>
    <row r="2270" spans="1:4" x14ac:dyDescent="0.3">
      <c r="A2270" s="2" t="str">
        <f>"IGAPORA"</f>
        <v>IGAPORA</v>
      </c>
      <c r="B2270" s="3" t="str">
        <f>"BA"</f>
        <v>BA</v>
      </c>
      <c r="C2270" s="3" t="str">
        <f t="shared" si="90"/>
        <v>BRASIL</v>
      </c>
      <c r="D2270" s="4" t="str">
        <f>"BA161"</f>
        <v>BA161</v>
      </c>
    </row>
    <row r="2271" spans="1:4" x14ac:dyDescent="0.3">
      <c r="A2271" s="2" t="str">
        <f>"IGARACU DO TIETE"</f>
        <v>IGARACU DO TIETE</v>
      </c>
      <c r="B2271" s="3" t="str">
        <f>"SP"</f>
        <v>SP</v>
      </c>
      <c r="C2271" s="3" t="str">
        <f t="shared" si="90"/>
        <v>BRASIL</v>
      </c>
      <c r="D2271" s="4" t="str">
        <f>"SP229"</f>
        <v>SP229</v>
      </c>
    </row>
    <row r="2272" spans="1:4" x14ac:dyDescent="0.3">
      <c r="A2272" s="2" t="str">
        <f>"IGARACY"</f>
        <v>IGARACY</v>
      </c>
      <c r="B2272" s="3" t="str">
        <f>"PB"</f>
        <v>PB</v>
      </c>
      <c r="C2272" s="3" t="str">
        <f t="shared" si="90"/>
        <v>BRASIL</v>
      </c>
      <c r="D2272" s="4" t="str">
        <f>"PB036"</f>
        <v>PB036</v>
      </c>
    </row>
    <row r="2273" spans="1:4" x14ac:dyDescent="0.3">
      <c r="A2273" s="2" t="str">
        <f>"IGARAPAVA"</f>
        <v>IGARAPAVA</v>
      </c>
      <c r="B2273" s="3" t="str">
        <f>"SP"</f>
        <v>SP</v>
      </c>
      <c r="C2273" s="3" t="str">
        <f t="shared" si="90"/>
        <v>BRASIL</v>
      </c>
      <c r="D2273" s="4" t="str">
        <f>"SP230"</f>
        <v>SP230</v>
      </c>
    </row>
    <row r="2274" spans="1:4" x14ac:dyDescent="0.3">
      <c r="A2274" s="2" t="str">
        <f>"IGARAPE"</f>
        <v>IGARAPE</v>
      </c>
      <c r="B2274" s="3" t="str">
        <f>"MG"</f>
        <v>MG</v>
      </c>
      <c r="C2274" s="3" t="str">
        <f t="shared" si="90"/>
        <v>BRASIL</v>
      </c>
      <c r="D2274" s="4" t="str">
        <f>"MG342"</f>
        <v>MG342</v>
      </c>
    </row>
    <row r="2275" spans="1:4" x14ac:dyDescent="0.3">
      <c r="A2275" s="2" t="str">
        <f>"IGARAPE DO MEIO"</f>
        <v>IGARAPE DO MEIO</v>
      </c>
      <c r="B2275" s="3" t="str">
        <f>"MA"</f>
        <v>MA</v>
      </c>
      <c r="C2275" s="3" t="str">
        <f t="shared" si="90"/>
        <v>BRASIL</v>
      </c>
      <c r="D2275" s="4" t="str">
        <f>"MA088"</f>
        <v>MA088</v>
      </c>
    </row>
    <row r="2276" spans="1:4" x14ac:dyDescent="0.3">
      <c r="A2276" s="2" t="str">
        <f>"IGARAPE GRANDE"</f>
        <v>IGARAPE GRANDE</v>
      </c>
      <c r="B2276" s="3" t="str">
        <f>"MA"</f>
        <v>MA</v>
      </c>
      <c r="C2276" s="3" t="str">
        <f t="shared" si="90"/>
        <v>BRASIL</v>
      </c>
      <c r="D2276" s="4" t="str">
        <f>"MA089"</f>
        <v>MA089</v>
      </c>
    </row>
    <row r="2277" spans="1:4" x14ac:dyDescent="0.3">
      <c r="A2277" s="2" t="str">
        <f>"IGARAPE-ACU"</f>
        <v>IGARAPE-ACU</v>
      </c>
      <c r="B2277" s="3" t="str">
        <f>"PA"</f>
        <v>PA</v>
      </c>
      <c r="C2277" s="3" t="str">
        <f t="shared" si="90"/>
        <v>BRASIL</v>
      </c>
      <c r="D2277" s="4" t="str">
        <f>"PA053"</f>
        <v>PA053</v>
      </c>
    </row>
    <row r="2278" spans="1:4" x14ac:dyDescent="0.3">
      <c r="A2278" s="2" t="str">
        <f>"IGARAPE-MIRI"</f>
        <v>IGARAPE-MIRI</v>
      </c>
      <c r="B2278" s="3" t="str">
        <f>"PA"</f>
        <v>PA</v>
      </c>
      <c r="C2278" s="3" t="str">
        <f t="shared" si="90"/>
        <v>BRASIL</v>
      </c>
      <c r="D2278" s="4" t="str">
        <f>"PA054"</f>
        <v>PA054</v>
      </c>
    </row>
    <row r="2279" spans="1:4" x14ac:dyDescent="0.3">
      <c r="A2279" s="2" t="str">
        <f>"IGARASSU"</f>
        <v>IGARASSU</v>
      </c>
      <c r="B2279" s="3" t="str">
        <f>"PE"</f>
        <v>PE</v>
      </c>
      <c r="C2279" s="3" t="str">
        <f t="shared" si="90"/>
        <v>BRASIL</v>
      </c>
      <c r="D2279" s="4" t="str">
        <f>"PE075"</f>
        <v>PE075</v>
      </c>
    </row>
    <row r="2280" spans="1:4" x14ac:dyDescent="0.3">
      <c r="A2280" s="2" t="str">
        <f>"IGARATA"</f>
        <v>IGARATA</v>
      </c>
      <c r="B2280" s="3" t="str">
        <f>"SP"</f>
        <v>SP</v>
      </c>
      <c r="C2280" s="3" t="str">
        <f t="shared" si="90"/>
        <v>BRASIL</v>
      </c>
      <c r="D2280" s="4" t="str">
        <f>"SP231"</f>
        <v>SP231</v>
      </c>
    </row>
    <row r="2281" spans="1:4" x14ac:dyDescent="0.3">
      <c r="A2281" s="2" t="str">
        <f>"IGARATINGA"</f>
        <v>IGARATINGA</v>
      </c>
      <c r="B2281" s="3" t="str">
        <f>"MG"</f>
        <v>MG</v>
      </c>
      <c r="C2281" s="3" t="str">
        <f t="shared" si="90"/>
        <v>BRASIL</v>
      </c>
      <c r="D2281" s="4" t="str">
        <f>"MG343"</f>
        <v>MG343</v>
      </c>
    </row>
    <row r="2282" spans="1:4" x14ac:dyDescent="0.3">
      <c r="A2282" s="2" t="str">
        <f>"IGRAPIUNA"</f>
        <v>IGRAPIUNA</v>
      </c>
      <c r="B2282" s="3" t="str">
        <f>"BA"</f>
        <v>BA</v>
      </c>
      <c r="C2282" s="3" t="str">
        <f t="shared" si="90"/>
        <v>BRASIL</v>
      </c>
      <c r="D2282" s="4" t="str">
        <f>"BA162"</f>
        <v>BA162</v>
      </c>
    </row>
    <row r="2283" spans="1:4" x14ac:dyDescent="0.3">
      <c r="A2283" s="2" t="str">
        <f>"IGREJA NOVA"</f>
        <v>IGREJA NOVA</v>
      </c>
      <c r="B2283" s="3" t="str">
        <f>"AL"</f>
        <v>AL</v>
      </c>
      <c r="C2283" s="3" t="str">
        <f t="shared" si="90"/>
        <v>BRASIL</v>
      </c>
      <c r="D2283" s="4" t="str">
        <f>"AL035"</f>
        <v>AL035</v>
      </c>
    </row>
    <row r="2284" spans="1:4" x14ac:dyDescent="0.3">
      <c r="A2284" s="2" t="str">
        <f>"IGREJINHA"</f>
        <v>IGREJINHA</v>
      </c>
      <c r="B2284" s="3" t="str">
        <f>"RS"</f>
        <v>RS</v>
      </c>
      <c r="C2284" s="3" t="str">
        <f t="shared" si="90"/>
        <v>BRASIL</v>
      </c>
      <c r="D2284" s="4" t="str">
        <f>"RS201"</f>
        <v>RS201</v>
      </c>
    </row>
    <row r="2285" spans="1:4" x14ac:dyDescent="0.3">
      <c r="A2285" s="2" t="str">
        <f>"IGUABA GRANDE"</f>
        <v>IGUABA GRANDE</v>
      </c>
      <c r="B2285" s="3" t="str">
        <f>"RJ"</f>
        <v>RJ</v>
      </c>
      <c r="C2285" s="3" t="str">
        <f t="shared" si="90"/>
        <v>BRASIL</v>
      </c>
      <c r="D2285" s="4" t="str">
        <f>"RJ028"</f>
        <v>RJ028</v>
      </c>
    </row>
    <row r="2286" spans="1:4" x14ac:dyDescent="0.3">
      <c r="A2286" s="2" t="str">
        <f>"IGUAI"</f>
        <v>IGUAI</v>
      </c>
      <c r="B2286" s="3" t="str">
        <f>"BA"</f>
        <v>BA</v>
      </c>
      <c r="C2286" s="3" t="str">
        <f t="shared" si="90"/>
        <v>BRASIL</v>
      </c>
      <c r="D2286" s="4" t="str">
        <f>"BA163"</f>
        <v>BA163</v>
      </c>
    </row>
    <row r="2287" spans="1:4" x14ac:dyDescent="0.3">
      <c r="A2287" s="2" t="str">
        <f>"IGUAPE"</f>
        <v>IGUAPE</v>
      </c>
      <c r="B2287" s="3" t="str">
        <f>"SP"</f>
        <v>SP</v>
      </c>
      <c r="C2287" s="3" t="str">
        <f t="shared" si="90"/>
        <v>BRASIL</v>
      </c>
      <c r="D2287" s="4" t="str">
        <f>"SP232"</f>
        <v>SP232</v>
      </c>
    </row>
    <row r="2288" spans="1:4" x14ac:dyDescent="0.3">
      <c r="A2288" s="2" t="str">
        <f>"IGUARACI"</f>
        <v>IGUARACI</v>
      </c>
      <c r="B2288" s="3" t="str">
        <f>"PE"</f>
        <v>PE</v>
      </c>
      <c r="C2288" s="3" t="str">
        <f t="shared" si="90"/>
        <v>BRASIL</v>
      </c>
      <c r="D2288" s="4" t="str">
        <f>"PE076"</f>
        <v>PE076</v>
      </c>
    </row>
    <row r="2289" spans="1:4" x14ac:dyDescent="0.3">
      <c r="A2289" s="2" t="str">
        <f>"IGUARACU"</f>
        <v>IGUARACU</v>
      </c>
      <c r="B2289" s="3" t="str">
        <f>"PR"</f>
        <v>PR</v>
      </c>
      <c r="C2289" s="3" t="str">
        <f t="shared" si="90"/>
        <v>BRASIL</v>
      </c>
      <c r="D2289" s="4" t="str">
        <f>"PR143"</f>
        <v>PR143</v>
      </c>
    </row>
    <row r="2290" spans="1:4" x14ac:dyDescent="0.3">
      <c r="A2290" s="2" t="str">
        <f>"IGUATAMA"</f>
        <v>IGUATAMA</v>
      </c>
      <c r="B2290" s="3" t="str">
        <f>"MG"</f>
        <v>MG</v>
      </c>
      <c r="C2290" s="3" t="str">
        <f t="shared" si="90"/>
        <v>BRASIL</v>
      </c>
      <c r="D2290" s="4" t="str">
        <f>"MG344"</f>
        <v>MG344</v>
      </c>
    </row>
    <row r="2291" spans="1:4" x14ac:dyDescent="0.3">
      <c r="A2291" s="2" t="str">
        <f>"IGUATEMI"</f>
        <v>IGUATEMI</v>
      </c>
      <c r="B2291" s="3" t="str">
        <f>"MS"</f>
        <v>MS</v>
      </c>
      <c r="C2291" s="3" t="str">
        <f t="shared" si="90"/>
        <v>BRASIL</v>
      </c>
      <c r="D2291" s="4" t="str">
        <f>"MS038"</f>
        <v>MS038</v>
      </c>
    </row>
    <row r="2292" spans="1:4" x14ac:dyDescent="0.3">
      <c r="A2292" s="2" t="str">
        <f>"IGUATU"</f>
        <v>IGUATU</v>
      </c>
      <c r="B2292" s="3" t="str">
        <f>"CE"</f>
        <v>CE</v>
      </c>
      <c r="C2292" s="3" t="str">
        <f t="shared" si="90"/>
        <v>BRASIL</v>
      </c>
      <c r="D2292" s="4" t="str">
        <f>"CE077"</f>
        <v>CE077</v>
      </c>
    </row>
    <row r="2293" spans="1:4" x14ac:dyDescent="0.3">
      <c r="A2293" s="2" t="str">
        <f>"IGUATU"</f>
        <v>IGUATU</v>
      </c>
      <c r="B2293" s="3" t="str">
        <f>"PR"</f>
        <v>PR</v>
      </c>
      <c r="C2293" s="3" t="str">
        <f t="shared" si="90"/>
        <v>BRASIL</v>
      </c>
      <c r="D2293" s="4" t="str">
        <f>"PR144"</f>
        <v>PR144</v>
      </c>
    </row>
    <row r="2294" spans="1:4" x14ac:dyDescent="0.3">
      <c r="A2294" s="2" t="str">
        <f>"IJACI"</f>
        <v>IJACI</v>
      </c>
      <c r="B2294" s="3" t="str">
        <f>"MG"</f>
        <v>MG</v>
      </c>
      <c r="C2294" s="3" t="str">
        <f t="shared" si="90"/>
        <v>BRASIL</v>
      </c>
      <c r="D2294" s="4" t="str">
        <f>"MG345"</f>
        <v>MG345</v>
      </c>
    </row>
    <row r="2295" spans="1:4" x14ac:dyDescent="0.3">
      <c r="A2295" s="2" t="str">
        <f>"IJUI"</f>
        <v>IJUI</v>
      </c>
      <c r="B2295" s="3" t="str">
        <f>"RS"</f>
        <v>RS</v>
      </c>
      <c r="C2295" s="3" t="str">
        <f t="shared" si="90"/>
        <v>BRASIL</v>
      </c>
      <c r="D2295" s="4" t="str">
        <f>"RS202"</f>
        <v>RS202</v>
      </c>
    </row>
    <row r="2296" spans="1:4" x14ac:dyDescent="0.3">
      <c r="A2296" s="2" t="str">
        <f>"ILHA COMPRIDA"</f>
        <v>ILHA COMPRIDA</v>
      </c>
      <c r="B2296" s="3" t="str">
        <f>"SP"</f>
        <v>SP</v>
      </c>
      <c r="C2296" s="3" t="str">
        <f t="shared" si="90"/>
        <v>BRASIL</v>
      </c>
      <c r="D2296" s="4" t="str">
        <f>"SP234"</f>
        <v>SP234</v>
      </c>
    </row>
    <row r="2297" spans="1:4" x14ac:dyDescent="0.3">
      <c r="A2297" s="2" t="str">
        <f>"ILHA DAS FLORES"</f>
        <v>ILHA DAS FLORES</v>
      </c>
      <c r="B2297" s="3" t="str">
        <f>"SE"</f>
        <v>SE</v>
      </c>
      <c r="C2297" s="3" t="str">
        <f t="shared" si="90"/>
        <v>BRASIL</v>
      </c>
      <c r="D2297" s="4" t="str">
        <f>"SE025"</f>
        <v>SE025</v>
      </c>
    </row>
    <row r="2298" spans="1:4" x14ac:dyDescent="0.3">
      <c r="A2298" s="2" t="str">
        <f>"ILHA DE ITAMARACA"</f>
        <v>ILHA DE ITAMARACA</v>
      </c>
      <c r="B2298" s="3" t="str">
        <f>"PE"</f>
        <v>PE</v>
      </c>
      <c r="C2298" s="3" t="str">
        <f t="shared" si="90"/>
        <v>BRASIL</v>
      </c>
      <c r="D2298" s="4" t="str">
        <f>"PE083"</f>
        <v>PE083</v>
      </c>
    </row>
    <row r="2299" spans="1:4" x14ac:dyDescent="0.3">
      <c r="A2299" s="2" t="str">
        <f>"ILHA GRANDE"</f>
        <v>ILHA GRANDE</v>
      </c>
      <c r="B2299" s="3" t="str">
        <f>"PI"</f>
        <v>PI</v>
      </c>
      <c r="C2299" s="3" t="str">
        <f t="shared" ref="C2299:C2304" si="91">"BRASIL"</f>
        <v>BRASIL</v>
      </c>
      <c r="D2299" s="4" t="str">
        <f>"PI094"</f>
        <v>PI094</v>
      </c>
    </row>
    <row r="2300" spans="1:4" x14ac:dyDescent="0.3">
      <c r="A2300" s="2" t="str">
        <f>"ILHA SOLTEIRA"</f>
        <v>ILHA SOLTEIRA</v>
      </c>
      <c r="B2300" s="3" t="str">
        <f>"SP"</f>
        <v>SP</v>
      </c>
      <c r="C2300" s="3" t="str">
        <f t="shared" si="91"/>
        <v>BRASIL</v>
      </c>
      <c r="D2300" s="4" t="str">
        <f>"SP235"</f>
        <v>SP235</v>
      </c>
    </row>
    <row r="2301" spans="1:4" x14ac:dyDescent="0.3">
      <c r="A2301" s="2" t="str">
        <f>"ILHABELA"</f>
        <v>ILHABELA</v>
      </c>
      <c r="B2301" s="3" t="str">
        <f>"SP"</f>
        <v>SP</v>
      </c>
      <c r="C2301" s="3" t="str">
        <f t="shared" si="91"/>
        <v>BRASIL</v>
      </c>
      <c r="D2301" s="4" t="str">
        <f>"SP233"</f>
        <v>SP233</v>
      </c>
    </row>
    <row r="2302" spans="1:4" x14ac:dyDescent="0.3">
      <c r="A2302" s="2" t="str">
        <f>"ILHEUS"</f>
        <v>ILHEUS</v>
      </c>
      <c r="B2302" s="3" t="str">
        <f>"BA"</f>
        <v>BA</v>
      </c>
      <c r="C2302" s="3" t="str">
        <f t="shared" si="91"/>
        <v>BRASIL</v>
      </c>
      <c r="D2302" s="4" t="str">
        <f>"BA164"</f>
        <v>BA164</v>
      </c>
    </row>
    <row r="2303" spans="1:4" x14ac:dyDescent="0.3">
      <c r="A2303" s="2" t="str">
        <f>"ILHOTA"</f>
        <v>ILHOTA</v>
      </c>
      <c r="B2303" s="3" t="str">
        <f>"SC"</f>
        <v>SC</v>
      </c>
      <c r="C2303" s="3" t="str">
        <f t="shared" si="91"/>
        <v>BRASIL</v>
      </c>
      <c r="D2303" s="4" t="str">
        <f>"SC110"</f>
        <v>SC110</v>
      </c>
    </row>
    <row r="2304" spans="1:4" x14ac:dyDescent="0.3">
      <c r="A2304" s="2" t="str">
        <f>"ILICINEA"</f>
        <v>ILICINEA</v>
      </c>
      <c r="B2304" s="3" t="str">
        <f>"MG"</f>
        <v>MG</v>
      </c>
      <c r="C2304" s="3" t="str">
        <f t="shared" si="91"/>
        <v>BRASIL</v>
      </c>
      <c r="D2304" s="4" t="str">
        <f>"MG346"</f>
        <v>MG346</v>
      </c>
    </row>
    <row r="2305" spans="1:4" x14ac:dyDescent="0.3">
      <c r="A2305" s="2" t="str">
        <f>"ILLINOIS"</f>
        <v>ILLINOIS</v>
      </c>
      <c r="B2305" s="3" t="str">
        <f>"EUA"</f>
        <v>EUA</v>
      </c>
      <c r="C2305" s="3" t="str">
        <f>"ESTADOS UNIDOS"</f>
        <v>ESTADOS UNIDOS</v>
      </c>
      <c r="D2305" s="4" t="str">
        <f>"ILLI"</f>
        <v>ILLI</v>
      </c>
    </row>
    <row r="2306" spans="1:4" x14ac:dyDescent="0.3">
      <c r="A2306" s="2" t="str">
        <f>"ILLINOIS"</f>
        <v>ILLINOIS</v>
      </c>
      <c r="B2306" s="3" t="str">
        <f>"EX"</f>
        <v>EX</v>
      </c>
      <c r="C2306" s="3" t="str">
        <f>"ESTADOS UNIDOS"</f>
        <v>ESTADOS UNIDOS</v>
      </c>
      <c r="D2306" s="4" t="str">
        <f>"ILLIN"</f>
        <v>ILLIN</v>
      </c>
    </row>
    <row r="2307" spans="1:4" x14ac:dyDescent="0.3">
      <c r="A2307" s="2" t="str">
        <f>"ILOPOLIS"</f>
        <v>ILOPOLIS</v>
      </c>
      <c r="B2307" s="3" t="str">
        <f>"RS"</f>
        <v>RS</v>
      </c>
      <c r="C2307" s="3" t="str">
        <f t="shared" ref="C2307:C2347" si="92">"BRASIL"</f>
        <v>BRASIL</v>
      </c>
      <c r="D2307" s="4" t="str">
        <f>"RS203"</f>
        <v>RS203</v>
      </c>
    </row>
    <row r="2308" spans="1:4" x14ac:dyDescent="0.3">
      <c r="A2308" s="2" t="str">
        <f>"IMACULADA"</f>
        <v>IMACULADA</v>
      </c>
      <c r="B2308" s="3" t="str">
        <f>"PB"</f>
        <v>PB</v>
      </c>
      <c r="C2308" s="3" t="str">
        <f t="shared" si="92"/>
        <v>BRASIL</v>
      </c>
      <c r="D2308" s="4" t="str">
        <f>"PB088"</f>
        <v>PB088</v>
      </c>
    </row>
    <row r="2309" spans="1:4" x14ac:dyDescent="0.3">
      <c r="A2309" s="2" t="str">
        <f>"IMARUI"</f>
        <v>IMARUI</v>
      </c>
      <c r="B2309" s="3" t="str">
        <f>"SC"</f>
        <v>SC</v>
      </c>
      <c r="C2309" s="3" t="str">
        <f t="shared" si="92"/>
        <v>BRASIL</v>
      </c>
      <c r="D2309" s="4" t="str">
        <f>"SC111"</f>
        <v>SC111</v>
      </c>
    </row>
    <row r="2310" spans="1:4" x14ac:dyDescent="0.3">
      <c r="A2310" s="2" t="str">
        <f>"IMBAU"</f>
        <v>IMBAU</v>
      </c>
      <c r="B2310" s="3" t="str">
        <f>"PR"</f>
        <v>PR</v>
      </c>
      <c r="C2310" s="3" t="str">
        <f t="shared" si="92"/>
        <v>BRASIL</v>
      </c>
      <c r="D2310" s="4" t="str">
        <f>"PR145"</f>
        <v>PR145</v>
      </c>
    </row>
    <row r="2311" spans="1:4" x14ac:dyDescent="0.3">
      <c r="A2311" s="2" t="str">
        <f>"IMBE"</f>
        <v>IMBE</v>
      </c>
      <c r="B2311" s="3" t="str">
        <f>"RS"</f>
        <v>RS</v>
      </c>
      <c r="C2311" s="3" t="str">
        <f t="shared" si="92"/>
        <v>BRASIL</v>
      </c>
      <c r="D2311" s="4" t="str">
        <f>"RS204"</f>
        <v>RS204</v>
      </c>
    </row>
    <row r="2312" spans="1:4" x14ac:dyDescent="0.3">
      <c r="A2312" s="2" t="str">
        <f>"IMBE DE MINAS"</f>
        <v>IMBE DE MINAS</v>
      </c>
      <c r="B2312" s="3" t="str">
        <f>"MG"</f>
        <v>MG</v>
      </c>
      <c r="C2312" s="3" t="str">
        <f t="shared" si="92"/>
        <v>BRASIL</v>
      </c>
      <c r="D2312" s="4" t="str">
        <f>"MG347"</f>
        <v>MG347</v>
      </c>
    </row>
    <row r="2313" spans="1:4" x14ac:dyDescent="0.3">
      <c r="A2313" s="2" t="str">
        <f>"IMBITUBA"</f>
        <v>IMBITUBA</v>
      </c>
      <c r="B2313" s="3" t="str">
        <f>"SC"</f>
        <v>SC</v>
      </c>
      <c r="C2313" s="3" t="str">
        <f t="shared" si="92"/>
        <v>BRASIL</v>
      </c>
      <c r="D2313" s="4" t="str">
        <f>"SC112"</f>
        <v>SC112</v>
      </c>
    </row>
    <row r="2314" spans="1:4" x14ac:dyDescent="0.3">
      <c r="A2314" s="2" t="str">
        <f>"IMBITUVA"</f>
        <v>IMBITUVA</v>
      </c>
      <c r="B2314" s="3" t="str">
        <f>"PR"</f>
        <v>PR</v>
      </c>
      <c r="C2314" s="3" t="str">
        <f t="shared" si="92"/>
        <v>BRASIL</v>
      </c>
      <c r="D2314" s="4" t="str">
        <f>"PR146"</f>
        <v>PR146</v>
      </c>
    </row>
    <row r="2315" spans="1:4" x14ac:dyDescent="0.3">
      <c r="A2315" s="2" t="str">
        <f>"IMBUIA"</f>
        <v>IMBUIA</v>
      </c>
      <c r="B2315" s="3" t="str">
        <f>"SC"</f>
        <v>SC</v>
      </c>
      <c r="C2315" s="3" t="str">
        <f t="shared" si="92"/>
        <v>BRASIL</v>
      </c>
      <c r="D2315" s="4" t="str">
        <f>"SC113"</f>
        <v>SC113</v>
      </c>
    </row>
    <row r="2316" spans="1:4" x14ac:dyDescent="0.3">
      <c r="A2316" s="2" t="str">
        <f>"IMIGRANTE"</f>
        <v>IMIGRANTE</v>
      </c>
      <c r="B2316" s="3" t="str">
        <f>"RS"</f>
        <v>RS</v>
      </c>
      <c r="C2316" s="3" t="str">
        <f t="shared" si="92"/>
        <v>BRASIL</v>
      </c>
      <c r="D2316" s="4" t="str">
        <f>"RS205"</f>
        <v>RS205</v>
      </c>
    </row>
    <row r="2317" spans="1:4" x14ac:dyDescent="0.3">
      <c r="A2317" s="2" t="str">
        <f>"IMPERATRIZ"</f>
        <v>IMPERATRIZ</v>
      </c>
      <c r="B2317" s="3" t="str">
        <f>"MA"</f>
        <v>MA</v>
      </c>
      <c r="C2317" s="3" t="str">
        <f t="shared" si="92"/>
        <v>BRASIL</v>
      </c>
      <c r="D2317" s="4" t="str">
        <f>"MA090"</f>
        <v>MA090</v>
      </c>
    </row>
    <row r="2318" spans="1:4" x14ac:dyDescent="0.3">
      <c r="A2318" s="2" t="str">
        <f>"INACIO MARTINS"</f>
        <v>INACIO MARTINS</v>
      </c>
      <c r="B2318" s="3" t="str">
        <f>"PR"</f>
        <v>PR</v>
      </c>
      <c r="C2318" s="3" t="str">
        <f t="shared" si="92"/>
        <v>BRASIL</v>
      </c>
      <c r="D2318" s="4" t="str">
        <f>"PR147"</f>
        <v>PR147</v>
      </c>
    </row>
    <row r="2319" spans="1:4" x14ac:dyDescent="0.3">
      <c r="A2319" s="2" t="str">
        <f>"INACIOLANDIA"</f>
        <v>INACIOLANDIA</v>
      </c>
      <c r="B2319" s="3" t="str">
        <f>"GO"</f>
        <v>GO</v>
      </c>
      <c r="C2319" s="3" t="str">
        <f t="shared" si="92"/>
        <v>BRASIL</v>
      </c>
      <c r="D2319" s="4" t="str">
        <f>"GO108"</f>
        <v>GO108</v>
      </c>
    </row>
    <row r="2320" spans="1:4" x14ac:dyDescent="0.3">
      <c r="A2320" s="2" t="str">
        <f>"INAJA"</f>
        <v>INAJA</v>
      </c>
      <c r="B2320" s="3" t="str">
        <f>"PE"</f>
        <v>PE</v>
      </c>
      <c r="C2320" s="3" t="str">
        <f t="shared" si="92"/>
        <v>BRASIL</v>
      </c>
      <c r="D2320" s="4" t="str">
        <f>"PE077"</f>
        <v>PE077</v>
      </c>
    </row>
    <row r="2321" spans="1:4" x14ac:dyDescent="0.3">
      <c r="A2321" s="2" t="str">
        <f>"INAJA"</f>
        <v>INAJA</v>
      </c>
      <c r="B2321" s="3" t="str">
        <f>"PR"</f>
        <v>PR</v>
      </c>
      <c r="C2321" s="3" t="str">
        <f t="shared" si="92"/>
        <v>BRASIL</v>
      </c>
      <c r="D2321" s="4" t="str">
        <f>"PR148"</f>
        <v>PR148</v>
      </c>
    </row>
    <row r="2322" spans="1:4" x14ac:dyDescent="0.3">
      <c r="A2322" s="2" t="str">
        <f>"INCONFIDENTES"</f>
        <v>INCONFIDENTES</v>
      </c>
      <c r="B2322" s="3" t="str">
        <f>"MG"</f>
        <v>MG</v>
      </c>
      <c r="C2322" s="3" t="str">
        <f t="shared" si="92"/>
        <v>BRASIL</v>
      </c>
      <c r="D2322" s="4" t="str">
        <f>"MG348"</f>
        <v>MG348</v>
      </c>
    </row>
    <row r="2323" spans="1:4" x14ac:dyDescent="0.3">
      <c r="A2323" s="2" t="str">
        <f>"INDAIABIRA"</f>
        <v>INDAIABIRA</v>
      </c>
      <c r="B2323" s="3" t="str">
        <f>"MG"</f>
        <v>MG</v>
      </c>
      <c r="C2323" s="3" t="str">
        <f t="shared" si="92"/>
        <v>BRASIL</v>
      </c>
      <c r="D2323" s="4" t="str">
        <f>"MG349"</f>
        <v>MG349</v>
      </c>
    </row>
    <row r="2324" spans="1:4" x14ac:dyDescent="0.3">
      <c r="A2324" s="2" t="str">
        <f>"INDAIAL"</f>
        <v>INDAIAL</v>
      </c>
      <c r="B2324" s="3" t="str">
        <f>"SC"</f>
        <v>SC</v>
      </c>
      <c r="C2324" s="3" t="str">
        <f t="shared" si="92"/>
        <v>BRASIL</v>
      </c>
      <c r="D2324" s="4" t="str">
        <f>"SC114"</f>
        <v>SC114</v>
      </c>
    </row>
    <row r="2325" spans="1:4" x14ac:dyDescent="0.3">
      <c r="A2325" s="2" t="str">
        <f>"INDAIATUBA"</f>
        <v>INDAIATUBA</v>
      </c>
      <c r="B2325" s="3" t="str">
        <f>"SP"</f>
        <v>SP</v>
      </c>
      <c r="C2325" s="3" t="str">
        <f t="shared" si="92"/>
        <v>BRASIL</v>
      </c>
      <c r="D2325" s="4" t="str">
        <f>"SP236"</f>
        <v>SP236</v>
      </c>
    </row>
    <row r="2326" spans="1:4" x14ac:dyDescent="0.3">
      <c r="A2326" s="2" t="str">
        <f>"INDEPENDENCIA"</f>
        <v>INDEPENDENCIA</v>
      </c>
      <c r="B2326" s="3" t="str">
        <f>"CE"</f>
        <v>CE</v>
      </c>
      <c r="C2326" s="3" t="str">
        <f t="shared" si="92"/>
        <v>BRASIL</v>
      </c>
      <c r="D2326" s="4" t="str">
        <f>"CE078"</f>
        <v>CE078</v>
      </c>
    </row>
    <row r="2327" spans="1:4" x14ac:dyDescent="0.3">
      <c r="A2327" s="2" t="str">
        <f>"INDEPENDENCIA"</f>
        <v>INDEPENDENCIA</v>
      </c>
      <c r="B2327" s="3" t="str">
        <f>"RS"</f>
        <v>RS</v>
      </c>
      <c r="C2327" s="3" t="str">
        <f t="shared" si="92"/>
        <v>BRASIL</v>
      </c>
      <c r="D2327" s="4" t="str">
        <f>"RS206"</f>
        <v>RS206</v>
      </c>
    </row>
    <row r="2328" spans="1:4" x14ac:dyDescent="0.3">
      <c r="A2328" s="2" t="str">
        <f>"INDIANA"</f>
        <v>INDIANA</v>
      </c>
      <c r="B2328" s="3" t="str">
        <f>"SP"</f>
        <v>SP</v>
      </c>
      <c r="C2328" s="3" t="str">
        <f t="shared" si="92"/>
        <v>BRASIL</v>
      </c>
      <c r="D2328" s="4" t="str">
        <f>"SP237"</f>
        <v>SP237</v>
      </c>
    </row>
    <row r="2329" spans="1:4" x14ac:dyDescent="0.3">
      <c r="A2329" s="2" t="str">
        <f>"INDIANOPOLIS"</f>
        <v>INDIANOPOLIS</v>
      </c>
      <c r="B2329" s="3" t="str">
        <f>"MG"</f>
        <v>MG</v>
      </c>
      <c r="C2329" s="3" t="str">
        <f t="shared" si="92"/>
        <v>BRASIL</v>
      </c>
      <c r="D2329" s="4" t="str">
        <f>"MG350"</f>
        <v>MG350</v>
      </c>
    </row>
    <row r="2330" spans="1:4" x14ac:dyDescent="0.3">
      <c r="A2330" s="2" t="str">
        <f>"INDIANOPOLIS"</f>
        <v>INDIANOPOLIS</v>
      </c>
      <c r="B2330" s="3" t="str">
        <f>"PR"</f>
        <v>PR</v>
      </c>
      <c r="C2330" s="3" t="str">
        <f t="shared" si="92"/>
        <v>BRASIL</v>
      </c>
      <c r="D2330" s="4" t="str">
        <f>"PR149"</f>
        <v>PR149</v>
      </c>
    </row>
    <row r="2331" spans="1:4" x14ac:dyDescent="0.3">
      <c r="A2331" s="2" t="str">
        <f>"INDIAPORA"</f>
        <v>INDIAPORA</v>
      </c>
      <c r="B2331" s="3" t="str">
        <f>"SP"</f>
        <v>SP</v>
      </c>
      <c r="C2331" s="3" t="str">
        <f t="shared" si="92"/>
        <v>BRASIL</v>
      </c>
      <c r="D2331" s="4" t="str">
        <f>"SP238"</f>
        <v>SP238</v>
      </c>
    </row>
    <row r="2332" spans="1:4" x14ac:dyDescent="0.3">
      <c r="A2332" s="2" t="str">
        <f>"INDIARA"</f>
        <v>INDIARA</v>
      </c>
      <c r="B2332" s="3" t="str">
        <f>"GO"</f>
        <v>GO</v>
      </c>
      <c r="C2332" s="3" t="str">
        <f t="shared" si="92"/>
        <v>BRASIL</v>
      </c>
      <c r="D2332" s="4" t="str">
        <f>"GO109"</f>
        <v>GO109</v>
      </c>
    </row>
    <row r="2333" spans="1:4" x14ac:dyDescent="0.3">
      <c r="A2333" s="2" t="str">
        <f>"INDIAROBA"</f>
        <v>INDIAROBA</v>
      </c>
      <c r="B2333" s="3" t="str">
        <f>"SE"</f>
        <v>SE</v>
      </c>
      <c r="C2333" s="3" t="str">
        <f t="shared" si="92"/>
        <v>BRASIL</v>
      </c>
      <c r="D2333" s="4" t="str">
        <f>"SE026"</f>
        <v>SE026</v>
      </c>
    </row>
    <row r="2334" spans="1:4" x14ac:dyDescent="0.3">
      <c r="A2334" s="2" t="str">
        <f>"INDIAVAI"</f>
        <v>INDIAVAI</v>
      </c>
      <c r="B2334" s="3" t="str">
        <f>"MT"</f>
        <v>MT</v>
      </c>
      <c r="C2334" s="3" t="str">
        <f t="shared" si="92"/>
        <v>BRASIL</v>
      </c>
      <c r="D2334" s="4" t="str">
        <f>"MT050"</f>
        <v>MT050</v>
      </c>
    </row>
    <row r="2335" spans="1:4" x14ac:dyDescent="0.3">
      <c r="A2335" s="2" t="str">
        <f>"INGA"</f>
        <v>INGA</v>
      </c>
      <c r="B2335" s="3" t="str">
        <f>"PB"</f>
        <v>PB</v>
      </c>
      <c r="C2335" s="3" t="str">
        <f t="shared" si="92"/>
        <v>BRASIL</v>
      </c>
      <c r="D2335" s="4" t="str">
        <f>"PB089"</f>
        <v>PB089</v>
      </c>
    </row>
    <row r="2336" spans="1:4" x14ac:dyDescent="0.3">
      <c r="A2336" s="2" t="str">
        <f>"INGAI"</f>
        <v>INGAI</v>
      </c>
      <c r="B2336" s="3" t="str">
        <f>"MG"</f>
        <v>MG</v>
      </c>
      <c r="C2336" s="3" t="str">
        <f t="shared" si="92"/>
        <v>BRASIL</v>
      </c>
      <c r="D2336" s="4" t="str">
        <f>"MG351"</f>
        <v>MG351</v>
      </c>
    </row>
    <row r="2337" spans="1:4" x14ac:dyDescent="0.3">
      <c r="A2337" s="2" t="str">
        <f>"INGAZEIRA"</f>
        <v>INGAZEIRA</v>
      </c>
      <c r="B2337" s="3" t="str">
        <f>"PE"</f>
        <v>PE</v>
      </c>
      <c r="C2337" s="3" t="str">
        <f t="shared" si="92"/>
        <v>BRASIL</v>
      </c>
      <c r="D2337" s="4" t="str">
        <f>"PE078"</f>
        <v>PE078</v>
      </c>
    </row>
    <row r="2338" spans="1:4" x14ac:dyDescent="0.3">
      <c r="A2338" s="2" t="str">
        <f>"INHACORA"</f>
        <v>INHACORA</v>
      </c>
      <c r="B2338" s="3" t="str">
        <f>"RS"</f>
        <v>RS</v>
      </c>
      <c r="C2338" s="3" t="str">
        <f t="shared" si="92"/>
        <v>BRASIL</v>
      </c>
      <c r="D2338" s="4" t="str">
        <f>"RS207"</f>
        <v>RS207</v>
      </c>
    </row>
    <row r="2339" spans="1:4" x14ac:dyDescent="0.3">
      <c r="A2339" s="2" t="str">
        <f>"INHAMBUPE"</f>
        <v>INHAMBUPE</v>
      </c>
      <c r="B2339" s="3" t="str">
        <f>"BA"</f>
        <v>BA</v>
      </c>
      <c r="C2339" s="3" t="str">
        <f t="shared" si="92"/>
        <v>BRASIL</v>
      </c>
      <c r="D2339" s="4" t="str">
        <f>"BA165"</f>
        <v>BA165</v>
      </c>
    </row>
    <row r="2340" spans="1:4" x14ac:dyDescent="0.3">
      <c r="A2340" s="2" t="str">
        <f>"INHANGAPI"</f>
        <v>INHANGAPI</v>
      </c>
      <c r="B2340" s="3" t="str">
        <f>"PA"</f>
        <v>PA</v>
      </c>
      <c r="C2340" s="3" t="str">
        <f t="shared" si="92"/>
        <v>BRASIL</v>
      </c>
      <c r="D2340" s="4" t="str">
        <f>"PA055"</f>
        <v>PA055</v>
      </c>
    </row>
    <row r="2341" spans="1:4" x14ac:dyDescent="0.3">
      <c r="A2341" s="2" t="str">
        <f>"INHAPI"</f>
        <v>INHAPI</v>
      </c>
      <c r="B2341" s="3" t="str">
        <f>"AL"</f>
        <v>AL</v>
      </c>
      <c r="C2341" s="3" t="str">
        <f t="shared" si="92"/>
        <v>BRASIL</v>
      </c>
      <c r="D2341" s="4" t="str">
        <f>"AL036"</f>
        <v>AL036</v>
      </c>
    </row>
    <row r="2342" spans="1:4" x14ac:dyDescent="0.3">
      <c r="A2342" s="2" t="str">
        <f>"INHAPIM"</f>
        <v>INHAPIM</v>
      </c>
      <c r="B2342" s="3" t="str">
        <f>"MG"</f>
        <v>MG</v>
      </c>
      <c r="C2342" s="3" t="str">
        <f t="shared" si="92"/>
        <v>BRASIL</v>
      </c>
      <c r="D2342" s="4" t="str">
        <f>"MG352"</f>
        <v>MG352</v>
      </c>
    </row>
    <row r="2343" spans="1:4" x14ac:dyDescent="0.3">
      <c r="A2343" s="2" t="str">
        <f>"INHAUMA"</f>
        <v>INHAUMA</v>
      </c>
      <c r="B2343" s="3" t="str">
        <f>"MG"</f>
        <v>MG</v>
      </c>
      <c r="C2343" s="3" t="str">
        <f t="shared" si="92"/>
        <v>BRASIL</v>
      </c>
      <c r="D2343" s="4" t="str">
        <f>"MG353"</f>
        <v>MG353</v>
      </c>
    </row>
    <row r="2344" spans="1:4" x14ac:dyDescent="0.3">
      <c r="A2344" s="2" t="str">
        <f>"INHUMA"</f>
        <v>INHUMA</v>
      </c>
      <c r="B2344" s="3" t="str">
        <f>"PI"</f>
        <v>PI</v>
      </c>
      <c r="C2344" s="3" t="str">
        <f t="shared" si="92"/>
        <v>BRASIL</v>
      </c>
      <c r="D2344" s="4" t="str">
        <f>"PI095"</f>
        <v>PI095</v>
      </c>
    </row>
    <row r="2345" spans="1:4" x14ac:dyDescent="0.3">
      <c r="A2345" s="2" t="str">
        <f>"INHUMAS"</f>
        <v>INHUMAS</v>
      </c>
      <c r="B2345" s="3" t="str">
        <f>"GO"</f>
        <v>GO</v>
      </c>
      <c r="C2345" s="3" t="str">
        <f t="shared" si="92"/>
        <v>BRASIL</v>
      </c>
      <c r="D2345" s="4" t="str">
        <f>"GO110"</f>
        <v>GO110</v>
      </c>
    </row>
    <row r="2346" spans="1:4" x14ac:dyDescent="0.3">
      <c r="A2346" s="2" t="str">
        <f>"INIMUTABA"</f>
        <v>INIMUTABA</v>
      </c>
      <c r="B2346" s="3" t="str">
        <f>"MG"</f>
        <v>MG</v>
      </c>
      <c r="C2346" s="3" t="str">
        <f t="shared" si="92"/>
        <v>BRASIL</v>
      </c>
      <c r="D2346" s="4" t="str">
        <f>"MG354"</f>
        <v>MG354</v>
      </c>
    </row>
    <row r="2347" spans="1:4" x14ac:dyDescent="0.3">
      <c r="A2347" s="2" t="str">
        <f>"INOCENCIA"</f>
        <v>INOCENCIA</v>
      </c>
      <c r="B2347" s="3" t="str">
        <f>"MS"</f>
        <v>MS</v>
      </c>
      <c r="C2347" s="3" t="str">
        <f t="shared" si="92"/>
        <v>BRASIL</v>
      </c>
      <c r="D2347" s="4" t="str">
        <f>"MS039"</f>
        <v>MS039</v>
      </c>
    </row>
    <row r="2348" spans="1:4" x14ac:dyDescent="0.3">
      <c r="A2348" s="2" t="str">
        <f>"INTERLAGOS"</f>
        <v>INTERLAGOS</v>
      </c>
      <c r="B2348" s="3" t="str">
        <f>"SP"</f>
        <v>SP</v>
      </c>
      <c r="C2348" s="3" t="str">
        <f>"Brasil"</f>
        <v>Brasil</v>
      </c>
      <c r="D2348" s="4" t="str">
        <f>"INT"</f>
        <v>INT</v>
      </c>
    </row>
    <row r="2349" spans="1:4" x14ac:dyDescent="0.3">
      <c r="A2349" s="2" t="str">
        <f>"INUBIA PAULISTA"</f>
        <v>INUBIA PAULISTA</v>
      </c>
      <c r="B2349" s="3" t="str">
        <f>"SP"</f>
        <v>SP</v>
      </c>
      <c r="C2349" s="3" t="str">
        <f t="shared" ref="C2349:C2380" si="93">"BRASIL"</f>
        <v>BRASIL</v>
      </c>
      <c r="D2349" s="4" t="str">
        <f>"SP239"</f>
        <v>SP239</v>
      </c>
    </row>
    <row r="2350" spans="1:4" x14ac:dyDescent="0.3">
      <c r="A2350" s="2" t="str">
        <f>"IOMERE"</f>
        <v>IOMERE</v>
      </c>
      <c r="B2350" s="3" t="str">
        <f>"SC"</f>
        <v>SC</v>
      </c>
      <c r="C2350" s="3" t="str">
        <f t="shared" si="93"/>
        <v>BRASIL</v>
      </c>
      <c r="D2350" s="4" t="str">
        <f>"SC115"</f>
        <v>SC115</v>
      </c>
    </row>
    <row r="2351" spans="1:4" x14ac:dyDescent="0.3">
      <c r="A2351" s="2" t="str">
        <f>"IPABA"</f>
        <v>IPABA</v>
      </c>
      <c r="B2351" s="3" t="str">
        <f>"MG"</f>
        <v>MG</v>
      </c>
      <c r="C2351" s="3" t="str">
        <f t="shared" si="93"/>
        <v>BRASIL</v>
      </c>
      <c r="D2351" s="4" t="str">
        <f>"MG355"</f>
        <v>MG355</v>
      </c>
    </row>
    <row r="2352" spans="1:4" x14ac:dyDescent="0.3">
      <c r="A2352" s="2" t="str">
        <f>"IPAMERI"</f>
        <v>IPAMERI</v>
      </c>
      <c r="B2352" s="3" t="str">
        <f>"GO"</f>
        <v>GO</v>
      </c>
      <c r="C2352" s="3" t="str">
        <f t="shared" si="93"/>
        <v>BRASIL</v>
      </c>
      <c r="D2352" s="4" t="str">
        <f>"GO111"</f>
        <v>GO111</v>
      </c>
    </row>
    <row r="2353" spans="1:4" x14ac:dyDescent="0.3">
      <c r="A2353" s="2" t="str">
        <f>"IPANEMA"</f>
        <v>IPANEMA</v>
      </c>
      <c r="B2353" s="3" t="str">
        <f>"MG"</f>
        <v>MG</v>
      </c>
      <c r="C2353" s="3" t="str">
        <f t="shared" si="93"/>
        <v>BRASIL</v>
      </c>
      <c r="D2353" s="4" t="str">
        <f>"MG356"</f>
        <v>MG356</v>
      </c>
    </row>
    <row r="2354" spans="1:4" x14ac:dyDescent="0.3">
      <c r="A2354" s="2" t="str">
        <f>"IPANGUACU"</f>
        <v>IPANGUACU</v>
      </c>
      <c r="B2354" s="3" t="str">
        <f>"RN"</f>
        <v>RN</v>
      </c>
      <c r="C2354" s="3" t="str">
        <f t="shared" si="93"/>
        <v>BRASIL</v>
      </c>
      <c r="D2354" s="4" t="str">
        <f>"RN052"</f>
        <v>RN052</v>
      </c>
    </row>
    <row r="2355" spans="1:4" x14ac:dyDescent="0.3">
      <c r="A2355" s="2" t="str">
        <f>"IPAPORANGA"</f>
        <v>IPAPORANGA</v>
      </c>
      <c r="B2355" s="3" t="str">
        <f>"CE"</f>
        <v>CE</v>
      </c>
      <c r="C2355" s="3" t="str">
        <f t="shared" si="93"/>
        <v>BRASIL</v>
      </c>
      <c r="D2355" s="4" t="str">
        <f>"CE079"</f>
        <v>CE079</v>
      </c>
    </row>
    <row r="2356" spans="1:4" x14ac:dyDescent="0.3">
      <c r="A2356" s="2" t="str">
        <f>"IPATINGA"</f>
        <v>IPATINGA</v>
      </c>
      <c r="B2356" s="3" t="str">
        <f>"MG"</f>
        <v>MG</v>
      </c>
      <c r="C2356" s="3" t="str">
        <f t="shared" si="93"/>
        <v>BRASIL</v>
      </c>
      <c r="D2356" s="4" t="str">
        <f>"MG357"</f>
        <v>MG357</v>
      </c>
    </row>
    <row r="2357" spans="1:4" x14ac:dyDescent="0.3">
      <c r="A2357" s="2" t="str">
        <f>"IPAUMIRIM"</f>
        <v>IPAUMIRIM</v>
      </c>
      <c r="B2357" s="3" t="str">
        <f>"CE"</f>
        <v>CE</v>
      </c>
      <c r="C2357" s="3" t="str">
        <f t="shared" si="93"/>
        <v>BRASIL</v>
      </c>
      <c r="D2357" s="4" t="str">
        <f>"CE080"</f>
        <v>CE080</v>
      </c>
    </row>
    <row r="2358" spans="1:4" x14ac:dyDescent="0.3">
      <c r="A2358" s="2" t="str">
        <f>"IPAUSSU"</f>
        <v>IPAUSSU</v>
      </c>
      <c r="B2358" s="3" t="str">
        <f>"SP"</f>
        <v>SP</v>
      </c>
      <c r="C2358" s="3" t="str">
        <f t="shared" si="93"/>
        <v>BRASIL</v>
      </c>
      <c r="D2358" s="4" t="str">
        <f>"SP240"</f>
        <v>SP240</v>
      </c>
    </row>
    <row r="2359" spans="1:4" x14ac:dyDescent="0.3">
      <c r="A2359" s="2" t="str">
        <f>"IPE"</f>
        <v>IPE</v>
      </c>
      <c r="B2359" s="3" t="str">
        <f>"RS"</f>
        <v>RS</v>
      </c>
      <c r="C2359" s="3" t="str">
        <f t="shared" si="93"/>
        <v>BRASIL</v>
      </c>
      <c r="D2359" s="4" t="str">
        <f>"RS208"</f>
        <v>RS208</v>
      </c>
    </row>
    <row r="2360" spans="1:4" x14ac:dyDescent="0.3">
      <c r="A2360" s="2" t="str">
        <f>"IPECAETA"</f>
        <v>IPECAETA</v>
      </c>
      <c r="B2360" s="3" t="str">
        <f>"BA"</f>
        <v>BA</v>
      </c>
      <c r="C2360" s="3" t="str">
        <f t="shared" si="93"/>
        <v>BRASIL</v>
      </c>
      <c r="D2360" s="4" t="str">
        <f>"BA166"</f>
        <v>BA166</v>
      </c>
    </row>
    <row r="2361" spans="1:4" x14ac:dyDescent="0.3">
      <c r="A2361" s="2" t="str">
        <f>"IPERO"</f>
        <v>IPERO</v>
      </c>
      <c r="B2361" s="3" t="str">
        <f>"SP"</f>
        <v>SP</v>
      </c>
      <c r="C2361" s="3" t="str">
        <f t="shared" si="93"/>
        <v>BRASIL</v>
      </c>
      <c r="D2361" s="4" t="str">
        <f>"SP241"</f>
        <v>SP241</v>
      </c>
    </row>
    <row r="2362" spans="1:4" x14ac:dyDescent="0.3">
      <c r="A2362" s="2" t="str">
        <f>"IPEUNA"</f>
        <v>IPEUNA</v>
      </c>
      <c r="B2362" s="3" t="str">
        <f>"SP"</f>
        <v>SP</v>
      </c>
      <c r="C2362" s="3" t="str">
        <f t="shared" si="93"/>
        <v>BRASIL</v>
      </c>
      <c r="D2362" s="4" t="str">
        <f>"SP242"</f>
        <v>SP242</v>
      </c>
    </row>
    <row r="2363" spans="1:4" x14ac:dyDescent="0.3">
      <c r="A2363" s="2" t="str">
        <f>"IPIACU"</f>
        <v>IPIACU</v>
      </c>
      <c r="B2363" s="3" t="str">
        <f>"MG"</f>
        <v>MG</v>
      </c>
      <c r="C2363" s="3" t="str">
        <f t="shared" si="93"/>
        <v>BRASIL</v>
      </c>
      <c r="D2363" s="4" t="str">
        <f>"MG358"</f>
        <v>MG358</v>
      </c>
    </row>
    <row r="2364" spans="1:4" x14ac:dyDescent="0.3">
      <c r="A2364" s="2" t="str">
        <f>"IPIAU"</f>
        <v>IPIAU</v>
      </c>
      <c r="B2364" s="3" t="str">
        <f>"BA"</f>
        <v>BA</v>
      </c>
      <c r="C2364" s="3" t="str">
        <f t="shared" si="93"/>
        <v>BRASIL</v>
      </c>
      <c r="D2364" s="4" t="str">
        <f>"BA167"</f>
        <v>BA167</v>
      </c>
    </row>
    <row r="2365" spans="1:4" x14ac:dyDescent="0.3">
      <c r="A2365" s="2" t="str">
        <f>"IPIGUA"</f>
        <v>IPIGUA</v>
      </c>
      <c r="B2365" s="3" t="str">
        <f>"SP"</f>
        <v>SP</v>
      </c>
      <c r="C2365" s="3" t="str">
        <f t="shared" si="93"/>
        <v>BRASIL</v>
      </c>
      <c r="D2365" s="4" t="str">
        <f>"SP243"</f>
        <v>SP243</v>
      </c>
    </row>
    <row r="2366" spans="1:4" x14ac:dyDescent="0.3">
      <c r="A2366" s="2" t="str">
        <f>"IPIRA"</f>
        <v>IPIRA</v>
      </c>
      <c r="B2366" s="3" t="str">
        <f>"BA"</f>
        <v>BA</v>
      </c>
      <c r="C2366" s="3" t="str">
        <f t="shared" si="93"/>
        <v>BRASIL</v>
      </c>
      <c r="D2366" s="4" t="str">
        <f>"BA168"</f>
        <v>BA168</v>
      </c>
    </row>
    <row r="2367" spans="1:4" x14ac:dyDescent="0.3">
      <c r="A2367" s="2" t="str">
        <f>"IPIRA"</f>
        <v>IPIRA</v>
      </c>
      <c r="B2367" s="3" t="str">
        <f>"SC"</f>
        <v>SC</v>
      </c>
      <c r="C2367" s="3" t="str">
        <f t="shared" si="93"/>
        <v>BRASIL</v>
      </c>
      <c r="D2367" s="4" t="str">
        <f>"SC116"</f>
        <v>SC116</v>
      </c>
    </row>
    <row r="2368" spans="1:4" x14ac:dyDescent="0.3">
      <c r="A2368" s="2" t="str">
        <f>"IPIRANGA"</f>
        <v>IPIRANGA</v>
      </c>
      <c r="B2368" s="3" t="str">
        <f>"PR"</f>
        <v>PR</v>
      </c>
      <c r="C2368" s="3" t="str">
        <f t="shared" si="93"/>
        <v>BRASIL</v>
      </c>
      <c r="D2368" s="4" t="str">
        <f>"PR150"</f>
        <v>PR150</v>
      </c>
    </row>
    <row r="2369" spans="1:4" x14ac:dyDescent="0.3">
      <c r="A2369" s="2" t="str">
        <f>"IPIRANGA DE GOIAS"</f>
        <v>IPIRANGA DE GOIAS</v>
      </c>
      <c r="B2369" s="3" t="str">
        <f>"GO"</f>
        <v>GO</v>
      </c>
      <c r="C2369" s="3" t="str">
        <f t="shared" si="93"/>
        <v>BRASIL</v>
      </c>
      <c r="D2369" s="4" t="str">
        <f>"GO112"</f>
        <v>GO112</v>
      </c>
    </row>
    <row r="2370" spans="1:4" x14ac:dyDescent="0.3">
      <c r="A2370" s="2" t="str">
        <f>"IPIRANGA DO NORTE"</f>
        <v>IPIRANGA DO NORTE</v>
      </c>
      <c r="B2370" s="3" t="str">
        <f>"MT"</f>
        <v>MT</v>
      </c>
      <c r="C2370" s="3" t="str">
        <f t="shared" si="93"/>
        <v>BRASIL</v>
      </c>
      <c r="D2370" s="4" t="str">
        <f>"MT051"</f>
        <v>MT051</v>
      </c>
    </row>
    <row r="2371" spans="1:4" x14ac:dyDescent="0.3">
      <c r="A2371" s="2" t="str">
        <f>"IPIRANGA DO PIAUI"</f>
        <v>IPIRANGA DO PIAUI</v>
      </c>
      <c r="B2371" s="3" t="str">
        <f>"PI"</f>
        <v>PI</v>
      </c>
      <c r="C2371" s="3" t="str">
        <f t="shared" si="93"/>
        <v>BRASIL</v>
      </c>
      <c r="D2371" s="4" t="str">
        <f>"PI096"</f>
        <v>PI096</v>
      </c>
    </row>
    <row r="2372" spans="1:4" x14ac:dyDescent="0.3">
      <c r="A2372" s="2" t="str">
        <f>"IPIRANGA DO SUL"</f>
        <v>IPIRANGA DO SUL</v>
      </c>
      <c r="B2372" s="3" t="str">
        <f>"RS"</f>
        <v>RS</v>
      </c>
      <c r="C2372" s="3" t="str">
        <f t="shared" si="93"/>
        <v>BRASIL</v>
      </c>
      <c r="D2372" s="4" t="str">
        <f>"RS209"</f>
        <v>RS209</v>
      </c>
    </row>
    <row r="2373" spans="1:4" x14ac:dyDescent="0.3">
      <c r="A2373" s="2" t="str">
        <f>"IPIXUNA"</f>
        <v>IPIXUNA</v>
      </c>
      <c r="B2373" s="3" t="str">
        <f>"AM"</f>
        <v>AM</v>
      </c>
      <c r="C2373" s="3" t="str">
        <f t="shared" si="93"/>
        <v>BRASIL</v>
      </c>
      <c r="D2373" s="4" t="str">
        <f>"AM027"</f>
        <v>AM027</v>
      </c>
    </row>
    <row r="2374" spans="1:4" x14ac:dyDescent="0.3">
      <c r="A2374" s="2" t="str">
        <f>"IPIXUNA DO PARA"</f>
        <v>IPIXUNA DO PARA</v>
      </c>
      <c r="B2374" s="3" t="str">
        <f>"PA"</f>
        <v>PA</v>
      </c>
      <c r="C2374" s="3" t="str">
        <f t="shared" si="93"/>
        <v>BRASIL</v>
      </c>
      <c r="D2374" s="4" t="str">
        <f>"PA056"</f>
        <v>PA056</v>
      </c>
    </row>
    <row r="2375" spans="1:4" x14ac:dyDescent="0.3">
      <c r="A2375" s="2" t="str">
        <f>"IPOJUCA"</f>
        <v>IPOJUCA</v>
      </c>
      <c r="B2375" s="3" t="str">
        <f>"PE"</f>
        <v>PE</v>
      </c>
      <c r="C2375" s="3" t="str">
        <f t="shared" si="93"/>
        <v>BRASIL</v>
      </c>
      <c r="D2375" s="4" t="str">
        <f>"PE079"</f>
        <v>PE079</v>
      </c>
    </row>
    <row r="2376" spans="1:4" x14ac:dyDescent="0.3">
      <c r="A2376" s="2" t="str">
        <f>"IPORA"</f>
        <v>IPORA</v>
      </c>
      <c r="B2376" s="3" t="str">
        <f>"GO"</f>
        <v>GO</v>
      </c>
      <c r="C2376" s="3" t="str">
        <f t="shared" si="93"/>
        <v>BRASIL</v>
      </c>
      <c r="D2376" s="4" t="str">
        <f>"GO113"</f>
        <v>GO113</v>
      </c>
    </row>
    <row r="2377" spans="1:4" x14ac:dyDescent="0.3">
      <c r="A2377" s="2" t="str">
        <f>"IPORA"</f>
        <v>IPORA</v>
      </c>
      <c r="B2377" s="3" t="str">
        <f>"PR"</f>
        <v>PR</v>
      </c>
      <c r="C2377" s="3" t="str">
        <f t="shared" si="93"/>
        <v>BRASIL</v>
      </c>
      <c r="D2377" s="4" t="str">
        <f>"PR151"</f>
        <v>PR151</v>
      </c>
    </row>
    <row r="2378" spans="1:4" x14ac:dyDescent="0.3">
      <c r="A2378" s="2" t="str">
        <f>"IPORA DO OESTE"</f>
        <v>IPORA DO OESTE</v>
      </c>
      <c r="B2378" s="3" t="str">
        <f>"SC"</f>
        <v>SC</v>
      </c>
      <c r="C2378" s="3" t="str">
        <f t="shared" si="93"/>
        <v>BRASIL</v>
      </c>
      <c r="D2378" s="4" t="str">
        <f>"SC117"</f>
        <v>SC117</v>
      </c>
    </row>
    <row r="2379" spans="1:4" x14ac:dyDescent="0.3">
      <c r="A2379" s="2" t="str">
        <f>"IPORANGA"</f>
        <v>IPORANGA</v>
      </c>
      <c r="B2379" s="3" t="str">
        <f>"SP"</f>
        <v>SP</v>
      </c>
      <c r="C2379" s="3" t="str">
        <f t="shared" si="93"/>
        <v>BRASIL</v>
      </c>
      <c r="D2379" s="4" t="str">
        <f>"SP244"</f>
        <v>SP244</v>
      </c>
    </row>
    <row r="2380" spans="1:4" x14ac:dyDescent="0.3">
      <c r="A2380" s="2" t="str">
        <f>"IPU"</f>
        <v>IPU</v>
      </c>
      <c r="B2380" s="3" t="str">
        <f>"CE"</f>
        <v>CE</v>
      </c>
      <c r="C2380" s="3" t="str">
        <f t="shared" si="93"/>
        <v>BRASIL</v>
      </c>
      <c r="D2380" s="4" t="str">
        <f>"CE081"</f>
        <v>CE081</v>
      </c>
    </row>
    <row r="2381" spans="1:4" x14ac:dyDescent="0.3">
      <c r="A2381" s="2" t="str">
        <f>"IPUA"</f>
        <v>IPUA</v>
      </c>
      <c r="B2381" s="3" t="str">
        <f>"SP"</f>
        <v>SP</v>
      </c>
      <c r="C2381" s="3" t="str">
        <f t="shared" ref="C2381:C2414" si="94">"BRASIL"</f>
        <v>BRASIL</v>
      </c>
      <c r="D2381" s="4" t="str">
        <f>"SP245"</f>
        <v>SP245</v>
      </c>
    </row>
    <row r="2382" spans="1:4" x14ac:dyDescent="0.3">
      <c r="A2382" s="2" t="str">
        <f>"IPUACU"</f>
        <v>IPUACU</v>
      </c>
      <c r="B2382" s="3" t="str">
        <f>"SC"</f>
        <v>SC</v>
      </c>
      <c r="C2382" s="3" t="str">
        <f t="shared" si="94"/>
        <v>BRASIL</v>
      </c>
      <c r="D2382" s="4" t="str">
        <f>"SC118"</f>
        <v>SC118</v>
      </c>
    </row>
    <row r="2383" spans="1:4" x14ac:dyDescent="0.3">
      <c r="A2383" s="2" t="str">
        <f>"IPUBI"</f>
        <v>IPUBI</v>
      </c>
      <c r="B2383" s="3" t="str">
        <f>"PE"</f>
        <v>PE</v>
      </c>
      <c r="C2383" s="3" t="str">
        <f t="shared" si="94"/>
        <v>BRASIL</v>
      </c>
      <c r="D2383" s="4" t="str">
        <f>"PE080"</f>
        <v>PE080</v>
      </c>
    </row>
    <row r="2384" spans="1:4" x14ac:dyDescent="0.3">
      <c r="A2384" s="2" t="str">
        <f>"IPUEIRA"</f>
        <v>IPUEIRA</v>
      </c>
      <c r="B2384" s="3" t="str">
        <f>"RN"</f>
        <v>RN</v>
      </c>
      <c r="C2384" s="3" t="str">
        <f t="shared" si="94"/>
        <v>BRASIL</v>
      </c>
      <c r="D2384" s="4" t="str">
        <f>"RN053"</f>
        <v>RN053</v>
      </c>
    </row>
    <row r="2385" spans="1:4" x14ac:dyDescent="0.3">
      <c r="A2385" s="2" t="str">
        <f>"IPUEIRAS"</f>
        <v>IPUEIRAS</v>
      </c>
      <c r="B2385" s="3" t="str">
        <f>"CE"</f>
        <v>CE</v>
      </c>
      <c r="C2385" s="3" t="str">
        <f t="shared" si="94"/>
        <v>BRASIL</v>
      </c>
      <c r="D2385" s="4" t="str">
        <f>"CE082"</f>
        <v>CE082</v>
      </c>
    </row>
    <row r="2386" spans="1:4" x14ac:dyDescent="0.3">
      <c r="A2386" s="2" t="str">
        <f>"IPUEIRAS"</f>
        <v>IPUEIRAS</v>
      </c>
      <c r="B2386" s="3" t="str">
        <f>"TO"</f>
        <v>TO</v>
      </c>
      <c r="C2386" s="3" t="str">
        <f t="shared" si="94"/>
        <v>BRASIL</v>
      </c>
      <c r="D2386" s="4" t="str">
        <f>"TO059"</f>
        <v>TO059</v>
      </c>
    </row>
    <row r="2387" spans="1:4" x14ac:dyDescent="0.3">
      <c r="A2387" s="2" t="str">
        <f>"IPUIUNA"</f>
        <v>IPUIUNA</v>
      </c>
      <c r="B2387" s="3" t="str">
        <f>"MG"</f>
        <v>MG</v>
      </c>
      <c r="C2387" s="3" t="str">
        <f t="shared" si="94"/>
        <v>BRASIL</v>
      </c>
      <c r="D2387" s="4" t="str">
        <f>"MG359"</f>
        <v>MG359</v>
      </c>
    </row>
    <row r="2388" spans="1:4" x14ac:dyDescent="0.3">
      <c r="A2388" s="2" t="str">
        <f>"IPUMIRIM"</f>
        <v>IPUMIRIM</v>
      </c>
      <c r="B2388" s="3" t="str">
        <f>"SC"</f>
        <v>SC</v>
      </c>
      <c r="C2388" s="3" t="str">
        <f t="shared" si="94"/>
        <v>BRASIL</v>
      </c>
      <c r="D2388" s="4" t="str">
        <f>"SC119"</f>
        <v>SC119</v>
      </c>
    </row>
    <row r="2389" spans="1:4" x14ac:dyDescent="0.3">
      <c r="A2389" s="2" t="str">
        <f>"IPUPIARA"</f>
        <v>IPUPIARA</v>
      </c>
      <c r="B2389" s="3" t="str">
        <f>"BA"</f>
        <v>BA</v>
      </c>
      <c r="C2389" s="3" t="str">
        <f t="shared" si="94"/>
        <v>BRASIL</v>
      </c>
      <c r="D2389" s="4" t="str">
        <f>"BA169"</f>
        <v>BA169</v>
      </c>
    </row>
    <row r="2390" spans="1:4" x14ac:dyDescent="0.3">
      <c r="A2390" s="2" t="str">
        <f>"IRACEMA"</f>
        <v>IRACEMA</v>
      </c>
      <c r="B2390" s="3" t="str">
        <f>"CE"</f>
        <v>CE</v>
      </c>
      <c r="C2390" s="3" t="str">
        <f t="shared" si="94"/>
        <v>BRASIL</v>
      </c>
      <c r="D2390" s="4" t="str">
        <f>"CE083"</f>
        <v>CE083</v>
      </c>
    </row>
    <row r="2391" spans="1:4" x14ac:dyDescent="0.3">
      <c r="A2391" s="2" t="str">
        <f>"IRACEMA"</f>
        <v>IRACEMA</v>
      </c>
      <c r="B2391" s="3" t="str">
        <f>"RR"</f>
        <v>RR</v>
      </c>
      <c r="C2391" s="3" t="str">
        <f t="shared" si="94"/>
        <v>BRASIL</v>
      </c>
      <c r="D2391" s="4" t="str">
        <f>"RR008"</f>
        <v>RR008</v>
      </c>
    </row>
    <row r="2392" spans="1:4" x14ac:dyDescent="0.3">
      <c r="A2392" s="2" t="str">
        <f>"IRACEMA DO OESTE"</f>
        <v>IRACEMA DO OESTE</v>
      </c>
      <c r="B2392" s="3" t="str">
        <f>"PR"</f>
        <v>PR</v>
      </c>
      <c r="C2392" s="3" t="str">
        <f t="shared" si="94"/>
        <v>BRASIL</v>
      </c>
      <c r="D2392" s="4" t="str">
        <f>"PR152"</f>
        <v>PR152</v>
      </c>
    </row>
    <row r="2393" spans="1:4" x14ac:dyDescent="0.3">
      <c r="A2393" s="2" t="str">
        <f>"IRACEMAPOLIS"</f>
        <v>IRACEMAPOLIS</v>
      </c>
      <c r="B2393" s="3" t="str">
        <f>"SP"</f>
        <v>SP</v>
      </c>
      <c r="C2393" s="3" t="str">
        <f t="shared" si="94"/>
        <v>BRASIL</v>
      </c>
      <c r="D2393" s="4" t="str">
        <f>"SP246"</f>
        <v>SP246</v>
      </c>
    </row>
    <row r="2394" spans="1:4" x14ac:dyDescent="0.3">
      <c r="A2394" s="2" t="str">
        <f>"IRACEMINHA"</f>
        <v>IRACEMINHA</v>
      </c>
      <c r="B2394" s="3" t="str">
        <f>"SC"</f>
        <v>SC</v>
      </c>
      <c r="C2394" s="3" t="str">
        <f t="shared" si="94"/>
        <v>BRASIL</v>
      </c>
      <c r="D2394" s="4" t="str">
        <f>"SC120"</f>
        <v>SC120</v>
      </c>
    </row>
    <row r="2395" spans="1:4" x14ac:dyDescent="0.3">
      <c r="A2395" s="2" t="str">
        <f>"IRAI"</f>
        <v>IRAI</v>
      </c>
      <c r="B2395" s="3" t="str">
        <f>"RS"</f>
        <v>RS</v>
      </c>
      <c r="C2395" s="3" t="str">
        <f t="shared" si="94"/>
        <v>BRASIL</v>
      </c>
      <c r="D2395" s="4" t="str">
        <f>"RS210"</f>
        <v>RS210</v>
      </c>
    </row>
    <row r="2396" spans="1:4" x14ac:dyDescent="0.3">
      <c r="A2396" s="2" t="str">
        <f>"IRAI DE MINAS"</f>
        <v>IRAI DE MINAS</v>
      </c>
      <c r="B2396" s="3" t="str">
        <f>"MG"</f>
        <v>MG</v>
      </c>
      <c r="C2396" s="3" t="str">
        <f t="shared" si="94"/>
        <v>BRASIL</v>
      </c>
      <c r="D2396" s="4" t="str">
        <f>"MG360"</f>
        <v>MG360</v>
      </c>
    </row>
    <row r="2397" spans="1:4" x14ac:dyDescent="0.3">
      <c r="A2397" s="2" t="str">
        <f>"IRAJUBA"</f>
        <v>IRAJUBA</v>
      </c>
      <c r="B2397" s="3" t="str">
        <f>"BA"</f>
        <v>BA</v>
      </c>
      <c r="C2397" s="3" t="str">
        <f t="shared" si="94"/>
        <v>BRASIL</v>
      </c>
      <c r="D2397" s="4" t="str">
        <f>"BA170"</f>
        <v>BA170</v>
      </c>
    </row>
    <row r="2398" spans="1:4" x14ac:dyDescent="0.3">
      <c r="A2398" s="2" t="str">
        <f>"IRAMAIA"</f>
        <v>IRAMAIA</v>
      </c>
      <c r="B2398" s="3" t="str">
        <f>"BA"</f>
        <v>BA</v>
      </c>
      <c r="C2398" s="3" t="str">
        <f t="shared" si="94"/>
        <v>BRASIL</v>
      </c>
      <c r="D2398" s="4" t="str">
        <f>"BA171"</f>
        <v>BA171</v>
      </c>
    </row>
    <row r="2399" spans="1:4" x14ac:dyDescent="0.3">
      <c r="A2399" s="2" t="str">
        <f>"IRANDUBA"</f>
        <v>IRANDUBA</v>
      </c>
      <c r="B2399" s="3" t="str">
        <f>"AM"</f>
        <v>AM</v>
      </c>
      <c r="C2399" s="3" t="str">
        <f t="shared" si="94"/>
        <v>BRASIL</v>
      </c>
      <c r="D2399" s="4" t="str">
        <f>"AM028"</f>
        <v>AM028</v>
      </c>
    </row>
    <row r="2400" spans="1:4" x14ac:dyDescent="0.3">
      <c r="A2400" s="2" t="str">
        <f>"IRANI"</f>
        <v>IRANI</v>
      </c>
      <c r="B2400" s="3" t="str">
        <f>"SC"</f>
        <v>SC</v>
      </c>
      <c r="C2400" s="3" t="str">
        <f t="shared" si="94"/>
        <v>BRASIL</v>
      </c>
      <c r="D2400" s="4" t="str">
        <f>"SC121"</f>
        <v>SC121</v>
      </c>
    </row>
    <row r="2401" spans="1:4" x14ac:dyDescent="0.3">
      <c r="A2401" s="2" t="str">
        <f>"IRAPUA"</f>
        <v>IRAPUA</v>
      </c>
      <c r="B2401" s="3" t="str">
        <f>"SP"</f>
        <v>SP</v>
      </c>
      <c r="C2401" s="3" t="str">
        <f t="shared" si="94"/>
        <v>BRASIL</v>
      </c>
      <c r="D2401" s="4" t="str">
        <f>"SP247"</f>
        <v>SP247</v>
      </c>
    </row>
    <row r="2402" spans="1:4" x14ac:dyDescent="0.3">
      <c r="A2402" s="2" t="str">
        <f>"IRAPURU"</f>
        <v>IRAPURU</v>
      </c>
      <c r="B2402" s="3" t="str">
        <f>"SP"</f>
        <v>SP</v>
      </c>
      <c r="C2402" s="3" t="str">
        <f t="shared" si="94"/>
        <v>BRASIL</v>
      </c>
      <c r="D2402" s="4" t="str">
        <f>"SP248"</f>
        <v>SP248</v>
      </c>
    </row>
    <row r="2403" spans="1:4" x14ac:dyDescent="0.3">
      <c r="A2403" s="2" t="str">
        <f>"IRAQUARA"</f>
        <v>IRAQUARA</v>
      </c>
      <c r="B2403" s="3" t="str">
        <f>"BA"</f>
        <v>BA</v>
      </c>
      <c r="C2403" s="3" t="str">
        <f t="shared" si="94"/>
        <v>BRASIL</v>
      </c>
      <c r="D2403" s="4" t="str">
        <f>"BA172"</f>
        <v>BA172</v>
      </c>
    </row>
    <row r="2404" spans="1:4" x14ac:dyDescent="0.3">
      <c r="A2404" s="2" t="str">
        <f>"IRARA"</f>
        <v>IRARA</v>
      </c>
      <c r="B2404" s="3" t="str">
        <f>"BA"</f>
        <v>BA</v>
      </c>
      <c r="C2404" s="3" t="str">
        <f t="shared" si="94"/>
        <v>BRASIL</v>
      </c>
      <c r="D2404" s="4" t="str">
        <f>"BA173"</f>
        <v>BA173</v>
      </c>
    </row>
    <row r="2405" spans="1:4" x14ac:dyDescent="0.3">
      <c r="A2405" s="2" t="str">
        <f>"IRATI"</f>
        <v>IRATI</v>
      </c>
      <c r="B2405" s="3" t="str">
        <f>"PR"</f>
        <v>PR</v>
      </c>
      <c r="C2405" s="3" t="str">
        <f t="shared" si="94"/>
        <v>BRASIL</v>
      </c>
      <c r="D2405" s="4" t="str">
        <f>"PR153"</f>
        <v>PR153</v>
      </c>
    </row>
    <row r="2406" spans="1:4" x14ac:dyDescent="0.3">
      <c r="A2406" s="2" t="str">
        <f>"IRATI"</f>
        <v>IRATI</v>
      </c>
      <c r="B2406" s="3" t="str">
        <f>"SC"</f>
        <v>SC</v>
      </c>
      <c r="C2406" s="3" t="str">
        <f t="shared" si="94"/>
        <v>BRASIL</v>
      </c>
      <c r="D2406" s="4" t="str">
        <f>"SC122"</f>
        <v>SC122</v>
      </c>
    </row>
    <row r="2407" spans="1:4" x14ac:dyDescent="0.3">
      <c r="A2407" s="2" t="str">
        <f>"IRAUCUBA"</f>
        <v>IRAUCUBA</v>
      </c>
      <c r="B2407" s="3" t="str">
        <f>"CE"</f>
        <v>CE</v>
      </c>
      <c r="C2407" s="3" t="str">
        <f t="shared" si="94"/>
        <v>BRASIL</v>
      </c>
      <c r="D2407" s="4" t="str">
        <f>"CE084"</f>
        <v>CE084</v>
      </c>
    </row>
    <row r="2408" spans="1:4" x14ac:dyDescent="0.3">
      <c r="A2408" s="2" t="str">
        <f>"IRECE"</f>
        <v>IRECE</v>
      </c>
      <c r="B2408" s="3" t="str">
        <f>"BA"</f>
        <v>BA</v>
      </c>
      <c r="C2408" s="3" t="str">
        <f t="shared" si="94"/>
        <v>BRASIL</v>
      </c>
      <c r="D2408" s="4" t="str">
        <f>"BA174"</f>
        <v>BA174</v>
      </c>
    </row>
    <row r="2409" spans="1:4" x14ac:dyDescent="0.3">
      <c r="A2409" s="2" t="str">
        <f>"IRETAMA"</f>
        <v>IRETAMA</v>
      </c>
      <c r="B2409" s="3" t="str">
        <f>"PR"</f>
        <v>PR</v>
      </c>
      <c r="C2409" s="3" t="str">
        <f t="shared" si="94"/>
        <v>BRASIL</v>
      </c>
      <c r="D2409" s="4" t="str">
        <f>"PR154"</f>
        <v>PR154</v>
      </c>
    </row>
    <row r="2410" spans="1:4" x14ac:dyDescent="0.3">
      <c r="A2410" s="2" t="str">
        <f>"IRINEOPOLIS"</f>
        <v>IRINEOPOLIS</v>
      </c>
      <c r="B2410" s="3" t="str">
        <f>"SC"</f>
        <v>SC</v>
      </c>
      <c r="C2410" s="3" t="str">
        <f t="shared" si="94"/>
        <v>BRASIL</v>
      </c>
      <c r="D2410" s="4" t="str">
        <f>"SC123"</f>
        <v>SC123</v>
      </c>
    </row>
    <row r="2411" spans="1:4" x14ac:dyDescent="0.3">
      <c r="A2411" s="2" t="str">
        <f>"IRITUIA"</f>
        <v>IRITUIA</v>
      </c>
      <c r="B2411" s="3" t="str">
        <f>"PA"</f>
        <v>PA</v>
      </c>
      <c r="C2411" s="3" t="str">
        <f t="shared" si="94"/>
        <v>BRASIL</v>
      </c>
      <c r="D2411" s="4" t="str">
        <f>"PA057"</f>
        <v>PA057</v>
      </c>
    </row>
    <row r="2412" spans="1:4" x14ac:dyDescent="0.3">
      <c r="A2412" s="2" t="str">
        <f>"IRUPI"</f>
        <v>IRUPI</v>
      </c>
      <c r="B2412" s="3" t="str">
        <f>"ES"</f>
        <v>ES</v>
      </c>
      <c r="C2412" s="3" t="str">
        <f t="shared" si="94"/>
        <v>BRASIL</v>
      </c>
      <c r="D2412" s="4" t="str">
        <f>"ES034"</f>
        <v>ES034</v>
      </c>
    </row>
    <row r="2413" spans="1:4" x14ac:dyDescent="0.3">
      <c r="A2413" s="2" t="str">
        <f>"ISAIAS COELHO"</f>
        <v>ISAIAS COELHO</v>
      </c>
      <c r="B2413" s="3" t="str">
        <f>"PI"</f>
        <v>PI</v>
      </c>
      <c r="C2413" s="3" t="str">
        <f t="shared" si="94"/>
        <v>BRASIL</v>
      </c>
      <c r="D2413" s="4" t="str">
        <f>"PI097"</f>
        <v>PI097</v>
      </c>
    </row>
    <row r="2414" spans="1:4" x14ac:dyDescent="0.3">
      <c r="A2414" s="2" t="str">
        <f>"ISRAELANDIA"</f>
        <v>ISRAELANDIA</v>
      </c>
      <c r="B2414" s="3" t="str">
        <f>"GO"</f>
        <v>GO</v>
      </c>
      <c r="C2414" s="3" t="str">
        <f t="shared" si="94"/>
        <v>BRASIL</v>
      </c>
      <c r="D2414" s="4" t="str">
        <f>"GO114"</f>
        <v>GO114</v>
      </c>
    </row>
    <row r="2415" spans="1:4" x14ac:dyDescent="0.3">
      <c r="A2415" s="2" t="str">
        <f>"ISTAMBUL"</f>
        <v>ISTAMBUL</v>
      </c>
      <c r="B2415" s="3" t="str">
        <f>"EX"</f>
        <v>EX</v>
      </c>
      <c r="C2415" s="3" t="str">
        <f>"TURQUIA"</f>
        <v>TURQUIA</v>
      </c>
      <c r="D2415" s="4" t="str">
        <f>"IST"</f>
        <v>IST</v>
      </c>
    </row>
    <row r="2416" spans="1:4" x14ac:dyDescent="0.3">
      <c r="A2416" s="2" t="str">
        <f>"ITA"</f>
        <v>ITA</v>
      </c>
      <c r="B2416" s="3" t="str">
        <f>"SC"</f>
        <v>SC</v>
      </c>
      <c r="C2416" s="3" t="str">
        <f t="shared" ref="C2416:C2447" si="95">"BRASIL"</f>
        <v>BRASIL</v>
      </c>
      <c r="D2416" s="4" t="str">
        <f>"SC124"</f>
        <v>SC124</v>
      </c>
    </row>
    <row r="2417" spans="1:4" x14ac:dyDescent="0.3">
      <c r="A2417" s="2" t="str">
        <f>"ITAARA"</f>
        <v>ITAARA</v>
      </c>
      <c r="B2417" s="3" t="str">
        <f>"RS"</f>
        <v>RS</v>
      </c>
      <c r="C2417" s="3" t="str">
        <f t="shared" si="95"/>
        <v>BRASIL</v>
      </c>
      <c r="D2417" s="4" t="str">
        <f>"RS211"</f>
        <v>RS211</v>
      </c>
    </row>
    <row r="2418" spans="1:4" x14ac:dyDescent="0.3">
      <c r="A2418" s="2" t="str">
        <f>"ITABAIANA"</f>
        <v>ITABAIANA</v>
      </c>
      <c r="B2418" s="3" t="str">
        <f>"PB"</f>
        <v>PB</v>
      </c>
      <c r="C2418" s="3" t="str">
        <f t="shared" si="95"/>
        <v>BRASIL</v>
      </c>
      <c r="D2418" s="4" t="str">
        <f>"PB090"</f>
        <v>PB090</v>
      </c>
    </row>
    <row r="2419" spans="1:4" x14ac:dyDescent="0.3">
      <c r="A2419" s="2" t="str">
        <f>"ITABAIANA"</f>
        <v>ITABAIANA</v>
      </c>
      <c r="B2419" s="3" t="str">
        <f>"SE"</f>
        <v>SE</v>
      </c>
      <c r="C2419" s="3" t="str">
        <f t="shared" si="95"/>
        <v>BRASIL</v>
      </c>
      <c r="D2419" s="4" t="str">
        <f>"SE027"</f>
        <v>SE027</v>
      </c>
    </row>
    <row r="2420" spans="1:4" x14ac:dyDescent="0.3">
      <c r="A2420" s="2" t="str">
        <f>"ITABAIANINHA"</f>
        <v>ITABAIANINHA</v>
      </c>
      <c r="B2420" s="3" t="str">
        <f>"SE"</f>
        <v>SE</v>
      </c>
      <c r="C2420" s="3" t="str">
        <f t="shared" si="95"/>
        <v>BRASIL</v>
      </c>
      <c r="D2420" s="4" t="str">
        <f>"SE028"</f>
        <v>SE028</v>
      </c>
    </row>
    <row r="2421" spans="1:4" x14ac:dyDescent="0.3">
      <c r="A2421" s="2" t="str">
        <f>"ITABELA"</f>
        <v>ITABELA</v>
      </c>
      <c r="B2421" s="3" t="str">
        <f>"BA"</f>
        <v>BA</v>
      </c>
      <c r="C2421" s="3" t="str">
        <f t="shared" si="95"/>
        <v>BRASIL</v>
      </c>
      <c r="D2421" s="4" t="str">
        <f>"BA175"</f>
        <v>BA175</v>
      </c>
    </row>
    <row r="2422" spans="1:4" x14ac:dyDescent="0.3">
      <c r="A2422" s="2" t="str">
        <f>"ITABERA"</f>
        <v>ITABERA</v>
      </c>
      <c r="B2422" s="3" t="str">
        <f>"SP"</f>
        <v>SP</v>
      </c>
      <c r="C2422" s="3" t="str">
        <f t="shared" si="95"/>
        <v>BRASIL</v>
      </c>
      <c r="D2422" s="4" t="str">
        <f>"SP249"</f>
        <v>SP249</v>
      </c>
    </row>
    <row r="2423" spans="1:4" x14ac:dyDescent="0.3">
      <c r="A2423" s="2" t="str">
        <f>"ITABERABA"</f>
        <v>ITABERABA</v>
      </c>
      <c r="B2423" s="3" t="str">
        <f>"BA"</f>
        <v>BA</v>
      </c>
      <c r="C2423" s="3" t="str">
        <f t="shared" si="95"/>
        <v>BRASIL</v>
      </c>
      <c r="D2423" s="4" t="str">
        <f>"BA176"</f>
        <v>BA176</v>
      </c>
    </row>
    <row r="2424" spans="1:4" x14ac:dyDescent="0.3">
      <c r="A2424" s="2" t="str">
        <f>"ITABERAI"</f>
        <v>ITABERAI</v>
      </c>
      <c r="B2424" s="3" t="str">
        <f>"GO"</f>
        <v>GO</v>
      </c>
      <c r="C2424" s="3" t="str">
        <f t="shared" si="95"/>
        <v>BRASIL</v>
      </c>
      <c r="D2424" s="4" t="str">
        <f>"GO115"</f>
        <v>GO115</v>
      </c>
    </row>
    <row r="2425" spans="1:4" x14ac:dyDescent="0.3">
      <c r="A2425" s="2" t="str">
        <f>"ITABI"</f>
        <v>ITABI</v>
      </c>
      <c r="B2425" s="3" t="str">
        <f>"SE"</f>
        <v>SE</v>
      </c>
      <c r="C2425" s="3" t="str">
        <f t="shared" si="95"/>
        <v>BRASIL</v>
      </c>
      <c r="D2425" s="4" t="str">
        <f>"SE029"</f>
        <v>SE029</v>
      </c>
    </row>
    <row r="2426" spans="1:4" x14ac:dyDescent="0.3">
      <c r="A2426" s="2" t="str">
        <f>"ITABIRA"</f>
        <v>ITABIRA</v>
      </c>
      <c r="B2426" s="3" t="str">
        <f>"MG"</f>
        <v>MG</v>
      </c>
      <c r="C2426" s="3" t="str">
        <f t="shared" si="95"/>
        <v>BRASIL</v>
      </c>
      <c r="D2426" s="4" t="str">
        <f>"MG361"</f>
        <v>MG361</v>
      </c>
    </row>
    <row r="2427" spans="1:4" x14ac:dyDescent="0.3">
      <c r="A2427" s="2" t="str">
        <f>"ITABIRINHA"</f>
        <v>ITABIRINHA</v>
      </c>
      <c r="B2427" s="3" t="str">
        <f>"MG"</f>
        <v>MG</v>
      </c>
      <c r="C2427" s="3" t="str">
        <f t="shared" si="95"/>
        <v>BRASIL</v>
      </c>
      <c r="D2427" s="4" t="str">
        <f>"MG362"</f>
        <v>MG362</v>
      </c>
    </row>
    <row r="2428" spans="1:4" x14ac:dyDescent="0.3">
      <c r="A2428" s="2" t="str">
        <f>"ITABIRITO"</f>
        <v>ITABIRITO</v>
      </c>
      <c r="B2428" s="3" t="str">
        <f>"MG"</f>
        <v>MG</v>
      </c>
      <c r="C2428" s="3" t="str">
        <f t="shared" si="95"/>
        <v>BRASIL</v>
      </c>
      <c r="D2428" s="4" t="str">
        <f>"MG363"</f>
        <v>MG363</v>
      </c>
    </row>
    <row r="2429" spans="1:4" x14ac:dyDescent="0.3">
      <c r="A2429" s="2" t="str">
        <f>"ITABORAI"</f>
        <v>ITABORAI</v>
      </c>
      <c r="B2429" s="3" t="str">
        <f>"RJ"</f>
        <v>RJ</v>
      </c>
      <c r="C2429" s="3" t="str">
        <f t="shared" si="95"/>
        <v>BRASIL</v>
      </c>
      <c r="D2429" s="4" t="str">
        <f>"RJ029"</f>
        <v>RJ029</v>
      </c>
    </row>
    <row r="2430" spans="1:4" x14ac:dyDescent="0.3">
      <c r="A2430" s="2" t="str">
        <f>"ITABUNA"</f>
        <v>ITABUNA</v>
      </c>
      <c r="B2430" s="3" t="str">
        <f>"BA"</f>
        <v>BA</v>
      </c>
      <c r="C2430" s="3" t="str">
        <f t="shared" si="95"/>
        <v>BRASIL</v>
      </c>
      <c r="D2430" s="4" t="str">
        <f>"BA177"</f>
        <v>BA177</v>
      </c>
    </row>
    <row r="2431" spans="1:4" x14ac:dyDescent="0.3">
      <c r="A2431" s="2" t="str">
        <f>"ITACAJA"</f>
        <v>ITACAJA</v>
      </c>
      <c r="B2431" s="3" t="str">
        <f>"TO"</f>
        <v>TO</v>
      </c>
      <c r="C2431" s="3" t="str">
        <f t="shared" si="95"/>
        <v>BRASIL</v>
      </c>
      <c r="D2431" s="4" t="str">
        <f>"TO060"</f>
        <v>TO060</v>
      </c>
    </row>
    <row r="2432" spans="1:4" x14ac:dyDescent="0.3">
      <c r="A2432" s="2" t="str">
        <f>"ITACAMBIRA"</f>
        <v>ITACAMBIRA</v>
      </c>
      <c r="B2432" s="3" t="str">
        <f>"MG"</f>
        <v>MG</v>
      </c>
      <c r="C2432" s="3" t="str">
        <f t="shared" si="95"/>
        <v>BRASIL</v>
      </c>
      <c r="D2432" s="4" t="str">
        <f>"MG364"</f>
        <v>MG364</v>
      </c>
    </row>
    <row r="2433" spans="1:4" x14ac:dyDescent="0.3">
      <c r="A2433" s="2" t="str">
        <f>"ITACARAMBI"</f>
        <v>ITACARAMBI</v>
      </c>
      <c r="B2433" s="3" t="str">
        <f>"MG"</f>
        <v>MG</v>
      </c>
      <c r="C2433" s="3" t="str">
        <f t="shared" si="95"/>
        <v>BRASIL</v>
      </c>
      <c r="D2433" s="4" t="str">
        <f>"MG365"</f>
        <v>MG365</v>
      </c>
    </row>
    <row r="2434" spans="1:4" x14ac:dyDescent="0.3">
      <c r="A2434" s="2" t="str">
        <f>"ITACARE"</f>
        <v>ITACARE</v>
      </c>
      <c r="B2434" s="3" t="str">
        <f>"BA"</f>
        <v>BA</v>
      </c>
      <c r="C2434" s="3" t="str">
        <f t="shared" si="95"/>
        <v>BRASIL</v>
      </c>
      <c r="D2434" s="4" t="str">
        <f>"BA178"</f>
        <v>BA178</v>
      </c>
    </row>
    <row r="2435" spans="1:4" x14ac:dyDescent="0.3">
      <c r="A2435" s="2" t="str">
        <f>"ITACOATIARA"</f>
        <v>ITACOATIARA</v>
      </c>
      <c r="B2435" s="3" t="str">
        <f>"AM"</f>
        <v>AM</v>
      </c>
      <c r="C2435" s="3" t="str">
        <f t="shared" si="95"/>
        <v>BRASIL</v>
      </c>
      <c r="D2435" s="4" t="str">
        <f>"AM029"</f>
        <v>AM029</v>
      </c>
    </row>
    <row r="2436" spans="1:4" x14ac:dyDescent="0.3">
      <c r="A2436" s="2" t="str">
        <f>"ITACURUBA"</f>
        <v>ITACURUBA</v>
      </c>
      <c r="B2436" s="3" t="str">
        <f>"PE"</f>
        <v>PE</v>
      </c>
      <c r="C2436" s="3" t="str">
        <f t="shared" si="95"/>
        <v>BRASIL</v>
      </c>
      <c r="D2436" s="4" t="str">
        <f>"PE081"</f>
        <v>PE081</v>
      </c>
    </row>
    <row r="2437" spans="1:4" x14ac:dyDescent="0.3">
      <c r="A2437" s="2" t="str">
        <f>"ITACURUBI"</f>
        <v>ITACURUBI</v>
      </c>
      <c r="B2437" s="3" t="str">
        <f>"RS"</f>
        <v>RS</v>
      </c>
      <c r="C2437" s="3" t="str">
        <f t="shared" si="95"/>
        <v>BRASIL</v>
      </c>
      <c r="D2437" s="4" t="str">
        <f>"RS212"</f>
        <v>RS212</v>
      </c>
    </row>
    <row r="2438" spans="1:4" x14ac:dyDescent="0.3">
      <c r="A2438" s="2" t="str">
        <f>"ITAETE"</f>
        <v>ITAETE</v>
      </c>
      <c r="B2438" s="3" t="str">
        <f>"BA"</f>
        <v>BA</v>
      </c>
      <c r="C2438" s="3" t="str">
        <f t="shared" si="95"/>
        <v>BRASIL</v>
      </c>
      <c r="D2438" s="4" t="str">
        <f>"BA179"</f>
        <v>BA179</v>
      </c>
    </row>
    <row r="2439" spans="1:4" x14ac:dyDescent="0.3">
      <c r="A2439" s="2" t="str">
        <f>"ITAGI"</f>
        <v>ITAGI</v>
      </c>
      <c r="B2439" s="3" t="str">
        <f>"BA"</f>
        <v>BA</v>
      </c>
      <c r="C2439" s="3" t="str">
        <f t="shared" si="95"/>
        <v>BRASIL</v>
      </c>
      <c r="D2439" s="4" t="str">
        <f>"BA180"</f>
        <v>BA180</v>
      </c>
    </row>
    <row r="2440" spans="1:4" x14ac:dyDescent="0.3">
      <c r="A2440" s="2" t="str">
        <f>"ITAGIBA"</f>
        <v>ITAGIBA</v>
      </c>
      <c r="B2440" s="3" t="str">
        <f>"BA"</f>
        <v>BA</v>
      </c>
      <c r="C2440" s="3" t="str">
        <f t="shared" si="95"/>
        <v>BRASIL</v>
      </c>
      <c r="D2440" s="4" t="str">
        <f>"BA181"</f>
        <v>BA181</v>
      </c>
    </row>
    <row r="2441" spans="1:4" x14ac:dyDescent="0.3">
      <c r="A2441" s="2" t="str">
        <f>"ITAGIMIRIM"</f>
        <v>ITAGIMIRIM</v>
      </c>
      <c r="B2441" s="3" t="str">
        <f>"BA"</f>
        <v>BA</v>
      </c>
      <c r="C2441" s="3" t="str">
        <f t="shared" si="95"/>
        <v>BRASIL</v>
      </c>
      <c r="D2441" s="4" t="str">
        <f>"BA182"</f>
        <v>BA182</v>
      </c>
    </row>
    <row r="2442" spans="1:4" x14ac:dyDescent="0.3">
      <c r="A2442" s="2" t="str">
        <f>"ITAGUACU"</f>
        <v>ITAGUACU</v>
      </c>
      <c r="B2442" s="3" t="str">
        <f>"ES"</f>
        <v>ES</v>
      </c>
      <c r="C2442" s="3" t="str">
        <f t="shared" si="95"/>
        <v>BRASIL</v>
      </c>
      <c r="D2442" s="4" t="str">
        <f>"ES035"</f>
        <v>ES035</v>
      </c>
    </row>
    <row r="2443" spans="1:4" x14ac:dyDescent="0.3">
      <c r="A2443" s="2" t="str">
        <f>"ITAGUACU DA BAHIA"</f>
        <v>ITAGUACU DA BAHIA</v>
      </c>
      <c r="B2443" s="3" t="str">
        <f>"BA"</f>
        <v>BA</v>
      </c>
      <c r="C2443" s="3" t="str">
        <f t="shared" si="95"/>
        <v>BRASIL</v>
      </c>
      <c r="D2443" s="4" t="str">
        <f>"BA183"</f>
        <v>BA183</v>
      </c>
    </row>
    <row r="2444" spans="1:4" x14ac:dyDescent="0.3">
      <c r="A2444" s="2" t="str">
        <f>"ITAGUAI"</f>
        <v>ITAGUAI</v>
      </c>
      <c r="B2444" s="3" t="str">
        <f>"RJ"</f>
        <v>RJ</v>
      </c>
      <c r="C2444" s="3" t="str">
        <f t="shared" si="95"/>
        <v>BRASIL</v>
      </c>
      <c r="D2444" s="4" t="str">
        <f>"RJ030"</f>
        <v>RJ030</v>
      </c>
    </row>
    <row r="2445" spans="1:4" x14ac:dyDescent="0.3">
      <c r="A2445" s="2" t="str">
        <f>"ITAGUAJE"</f>
        <v>ITAGUAJE</v>
      </c>
      <c r="B2445" s="3" t="str">
        <f>"PR"</f>
        <v>PR</v>
      </c>
      <c r="C2445" s="3" t="str">
        <f t="shared" si="95"/>
        <v>BRASIL</v>
      </c>
      <c r="D2445" s="4" t="str">
        <f>"PR155"</f>
        <v>PR155</v>
      </c>
    </row>
    <row r="2446" spans="1:4" x14ac:dyDescent="0.3">
      <c r="A2446" s="2" t="str">
        <f>"ITAGUARA"</f>
        <v>ITAGUARA</v>
      </c>
      <c r="B2446" s="3" t="str">
        <f>"MG"</f>
        <v>MG</v>
      </c>
      <c r="C2446" s="3" t="str">
        <f t="shared" si="95"/>
        <v>BRASIL</v>
      </c>
      <c r="D2446" s="4" t="str">
        <f>"MG366"</f>
        <v>MG366</v>
      </c>
    </row>
    <row r="2447" spans="1:4" x14ac:dyDescent="0.3">
      <c r="A2447" s="2" t="str">
        <f>"ITAGUARI"</f>
        <v>ITAGUARI</v>
      </c>
      <c r="B2447" s="3" t="str">
        <f>"GO"</f>
        <v>GO</v>
      </c>
      <c r="C2447" s="3" t="str">
        <f t="shared" si="95"/>
        <v>BRASIL</v>
      </c>
      <c r="D2447" s="4" t="str">
        <f>"GO116"</f>
        <v>GO116</v>
      </c>
    </row>
    <row r="2448" spans="1:4" x14ac:dyDescent="0.3">
      <c r="A2448" s="2" t="str">
        <f>"ITAGUARU"</f>
        <v>ITAGUARU</v>
      </c>
      <c r="B2448" s="3" t="str">
        <f>"GO"</f>
        <v>GO</v>
      </c>
      <c r="C2448" s="3" t="str">
        <f t="shared" ref="C2448:C2467" si="96">"BRASIL"</f>
        <v>BRASIL</v>
      </c>
      <c r="D2448" s="4" t="str">
        <f>"GO117"</f>
        <v>GO117</v>
      </c>
    </row>
    <row r="2449" spans="1:4" x14ac:dyDescent="0.3">
      <c r="A2449" s="2" t="str">
        <f>"ITAGUATINS"</f>
        <v>ITAGUATINS</v>
      </c>
      <c r="B2449" s="3" t="str">
        <f>"TO"</f>
        <v>TO</v>
      </c>
      <c r="C2449" s="3" t="str">
        <f t="shared" si="96"/>
        <v>BRASIL</v>
      </c>
      <c r="D2449" s="4" t="str">
        <f>"TO061"</f>
        <v>TO061</v>
      </c>
    </row>
    <row r="2450" spans="1:4" x14ac:dyDescent="0.3">
      <c r="A2450" s="2" t="str">
        <f>"ITAI"</f>
        <v>ITAI</v>
      </c>
      <c r="B2450" s="3" t="str">
        <f>"SP"</f>
        <v>SP</v>
      </c>
      <c r="C2450" s="3" t="str">
        <f t="shared" si="96"/>
        <v>BRASIL</v>
      </c>
      <c r="D2450" s="4" t="str">
        <f>"SP250"</f>
        <v>SP250</v>
      </c>
    </row>
    <row r="2451" spans="1:4" x14ac:dyDescent="0.3">
      <c r="A2451" s="2" t="str">
        <f>"ITAIBA"</f>
        <v>ITAIBA</v>
      </c>
      <c r="B2451" s="3" t="str">
        <f>"PE"</f>
        <v>PE</v>
      </c>
      <c r="C2451" s="3" t="str">
        <f t="shared" si="96"/>
        <v>BRASIL</v>
      </c>
      <c r="D2451" s="4" t="str">
        <f>"PE082"</f>
        <v>PE082</v>
      </c>
    </row>
    <row r="2452" spans="1:4" x14ac:dyDescent="0.3">
      <c r="A2452" s="2" t="str">
        <f>"ITAICABA"</f>
        <v>ITAICABA</v>
      </c>
      <c r="B2452" s="3" t="str">
        <f>"CE"</f>
        <v>CE</v>
      </c>
      <c r="C2452" s="3" t="str">
        <f t="shared" si="96"/>
        <v>BRASIL</v>
      </c>
      <c r="D2452" s="4" t="str">
        <f>"CE085"</f>
        <v>CE085</v>
      </c>
    </row>
    <row r="2453" spans="1:4" x14ac:dyDescent="0.3">
      <c r="A2453" s="2" t="str">
        <f>"ITAINOPOLIS"</f>
        <v>ITAINOPOLIS</v>
      </c>
      <c r="B2453" s="3" t="str">
        <f>"PI"</f>
        <v>PI</v>
      </c>
      <c r="C2453" s="3" t="str">
        <f t="shared" si="96"/>
        <v>BRASIL</v>
      </c>
      <c r="D2453" s="4" t="str">
        <f>"PI098"</f>
        <v>PI098</v>
      </c>
    </row>
    <row r="2454" spans="1:4" x14ac:dyDescent="0.3">
      <c r="A2454" s="2" t="str">
        <f>"ITAIOPOLIS"</f>
        <v>ITAIOPOLIS</v>
      </c>
      <c r="B2454" s="3" t="str">
        <f>"SC"</f>
        <v>SC</v>
      </c>
      <c r="C2454" s="3" t="str">
        <f t="shared" si="96"/>
        <v>BRASIL</v>
      </c>
      <c r="D2454" s="4" t="str">
        <f>"SC125"</f>
        <v>SC125</v>
      </c>
    </row>
    <row r="2455" spans="1:4" x14ac:dyDescent="0.3">
      <c r="A2455" s="2" t="str">
        <f>"ITAIPAVA DO GRAJAU"</f>
        <v>ITAIPAVA DO GRAJAU</v>
      </c>
      <c r="B2455" s="3" t="str">
        <f>"MA"</f>
        <v>MA</v>
      </c>
      <c r="C2455" s="3" t="str">
        <f t="shared" si="96"/>
        <v>BRASIL</v>
      </c>
      <c r="D2455" s="4" t="str">
        <f>"MA091"</f>
        <v>MA091</v>
      </c>
    </row>
    <row r="2456" spans="1:4" x14ac:dyDescent="0.3">
      <c r="A2456" s="2" t="str">
        <f>"ITAIPE"</f>
        <v>ITAIPE</v>
      </c>
      <c r="B2456" s="3" t="str">
        <f>"MG"</f>
        <v>MG</v>
      </c>
      <c r="C2456" s="3" t="str">
        <f t="shared" si="96"/>
        <v>BRASIL</v>
      </c>
      <c r="D2456" s="4" t="str">
        <f>"MG367"</f>
        <v>MG367</v>
      </c>
    </row>
    <row r="2457" spans="1:4" x14ac:dyDescent="0.3">
      <c r="A2457" s="2" t="str">
        <f>"ITAIPULANDIA"</f>
        <v>ITAIPULANDIA</v>
      </c>
      <c r="B2457" s="3" t="str">
        <f>"PR"</f>
        <v>PR</v>
      </c>
      <c r="C2457" s="3" t="str">
        <f t="shared" si="96"/>
        <v>BRASIL</v>
      </c>
      <c r="D2457" s="4" t="str">
        <f>"PR156"</f>
        <v>PR156</v>
      </c>
    </row>
    <row r="2458" spans="1:4" x14ac:dyDescent="0.3">
      <c r="A2458" s="2" t="str">
        <f>"ITAITINGA"</f>
        <v>ITAITINGA</v>
      </c>
      <c r="B2458" s="3" t="str">
        <f>"CE"</f>
        <v>CE</v>
      </c>
      <c r="C2458" s="3" t="str">
        <f t="shared" si="96"/>
        <v>BRASIL</v>
      </c>
      <c r="D2458" s="4" t="str">
        <f>"CE086"</f>
        <v>CE086</v>
      </c>
    </row>
    <row r="2459" spans="1:4" x14ac:dyDescent="0.3">
      <c r="A2459" s="2" t="str">
        <f>"ITAITUBA"</f>
        <v>ITAITUBA</v>
      </c>
      <c r="B2459" s="3" t="str">
        <f>"PA"</f>
        <v>PA</v>
      </c>
      <c r="C2459" s="3" t="str">
        <f t="shared" si="96"/>
        <v>BRASIL</v>
      </c>
      <c r="D2459" s="4" t="str">
        <f>"PA058"</f>
        <v>PA058</v>
      </c>
    </row>
    <row r="2460" spans="1:4" x14ac:dyDescent="0.3">
      <c r="A2460" s="2" t="str">
        <f>"ITAJA"</f>
        <v>ITAJA</v>
      </c>
      <c r="B2460" s="3" t="str">
        <f>"GO"</f>
        <v>GO</v>
      </c>
      <c r="C2460" s="3" t="str">
        <f t="shared" si="96"/>
        <v>BRASIL</v>
      </c>
      <c r="D2460" s="4" t="str">
        <f>"GO118"</f>
        <v>GO118</v>
      </c>
    </row>
    <row r="2461" spans="1:4" x14ac:dyDescent="0.3">
      <c r="A2461" s="2" t="str">
        <f>"ITAJA"</f>
        <v>ITAJA</v>
      </c>
      <c r="B2461" s="3" t="str">
        <f>"RN"</f>
        <v>RN</v>
      </c>
      <c r="C2461" s="3" t="str">
        <f t="shared" si="96"/>
        <v>BRASIL</v>
      </c>
      <c r="D2461" s="4" t="str">
        <f>"RN054"</f>
        <v>RN054</v>
      </c>
    </row>
    <row r="2462" spans="1:4" x14ac:dyDescent="0.3">
      <c r="A2462" s="2" t="str">
        <f>"ITAJAI"</f>
        <v>ITAJAI</v>
      </c>
      <c r="B2462" s="3" t="str">
        <f>"SC"</f>
        <v>SC</v>
      </c>
      <c r="C2462" s="3" t="str">
        <f t="shared" si="96"/>
        <v>BRASIL</v>
      </c>
      <c r="D2462" s="4" t="str">
        <f>"SC126"</f>
        <v>SC126</v>
      </c>
    </row>
    <row r="2463" spans="1:4" x14ac:dyDescent="0.3">
      <c r="A2463" s="2" t="str">
        <f>"ITAJOBI"</f>
        <v>ITAJOBI</v>
      </c>
      <c r="B2463" s="3" t="str">
        <f>"SP"</f>
        <v>SP</v>
      </c>
      <c r="C2463" s="3" t="str">
        <f t="shared" si="96"/>
        <v>BRASIL</v>
      </c>
      <c r="D2463" s="4" t="str">
        <f>"SP251"</f>
        <v>SP251</v>
      </c>
    </row>
    <row r="2464" spans="1:4" x14ac:dyDescent="0.3">
      <c r="A2464" s="2" t="str">
        <f>"ITAJU"</f>
        <v>ITAJU</v>
      </c>
      <c r="B2464" s="3" t="str">
        <f>"SP"</f>
        <v>SP</v>
      </c>
      <c r="C2464" s="3" t="str">
        <f t="shared" si="96"/>
        <v>BRASIL</v>
      </c>
      <c r="D2464" s="4" t="str">
        <f>"SP252"</f>
        <v>SP252</v>
      </c>
    </row>
    <row r="2465" spans="1:4" x14ac:dyDescent="0.3">
      <c r="A2465" s="2" t="str">
        <f>"ITAJU DO COLONIA"</f>
        <v>ITAJU DO COLONIA</v>
      </c>
      <c r="B2465" s="3" t="str">
        <f>"BA"</f>
        <v>BA</v>
      </c>
      <c r="C2465" s="3" t="str">
        <f t="shared" si="96"/>
        <v>BRASIL</v>
      </c>
      <c r="D2465" s="4" t="str">
        <f>"BA184"</f>
        <v>BA184</v>
      </c>
    </row>
    <row r="2466" spans="1:4" x14ac:dyDescent="0.3">
      <c r="A2466" s="2" t="str">
        <f>"ITAJUBA"</f>
        <v>ITAJUBA</v>
      </c>
      <c r="B2466" s="3" t="str">
        <f>"MG"</f>
        <v>MG</v>
      </c>
      <c r="C2466" s="3" t="str">
        <f t="shared" si="96"/>
        <v>BRASIL</v>
      </c>
      <c r="D2466" s="4" t="str">
        <f>"MG368"</f>
        <v>MG368</v>
      </c>
    </row>
    <row r="2467" spans="1:4" x14ac:dyDescent="0.3">
      <c r="A2467" s="2" t="str">
        <f>"ITAJUIPE"</f>
        <v>ITAJUIPE</v>
      </c>
      <c r="B2467" s="3" t="str">
        <f>"BA"</f>
        <v>BA</v>
      </c>
      <c r="C2467" s="3" t="str">
        <f t="shared" si="96"/>
        <v>BRASIL</v>
      </c>
      <c r="D2467" s="4" t="str">
        <f>"BA185"</f>
        <v>BA185</v>
      </c>
    </row>
    <row r="2468" spans="1:4" x14ac:dyDescent="0.3">
      <c r="A2468" s="2" t="str">
        <f>"ITALIA - BRA (CN)"</f>
        <v>ITALIA - BRA (CN)</v>
      </c>
      <c r="B2468" s="3" t="str">
        <f>"EX"</f>
        <v>EX</v>
      </c>
      <c r="C2468" s="3" t="str">
        <f>"ITALIA"</f>
        <v>ITALIA</v>
      </c>
      <c r="D2468" s="4" t="str">
        <f>"ITALI"</f>
        <v>ITALI</v>
      </c>
    </row>
    <row r="2469" spans="1:4" x14ac:dyDescent="0.3">
      <c r="A2469" s="2" t="str">
        <f>"ITALVA"</f>
        <v>ITALVA</v>
      </c>
      <c r="B2469" s="3" t="str">
        <f>"RJ"</f>
        <v>RJ</v>
      </c>
      <c r="C2469" s="3" t="str">
        <f t="shared" ref="C2469:C2500" si="97">"BRASIL"</f>
        <v>BRASIL</v>
      </c>
      <c r="D2469" s="4" t="str">
        <f>"RJ031"</f>
        <v>RJ031</v>
      </c>
    </row>
    <row r="2470" spans="1:4" x14ac:dyDescent="0.3">
      <c r="A2470" s="2" t="str">
        <f>"ITAMARAJU"</f>
        <v>ITAMARAJU</v>
      </c>
      <c r="B2470" s="3" t="str">
        <f>"BA"</f>
        <v>BA</v>
      </c>
      <c r="C2470" s="3" t="str">
        <f t="shared" si="97"/>
        <v>BRASIL</v>
      </c>
      <c r="D2470" s="4" t="str">
        <f>"BA186"</f>
        <v>BA186</v>
      </c>
    </row>
    <row r="2471" spans="1:4" x14ac:dyDescent="0.3">
      <c r="A2471" s="2" t="str">
        <f>"ITAMARANDIBA"</f>
        <v>ITAMARANDIBA</v>
      </c>
      <c r="B2471" s="3" t="str">
        <f>"MG"</f>
        <v>MG</v>
      </c>
      <c r="C2471" s="3" t="str">
        <f t="shared" si="97"/>
        <v>BRASIL</v>
      </c>
      <c r="D2471" s="4" t="str">
        <f>"MG369"</f>
        <v>MG369</v>
      </c>
    </row>
    <row r="2472" spans="1:4" x14ac:dyDescent="0.3">
      <c r="A2472" s="2" t="str">
        <f>"ITAMARATI"</f>
        <v>ITAMARATI</v>
      </c>
      <c r="B2472" s="3" t="str">
        <f>"AM"</f>
        <v>AM</v>
      </c>
      <c r="C2472" s="3" t="str">
        <f t="shared" si="97"/>
        <v>BRASIL</v>
      </c>
      <c r="D2472" s="4" t="str">
        <f>"AM030"</f>
        <v>AM030</v>
      </c>
    </row>
    <row r="2473" spans="1:4" x14ac:dyDescent="0.3">
      <c r="A2473" s="2" t="str">
        <f>"ITAMARATI DE MINAS"</f>
        <v>ITAMARATI DE MINAS</v>
      </c>
      <c r="B2473" s="3" t="str">
        <f>"MG"</f>
        <v>MG</v>
      </c>
      <c r="C2473" s="3" t="str">
        <f t="shared" si="97"/>
        <v>BRASIL</v>
      </c>
      <c r="D2473" s="4" t="str">
        <f>"MG370"</f>
        <v>MG370</v>
      </c>
    </row>
    <row r="2474" spans="1:4" x14ac:dyDescent="0.3">
      <c r="A2474" s="2" t="str">
        <f>"ITAMARI"</f>
        <v>ITAMARI</v>
      </c>
      <c r="B2474" s="3" t="str">
        <f>"BA"</f>
        <v>BA</v>
      </c>
      <c r="C2474" s="3" t="str">
        <f t="shared" si="97"/>
        <v>BRASIL</v>
      </c>
      <c r="D2474" s="4" t="str">
        <f>"BA187"</f>
        <v>BA187</v>
      </c>
    </row>
    <row r="2475" spans="1:4" x14ac:dyDescent="0.3">
      <c r="A2475" s="2" t="str">
        <f>"ITAMBACURI"</f>
        <v>ITAMBACURI</v>
      </c>
      <c r="B2475" s="3" t="str">
        <f>"MG"</f>
        <v>MG</v>
      </c>
      <c r="C2475" s="3" t="str">
        <f t="shared" si="97"/>
        <v>BRASIL</v>
      </c>
      <c r="D2475" s="4" t="str">
        <f>"MG371"</f>
        <v>MG371</v>
      </c>
    </row>
    <row r="2476" spans="1:4" x14ac:dyDescent="0.3">
      <c r="A2476" s="2" t="str">
        <f>"ITAMBARACA"</f>
        <v>ITAMBARACA</v>
      </c>
      <c r="B2476" s="3" t="str">
        <f>"PR"</f>
        <v>PR</v>
      </c>
      <c r="C2476" s="3" t="str">
        <f t="shared" si="97"/>
        <v>BRASIL</v>
      </c>
      <c r="D2476" s="4" t="str">
        <f>"PR157"</f>
        <v>PR157</v>
      </c>
    </row>
    <row r="2477" spans="1:4" x14ac:dyDescent="0.3">
      <c r="A2477" s="2" t="str">
        <f>"ITAMBE"</f>
        <v>ITAMBE</v>
      </c>
      <c r="B2477" s="3" t="str">
        <f>"BA"</f>
        <v>BA</v>
      </c>
      <c r="C2477" s="3" t="str">
        <f t="shared" si="97"/>
        <v>BRASIL</v>
      </c>
      <c r="D2477" s="4" t="str">
        <f>"BA188"</f>
        <v>BA188</v>
      </c>
    </row>
    <row r="2478" spans="1:4" x14ac:dyDescent="0.3">
      <c r="A2478" s="2" t="str">
        <f>"ITAMBE"</f>
        <v>ITAMBE</v>
      </c>
      <c r="B2478" s="3" t="str">
        <f>"PE"</f>
        <v>PE</v>
      </c>
      <c r="C2478" s="3" t="str">
        <f t="shared" si="97"/>
        <v>BRASIL</v>
      </c>
      <c r="D2478" s="4" t="str">
        <f>"PE084"</f>
        <v>PE084</v>
      </c>
    </row>
    <row r="2479" spans="1:4" x14ac:dyDescent="0.3">
      <c r="A2479" s="2" t="str">
        <f>"ITAMBE"</f>
        <v>ITAMBE</v>
      </c>
      <c r="B2479" s="3" t="str">
        <f>"PR"</f>
        <v>PR</v>
      </c>
      <c r="C2479" s="3" t="str">
        <f t="shared" si="97"/>
        <v>BRASIL</v>
      </c>
      <c r="D2479" s="4" t="str">
        <f>"PR158"</f>
        <v>PR158</v>
      </c>
    </row>
    <row r="2480" spans="1:4" x14ac:dyDescent="0.3">
      <c r="A2480" s="2" t="str">
        <f>"ITAMBE DO MATO DENTRO"</f>
        <v>ITAMBE DO MATO DENTRO</v>
      </c>
      <c r="B2480" s="3" t="str">
        <f>"MG"</f>
        <v>MG</v>
      </c>
      <c r="C2480" s="3" t="str">
        <f t="shared" si="97"/>
        <v>BRASIL</v>
      </c>
      <c r="D2480" s="4" t="str">
        <f>"MG372"</f>
        <v>MG372</v>
      </c>
    </row>
    <row r="2481" spans="1:4" x14ac:dyDescent="0.3">
      <c r="A2481" s="2" t="str">
        <f>"ITAMOGI"</f>
        <v>ITAMOGI</v>
      </c>
      <c r="B2481" s="3" t="str">
        <f>"MG"</f>
        <v>MG</v>
      </c>
      <c r="C2481" s="3" t="str">
        <f t="shared" si="97"/>
        <v>BRASIL</v>
      </c>
      <c r="D2481" s="4" t="str">
        <f>"MG373"</f>
        <v>MG373</v>
      </c>
    </row>
    <row r="2482" spans="1:4" x14ac:dyDescent="0.3">
      <c r="A2482" s="2" t="str">
        <f>"ITAMONTE"</f>
        <v>ITAMONTE</v>
      </c>
      <c r="B2482" s="3" t="str">
        <f>"MG"</f>
        <v>MG</v>
      </c>
      <c r="C2482" s="3" t="str">
        <f t="shared" si="97"/>
        <v>BRASIL</v>
      </c>
      <c r="D2482" s="4" t="str">
        <f>"MG374"</f>
        <v>MG374</v>
      </c>
    </row>
    <row r="2483" spans="1:4" x14ac:dyDescent="0.3">
      <c r="A2483" s="2" t="str">
        <f>"ITANAGRA"</f>
        <v>ITANAGRA</v>
      </c>
      <c r="B2483" s="3" t="str">
        <f>"BA"</f>
        <v>BA</v>
      </c>
      <c r="C2483" s="3" t="str">
        <f t="shared" si="97"/>
        <v>BRASIL</v>
      </c>
      <c r="D2483" s="4" t="str">
        <f>"BA189"</f>
        <v>BA189</v>
      </c>
    </row>
    <row r="2484" spans="1:4" x14ac:dyDescent="0.3">
      <c r="A2484" s="2" t="str">
        <f>"ITANHAEM"</f>
        <v>ITANHAEM</v>
      </c>
      <c r="B2484" s="3" t="str">
        <f>"SP"</f>
        <v>SP</v>
      </c>
      <c r="C2484" s="3" t="str">
        <f t="shared" si="97"/>
        <v>BRASIL</v>
      </c>
      <c r="D2484" s="4" t="str">
        <f>"SP253"</f>
        <v>SP253</v>
      </c>
    </row>
    <row r="2485" spans="1:4" x14ac:dyDescent="0.3">
      <c r="A2485" s="2" t="str">
        <f>"ITANHANDU"</f>
        <v>ITANHANDU</v>
      </c>
      <c r="B2485" s="3" t="str">
        <f>"MG"</f>
        <v>MG</v>
      </c>
      <c r="C2485" s="3" t="str">
        <f t="shared" si="97"/>
        <v>BRASIL</v>
      </c>
      <c r="D2485" s="4" t="str">
        <f>"MG375"</f>
        <v>MG375</v>
      </c>
    </row>
    <row r="2486" spans="1:4" x14ac:dyDescent="0.3">
      <c r="A2486" s="2" t="str">
        <f>"ITANHANGA"</f>
        <v>ITANHANGA</v>
      </c>
      <c r="B2486" s="3" t="str">
        <f>"MT"</f>
        <v>MT</v>
      </c>
      <c r="C2486" s="3" t="str">
        <f t="shared" si="97"/>
        <v>BRASIL</v>
      </c>
      <c r="D2486" s="4" t="str">
        <f>"MT052"</f>
        <v>MT052</v>
      </c>
    </row>
    <row r="2487" spans="1:4" x14ac:dyDescent="0.3">
      <c r="A2487" s="2" t="str">
        <f>"ITANHEM"</f>
        <v>ITANHEM</v>
      </c>
      <c r="B2487" s="3" t="str">
        <f>"BA"</f>
        <v>BA</v>
      </c>
      <c r="C2487" s="3" t="str">
        <f t="shared" si="97"/>
        <v>BRASIL</v>
      </c>
      <c r="D2487" s="4" t="str">
        <f>"BA190"</f>
        <v>BA190</v>
      </c>
    </row>
    <row r="2488" spans="1:4" x14ac:dyDescent="0.3">
      <c r="A2488" s="2" t="str">
        <f>"ITANHOMI"</f>
        <v>ITANHOMI</v>
      </c>
      <c r="B2488" s="3" t="str">
        <f>"MG"</f>
        <v>MG</v>
      </c>
      <c r="C2488" s="3" t="str">
        <f t="shared" si="97"/>
        <v>BRASIL</v>
      </c>
      <c r="D2488" s="4" t="str">
        <f>"MG376"</f>
        <v>MG376</v>
      </c>
    </row>
    <row r="2489" spans="1:4" x14ac:dyDescent="0.3">
      <c r="A2489" s="2" t="str">
        <f>"ITAOBIM"</f>
        <v>ITAOBIM</v>
      </c>
      <c r="B2489" s="3" t="str">
        <f>"MG"</f>
        <v>MG</v>
      </c>
      <c r="C2489" s="3" t="str">
        <f t="shared" si="97"/>
        <v>BRASIL</v>
      </c>
      <c r="D2489" s="4" t="str">
        <f>"MG377"</f>
        <v>MG377</v>
      </c>
    </row>
    <row r="2490" spans="1:4" x14ac:dyDescent="0.3">
      <c r="A2490" s="2" t="str">
        <f>"ITAOCA"</f>
        <v>ITAOCA</v>
      </c>
      <c r="B2490" s="3" t="str">
        <f>"SP"</f>
        <v>SP</v>
      </c>
      <c r="C2490" s="3" t="str">
        <f t="shared" si="97"/>
        <v>BRASIL</v>
      </c>
      <c r="D2490" s="4" t="str">
        <f>"SP254"</f>
        <v>SP254</v>
      </c>
    </row>
    <row r="2491" spans="1:4" x14ac:dyDescent="0.3">
      <c r="A2491" s="2" t="str">
        <f>"ITAOCARA"</f>
        <v>ITAOCARA</v>
      </c>
      <c r="B2491" s="3" t="str">
        <f>"RJ"</f>
        <v>RJ</v>
      </c>
      <c r="C2491" s="3" t="str">
        <f t="shared" si="97"/>
        <v>BRASIL</v>
      </c>
      <c r="D2491" s="4" t="str">
        <f>"RJ032"</f>
        <v>RJ032</v>
      </c>
    </row>
    <row r="2492" spans="1:4" x14ac:dyDescent="0.3">
      <c r="A2492" s="2" t="str">
        <f>"ITAPACI"</f>
        <v>ITAPACI</v>
      </c>
      <c r="B2492" s="3" t="str">
        <f>"GO"</f>
        <v>GO</v>
      </c>
      <c r="C2492" s="3" t="str">
        <f t="shared" si="97"/>
        <v>BRASIL</v>
      </c>
      <c r="D2492" s="4" t="str">
        <f>"GO119"</f>
        <v>GO119</v>
      </c>
    </row>
    <row r="2493" spans="1:4" x14ac:dyDescent="0.3">
      <c r="A2493" s="2" t="str">
        <f>"ITAPAGE"</f>
        <v>ITAPAGE</v>
      </c>
      <c r="B2493" s="3" t="str">
        <f>"CE"</f>
        <v>CE</v>
      </c>
      <c r="C2493" s="3" t="str">
        <f t="shared" si="97"/>
        <v>BRASIL</v>
      </c>
      <c r="D2493" s="4" t="str">
        <f>"CE087"</f>
        <v>CE087</v>
      </c>
    </row>
    <row r="2494" spans="1:4" x14ac:dyDescent="0.3">
      <c r="A2494" s="2" t="str">
        <f>"ITAPAGIPE"</f>
        <v>ITAPAGIPE</v>
      </c>
      <c r="B2494" s="3" t="str">
        <f>"MG"</f>
        <v>MG</v>
      </c>
      <c r="C2494" s="3" t="str">
        <f t="shared" si="97"/>
        <v>BRASIL</v>
      </c>
      <c r="D2494" s="4" t="str">
        <f>"MG378"</f>
        <v>MG378</v>
      </c>
    </row>
    <row r="2495" spans="1:4" x14ac:dyDescent="0.3">
      <c r="A2495" s="2" t="str">
        <f>"ITAPARICA"</f>
        <v>ITAPARICA</v>
      </c>
      <c r="B2495" s="3" t="str">
        <f>"BA"</f>
        <v>BA</v>
      </c>
      <c r="C2495" s="3" t="str">
        <f t="shared" si="97"/>
        <v>BRASIL</v>
      </c>
      <c r="D2495" s="4" t="str">
        <f>"BA191"</f>
        <v>BA191</v>
      </c>
    </row>
    <row r="2496" spans="1:4" x14ac:dyDescent="0.3">
      <c r="A2496" s="2" t="str">
        <f>"ITAPE"</f>
        <v>ITAPE</v>
      </c>
      <c r="B2496" s="3" t="str">
        <f>"BA"</f>
        <v>BA</v>
      </c>
      <c r="C2496" s="3" t="str">
        <f t="shared" si="97"/>
        <v>BRASIL</v>
      </c>
      <c r="D2496" s="4" t="str">
        <f>"BA192"</f>
        <v>BA192</v>
      </c>
    </row>
    <row r="2497" spans="1:4" x14ac:dyDescent="0.3">
      <c r="A2497" s="2" t="str">
        <f>"ITAPEBI"</f>
        <v>ITAPEBI</v>
      </c>
      <c r="B2497" s="3" t="str">
        <f>"BA"</f>
        <v>BA</v>
      </c>
      <c r="C2497" s="3" t="str">
        <f t="shared" si="97"/>
        <v>BRASIL</v>
      </c>
      <c r="D2497" s="4" t="str">
        <f>"BA193"</f>
        <v>BA193</v>
      </c>
    </row>
    <row r="2498" spans="1:4" x14ac:dyDescent="0.3">
      <c r="A2498" s="2" t="str">
        <f>"ITAPECERICA"</f>
        <v>ITAPECERICA</v>
      </c>
      <c r="B2498" s="3" t="str">
        <f>"MG"</f>
        <v>MG</v>
      </c>
      <c r="C2498" s="3" t="str">
        <f t="shared" si="97"/>
        <v>BRASIL</v>
      </c>
      <c r="D2498" s="4" t="str">
        <f>"MG379"</f>
        <v>MG379</v>
      </c>
    </row>
    <row r="2499" spans="1:4" x14ac:dyDescent="0.3">
      <c r="A2499" s="2" t="str">
        <f>"ITAPECERICA DA SERRA"</f>
        <v>ITAPECERICA DA SERRA</v>
      </c>
      <c r="B2499" s="3" t="str">
        <f>"SP"</f>
        <v>SP</v>
      </c>
      <c r="C2499" s="3" t="str">
        <f t="shared" si="97"/>
        <v>BRASIL</v>
      </c>
      <c r="D2499" s="4" t="str">
        <f>"SP255"</f>
        <v>SP255</v>
      </c>
    </row>
    <row r="2500" spans="1:4" x14ac:dyDescent="0.3">
      <c r="A2500" s="2" t="str">
        <f>"ITAPECURU MIRIM"</f>
        <v>ITAPECURU MIRIM</v>
      </c>
      <c r="B2500" s="3" t="str">
        <f>"MA"</f>
        <v>MA</v>
      </c>
      <c r="C2500" s="3" t="str">
        <f t="shared" si="97"/>
        <v>BRASIL</v>
      </c>
      <c r="D2500" s="4" t="str">
        <f>"MA092"</f>
        <v>MA092</v>
      </c>
    </row>
    <row r="2501" spans="1:4" x14ac:dyDescent="0.3">
      <c r="A2501" s="2" t="str">
        <f>"ITAPEJARA D'OESTE"</f>
        <v>ITAPEJARA D'OESTE</v>
      </c>
      <c r="B2501" s="3" t="str">
        <f>"PR"</f>
        <v>PR</v>
      </c>
      <c r="C2501" s="3" t="str">
        <f t="shared" ref="C2501:C2532" si="98">"BRASIL"</f>
        <v>BRASIL</v>
      </c>
      <c r="D2501" s="4" t="str">
        <f>"PR159"</f>
        <v>PR159</v>
      </c>
    </row>
    <row r="2502" spans="1:4" x14ac:dyDescent="0.3">
      <c r="A2502" s="2" t="str">
        <f>"ITAPEMA"</f>
        <v>ITAPEMA</v>
      </c>
      <c r="B2502" s="3" t="str">
        <f>"SC"</f>
        <v>SC</v>
      </c>
      <c r="C2502" s="3" t="str">
        <f t="shared" si="98"/>
        <v>BRASIL</v>
      </c>
      <c r="D2502" s="4" t="str">
        <f>"SC127"</f>
        <v>SC127</v>
      </c>
    </row>
    <row r="2503" spans="1:4" x14ac:dyDescent="0.3">
      <c r="A2503" s="2" t="str">
        <f>"ITAPEMIRIM"</f>
        <v>ITAPEMIRIM</v>
      </c>
      <c r="B2503" s="3" t="str">
        <f>"ES"</f>
        <v>ES</v>
      </c>
      <c r="C2503" s="3" t="str">
        <f t="shared" si="98"/>
        <v>BRASIL</v>
      </c>
      <c r="D2503" s="4" t="str">
        <f>"ES036"</f>
        <v>ES036</v>
      </c>
    </row>
    <row r="2504" spans="1:4" x14ac:dyDescent="0.3">
      <c r="A2504" s="2" t="str">
        <f>"ITAPERUCU"</f>
        <v>ITAPERUCU</v>
      </c>
      <c r="B2504" s="3" t="str">
        <f>"PR"</f>
        <v>PR</v>
      </c>
      <c r="C2504" s="3" t="str">
        <f t="shared" si="98"/>
        <v>BRASIL</v>
      </c>
      <c r="D2504" s="4" t="str">
        <f>"PR160"</f>
        <v>PR160</v>
      </c>
    </row>
    <row r="2505" spans="1:4" x14ac:dyDescent="0.3">
      <c r="A2505" s="2" t="str">
        <f>"ITAPERUNA"</f>
        <v>ITAPERUNA</v>
      </c>
      <c r="B2505" s="3" t="str">
        <f>"RJ"</f>
        <v>RJ</v>
      </c>
      <c r="C2505" s="3" t="str">
        <f t="shared" si="98"/>
        <v>BRASIL</v>
      </c>
      <c r="D2505" s="4" t="str">
        <f>"RJ033"</f>
        <v>RJ033</v>
      </c>
    </row>
    <row r="2506" spans="1:4" x14ac:dyDescent="0.3">
      <c r="A2506" s="2" t="str">
        <f>"ITAPETIM"</f>
        <v>ITAPETIM</v>
      </c>
      <c r="B2506" s="3" t="str">
        <f>"PE"</f>
        <v>PE</v>
      </c>
      <c r="C2506" s="3" t="str">
        <f t="shared" si="98"/>
        <v>BRASIL</v>
      </c>
      <c r="D2506" s="4" t="str">
        <f>"PE085"</f>
        <v>PE085</v>
      </c>
    </row>
    <row r="2507" spans="1:4" x14ac:dyDescent="0.3">
      <c r="A2507" s="2" t="str">
        <f>"ITAPETINGA"</f>
        <v>ITAPETINGA</v>
      </c>
      <c r="B2507" s="3" t="str">
        <f>"BA"</f>
        <v>BA</v>
      </c>
      <c r="C2507" s="3" t="str">
        <f t="shared" si="98"/>
        <v>BRASIL</v>
      </c>
      <c r="D2507" s="4" t="str">
        <f>"BA194"</f>
        <v>BA194</v>
      </c>
    </row>
    <row r="2508" spans="1:4" x14ac:dyDescent="0.3">
      <c r="A2508" s="2" t="str">
        <f>"ITAPETININGA"</f>
        <v>ITAPETININGA</v>
      </c>
      <c r="B2508" s="3" t="str">
        <f>"SP"</f>
        <v>SP</v>
      </c>
      <c r="C2508" s="3" t="str">
        <f t="shared" si="98"/>
        <v>BRASIL</v>
      </c>
      <c r="D2508" s="4" t="str">
        <f>"SP256"</f>
        <v>SP256</v>
      </c>
    </row>
    <row r="2509" spans="1:4" x14ac:dyDescent="0.3">
      <c r="A2509" s="2" t="str">
        <f>"ITAPEVA"</f>
        <v>ITAPEVA</v>
      </c>
      <c r="B2509" s="3" t="str">
        <f>"MG"</f>
        <v>MG</v>
      </c>
      <c r="C2509" s="3" t="str">
        <f t="shared" si="98"/>
        <v>BRASIL</v>
      </c>
      <c r="D2509" s="4" t="str">
        <f>"MG380"</f>
        <v>MG380</v>
      </c>
    </row>
    <row r="2510" spans="1:4" x14ac:dyDescent="0.3">
      <c r="A2510" s="2" t="str">
        <f>"ITAPEVA"</f>
        <v>ITAPEVA</v>
      </c>
      <c r="B2510" s="3" t="str">
        <f>"SP"</f>
        <v>SP</v>
      </c>
      <c r="C2510" s="3" t="str">
        <f t="shared" si="98"/>
        <v>BRASIL</v>
      </c>
      <c r="D2510" s="4" t="str">
        <f>"SP257"</f>
        <v>SP257</v>
      </c>
    </row>
    <row r="2511" spans="1:4" x14ac:dyDescent="0.3">
      <c r="A2511" s="2" t="str">
        <f>"ITAPEVI"</f>
        <v>ITAPEVI</v>
      </c>
      <c r="B2511" s="3" t="str">
        <f>"SP"</f>
        <v>SP</v>
      </c>
      <c r="C2511" s="3" t="str">
        <f t="shared" si="98"/>
        <v>BRASIL</v>
      </c>
      <c r="D2511" s="4" t="str">
        <f>"SP258"</f>
        <v>SP258</v>
      </c>
    </row>
    <row r="2512" spans="1:4" x14ac:dyDescent="0.3">
      <c r="A2512" s="2" t="str">
        <f>"ITAPICURU"</f>
        <v>ITAPICURU</v>
      </c>
      <c r="B2512" s="3" t="str">
        <f>"BA"</f>
        <v>BA</v>
      </c>
      <c r="C2512" s="3" t="str">
        <f t="shared" si="98"/>
        <v>BRASIL</v>
      </c>
      <c r="D2512" s="4" t="str">
        <f>"BA195"</f>
        <v>BA195</v>
      </c>
    </row>
    <row r="2513" spans="1:4" x14ac:dyDescent="0.3">
      <c r="A2513" s="2" t="str">
        <f>"ITAPIPOCA"</f>
        <v>ITAPIPOCA</v>
      </c>
      <c r="B2513" s="3" t="str">
        <f>"CE"</f>
        <v>CE</v>
      </c>
      <c r="C2513" s="3" t="str">
        <f t="shared" si="98"/>
        <v>BRASIL</v>
      </c>
      <c r="D2513" s="4" t="str">
        <f>"CE088"</f>
        <v>CE088</v>
      </c>
    </row>
    <row r="2514" spans="1:4" x14ac:dyDescent="0.3">
      <c r="A2514" s="2" t="str">
        <f>"ITAPIRA"</f>
        <v>ITAPIRA</v>
      </c>
      <c r="B2514" s="3" t="str">
        <f>"SP"</f>
        <v>SP</v>
      </c>
      <c r="C2514" s="3" t="str">
        <f t="shared" si="98"/>
        <v>BRASIL</v>
      </c>
      <c r="D2514" s="4" t="str">
        <f>"SP259"</f>
        <v>SP259</v>
      </c>
    </row>
    <row r="2515" spans="1:4" x14ac:dyDescent="0.3">
      <c r="A2515" s="2" t="str">
        <f>"ITAPIRANGA"</f>
        <v>ITAPIRANGA</v>
      </c>
      <c r="B2515" s="3" t="str">
        <f>"AM"</f>
        <v>AM</v>
      </c>
      <c r="C2515" s="3" t="str">
        <f t="shared" si="98"/>
        <v>BRASIL</v>
      </c>
      <c r="D2515" s="4" t="str">
        <f>"AM031"</f>
        <v>AM031</v>
      </c>
    </row>
    <row r="2516" spans="1:4" x14ac:dyDescent="0.3">
      <c r="A2516" s="2" t="str">
        <f>"ITAPIRANGA"</f>
        <v>ITAPIRANGA</v>
      </c>
      <c r="B2516" s="3" t="str">
        <f>"SC"</f>
        <v>SC</v>
      </c>
      <c r="C2516" s="3" t="str">
        <f t="shared" si="98"/>
        <v>BRASIL</v>
      </c>
      <c r="D2516" s="4" t="str">
        <f>"SC128"</f>
        <v>SC128</v>
      </c>
    </row>
    <row r="2517" spans="1:4" x14ac:dyDescent="0.3">
      <c r="A2517" s="2" t="str">
        <f>"ITAPIRAPUA"</f>
        <v>ITAPIRAPUA</v>
      </c>
      <c r="B2517" s="3" t="str">
        <f>"GO"</f>
        <v>GO</v>
      </c>
      <c r="C2517" s="3" t="str">
        <f t="shared" si="98"/>
        <v>BRASIL</v>
      </c>
      <c r="D2517" s="4" t="str">
        <f>"GO120"</f>
        <v>GO120</v>
      </c>
    </row>
    <row r="2518" spans="1:4" x14ac:dyDescent="0.3">
      <c r="A2518" s="2" t="str">
        <f>"ITAPIRAPUA PAULISTA"</f>
        <v>ITAPIRAPUA PAULISTA</v>
      </c>
      <c r="B2518" s="3" t="str">
        <f>"SP"</f>
        <v>SP</v>
      </c>
      <c r="C2518" s="3" t="str">
        <f t="shared" si="98"/>
        <v>BRASIL</v>
      </c>
      <c r="D2518" s="4" t="str">
        <f>"SP260"</f>
        <v>SP260</v>
      </c>
    </row>
    <row r="2519" spans="1:4" x14ac:dyDescent="0.3">
      <c r="A2519" s="2" t="str">
        <f>"ITAPIRATINS"</f>
        <v>ITAPIRATINS</v>
      </c>
      <c r="B2519" s="3" t="str">
        <f>"TO"</f>
        <v>TO</v>
      </c>
      <c r="C2519" s="3" t="str">
        <f t="shared" si="98"/>
        <v>BRASIL</v>
      </c>
      <c r="D2519" s="4" t="str">
        <f>"TO062"</f>
        <v>TO062</v>
      </c>
    </row>
    <row r="2520" spans="1:4" x14ac:dyDescent="0.3">
      <c r="A2520" s="2" t="str">
        <f>"ITAPISSUMA"</f>
        <v>ITAPISSUMA</v>
      </c>
      <c r="B2520" s="3" t="str">
        <f>"PE"</f>
        <v>PE</v>
      </c>
      <c r="C2520" s="3" t="str">
        <f t="shared" si="98"/>
        <v>BRASIL</v>
      </c>
      <c r="D2520" s="4" t="str">
        <f>"PE086"</f>
        <v>PE086</v>
      </c>
    </row>
    <row r="2521" spans="1:4" x14ac:dyDescent="0.3">
      <c r="A2521" s="2" t="str">
        <f>"ITAPITANGA"</f>
        <v>ITAPITANGA</v>
      </c>
      <c r="B2521" s="3" t="str">
        <f>"BA"</f>
        <v>BA</v>
      </c>
      <c r="C2521" s="3" t="str">
        <f t="shared" si="98"/>
        <v>BRASIL</v>
      </c>
      <c r="D2521" s="4" t="str">
        <f>"BA196"</f>
        <v>BA196</v>
      </c>
    </row>
    <row r="2522" spans="1:4" x14ac:dyDescent="0.3">
      <c r="A2522" s="2" t="str">
        <f>"ITAPIUNA"</f>
        <v>ITAPIUNA</v>
      </c>
      <c r="B2522" s="3" t="str">
        <f>"CE"</f>
        <v>CE</v>
      </c>
      <c r="C2522" s="3" t="str">
        <f t="shared" si="98"/>
        <v>BRASIL</v>
      </c>
      <c r="D2522" s="4" t="str">
        <f>"CE089"</f>
        <v>CE089</v>
      </c>
    </row>
    <row r="2523" spans="1:4" x14ac:dyDescent="0.3">
      <c r="A2523" s="2" t="str">
        <f>"ITAPOA"</f>
        <v>ITAPOA</v>
      </c>
      <c r="B2523" s="3" t="str">
        <f>"SC"</f>
        <v>SC</v>
      </c>
      <c r="C2523" s="3" t="str">
        <f t="shared" si="98"/>
        <v>BRASIL</v>
      </c>
      <c r="D2523" s="4" t="str">
        <f>"SC129"</f>
        <v>SC129</v>
      </c>
    </row>
    <row r="2524" spans="1:4" x14ac:dyDescent="0.3">
      <c r="A2524" s="2" t="str">
        <f>"ITAPOLIS"</f>
        <v>ITAPOLIS</v>
      </c>
      <c r="B2524" s="3" t="str">
        <f>"SP"</f>
        <v>SP</v>
      </c>
      <c r="C2524" s="3" t="str">
        <f t="shared" si="98"/>
        <v>BRASIL</v>
      </c>
      <c r="D2524" s="4" t="str">
        <f>"SP261"</f>
        <v>SP261</v>
      </c>
    </row>
    <row r="2525" spans="1:4" x14ac:dyDescent="0.3">
      <c r="A2525" s="2" t="str">
        <f>"ITAPORA"</f>
        <v>ITAPORA</v>
      </c>
      <c r="B2525" s="3" t="str">
        <f>"MS"</f>
        <v>MS</v>
      </c>
      <c r="C2525" s="3" t="str">
        <f t="shared" si="98"/>
        <v>BRASIL</v>
      </c>
      <c r="D2525" s="4" t="str">
        <f>"MS040"</f>
        <v>MS040</v>
      </c>
    </row>
    <row r="2526" spans="1:4" x14ac:dyDescent="0.3">
      <c r="A2526" s="2" t="str">
        <f>"ITAPORA DO TOCANTINS"</f>
        <v>ITAPORA DO TOCANTINS</v>
      </c>
      <c r="B2526" s="3" t="str">
        <f>"TO"</f>
        <v>TO</v>
      </c>
      <c r="C2526" s="3" t="str">
        <f t="shared" si="98"/>
        <v>BRASIL</v>
      </c>
      <c r="D2526" s="4" t="str">
        <f>"TO063"</f>
        <v>TO063</v>
      </c>
    </row>
    <row r="2527" spans="1:4" x14ac:dyDescent="0.3">
      <c r="A2527" s="2" t="str">
        <f>"ITAPORANGA"</f>
        <v>ITAPORANGA</v>
      </c>
      <c r="B2527" s="3" t="str">
        <f>"PB"</f>
        <v>PB</v>
      </c>
      <c r="C2527" s="3" t="str">
        <f t="shared" si="98"/>
        <v>BRASIL</v>
      </c>
      <c r="D2527" s="4" t="str">
        <f>"PB091"</f>
        <v>PB091</v>
      </c>
    </row>
    <row r="2528" spans="1:4" x14ac:dyDescent="0.3">
      <c r="A2528" s="2" t="str">
        <f>"ITAPORANGA"</f>
        <v>ITAPORANGA</v>
      </c>
      <c r="B2528" s="3" t="str">
        <f>"SP"</f>
        <v>SP</v>
      </c>
      <c r="C2528" s="3" t="str">
        <f t="shared" si="98"/>
        <v>BRASIL</v>
      </c>
      <c r="D2528" s="4" t="str">
        <f>"SP262"</f>
        <v>SP262</v>
      </c>
    </row>
    <row r="2529" spans="1:4" x14ac:dyDescent="0.3">
      <c r="A2529" s="2" t="str">
        <f>"ITAPORANGA D'AJUDA"</f>
        <v>ITAPORANGA D'AJUDA</v>
      </c>
      <c r="B2529" s="3" t="str">
        <f>"SE"</f>
        <v>SE</v>
      </c>
      <c r="C2529" s="3" t="str">
        <f t="shared" si="98"/>
        <v>BRASIL</v>
      </c>
      <c r="D2529" s="4" t="str">
        <f>"SE030"</f>
        <v>SE030</v>
      </c>
    </row>
    <row r="2530" spans="1:4" x14ac:dyDescent="0.3">
      <c r="A2530" s="2" t="str">
        <f>"ITAPOROROCA"</f>
        <v>ITAPOROROCA</v>
      </c>
      <c r="B2530" s="3" t="str">
        <f>"PB"</f>
        <v>PB</v>
      </c>
      <c r="C2530" s="3" t="str">
        <f t="shared" si="98"/>
        <v>BRASIL</v>
      </c>
      <c r="D2530" s="4" t="str">
        <f>"PB092"</f>
        <v>PB092</v>
      </c>
    </row>
    <row r="2531" spans="1:4" x14ac:dyDescent="0.3">
      <c r="A2531" s="2" t="str">
        <f>"ITAPUA DO OESTE"</f>
        <v>ITAPUA DO OESTE</v>
      </c>
      <c r="B2531" s="3" t="str">
        <f>"RO"</f>
        <v>RO</v>
      </c>
      <c r="C2531" s="3" t="str">
        <f t="shared" si="98"/>
        <v>BRASIL</v>
      </c>
      <c r="D2531" s="4" t="str">
        <f>"RO037"</f>
        <v>RO037</v>
      </c>
    </row>
    <row r="2532" spans="1:4" x14ac:dyDescent="0.3">
      <c r="A2532" s="2" t="str">
        <f>"ITAPUCA"</f>
        <v>ITAPUCA</v>
      </c>
      <c r="B2532" s="3" t="str">
        <f>"RS"</f>
        <v>RS</v>
      </c>
      <c r="C2532" s="3" t="str">
        <f t="shared" si="98"/>
        <v>BRASIL</v>
      </c>
      <c r="D2532" s="4" t="str">
        <f>"RS213"</f>
        <v>RS213</v>
      </c>
    </row>
    <row r="2533" spans="1:4" x14ac:dyDescent="0.3">
      <c r="A2533" s="2" t="str">
        <f>"ITAPUI"</f>
        <v>ITAPUI</v>
      </c>
      <c r="B2533" s="3" t="str">
        <f>"SP"</f>
        <v>SP</v>
      </c>
      <c r="C2533" s="3" t="str">
        <f t="shared" ref="C2533:C2564" si="99">"BRASIL"</f>
        <v>BRASIL</v>
      </c>
      <c r="D2533" s="4" t="str">
        <f>"SP263"</f>
        <v>SP263</v>
      </c>
    </row>
    <row r="2534" spans="1:4" x14ac:dyDescent="0.3">
      <c r="A2534" s="2" t="str">
        <f>"ITAPURA"</f>
        <v>ITAPURA</v>
      </c>
      <c r="B2534" s="3" t="str">
        <f>"SP"</f>
        <v>SP</v>
      </c>
      <c r="C2534" s="3" t="str">
        <f t="shared" si="99"/>
        <v>BRASIL</v>
      </c>
      <c r="D2534" s="4" t="str">
        <f>"SP264"</f>
        <v>SP264</v>
      </c>
    </row>
    <row r="2535" spans="1:4" x14ac:dyDescent="0.3">
      <c r="A2535" s="2" t="str">
        <f>"ITAPURANGA"</f>
        <v>ITAPURANGA</v>
      </c>
      <c r="B2535" s="3" t="str">
        <f>"GO"</f>
        <v>GO</v>
      </c>
      <c r="C2535" s="3" t="str">
        <f t="shared" si="99"/>
        <v>BRASIL</v>
      </c>
      <c r="D2535" s="4" t="str">
        <f>"GO121"</f>
        <v>GO121</v>
      </c>
    </row>
    <row r="2536" spans="1:4" x14ac:dyDescent="0.3">
      <c r="A2536" s="2" t="str">
        <f>"ITAQUAQUECETUBA"</f>
        <v>ITAQUAQUECETUBA</v>
      </c>
      <c r="B2536" s="3" t="str">
        <f>"SP"</f>
        <v>SP</v>
      </c>
      <c r="C2536" s="3" t="str">
        <f t="shared" si="99"/>
        <v>BRASIL</v>
      </c>
      <c r="D2536" s="4" t="str">
        <f>"SP265"</f>
        <v>SP265</v>
      </c>
    </row>
    <row r="2537" spans="1:4" x14ac:dyDescent="0.3">
      <c r="A2537" s="2" t="str">
        <f>"ITAQUARA"</f>
        <v>ITAQUARA</v>
      </c>
      <c r="B2537" s="3" t="str">
        <f>"BA"</f>
        <v>BA</v>
      </c>
      <c r="C2537" s="3" t="str">
        <f t="shared" si="99"/>
        <v>BRASIL</v>
      </c>
      <c r="D2537" s="4" t="str">
        <f>"BA197"</f>
        <v>BA197</v>
      </c>
    </row>
    <row r="2538" spans="1:4" x14ac:dyDescent="0.3">
      <c r="A2538" s="2" t="str">
        <f>"ITAQUI"</f>
        <v>ITAQUI</v>
      </c>
      <c r="B2538" s="3" t="str">
        <f>"RS"</f>
        <v>RS</v>
      </c>
      <c r="C2538" s="3" t="str">
        <f t="shared" si="99"/>
        <v>BRASIL</v>
      </c>
      <c r="D2538" s="4" t="str">
        <f>"RS214"</f>
        <v>RS214</v>
      </c>
    </row>
    <row r="2539" spans="1:4" x14ac:dyDescent="0.3">
      <c r="A2539" s="2" t="str">
        <f>"ITAQUIRAI"</f>
        <v>ITAQUIRAI</v>
      </c>
      <c r="B2539" s="3" t="str">
        <f>"MS"</f>
        <v>MS</v>
      </c>
      <c r="C2539" s="3" t="str">
        <f t="shared" si="99"/>
        <v>BRASIL</v>
      </c>
      <c r="D2539" s="4" t="str">
        <f>"MS041"</f>
        <v>MS041</v>
      </c>
    </row>
    <row r="2540" spans="1:4" x14ac:dyDescent="0.3">
      <c r="A2540" s="2" t="str">
        <f>"ITAQUITINGA"</f>
        <v>ITAQUITINGA</v>
      </c>
      <c r="B2540" s="3" t="str">
        <f>"PE"</f>
        <v>PE</v>
      </c>
      <c r="C2540" s="3" t="str">
        <f t="shared" si="99"/>
        <v>BRASIL</v>
      </c>
      <c r="D2540" s="4" t="str">
        <f>"PE087"</f>
        <v>PE087</v>
      </c>
    </row>
    <row r="2541" spans="1:4" x14ac:dyDescent="0.3">
      <c r="A2541" s="2" t="str">
        <f>"ITARANA"</f>
        <v>ITARANA</v>
      </c>
      <c r="B2541" s="3" t="str">
        <f>"ES"</f>
        <v>ES</v>
      </c>
      <c r="C2541" s="3" t="str">
        <f t="shared" si="99"/>
        <v>BRASIL</v>
      </c>
      <c r="D2541" s="4" t="str">
        <f>"ES037"</f>
        <v>ES037</v>
      </c>
    </row>
    <row r="2542" spans="1:4" x14ac:dyDescent="0.3">
      <c r="A2542" s="2" t="str">
        <f>"ITARANTIM"</f>
        <v>ITARANTIM</v>
      </c>
      <c r="B2542" s="3" t="str">
        <f>"BA"</f>
        <v>BA</v>
      </c>
      <c r="C2542" s="3" t="str">
        <f t="shared" si="99"/>
        <v>BRASIL</v>
      </c>
      <c r="D2542" s="4" t="str">
        <f>"BA198"</f>
        <v>BA198</v>
      </c>
    </row>
    <row r="2543" spans="1:4" x14ac:dyDescent="0.3">
      <c r="A2543" s="2" t="str">
        <f>"ITARARE"</f>
        <v>ITARARE</v>
      </c>
      <c r="B2543" s="3" t="str">
        <f>"SP"</f>
        <v>SP</v>
      </c>
      <c r="C2543" s="3" t="str">
        <f t="shared" si="99"/>
        <v>BRASIL</v>
      </c>
      <c r="D2543" s="4" t="str">
        <f>"SP266"</f>
        <v>SP266</v>
      </c>
    </row>
    <row r="2544" spans="1:4" x14ac:dyDescent="0.3">
      <c r="A2544" s="2" t="str">
        <f>"ITAREMA"</f>
        <v>ITAREMA</v>
      </c>
      <c r="B2544" s="3" t="str">
        <f>"CE"</f>
        <v>CE</v>
      </c>
      <c r="C2544" s="3" t="str">
        <f t="shared" si="99"/>
        <v>BRASIL</v>
      </c>
      <c r="D2544" s="4" t="str">
        <f>"CE090"</f>
        <v>CE090</v>
      </c>
    </row>
    <row r="2545" spans="1:4" x14ac:dyDescent="0.3">
      <c r="A2545" s="2" t="str">
        <f>"ITARIRI"</f>
        <v>ITARIRI</v>
      </c>
      <c r="B2545" s="3" t="str">
        <f>"SP"</f>
        <v>SP</v>
      </c>
      <c r="C2545" s="3" t="str">
        <f t="shared" si="99"/>
        <v>BRASIL</v>
      </c>
      <c r="D2545" s="4" t="str">
        <f>"SP267"</f>
        <v>SP267</v>
      </c>
    </row>
    <row r="2546" spans="1:4" x14ac:dyDescent="0.3">
      <c r="A2546" s="2" t="str">
        <f>"ITARUMA"</f>
        <v>ITARUMA</v>
      </c>
      <c r="B2546" s="3" t="str">
        <f>"GO"</f>
        <v>GO</v>
      </c>
      <c r="C2546" s="3" t="str">
        <f t="shared" si="99"/>
        <v>BRASIL</v>
      </c>
      <c r="D2546" s="4" t="str">
        <f>"GO122"</f>
        <v>GO122</v>
      </c>
    </row>
    <row r="2547" spans="1:4" x14ac:dyDescent="0.3">
      <c r="A2547" s="2" t="str">
        <f>"ITATI"</f>
        <v>ITATI</v>
      </c>
      <c r="B2547" s="3" t="str">
        <f>"RS"</f>
        <v>RS</v>
      </c>
      <c r="C2547" s="3" t="str">
        <f t="shared" si="99"/>
        <v>BRASIL</v>
      </c>
      <c r="D2547" s="4" t="str">
        <f>"RS215"</f>
        <v>RS215</v>
      </c>
    </row>
    <row r="2548" spans="1:4" x14ac:dyDescent="0.3">
      <c r="A2548" s="2" t="str">
        <f>"ITATIAIA"</f>
        <v>ITATIAIA</v>
      </c>
      <c r="B2548" s="3" t="str">
        <f>"RJ"</f>
        <v>RJ</v>
      </c>
      <c r="C2548" s="3" t="str">
        <f t="shared" si="99"/>
        <v>BRASIL</v>
      </c>
      <c r="D2548" s="4" t="str">
        <f>"RJ034"</f>
        <v>RJ034</v>
      </c>
    </row>
    <row r="2549" spans="1:4" x14ac:dyDescent="0.3">
      <c r="A2549" s="2" t="str">
        <f>"ITATIAIUCU"</f>
        <v>ITATIAIUCU</v>
      </c>
      <c r="B2549" s="3" t="str">
        <f>"MG"</f>
        <v>MG</v>
      </c>
      <c r="C2549" s="3" t="str">
        <f t="shared" si="99"/>
        <v>BRASIL</v>
      </c>
      <c r="D2549" s="4" t="str">
        <f>"MG381"</f>
        <v>MG381</v>
      </c>
    </row>
    <row r="2550" spans="1:4" x14ac:dyDescent="0.3">
      <c r="A2550" s="2" t="str">
        <f>"ITATIBA"</f>
        <v>ITATIBA</v>
      </c>
      <c r="B2550" s="3" t="str">
        <f>"SP"</f>
        <v>SP</v>
      </c>
      <c r="C2550" s="3" t="str">
        <f t="shared" si="99"/>
        <v>BRASIL</v>
      </c>
      <c r="D2550" s="4" t="str">
        <f>"SP268"</f>
        <v>SP268</v>
      </c>
    </row>
    <row r="2551" spans="1:4" x14ac:dyDescent="0.3">
      <c r="A2551" s="2" t="str">
        <f>"ITATIBA DO SUL"</f>
        <v>ITATIBA DO SUL</v>
      </c>
      <c r="B2551" s="3" t="str">
        <f>"RS"</f>
        <v>RS</v>
      </c>
      <c r="C2551" s="3" t="str">
        <f t="shared" si="99"/>
        <v>BRASIL</v>
      </c>
      <c r="D2551" s="4" t="str">
        <f>"RS216"</f>
        <v>RS216</v>
      </c>
    </row>
    <row r="2552" spans="1:4" x14ac:dyDescent="0.3">
      <c r="A2552" s="2" t="str">
        <f>"ITATIM"</f>
        <v>ITATIM</v>
      </c>
      <c r="B2552" s="3" t="str">
        <f>"BA"</f>
        <v>BA</v>
      </c>
      <c r="C2552" s="3" t="str">
        <f t="shared" si="99"/>
        <v>BRASIL</v>
      </c>
      <c r="D2552" s="4" t="str">
        <f>"BA199"</f>
        <v>BA199</v>
      </c>
    </row>
    <row r="2553" spans="1:4" x14ac:dyDescent="0.3">
      <c r="A2553" s="2" t="str">
        <f>"ITATINGA"</f>
        <v>ITATINGA</v>
      </c>
      <c r="B2553" s="3" t="str">
        <f>"SP"</f>
        <v>SP</v>
      </c>
      <c r="C2553" s="3" t="str">
        <f t="shared" si="99"/>
        <v>BRASIL</v>
      </c>
      <c r="D2553" s="4" t="str">
        <f>"SP269"</f>
        <v>SP269</v>
      </c>
    </row>
    <row r="2554" spans="1:4" x14ac:dyDescent="0.3">
      <c r="A2554" s="2" t="str">
        <f>"ITATIRA"</f>
        <v>ITATIRA</v>
      </c>
      <c r="B2554" s="3" t="str">
        <f>"CE"</f>
        <v>CE</v>
      </c>
      <c r="C2554" s="3" t="str">
        <f t="shared" si="99"/>
        <v>BRASIL</v>
      </c>
      <c r="D2554" s="4" t="str">
        <f>"CE091"</f>
        <v>CE091</v>
      </c>
    </row>
    <row r="2555" spans="1:4" x14ac:dyDescent="0.3">
      <c r="A2555" s="2" t="str">
        <f>"ITATUBA"</f>
        <v>ITATUBA</v>
      </c>
      <c r="B2555" s="3" t="str">
        <f>"PB"</f>
        <v>PB</v>
      </c>
      <c r="C2555" s="3" t="str">
        <f t="shared" si="99"/>
        <v>BRASIL</v>
      </c>
      <c r="D2555" s="4" t="str">
        <f>"PB093"</f>
        <v>PB093</v>
      </c>
    </row>
    <row r="2556" spans="1:4" x14ac:dyDescent="0.3">
      <c r="A2556" s="2" t="str">
        <f>"ITAU"</f>
        <v>ITAU</v>
      </c>
      <c r="B2556" s="3" t="str">
        <f>"RN"</f>
        <v>RN</v>
      </c>
      <c r="C2556" s="3" t="str">
        <f t="shared" si="99"/>
        <v>BRASIL</v>
      </c>
      <c r="D2556" s="4" t="str">
        <f>"RN055"</f>
        <v>RN055</v>
      </c>
    </row>
    <row r="2557" spans="1:4" x14ac:dyDescent="0.3">
      <c r="A2557" s="2" t="str">
        <f>"ITAU DE MINAS"</f>
        <v>ITAU DE MINAS</v>
      </c>
      <c r="B2557" s="3" t="str">
        <f>"MG"</f>
        <v>MG</v>
      </c>
      <c r="C2557" s="3" t="str">
        <f t="shared" si="99"/>
        <v>BRASIL</v>
      </c>
      <c r="D2557" s="4" t="str">
        <f>"MG382"</f>
        <v>MG382</v>
      </c>
    </row>
    <row r="2558" spans="1:4" x14ac:dyDescent="0.3">
      <c r="A2558" s="2" t="str">
        <f>"ITAUBA"</f>
        <v>ITAUBA</v>
      </c>
      <c r="B2558" s="3" t="str">
        <f>"MT"</f>
        <v>MT</v>
      </c>
      <c r="C2558" s="3" t="str">
        <f t="shared" si="99"/>
        <v>BRASIL</v>
      </c>
      <c r="D2558" s="4" t="str">
        <f>"MT053"</f>
        <v>MT053</v>
      </c>
    </row>
    <row r="2559" spans="1:4" x14ac:dyDescent="0.3">
      <c r="A2559" s="2" t="str">
        <f>"ITAUBAL"</f>
        <v>ITAUBAL</v>
      </c>
      <c r="B2559" s="3" t="str">
        <f>"AP"</f>
        <v>AP</v>
      </c>
      <c r="C2559" s="3" t="str">
        <f t="shared" si="99"/>
        <v>BRASIL</v>
      </c>
      <c r="D2559" s="4" t="str">
        <f>"AP007"</f>
        <v>AP007</v>
      </c>
    </row>
    <row r="2560" spans="1:4" x14ac:dyDescent="0.3">
      <c r="A2560" s="2" t="str">
        <f>"ITAUCU"</f>
        <v>ITAUCU</v>
      </c>
      <c r="B2560" s="3" t="str">
        <f>"GO"</f>
        <v>GO</v>
      </c>
      <c r="C2560" s="3" t="str">
        <f t="shared" si="99"/>
        <v>BRASIL</v>
      </c>
      <c r="D2560" s="4" t="str">
        <f>"GO123"</f>
        <v>GO123</v>
      </c>
    </row>
    <row r="2561" spans="1:4" x14ac:dyDescent="0.3">
      <c r="A2561" s="2" t="str">
        <f>"ITAUEIRA"</f>
        <v>ITAUEIRA</v>
      </c>
      <c r="B2561" s="3" t="str">
        <f>"PI"</f>
        <v>PI</v>
      </c>
      <c r="C2561" s="3" t="str">
        <f t="shared" si="99"/>
        <v>BRASIL</v>
      </c>
      <c r="D2561" s="4" t="str">
        <f>"PI099"</f>
        <v>PI099</v>
      </c>
    </row>
    <row r="2562" spans="1:4" x14ac:dyDescent="0.3">
      <c r="A2562" s="2" t="str">
        <f>"ITAUNA"</f>
        <v>ITAUNA</v>
      </c>
      <c r="B2562" s="3" t="str">
        <f>"MG"</f>
        <v>MG</v>
      </c>
      <c r="C2562" s="3" t="str">
        <f t="shared" si="99"/>
        <v>BRASIL</v>
      </c>
      <c r="D2562" s="4" t="str">
        <f>"MG383"</f>
        <v>MG383</v>
      </c>
    </row>
    <row r="2563" spans="1:4" x14ac:dyDescent="0.3">
      <c r="A2563" s="2" t="str">
        <f>"ITAUNA DO SUL"</f>
        <v>ITAUNA DO SUL</v>
      </c>
      <c r="B2563" s="3" t="str">
        <f>"PR"</f>
        <v>PR</v>
      </c>
      <c r="C2563" s="3" t="str">
        <f t="shared" si="99"/>
        <v>BRASIL</v>
      </c>
      <c r="D2563" s="4" t="str">
        <f>"PR161"</f>
        <v>PR161</v>
      </c>
    </row>
    <row r="2564" spans="1:4" x14ac:dyDescent="0.3">
      <c r="A2564" s="2" t="str">
        <f>"ITAVERAVA"</f>
        <v>ITAVERAVA</v>
      </c>
      <c r="B2564" s="3" t="str">
        <f>"MG"</f>
        <v>MG</v>
      </c>
      <c r="C2564" s="3" t="str">
        <f t="shared" si="99"/>
        <v>BRASIL</v>
      </c>
      <c r="D2564" s="4" t="str">
        <f>"MG384"</f>
        <v>MG384</v>
      </c>
    </row>
    <row r="2565" spans="1:4" x14ac:dyDescent="0.3">
      <c r="A2565" s="2" t="str">
        <f>"ITINGA"</f>
        <v>ITINGA</v>
      </c>
      <c r="B2565" s="3" t="str">
        <f>"MG"</f>
        <v>MG</v>
      </c>
      <c r="C2565" s="3" t="str">
        <f t="shared" ref="C2565:C2596" si="100">"BRASIL"</f>
        <v>BRASIL</v>
      </c>
      <c r="D2565" s="4" t="str">
        <f>"MG385"</f>
        <v>MG385</v>
      </c>
    </row>
    <row r="2566" spans="1:4" x14ac:dyDescent="0.3">
      <c r="A2566" s="2" t="str">
        <f>"ITINGA DO MARANHAO"</f>
        <v>ITINGA DO MARANHAO</v>
      </c>
      <c r="B2566" s="3" t="str">
        <f>"MA"</f>
        <v>MA</v>
      </c>
      <c r="C2566" s="3" t="str">
        <f t="shared" si="100"/>
        <v>BRASIL</v>
      </c>
      <c r="D2566" s="4" t="str">
        <f>"MA093"</f>
        <v>MA093</v>
      </c>
    </row>
    <row r="2567" spans="1:4" x14ac:dyDescent="0.3">
      <c r="A2567" s="2" t="str">
        <f>"ITIQUIRA"</f>
        <v>ITIQUIRA</v>
      </c>
      <c r="B2567" s="3" t="str">
        <f>"MT"</f>
        <v>MT</v>
      </c>
      <c r="C2567" s="3" t="str">
        <f t="shared" si="100"/>
        <v>BRASIL</v>
      </c>
      <c r="D2567" s="4" t="str">
        <f>"MT054"</f>
        <v>MT054</v>
      </c>
    </row>
    <row r="2568" spans="1:4" x14ac:dyDescent="0.3">
      <c r="A2568" s="2" t="str">
        <f>"ITIRAPINA"</f>
        <v>ITIRAPINA</v>
      </c>
      <c r="B2568" s="3" t="str">
        <f>"SP"</f>
        <v>SP</v>
      </c>
      <c r="C2568" s="3" t="str">
        <f t="shared" si="100"/>
        <v>BRASIL</v>
      </c>
      <c r="D2568" s="4" t="str">
        <f>"SP270"</f>
        <v>SP270</v>
      </c>
    </row>
    <row r="2569" spans="1:4" x14ac:dyDescent="0.3">
      <c r="A2569" s="2" t="str">
        <f>"ITIRAPUA"</f>
        <v>ITIRAPUA</v>
      </c>
      <c r="B2569" s="3" t="str">
        <f>"SP"</f>
        <v>SP</v>
      </c>
      <c r="C2569" s="3" t="str">
        <f t="shared" si="100"/>
        <v>BRASIL</v>
      </c>
      <c r="D2569" s="4" t="str">
        <f>"SP271"</f>
        <v>SP271</v>
      </c>
    </row>
    <row r="2570" spans="1:4" x14ac:dyDescent="0.3">
      <c r="A2570" s="2" t="str">
        <f>"ITIRUCU"</f>
        <v>ITIRUCU</v>
      </c>
      <c r="B2570" s="3" t="str">
        <f>"BA"</f>
        <v>BA</v>
      </c>
      <c r="C2570" s="3" t="str">
        <f t="shared" si="100"/>
        <v>BRASIL</v>
      </c>
      <c r="D2570" s="4" t="str">
        <f>"BA200"</f>
        <v>BA200</v>
      </c>
    </row>
    <row r="2571" spans="1:4" x14ac:dyDescent="0.3">
      <c r="A2571" s="2" t="str">
        <f>"ITIUBA"</f>
        <v>ITIUBA</v>
      </c>
      <c r="B2571" s="3" t="str">
        <f>"BA"</f>
        <v>BA</v>
      </c>
      <c r="C2571" s="3" t="str">
        <f t="shared" si="100"/>
        <v>BRASIL</v>
      </c>
      <c r="D2571" s="4" t="str">
        <f>"BA201"</f>
        <v>BA201</v>
      </c>
    </row>
    <row r="2572" spans="1:4" x14ac:dyDescent="0.3">
      <c r="A2572" s="2" t="str">
        <f>"ITOBI"</f>
        <v>ITOBI</v>
      </c>
      <c r="B2572" s="3" t="str">
        <f>"SP"</f>
        <v>SP</v>
      </c>
      <c r="C2572" s="3" t="str">
        <f t="shared" si="100"/>
        <v>BRASIL</v>
      </c>
      <c r="D2572" s="4" t="str">
        <f>"SP272"</f>
        <v>SP272</v>
      </c>
    </row>
    <row r="2573" spans="1:4" x14ac:dyDescent="0.3">
      <c r="A2573" s="2" t="str">
        <f>"ITORORO"</f>
        <v>ITORORO</v>
      </c>
      <c r="B2573" s="3" t="str">
        <f>"BA"</f>
        <v>BA</v>
      </c>
      <c r="C2573" s="3" t="str">
        <f t="shared" si="100"/>
        <v>BRASIL</v>
      </c>
      <c r="D2573" s="4" t="str">
        <f>"BA202"</f>
        <v>BA202</v>
      </c>
    </row>
    <row r="2574" spans="1:4" x14ac:dyDescent="0.3">
      <c r="A2574" s="2" t="str">
        <f>"ITU"</f>
        <v>ITU</v>
      </c>
      <c r="B2574" s="3" t="str">
        <f>"SP"</f>
        <v>SP</v>
      </c>
      <c r="C2574" s="3" t="str">
        <f t="shared" si="100"/>
        <v>BRASIL</v>
      </c>
      <c r="D2574" s="4" t="str">
        <f>"SP273"</f>
        <v>SP273</v>
      </c>
    </row>
    <row r="2575" spans="1:4" x14ac:dyDescent="0.3">
      <c r="A2575" s="2" t="str">
        <f>"ITUACU"</f>
        <v>ITUACU</v>
      </c>
      <c r="B2575" s="3" t="str">
        <f>"BA"</f>
        <v>BA</v>
      </c>
      <c r="C2575" s="3" t="str">
        <f t="shared" si="100"/>
        <v>BRASIL</v>
      </c>
      <c r="D2575" s="4" t="str">
        <f>"BA203"</f>
        <v>BA203</v>
      </c>
    </row>
    <row r="2576" spans="1:4" x14ac:dyDescent="0.3">
      <c r="A2576" s="2" t="str">
        <f>"ITUBERA"</f>
        <v>ITUBERA</v>
      </c>
      <c r="B2576" s="3" t="str">
        <f>"BA"</f>
        <v>BA</v>
      </c>
      <c r="C2576" s="3" t="str">
        <f t="shared" si="100"/>
        <v>BRASIL</v>
      </c>
      <c r="D2576" s="4" t="str">
        <f>"BA204"</f>
        <v>BA204</v>
      </c>
    </row>
    <row r="2577" spans="1:4" x14ac:dyDescent="0.3">
      <c r="A2577" s="2" t="str">
        <f>"ITUETA"</f>
        <v>ITUETA</v>
      </c>
      <c r="B2577" s="3" t="str">
        <f>"MG"</f>
        <v>MG</v>
      </c>
      <c r="C2577" s="3" t="str">
        <f t="shared" si="100"/>
        <v>BRASIL</v>
      </c>
      <c r="D2577" s="4" t="str">
        <f>"MG386"</f>
        <v>MG386</v>
      </c>
    </row>
    <row r="2578" spans="1:4" x14ac:dyDescent="0.3">
      <c r="A2578" s="2" t="str">
        <f>"ITUIUTABA"</f>
        <v>ITUIUTABA</v>
      </c>
      <c r="B2578" s="3" t="str">
        <f>"MG"</f>
        <v>MG</v>
      </c>
      <c r="C2578" s="3" t="str">
        <f t="shared" si="100"/>
        <v>BRASIL</v>
      </c>
      <c r="D2578" s="4" t="str">
        <f>"MG387"</f>
        <v>MG387</v>
      </c>
    </row>
    <row r="2579" spans="1:4" x14ac:dyDescent="0.3">
      <c r="A2579" s="2" t="str">
        <f>"ITUMBIARA"</f>
        <v>ITUMBIARA</v>
      </c>
      <c r="B2579" s="3" t="str">
        <f>"GO"</f>
        <v>GO</v>
      </c>
      <c r="C2579" s="3" t="str">
        <f t="shared" si="100"/>
        <v>BRASIL</v>
      </c>
      <c r="D2579" s="4" t="str">
        <f>"GO124"</f>
        <v>GO124</v>
      </c>
    </row>
    <row r="2580" spans="1:4" x14ac:dyDescent="0.3">
      <c r="A2580" s="2" t="str">
        <f>"ITUMIRIM"</f>
        <v>ITUMIRIM</v>
      </c>
      <c r="B2580" s="3" t="str">
        <f>"MG"</f>
        <v>MG</v>
      </c>
      <c r="C2580" s="3" t="str">
        <f t="shared" si="100"/>
        <v>BRASIL</v>
      </c>
      <c r="D2580" s="4" t="str">
        <f>"MG388"</f>
        <v>MG388</v>
      </c>
    </row>
    <row r="2581" spans="1:4" x14ac:dyDescent="0.3">
      <c r="A2581" s="2" t="str">
        <f>"ITUPEVA"</f>
        <v>ITUPEVA</v>
      </c>
      <c r="B2581" s="3" t="str">
        <f>"SP"</f>
        <v>SP</v>
      </c>
      <c r="C2581" s="3" t="str">
        <f t="shared" si="100"/>
        <v>BRASIL</v>
      </c>
      <c r="D2581" s="4" t="str">
        <f>"SP274"</f>
        <v>SP274</v>
      </c>
    </row>
    <row r="2582" spans="1:4" x14ac:dyDescent="0.3">
      <c r="A2582" s="2" t="str">
        <f>"ITUPIRANGA"</f>
        <v>ITUPIRANGA</v>
      </c>
      <c r="B2582" s="3" t="str">
        <f>"PA"</f>
        <v>PA</v>
      </c>
      <c r="C2582" s="3" t="str">
        <f t="shared" si="100"/>
        <v>BRASIL</v>
      </c>
      <c r="D2582" s="4" t="str">
        <f>"PA059"</f>
        <v>PA059</v>
      </c>
    </row>
    <row r="2583" spans="1:4" x14ac:dyDescent="0.3">
      <c r="A2583" s="2" t="str">
        <f>"ITUPORANGA"</f>
        <v>ITUPORANGA</v>
      </c>
      <c r="B2583" s="3" t="str">
        <f>"SC"</f>
        <v>SC</v>
      </c>
      <c r="C2583" s="3" t="str">
        <f t="shared" si="100"/>
        <v>BRASIL</v>
      </c>
      <c r="D2583" s="4" t="str">
        <f>"SC130"</f>
        <v>SC130</v>
      </c>
    </row>
    <row r="2584" spans="1:4" x14ac:dyDescent="0.3">
      <c r="A2584" s="2" t="str">
        <f>"ITURAMA"</f>
        <v>ITURAMA</v>
      </c>
      <c r="B2584" s="3" t="str">
        <f>"MG"</f>
        <v>MG</v>
      </c>
      <c r="C2584" s="3" t="str">
        <f t="shared" si="100"/>
        <v>BRASIL</v>
      </c>
      <c r="D2584" s="4" t="str">
        <f>"MG389"</f>
        <v>MG389</v>
      </c>
    </row>
    <row r="2585" spans="1:4" x14ac:dyDescent="0.3">
      <c r="A2585" s="2" t="str">
        <f>"ITUTINGA"</f>
        <v>ITUTINGA</v>
      </c>
      <c r="B2585" s="3" t="str">
        <f>"MG"</f>
        <v>MG</v>
      </c>
      <c r="C2585" s="3" t="str">
        <f t="shared" si="100"/>
        <v>BRASIL</v>
      </c>
      <c r="D2585" s="4" t="str">
        <f>"MG390"</f>
        <v>MG390</v>
      </c>
    </row>
    <row r="2586" spans="1:4" x14ac:dyDescent="0.3">
      <c r="A2586" s="2" t="str">
        <f>"ITUVERAVA"</f>
        <v>ITUVERAVA</v>
      </c>
      <c r="B2586" s="3" t="str">
        <f>"SP"</f>
        <v>SP</v>
      </c>
      <c r="C2586" s="3" t="str">
        <f t="shared" si="100"/>
        <v>BRASIL</v>
      </c>
      <c r="D2586" s="4" t="str">
        <f>"SP275"</f>
        <v>SP275</v>
      </c>
    </row>
    <row r="2587" spans="1:4" x14ac:dyDescent="0.3">
      <c r="A2587" s="2" t="str">
        <f>"IUIU"</f>
        <v>IUIU</v>
      </c>
      <c r="B2587" s="3" t="str">
        <f>"BA"</f>
        <v>BA</v>
      </c>
      <c r="C2587" s="3" t="str">
        <f t="shared" si="100"/>
        <v>BRASIL</v>
      </c>
      <c r="D2587" s="4" t="str">
        <f>"BA205"</f>
        <v>BA205</v>
      </c>
    </row>
    <row r="2588" spans="1:4" x14ac:dyDescent="0.3">
      <c r="A2588" s="2" t="str">
        <f>"IUNA"</f>
        <v>IUNA</v>
      </c>
      <c r="B2588" s="3" t="str">
        <f>"ES"</f>
        <v>ES</v>
      </c>
      <c r="C2588" s="3" t="str">
        <f t="shared" si="100"/>
        <v>BRASIL</v>
      </c>
      <c r="D2588" s="4" t="str">
        <f>"ES038"</f>
        <v>ES038</v>
      </c>
    </row>
    <row r="2589" spans="1:4" x14ac:dyDescent="0.3">
      <c r="A2589" s="2" t="str">
        <f>"IVAI"</f>
        <v>IVAI</v>
      </c>
      <c r="B2589" s="3" t="str">
        <f>"PR"</f>
        <v>PR</v>
      </c>
      <c r="C2589" s="3" t="str">
        <f t="shared" si="100"/>
        <v>BRASIL</v>
      </c>
      <c r="D2589" s="4" t="str">
        <f>"PR162"</f>
        <v>PR162</v>
      </c>
    </row>
    <row r="2590" spans="1:4" x14ac:dyDescent="0.3">
      <c r="A2590" s="2" t="str">
        <f>"IVAIPORA"</f>
        <v>IVAIPORA</v>
      </c>
      <c r="B2590" s="3" t="str">
        <f>"PR"</f>
        <v>PR</v>
      </c>
      <c r="C2590" s="3" t="str">
        <f t="shared" si="100"/>
        <v>BRASIL</v>
      </c>
      <c r="D2590" s="4" t="str">
        <f>"PR163"</f>
        <v>PR163</v>
      </c>
    </row>
    <row r="2591" spans="1:4" x14ac:dyDescent="0.3">
      <c r="A2591" s="2" t="str">
        <f>"IVATE"</f>
        <v>IVATE</v>
      </c>
      <c r="B2591" s="3" t="str">
        <f>"PR"</f>
        <v>PR</v>
      </c>
      <c r="C2591" s="3" t="str">
        <f t="shared" si="100"/>
        <v>BRASIL</v>
      </c>
      <c r="D2591" s="4" t="str">
        <f>"PR164"</f>
        <v>PR164</v>
      </c>
    </row>
    <row r="2592" spans="1:4" x14ac:dyDescent="0.3">
      <c r="A2592" s="2" t="str">
        <f>"IVATUBA"</f>
        <v>IVATUBA</v>
      </c>
      <c r="B2592" s="3" t="str">
        <f>"PR"</f>
        <v>PR</v>
      </c>
      <c r="C2592" s="3" t="str">
        <f t="shared" si="100"/>
        <v>BRASIL</v>
      </c>
      <c r="D2592" s="4" t="str">
        <f>"PR165"</f>
        <v>PR165</v>
      </c>
    </row>
    <row r="2593" spans="1:4" x14ac:dyDescent="0.3">
      <c r="A2593" s="2" t="str">
        <f>"IVINHEMA"</f>
        <v>IVINHEMA</v>
      </c>
      <c r="B2593" s="3" t="str">
        <f>"MS"</f>
        <v>MS</v>
      </c>
      <c r="C2593" s="3" t="str">
        <f t="shared" si="100"/>
        <v>BRASIL</v>
      </c>
      <c r="D2593" s="4" t="str">
        <f>"MS042"</f>
        <v>MS042</v>
      </c>
    </row>
    <row r="2594" spans="1:4" x14ac:dyDescent="0.3">
      <c r="A2594" s="2" t="str">
        <f>"IVOLANDIA"</f>
        <v>IVOLANDIA</v>
      </c>
      <c r="B2594" s="3" t="str">
        <f>"GO"</f>
        <v>GO</v>
      </c>
      <c r="C2594" s="3" t="str">
        <f t="shared" si="100"/>
        <v>BRASIL</v>
      </c>
      <c r="D2594" s="4" t="str">
        <f>"GO125"</f>
        <v>GO125</v>
      </c>
    </row>
    <row r="2595" spans="1:4" x14ac:dyDescent="0.3">
      <c r="A2595" s="2" t="str">
        <f>"IVORA"</f>
        <v>IVORA</v>
      </c>
      <c r="B2595" s="3" t="str">
        <f>"RS"</f>
        <v>RS</v>
      </c>
      <c r="C2595" s="3" t="str">
        <f t="shared" si="100"/>
        <v>BRASIL</v>
      </c>
      <c r="D2595" s="4" t="str">
        <f>"RS217"</f>
        <v>RS217</v>
      </c>
    </row>
    <row r="2596" spans="1:4" x14ac:dyDescent="0.3">
      <c r="A2596" s="2" t="str">
        <f>"IVOTI"</f>
        <v>IVOTI</v>
      </c>
      <c r="B2596" s="3" t="str">
        <f>"RS"</f>
        <v>RS</v>
      </c>
      <c r="C2596" s="3" t="str">
        <f t="shared" si="100"/>
        <v>BRASIL</v>
      </c>
      <c r="D2596" s="4" t="str">
        <f>"RS218"</f>
        <v>RS218</v>
      </c>
    </row>
    <row r="2597" spans="1:4" x14ac:dyDescent="0.3">
      <c r="A2597" s="2" t="str">
        <f>"JABOATAO DOS GUARARAPES"</f>
        <v>JABOATAO DOS GUARARAPES</v>
      </c>
      <c r="B2597" s="3" t="str">
        <f>"PE"</f>
        <v>PE</v>
      </c>
      <c r="C2597" s="3" t="str">
        <f t="shared" ref="C2597:C2628" si="101">"BRASIL"</f>
        <v>BRASIL</v>
      </c>
      <c r="D2597" s="4" t="str">
        <f>"PE088"</f>
        <v>PE088</v>
      </c>
    </row>
    <row r="2598" spans="1:4" x14ac:dyDescent="0.3">
      <c r="A2598" s="2" t="str">
        <f>"JABORA"</f>
        <v>JABORA</v>
      </c>
      <c r="B2598" s="3" t="str">
        <f>"SC"</f>
        <v>SC</v>
      </c>
      <c r="C2598" s="3" t="str">
        <f t="shared" si="101"/>
        <v>BRASIL</v>
      </c>
      <c r="D2598" s="4" t="str">
        <f>"SC131"</f>
        <v>SC131</v>
      </c>
    </row>
    <row r="2599" spans="1:4" x14ac:dyDescent="0.3">
      <c r="A2599" s="2" t="str">
        <f>"JABORANDI"</f>
        <v>JABORANDI</v>
      </c>
      <c r="B2599" s="3" t="str">
        <f>"BA"</f>
        <v>BA</v>
      </c>
      <c r="C2599" s="3" t="str">
        <f t="shared" si="101"/>
        <v>BRASIL</v>
      </c>
      <c r="D2599" s="4" t="str">
        <f>"BA206"</f>
        <v>BA206</v>
      </c>
    </row>
    <row r="2600" spans="1:4" x14ac:dyDescent="0.3">
      <c r="A2600" s="2" t="str">
        <f>"JABORANDI"</f>
        <v>JABORANDI</v>
      </c>
      <c r="B2600" s="3" t="str">
        <f>"SP"</f>
        <v>SP</v>
      </c>
      <c r="C2600" s="3" t="str">
        <f t="shared" si="101"/>
        <v>BRASIL</v>
      </c>
      <c r="D2600" s="4" t="str">
        <f>"SP276"</f>
        <v>SP276</v>
      </c>
    </row>
    <row r="2601" spans="1:4" x14ac:dyDescent="0.3">
      <c r="A2601" s="2" t="str">
        <f>"JABOTI"</f>
        <v>JABOTI</v>
      </c>
      <c r="B2601" s="3" t="str">
        <f>"PR"</f>
        <v>PR</v>
      </c>
      <c r="C2601" s="3" t="str">
        <f t="shared" si="101"/>
        <v>BRASIL</v>
      </c>
      <c r="D2601" s="4" t="str">
        <f>"PR166"</f>
        <v>PR166</v>
      </c>
    </row>
    <row r="2602" spans="1:4" x14ac:dyDescent="0.3">
      <c r="A2602" s="2" t="str">
        <f>"JABOTICABA"</f>
        <v>JABOTICABA</v>
      </c>
      <c r="B2602" s="3" t="str">
        <f>"RS"</f>
        <v>RS</v>
      </c>
      <c r="C2602" s="3" t="str">
        <f t="shared" si="101"/>
        <v>BRASIL</v>
      </c>
      <c r="D2602" s="4" t="str">
        <f>"RS219"</f>
        <v>RS219</v>
      </c>
    </row>
    <row r="2603" spans="1:4" x14ac:dyDescent="0.3">
      <c r="A2603" s="2" t="str">
        <f>"JABOTICABAL"</f>
        <v>JABOTICABAL</v>
      </c>
      <c r="B2603" s="3" t="str">
        <f>"SP"</f>
        <v>SP</v>
      </c>
      <c r="C2603" s="3" t="str">
        <f t="shared" si="101"/>
        <v>BRASIL</v>
      </c>
      <c r="D2603" s="4" t="str">
        <f>"SP277"</f>
        <v>SP277</v>
      </c>
    </row>
    <row r="2604" spans="1:4" x14ac:dyDescent="0.3">
      <c r="A2604" s="2" t="str">
        <f>"JABOTICATUBAS"</f>
        <v>JABOTICATUBAS</v>
      </c>
      <c r="B2604" s="3" t="str">
        <f>"MG"</f>
        <v>MG</v>
      </c>
      <c r="C2604" s="3" t="str">
        <f t="shared" si="101"/>
        <v>BRASIL</v>
      </c>
      <c r="D2604" s="4" t="str">
        <f>"MG391"</f>
        <v>MG391</v>
      </c>
    </row>
    <row r="2605" spans="1:4" x14ac:dyDescent="0.3">
      <c r="A2605" s="2" t="str">
        <f>"JACANA"</f>
        <v>JACANA</v>
      </c>
      <c r="B2605" s="3" t="str">
        <f>"RN"</f>
        <v>RN</v>
      </c>
      <c r="C2605" s="3" t="str">
        <f t="shared" si="101"/>
        <v>BRASIL</v>
      </c>
      <c r="D2605" s="4" t="str">
        <f>"RN056"</f>
        <v>RN056</v>
      </c>
    </row>
    <row r="2606" spans="1:4" x14ac:dyDescent="0.3">
      <c r="A2606" s="2" t="str">
        <f>"JACARACI"</f>
        <v>JACARACI</v>
      </c>
      <c r="B2606" s="3" t="str">
        <f>"BA"</f>
        <v>BA</v>
      </c>
      <c r="C2606" s="3" t="str">
        <f t="shared" si="101"/>
        <v>BRASIL</v>
      </c>
      <c r="D2606" s="4" t="str">
        <f>"BA207"</f>
        <v>BA207</v>
      </c>
    </row>
    <row r="2607" spans="1:4" x14ac:dyDescent="0.3">
      <c r="A2607" s="2" t="str">
        <f>"JACARAU"</f>
        <v>JACARAU</v>
      </c>
      <c r="B2607" s="3" t="str">
        <f>"PB"</f>
        <v>PB</v>
      </c>
      <c r="C2607" s="3" t="str">
        <f t="shared" si="101"/>
        <v>BRASIL</v>
      </c>
      <c r="D2607" s="4" t="str">
        <f>"PB094"</f>
        <v>PB094</v>
      </c>
    </row>
    <row r="2608" spans="1:4" x14ac:dyDescent="0.3">
      <c r="A2608" s="2" t="str">
        <f>"JACARE DOS HOMENS"</f>
        <v>JACARE DOS HOMENS</v>
      </c>
      <c r="B2608" s="3" t="str">
        <f>"AL"</f>
        <v>AL</v>
      </c>
      <c r="C2608" s="3" t="str">
        <f t="shared" si="101"/>
        <v>BRASIL</v>
      </c>
      <c r="D2608" s="4" t="str">
        <f>"AL037"</f>
        <v>AL037</v>
      </c>
    </row>
    <row r="2609" spans="1:4" x14ac:dyDescent="0.3">
      <c r="A2609" s="2" t="str">
        <f>"JACAREACANGA"</f>
        <v>JACAREACANGA</v>
      </c>
      <c r="B2609" s="3" t="str">
        <f>"PA"</f>
        <v>PA</v>
      </c>
      <c r="C2609" s="3" t="str">
        <f t="shared" si="101"/>
        <v>BRASIL</v>
      </c>
      <c r="D2609" s="4" t="str">
        <f>"PA060"</f>
        <v>PA060</v>
      </c>
    </row>
    <row r="2610" spans="1:4" x14ac:dyDescent="0.3">
      <c r="A2610" s="2" t="str">
        <f>"JACAREÍ"</f>
        <v>JACAREÍ</v>
      </c>
      <c r="B2610" s="3" t="str">
        <f>"SP"</f>
        <v>SP</v>
      </c>
      <c r="C2610" s="3" t="str">
        <f t="shared" si="101"/>
        <v>BRASIL</v>
      </c>
      <c r="D2610" s="4" t="str">
        <f>"JAC"</f>
        <v>JAC</v>
      </c>
    </row>
    <row r="2611" spans="1:4" x14ac:dyDescent="0.3">
      <c r="A2611" s="2" t="str">
        <f>"JACAREZINHO"</f>
        <v>JACAREZINHO</v>
      </c>
      <c r="B2611" s="3" t="str">
        <f>"PR"</f>
        <v>PR</v>
      </c>
      <c r="C2611" s="3" t="str">
        <f t="shared" si="101"/>
        <v>BRASIL</v>
      </c>
      <c r="D2611" s="4" t="str">
        <f>"PR167"</f>
        <v>PR167</v>
      </c>
    </row>
    <row r="2612" spans="1:4" x14ac:dyDescent="0.3">
      <c r="A2612" s="2" t="str">
        <f>"JACI"</f>
        <v>JACI</v>
      </c>
      <c r="B2612" s="3" t="str">
        <f>"SP"</f>
        <v>SP</v>
      </c>
      <c r="C2612" s="3" t="str">
        <f t="shared" si="101"/>
        <v>BRASIL</v>
      </c>
      <c r="D2612" s="4" t="str">
        <f>"SP279"</f>
        <v>SP279</v>
      </c>
    </row>
    <row r="2613" spans="1:4" x14ac:dyDescent="0.3">
      <c r="A2613" s="2" t="str">
        <f>"JACIARA"</f>
        <v>JACIARA</v>
      </c>
      <c r="B2613" s="3" t="str">
        <f>"MT"</f>
        <v>MT</v>
      </c>
      <c r="C2613" s="3" t="str">
        <f t="shared" si="101"/>
        <v>BRASIL</v>
      </c>
      <c r="D2613" s="4" t="str">
        <f>"MT055"</f>
        <v>MT055</v>
      </c>
    </row>
    <row r="2614" spans="1:4" x14ac:dyDescent="0.3">
      <c r="A2614" s="2" t="str">
        <f>"JACINTO"</f>
        <v>JACINTO</v>
      </c>
      <c r="B2614" s="3" t="str">
        <f>"MG"</f>
        <v>MG</v>
      </c>
      <c r="C2614" s="3" t="str">
        <f t="shared" si="101"/>
        <v>BRASIL</v>
      </c>
      <c r="D2614" s="4" t="str">
        <f>"MG392"</f>
        <v>MG392</v>
      </c>
    </row>
    <row r="2615" spans="1:4" x14ac:dyDescent="0.3">
      <c r="A2615" s="2" t="str">
        <f>"JACINTO MACHADO"</f>
        <v>JACINTO MACHADO</v>
      </c>
      <c r="B2615" s="3" t="str">
        <f>"SC"</f>
        <v>SC</v>
      </c>
      <c r="C2615" s="3" t="str">
        <f t="shared" si="101"/>
        <v>BRASIL</v>
      </c>
      <c r="D2615" s="4" t="str">
        <f>"SC132"</f>
        <v>SC132</v>
      </c>
    </row>
    <row r="2616" spans="1:4" x14ac:dyDescent="0.3">
      <c r="A2616" s="2" t="str">
        <f>"JACOBINA"</f>
        <v>JACOBINA</v>
      </c>
      <c r="B2616" s="3" t="str">
        <f>"BA"</f>
        <v>BA</v>
      </c>
      <c r="C2616" s="3" t="str">
        <f t="shared" si="101"/>
        <v>BRASIL</v>
      </c>
      <c r="D2616" s="4" t="str">
        <f>"BA208"</f>
        <v>BA208</v>
      </c>
    </row>
    <row r="2617" spans="1:4" x14ac:dyDescent="0.3">
      <c r="A2617" s="2" t="str">
        <f>"JACOBINA DO PIAUI"</f>
        <v>JACOBINA DO PIAUI</v>
      </c>
      <c r="B2617" s="3" t="str">
        <f>"PI"</f>
        <v>PI</v>
      </c>
      <c r="C2617" s="3" t="str">
        <f t="shared" si="101"/>
        <v>BRASIL</v>
      </c>
      <c r="D2617" s="4" t="str">
        <f>"PI100"</f>
        <v>PI100</v>
      </c>
    </row>
    <row r="2618" spans="1:4" x14ac:dyDescent="0.3">
      <c r="A2618" s="2" t="str">
        <f>"JACUI"</f>
        <v>JACUI</v>
      </c>
      <c r="B2618" s="3" t="str">
        <f>"MG"</f>
        <v>MG</v>
      </c>
      <c r="C2618" s="3" t="str">
        <f t="shared" si="101"/>
        <v>BRASIL</v>
      </c>
      <c r="D2618" s="4" t="str">
        <f>"MG393"</f>
        <v>MG393</v>
      </c>
    </row>
    <row r="2619" spans="1:4" x14ac:dyDescent="0.3">
      <c r="A2619" s="2" t="str">
        <f>"JACUIPE"</f>
        <v>JACUIPE</v>
      </c>
      <c r="B2619" s="3" t="str">
        <f>"AL"</f>
        <v>AL</v>
      </c>
      <c r="C2619" s="3" t="str">
        <f t="shared" si="101"/>
        <v>BRASIL</v>
      </c>
      <c r="D2619" s="4" t="str">
        <f>"AL038"</f>
        <v>AL038</v>
      </c>
    </row>
    <row r="2620" spans="1:4" x14ac:dyDescent="0.3">
      <c r="A2620" s="2" t="str">
        <f>"JACUIZINHO"</f>
        <v>JACUIZINHO</v>
      </c>
      <c r="B2620" s="3" t="str">
        <f>"RS"</f>
        <v>RS</v>
      </c>
      <c r="C2620" s="3" t="str">
        <f t="shared" si="101"/>
        <v>BRASIL</v>
      </c>
      <c r="D2620" s="4" t="str">
        <f>"RS220"</f>
        <v>RS220</v>
      </c>
    </row>
    <row r="2621" spans="1:4" x14ac:dyDescent="0.3">
      <c r="A2621" s="2" t="str">
        <f>"JACUNDA"</f>
        <v>JACUNDA</v>
      </c>
      <c r="B2621" s="3" t="str">
        <f>"PA"</f>
        <v>PA</v>
      </c>
      <c r="C2621" s="3" t="str">
        <f t="shared" si="101"/>
        <v>BRASIL</v>
      </c>
      <c r="D2621" s="4" t="str">
        <f>"PA061"</f>
        <v>PA061</v>
      </c>
    </row>
    <row r="2622" spans="1:4" x14ac:dyDescent="0.3">
      <c r="A2622" s="2" t="str">
        <f>"JACUPIRANGA"</f>
        <v>JACUPIRANGA</v>
      </c>
      <c r="B2622" s="3" t="str">
        <f>"SP"</f>
        <v>SP</v>
      </c>
      <c r="C2622" s="3" t="str">
        <f t="shared" si="101"/>
        <v>BRASIL</v>
      </c>
      <c r="D2622" s="4" t="str">
        <f>"SP280"</f>
        <v>SP280</v>
      </c>
    </row>
    <row r="2623" spans="1:4" x14ac:dyDescent="0.3">
      <c r="A2623" s="2" t="str">
        <f>"JACUTINGA"</f>
        <v>JACUTINGA</v>
      </c>
      <c r="B2623" s="3" t="str">
        <f>"MG"</f>
        <v>MG</v>
      </c>
      <c r="C2623" s="3" t="str">
        <f t="shared" si="101"/>
        <v>BRASIL</v>
      </c>
      <c r="D2623" s="4" t="str">
        <f>"MG394"</f>
        <v>MG394</v>
      </c>
    </row>
    <row r="2624" spans="1:4" x14ac:dyDescent="0.3">
      <c r="A2624" s="2" t="str">
        <f>"JACUTINGA"</f>
        <v>JACUTINGA</v>
      </c>
      <c r="B2624" s="3" t="str">
        <f>"RS"</f>
        <v>RS</v>
      </c>
      <c r="C2624" s="3" t="str">
        <f t="shared" si="101"/>
        <v>BRASIL</v>
      </c>
      <c r="D2624" s="4" t="str">
        <f>"RS221"</f>
        <v>RS221</v>
      </c>
    </row>
    <row r="2625" spans="1:4" x14ac:dyDescent="0.3">
      <c r="A2625" s="2" t="str">
        <f>"JAGUAPITA"</f>
        <v>JAGUAPITA</v>
      </c>
      <c r="B2625" s="3" t="str">
        <f>"PR"</f>
        <v>PR</v>
      </c>
      <c r="C2625" s="3" t="str">
        <f t="shared" si="101"/>
        <v>BRASIL</v>
      </c>
      <c r="D2625" s="4" t="str">
        <f>"PR168"</f>
        <v>PR168</v>
      </c>
    </row>
    <row r="2626" spans="1:4" x14ac:dyDescent="0.3">
      <c r="A2626" s="2" t="str">
        <f>"JAGUAQUARA"</f>
        <v>JAGUAQUARA</v>
      </c>
      <c r="B2626" s="3" t="str">
        <f>"BA"</f>
        <v>BA</v>
      </c>
      <c r="C2626" s="3" t="str">
        <f t="shared" si="101"/>
        <v>BRASIL</v>
      </c>
      <c r="D2626" s="4" t="str">
        <f>"BA209"</f>
        <v>BA209</v>
      </c>
    </row>
    <row r="2627" spans="1:4" x14ac:dyDescent="0.3">
      <c r="A2627" s="2" t="str">
        <f>"JAGUARACU"</f>
        <v>JAGUARACU</v>
      </c>
      <c r="B2627" s="3" t="str">
        <f>"MG"</f>
        <v>MG</v>
      </c>
      <c r="C2627" s="3" t="str">
        <f t="shared" si="101"/>
        <v>BRASIL</v>
      </c>
      <c r="D2627" s="4" t="str">
        <f>"MG395"</f>
        <v>MG395</v>
      </c>
    </row>
    <row r="2628" spans="1:4" x14ac:dyDescent="0.3">
      <c r="A2628" s="2" t="str">
        <f>"JAGUARAO"</f>
        <v>JAGUARAO</v>
      </c>
      <c r="B2628" s="3" t="str">
        <f>"RS"</f>
        <v>RS</v>
      </c>
      <c r="C2628" s="3" t="str">
        <f t="shared" si="101"/>
        <v>BRASIL</v>
      </c>
      <c r="D2628" s="4" t="str">
        <f>"RS222"</f>
        <v>RS222</v>
      </c>
    </row>
    <row r="2629" spans="1:4" x14ac:dyDescent="0.3">
      <c r="A2629" s="2" t="str">
        <f>"JAGUARARI"</f>
        <v>JAGUARARI</v>
      </c>
      <c r="B2629" s="3" t="str">
        <f>"BA"</f>
        <v>BA</v>
      </c>
      <c r="C2629" s="3" t="str">
        <f t="shared" ref="C2629:C2641" si="102">"BRASIL"</f>
        <v>BRASIL</v>
      </c>
      <c r="D2629" s="4" t="str">
        <f>"BA210"</f>
        <v>BA210</v>
      </c>
    </row>
    <row r="2630" spans="1:4" x14ac:dyDescent="0.3">
      <c r="A2630" s="2" t="str">
        <f>"JAGUARE"</f>
        <v>JAGUARE</v>
      </c>
      <c r="B2630" s="3" t="str">
        <f>"ES"</f>
        <v>ES</v>
      </c>
      <c r="C2630" s="3" t="str">
        <f t="shared" si="102"/>
        <v>BRASIL</v>
      </c>
      <c r="D2630" s="4" t="str">
        <f>"ES039"</f>
        <v>ES039</v>
      </c>
    </row>
    <row r="2631" spans="1:4" x14ac:dyDescent="0.3">
      <c r="A2631" s="2" t="str">
        <f>"JAGUARETAMA"</f>
        <v>JAGUARETAMA</v>
      </c>
      <c r="B2631" s="3" t="str">
        <f>"CE"</f>
        <v>CE</v>
      </c>
      <c r="C2631" s="3" t="str">
        <f t="shared" si="102"/>
        <v>BRASIL</v>
      </c>
      <c r="D2631" s="4" t="str">
        <f>"CE092"</f>
        <v>CE092</v>
      </c>
    </row>
    <row r="2632" spans="1:4" x14ac:dyDescent="0.3">
      <c r="A2632" s="2" t="str">
        <f>"JAGUARI"</f>
        <v>JAGUARI</v>
      </c>
      <c r="B2632" s="3" t="str">
        <f>"RS"</f>
        <v>RS</v>
      </c>
      <c r="C2632" s="3" t="str">
        <f t="shared" si="102"/>
        <v>BRASIL</v>
      </c>
      <c r="D2632" s="4" t="str">
        <f>"RS223"</f>
        <v>RS223</v>
      </c>
    </row>
    <row r="2633" spans="1:4" x14ac:dyDescent="0.3">
      <c r="A2633" s="2" t="str">
        <f>"JAGUARIAIVA"</f>
        <v>JAGUARIAIVA</v>
      </c>
      <c r="B2633" s="3" t="str">
        <f>"PR"</f>
        <v>PR</v>
      </c>
      <c r="C2633" s="3" t="str">
        <f t="shared" si="102"/>
        <v>BRASIL</v>
      </c>
      <c r="D2633" s="4" t="str">
        <f>"PR169"</f>
        <v>PR169</v>
      </c>
    </row>
    <row r="2634" spans="1:4" x14ac:dyDescent="0.3">
      <c r="A2634" s="2" t="str">
        <f>"JAGUARIBARA"</f>
        <v>JAGUARIBARA</v>
      </c>
      <c r="B2634" s="3" t="str">
        <f>"CE"</f>
        <v>CE</v>
      </c>
      <c r="C2634" s="3" t="str">
        <f t="shared" si="102"/>
        <v>BRASIL</v>
      </c>
      <c r="D2634" s="4" t="str">
        <f>"CE093"</f>
        <v>CE093</v>
      </c>
    </row>
    <row r="2635" spans="1:4" x14ac:dyDescent="0.3">
      <c r="A2635" s="2" t="str">
        <f>"JAGUARIBE"</f>
        <v>JAGUARIBE</v>
      </c>
      <c r="B2635" s="3" t="str">
        <f>"CE"</f>
        <v>CE</v>
      </c>
      <c r="C2635" s="3" t="str">
        <f t="shared" si="102"/>
        <v>BRASIL</v>
      </c>
      <c r="D2635" s="4" t="str">
        <f>"CE094"</f>
        <v>CE094</v>
      </c>
    </row>
    <row r="2636" spans="1:4" x14ac:dyDescent="0.3">
      <c r="A2636" s="2" t="str">
        <f>"JAGUARIPE"</f>
        <v>JAGUARIPE</v>
      </c>
      <c r="B2636" s="3" t="str">
        <f>"BA"</f>
        <v>BA</v>
      </c>
      <c r="C2636" s="3" t="str">
        <f t="shared" si="102"/>
        <v>BRASIL</v>
      </c>
      <c r="D2636" s="4" t="str">
        <f>"BA211"</f>
        <v>BA211</v>
      </c>
    </row>
    <row r="2637" spans="1:4" x14ac:dyDescent="0.3">
      <c r="A2637" s="2" t="str">
        <f>"JAGUARIUNA"</f>
        <v>JAGUARIUNA</v>
      </c>
      <c r="B2637" s="3" t="str">
        <f>"SP"</f>
        <v>SP</v>
      </c>
      <c r="C2637" s="3" t="str">
        <f t="shared" si="102"/>
        <v>BRASIL</v>
      </c>
      <c r="D2637" s="4" t="str">
        <f>"SP281"</f>
        <v>SP281</v>
      </c>
    </row>
    <row r="2638" spans="1:4" x14ac:dyDescent="0.3">
      <c r="A2638" s="2" t="str">
        <f>"JAGUARUANA"</f>
        <v>JAGUARUANA</v>
      </c>
      <c r="B2638" s="3" t="str">
        <f>"CE"</f>
        <v>CE</v>
      </c>
      <c r="C2638" s="3" t="str">
        <f t="shared" si="102"/>
        <v>BRASIL</v>
      </c>
      <c r="D2638" s="4" t="str">
        <f>"CE095"</f>
        <v>CE095</v>
      </c>
    </row>
    <row r="2639" spans="1:4" x14ac:dyDescent="0.3">
      <c r="A2639" s="2" t="str">
        <f>"JAGUARUNA"</f>
        <v>JAGUARUNA</v>
      </c>
      <c r="B2639" s="3" t="str">
        <f>"SC"</f>
        <v>SC</v>
      </c>
      <c r="C2639" s="3" t="str">
        <f t="shared" si="102"/>
        <v>BRASIL</v>
      </c>
      <c r="D2639" s="4" t="str">
        <f>"SC133"</f>
        <v>SC133</v>
      </c>
    </row>
    <row r="2640" spans="1:4" x14ac:dyDescent="0.3">
      <c r="A2640" s="2" t="str">
        <f>"JAIBA"</f>
        <v>JAIBA</v>
      </c>
      <c r="B2640" s="3" t="str">
        <f>"MG"</f>
        <v>MG</v>
      </c>
      <c r="C2640" s="3" t="str">
        <f t="shared" si="102"/>
        <v>BRASIL</v>
      </c>
      <c r="D2640" s="4" t="str">
        <f>"MG396"</f>
        <v>MG396</v>
      </c>
    </row>
    <row r="2641" spans="1:4" x14ac:dyDescent="0.3">
      <c r="A2641" s="2" t="str">
        <f>"JAICOS"</f>
        <v>JAICOS</v>
      </c>
      <c r="B2641" s="3" t="str">
        <f>"PI"</f>
        <v>PI</v>
      </c>
      <c r="C2641" s="3" t="str">
        <f t="shared" si="102"/>
        <v>BRASIL</v>
      </c>
      <c r="D2641" s="4" t="str">
        <f>"PI101"</f>
        <v>PI101</v>
      </c>
    </row>
    <row r="2642" spans="1:4" x14ac:dyDescent="0.3">
      <c r="A2642" s="2" t="str">
        <f>"JAINGMEN CITY"</f>
        <v>JAINGMEN CITY</v>
      </c>
      <c r="B2642" s="3" t="str">
        <f>"EX"</f>
        <v>EX</v>
      </c>
      <c r="C2642" s="3" t="str">
        <f>"CHINA"</f>
        <v>CHINA</v>
      </c>
      <c r="D2642" s="4" t="str">
        <f>"JAING"</f>
        <v>JAING</v>
      </c>
    </row>
    <row r="2643" spans="1:4" x14ac:dyDescent="0.3">
      <c r="A2643" s="2" t="str">
        <f>"JALES"</f>
        <v>JALES</v>
      </c>
      <c r="B2643" s="3" t="str">
        <f>"SP"</f>
        <v>SP</v>
      </c>
      <c r="C2643" s="3" t="str">
        <f>"BRASIL"</f>
        <v>BRASIL</v>
      </c>
      <c r="D2643" s="4" t="str">
        <f>"SP282"</f>
        <v>SP282</v>
      </c>
    </row>
    <row r="2644" spans="1:4" x14ac:dyDescent="0.3">
      <c r="A2644" s="2" t="str">
        <f>"JALISCO"</f>
        <v>JALISCO</v>
      </c>
      <c r="B2644" s="3" t="str">
        <f>"EX"</f>
        <v>EX</v>
      </c>
      <c r="C2644" s="3" t="str">
        <f>"MEXICO"</f>
        <v>MEXICO</v>
      </c>
      <c r="D2644" s="4" t="str">
        <f>"JALIS"</f>
        <v>JALIS</v>
      </c>
    </row>
    <row r="2645" spans="1:4" x14ac:dyDescent="0.3">
      <c r="A2645" s="2" t="str">
        <f>"JALISCO"</f>
        <v>JALISCO</v>
      </c>
      <c r="B2645" s="3" t="str">
        <f>"MEX"</f>
        <v>MEX</v>
      </c>
      <c r="C2645" s="3" t="str">
        <f>"MEXICO"</f>
        <v>MEXICO</v>
      </c>
      <c r="D2645" s="4" t="str">
        <f>"JAL"</f>
        <v>JAL</v>
      </c>
    </row>
    <row r="2646" spans="1:4" x14ac:dyDescent="0.3">
      <c r="A2646" s="2" t="str">
        <f>"JAMBEIRO"</f>
        <v>JAMBEIRO</v>
      </c>
      <c r="B2646" s="3" t="str">
        <f>"SP"</f>
        <v>SP</v>
      </c>
      <c r="C2646" s="3" t="str">
        <f t="shared" ref="C2646:C2677" si="103">"BRASIL"</f>
        <v>BRASIL</v>
      </c>
      <c r="D2646" s="4" t="str">
        <f>"SP283"</f>
        <v>SP283</v>
      </c>
    </row>
    <row r="2647" spans="1:4" x14ac:dyDescent="0.3">
      <c r="A2647" s="2" t="str">
        <f>"JAMPRUCA"</f>
        <v>JAMPRUCA</v>
      </c>
      <c r="B2647" s="3" t="str">
        <f>"MG"</f>
        <v>MG</v>
      </c>
      <c r="C2647" s="3" t="str">
        <f t="shared" si="103"/>
        <v>BRASIL</v>
      </c>
      <c r="D2647" s="4" t="str">
        <f>"MG397"</f>
        <v>MG397</v>
      </c>
    </row>
    <row r="2648" spans="1:4" x14ac:dyDescent="0.3">
      <c r="A2648" s="2" t="str">
        <f>"JANAUBA"</f>
        <v>JANAUBA</v>
      </c>
      <c r="B2648" s="3" t="str">
        <f>"MG"</f>
        <v>MG</v>
      </c>
      <c r="C2648" s="3" t="str">
        <f t="shared" si="103"/>
        <v>BRASIL</v>
      </c>
      <c r="D2648" s="4" t="str">
        <f>"MG398"</f>
        <v>MG398</v>
      </c>
    </row>
    <row r="2649" spans="1:4" x14ac:dyDescent="0.3">
      <c r="A2649" s="2" t="str">
        <f>"JANDAIA"</f>
        <v>JANDAIA</v>
      </c>
      <c r="B2649" s="3" t="str">
        <f>"GO"</f>
        <v>GO</v>
      </c>
      <c r="C2649" s="3" t="str">
        <f t="shared" si="103"/>
        <v>BRASIL</v>
      </c>
      <c r="D2649" s="4" t="str">
        <f>"GO126"</f>
        <v>GO126</v>
      </c>
    </row>
    <row r="2650" spans="1:4" x14ac:dyDescent="0.3">
      <c r="A2650" s="2" t="str">
        <f>"JANDAIA DO SUL"</f>
        <v>JANDAIA DO SUL</v>
      </c>
      <c r="B2650" s="3" t="str">
        <f>"PR"</f>
        <v>PR</v>
      </c>
      <c r="C2650" s="3" t="str">
        <f t="shared" si="103"/>
        <v>BRASIL</v>
      </c>
      <c r="D2650" s="4" t="str">
        <f>"PR170"</f>
        <v>PR170</v>
      </c>
    </row>
    <row r="2651" spans="1:4" x14ac:dyDescent="0.3">
      <c r="A2651" s="2" t="str">
        <f>"JANDAIRA"</f>
        <v>JANDAIRA</v>
      </c>
      <c r="B2651" s="3" t="str">
        <f>"BA"</f>
        <v>BA</v>
      </c>
      <c r="C2651" s="3" t="str">
        <f t="shared" si="103"/>
        <v>BRASIL</v>
      </c>
      <c r="D2651" s="4" t="str">
        <f>"BA212"</f>
        <v>BA212</v>
      </c>
    </row>
    <row r="2652" spans="1:4" x14ac:dyDescent="0.3">
      <c r="A2652" s="2" t="str">
        <f>"JANDAIRA"</f>
        <v>JANDAIRA</v>
      </c>
      <c r="B2652" s="3" t="str">
        <f>"RN"</f>
        <v>RN</v>
      </c>
      <c r="C2652" s="3" t="str">
        <f t="shared" si="103"/>
        <v>BRASIL</v>
      </c>
      <c r="D2652" s="4" t="str">
        <f>"RN057"</f>
        <v>RN057</v>
      </c>
    </row>
    <row r="2653" spans="1:4" x14ac:dyDescent="0.3">
      <c r="A2653" s="2" t="str">
        <f>"JANDIRA"</f>
        <v>JANDIRA</v>
      </c>
      <c r="B2653" s="3" t="str">
        <f>"SP"</f>
        <v>SP</v>
      </c>
      <c r="C2653" s="3" t="str">
        <f t="shared" si="103"/>
        <v>BRASIL</v>
      </c>
      <c r="D2653" s="4" t="str">
        <f>"SP284"</f>
        <v>SP284</v>
      </c>
    </row>
    <row r="2654" spans="1:4" x14ac:dyDescent="0.3">
      <c r="A2654" s="2" t="str">
        <f>"JANDUIS"</f>
        <v>JANDUIS</v>
      </c>
      <c r="B2654" s="3" t="str">
        <f>"RN"</f>
        <v>RN</v>
      </c>
      <c r="C2654" s="3" t="str">
        <f t="shared" si="103"/>
        <v>BRASIL</v>
      </c>
      <c r="D2654" s="4" t="str">
        <f>"RN058"</f>
        <v>RN058</v>
      </c>
    </row>
    <row r="2655" spans="1:4" x14ac:dyDescent="0.3">
      <c r="A2655" s="2" t="str">
        <f>"JANGADA"</f>
        <v>JANGADA</v>
      </c>
      <c r="B2655" s="3" t="str">
        <f>"MT"</f>
        <v>MT</v>
      </c>
      <c r="C2655" s="3" t="str">
        <f t="shared" si="103"/>
        <v>BRASIL</v>
      </c>
      <c r="D2655" s="4" t="str">
        <f>"MT056"</f>
        <v>MT056</v>
      </c>
    </row>
    <row r="2656" spans="1:4" x14ac:dyDescent="0.3">
      <c r="A2656" s="2" t="str">
        <f>"JANIOPOLIS"</f>
        <v>JANIOPOLIS</v>
      </c>
      <c r="B2656" s="3" t="str">
        <f>"PR"</f>
        <v>PR</v>
      </c>
      <c r="C2656" s="3" t="str">
        <f t="shared" si="103"/>
        <v>BRASIL</v>
      </c>
      <c r="D2656" s="4" t="str">
        <f>"PR171"</f>
        <v>PR171</v>
      </c>
    </row>
    <row r="2657" spans="1:4" x14ac:dyDescent="0.3">
      <c r="A2657" s="2" t="str">
        <f>"JANUARIA"</f>
        <v>JANUARIA</v>
      </c>
      <c r="B2657" s="3" t="str">
        <f>"MG"</f>
        <v>MG</v>
      </c>
      <c r="C2657" s="3" t="str">
        <f t="shared" si="103"/>
        <v>BRASIL</v>
      </c>
      <c r="D2657" s="4" t="str">
        <f>"MG399"</f>
        <v>MG399</v>
      </c>
    </row>
    <row r="2658" spans="1:4" x14ac:dyDescent="0.3">
      <c r="A2658" s="2" t="str">
        <f>"JANUARIO CICCO"</f>
        <v>JANUARIO CICCO</v>
      </c>
      <c r="B2658" s="3" t="str">
        <f>"RN"</f>
        <v>RN</v>
      </c>
      <c r="C2658" s="3" t="str">
        <f t="shared" si="103"/>
        <v>BRASIL</v>
      </c>
      <c r="D2658" s="4" t="str">
        <f>"RN059"</f>
        <v>RN059</v>
      </c>
    </row>
    <row r="2659" spans="1:4" x14ac:dyDescent="0.3">
      <c r="A2659" s="2" t="str">
        <f>"JAPARAIBA"</f>
        <v>JAPARAIBA</v>
      </c>
      <c r="B2659" s="3" t="str">
        <f>"MG"</f>
        <v>MG</v>
      </c>
      <c r="C2659" s="3" t="str">
        <f t="shared" si="103"/>
        <v>BRASIL</v>
      </c>
      <c r="D2659" s="4" t="str">
        <f>"MG400"</f>
        <v>MG400</v>
      </c>
    </row>
    <row r="2660" spans="1:4" x14ac:dyDescent="0.3">
      <c r="A2660" s="2" t="str">
        <f>"JAPARATINGA"</f>
        <v>JAPARATINGA</v>
      </c>
      <c r="B2660" s="3" t="str">
        <f>"AL"</f>
        <v>AL</v>
      </c>
      <c r="C2660" s="3" t="str">
        <f t="shared" si="103"/>
        <v>BRASIL</v>
      </c>
      <c r="D2660" s="4" t="str">
        <f>"AL039"</f>
        <v>AL039</v>
      </c>
    </row>
    <row r="2661" spans="1:4" x14ac:dyDescent="0.3">
      <c r="A2661" s="2" t="str">
        <f>"JAPARATUBA"</f>
        <v>JAPARATUBA</v>
      </c>
      <c r="B2661" s="3" t="str">
        <f>"SE"</f>
        <v>SE</v>
      </c>
      <c r="C2661" s="3" t="str">
        <f t="shared" si="103"/>
        <v>BRASIL</v>
      </c>
      <c r="D2661" s="4" t="str">
        <f>"SE031"</f>
        <v>SE031</v>
      </c>
    </row>
    <row r="2662" spans="1:4" x14ac:dyDescent="0.3">
      <c r="A2662" s="2" t="str">
        <f>"JAPERI"</f>
        <v>JAPERI</v>
      </c>
      <c r="B2662" s="3" t="str">
        <f>"RJ"</f>
        <v>RJ</v>
      </c>
      <c r="C2662" s="3" t="str">
        <f t="shared" si="103"/>
        <v>BRASIL</v>
      </c>
      <c r="D2662" s="4" t="str">
        <f>"RJ035"</f>
        <v>RJ035</v>
      </c>
    </row>
    <row r="2663" spans="1:4" x14ac:dyDescent="0.3">
      <c r="A2663" s="2" t="str">
        <f>"JAPI"</f>
        <v>JAPI</v>
      </c>
      <c r="B2663" s="3" t="str">
        <f>"RN"</f>
        <v>RN</v>
      </c>
      <c r="C2663" s="3" t="str">
        <f t="shared" si="103"/>
        <v>BRASIL</v>
      </c>
      <c r="D2663" s="4" t="str">
        <f>"RN060"</f>
        <v>RN060</v>
      </c>
    </row>
    <row r="2664" spans="1:4" x14ac:dyDescent="0.3">
      <c r="A2664" s="2" t="str">
        <f>"JAPIRA"</f>
        <v>JAPIRA</v>
      </c>
      <c r="B2664" s="3" t="str">
        <f>"PR"</f>
        <v>PR</v>
      </c>
      <c r="C2664" s="3" t="str">
        <f t="shared" si="103"/>
        <v>BRASIL</v>
      </c>
      <c r="D2664" s="4" t="str">
        <f>"PR172"</f>
        <v>PR172</v>
      </c>
    </row>
    <row r="2665" spans="1:4" x14ac:dyDescent="0.3">
      <c r="A2665" s="2" t="str">
        <f>"JAPOATA"</f>
        <v>JAPOATA</v>
      </c>
      <c r="B2665" s="3" t="str">
        <f>"SE"</f>
        <v>SE</v>
      </c>
      <c r="C2665" s="3" t="str">
        <f t="shared" si="103"/>
        <v>BRASIL</v>
      </c>
      <c r="D2665" s="4" t="str">
        <f>"SE032"</f>
        <v>SE032</v>
      </c>
    </row>
    <row r="2666" spans="1:4" x14ac:dyDescent="0.3">
      <c r="A2666" s="2" t="str">
        <f>"JAPONVAR"</f>
        <v>JAPONVAR</v>
      </c>
      <c r="B2666" s="3" t="str">
        <f>"MG"</f>
        <v>MG</v>
      </c>
      <c r="C2666" s="3" t="str">
        <f t="shared" si="103"/>
        <v>BRASIL</v>
      </c>
      <c r="D2666" s="4" t="str">
        <f>"MG401"</f>
        <v>MG401</v>
      </c>
    </row>
    <row r="2667" spans="1:4" x14ac:dyDescent="0.3">
      <c r="A2667" s="2" t="str">
        <f>"JAPORA"</f>
        <v>JAPORA</v>
      </c>
      <c r="B2667" s="3" t="str">
        <f>"MS"</f>
        <v>MS</v>
      </c>
      <c r="C2667" s="3" t="str">
        <f t="shared" si="103"/>
        <v>BRASIL</v>
      </c>
      <c r="D2667" s="4" t="str">
        <f>"MS043"</f>
        <v>MS043</v>
      </c>
    </row>
    <row r="2668" spans="1:4" x14ac:dyDescent="0.3">
      <c r="A2668" s="2" t="str">
        <f>"JAPURA"</f>
        <v>JAPURA</v>
      </c>
      <c r="B2668" s="3" t="str">
        <f>"AM"</f>
        <v>AM</v>
      </c>
      <c r="C2668" s="3" t="str">
        <f t="shared" si="103"/>
        <v>BRASIL</v>
      </c>
      <c r="D2668" s="4" t="str">
        <f>"AM032"</f>
        <v>AM032</v>
      </c>
    </row>
    <row r="2669" spans="1:4" x14ac:dyDescent="0.3">
      <c r="A2669" s="2" t="str">
        <f>"JAPURA"</f>
        <v>JAPURA</v>
      </c>
      <c r="B2669" s="3" t="str">
        <f>"PR"</f>
        <v>PR</v>
      </c>
      <c r="C2669" s="3" t="str">
        <f t="shared" si="103"/>
        <v>BRASIL</v>
      </c>
      <c r="D2669" s="4" t="str">
        <f>"PR173"</f>
        <v>PR173</v>
      </c>
    </row>
    <row r="2670" spans="1:4" x14ac:dyDescent="0.3">
      <c r="A2670" s="2" t="str">
        <f>"JAQUEIRA"</f>
        <v>JAQUEIRA</v>
      </c>
      <c r="B2670" s="3" t="str">
        <f>"PE"</f>
        <v>PE</v>
      </c>
      <c r="C2670" s="3" t="str">
        <f t="shared" si="103"/>
        <v>BRASIL</v>
      </c>
      <c r="D2670" s="4" t="str">
        <f>"PE089"</f>
        <v>PE089</v>
      </c>
    </row>
    <row r="2671" spans="1:4" x14ac:dyDescent="0.3">
      <c r="A2671" s="2" t="str">
        <f>"JAQUIRANA"</f>
        <v>JAQUIRANA</v>
      </c>
      <c r="B2671" s="3" t="str">
        <f>"RS"</f>
        <v>RS</v>
      </c>
      <c r="C2671" s="3" t="str">
        <f t="shared" si="103"/>
        <v>BRASIL</v>
      </c>
      <c r="D2671" s="4" t="str">
        <f>"RS224"</f>
        <v>RS224</v>
      </c>
    </row>
    <row r="2672" spans="1:4" x14ac:dyDescent="0.3">
      <c r="A2672" s="2" t="str">
        <f>"JARAGUA"</f>
        <v>JARAGUA</v>
      </c>
      <c r="B2672" s="3" t="str">
        <f>"GO"</f>
        <v>GO</v>
      </c>
      <c r="C2672" s="3" t="str">
        <f t="shared" si="103"/>
        <v>BRASIL</v>
      </c>
      <c r="D2672" s="4" t="str">
        <f>"GO127"</f>
        <v>GO127</v>
      </c>
    </row>
    <row r="2673" spans="1:4" x14ac:dyDescent="0.3">
      <c r="A2673" s="2" t="str">
        <f>"JARAGUA DO SUL"</f>
        <v>JARAGUA DO SUL</v>
      </c>
      <c r="B2673" s="3" t="str">
        <f>"SC"</f>
        <v>SC</v>
      </c>
      <c r="C2673" s="3" t="str">
        <f t="shared" si="103"/>
        <v>BRASIL</v>
      </c>
      <c r="D2673" s="4" t="str">
        <f>"SC134"</f>
        <v>SC134</v>
      </c>
    </row>
    <row r="2674" spans="1:4" x14ac:dyDescent="0.3">
      <c r="A2674" s="2" t="str">
        <f>"JARAGUARI"</f>
        <v>JARAGUARI</v>
      </c>
      <c r="B2674" s="3" t="str">
        <f>"MS"</f>
        <v>MS</v>
      </c>
      <c r="C2674" s="3" t="str">
        <f t="shared" si="103"/>
        <v>BRASIL</v>
      </c>
      <c r="D2674" s="4" t="str">
        <f>"MS044"</f>
        <v>MS044</v>
      </c>
    </row>
    <row r="2675" spans="1:4" x14ac:dyDescent="0.3">
      <c r="A2675" s="2" t="str">
        <f>"JARAMATAIA"</f>
        <v>JARAMATAIA</v>
      </c>
      <c r="B2675" s="3" t="str">
        <f>"AL"</f>
        <v>AL</v>
      </c>
      <c r="C2675" s="3" t="str">
        <f t="shared" si="103"/>
        <v>BRASIL</v>
      </c>
      <c r="D2675" s="4" t="str">
        <f>"AL040"</f>
        <v>AL040</v>
      </c>
    </row>
    <row r="2676" spans="1:4" x14ac:dyDescent="0.3">
      <c r="A2676" s="2" t="str">
        <f>"JARDIM"</f>
        <v>JARDIM</v>
      </c>
      <c r="B2676" s="3" t="str">
        <f>"CE"</f>
        <v>CE</v>
      </c>
      <c r="C2676" s="3" t="str">
        <f t="shared" si="103"/>
        <v>BRASIL</v>
      </c>
      <c r="D2676" s="4" t="str">
        <f>"CE096"</f>
        <v>CE096</v>
      </c>
    </row>
    <row r="2677" spans="1:4" x14ac:dyDescent="0.3">
      <c r="A2677" s="2" t="str">
        <f>"JARDIM"</f>
        <v>JARDIM</v>
      </c>
      <c r="B2677" s="3" t="str">
        <f>"MS"</f>
        <v>MS</v>
      </c>
      <c r="C2677" s="3" t="str">
        <f t="shared" si="103"/>
        <v>BRASIL</v>
      </c>
      <c r="D2677" s="4" t="str">
        <f>"MS045"</f>
        <v>MS045</v>
      </c>
    </row>
    <row r="2678" spans="1:4" x14ac:dyDescent="0.3">
      <c r="A2678" s="2" t="str">
        <f>"JARDIM ALEGRE"</f>
        <v>JARDIM ALEGRE</v>
      </c>
      <c r="B2678" s="3" t="str">
        <f>"PR"</f>
        <v>PR</v>
      </c>
      <c r="C2678" s="3" t="str">
        <f t="shared" ref="C2678:C2709" si="104">"BRASIL"</f>
        <v>BRASIL</v>
      </c>
      <c r="D2678" s="4" t="str">
        <f>"PR174"</f>
        <v>PR174</v>
      </c>
    </row>
    <row r="2679" spans="1:4" x14ac:dyDescent="0.3">
      <c r="A2679" s="2" t="str">
        <f>"JARDIM DE ANGICOS"</f>
        <v>JARDIM DE ANGICOS</v>
      </c>
      <c r="B2679" s="3" t="str">
        <f>"RN"</f>
        <v>RN</v>
      </c>
      <c r="C2679" s="3" t="str">
        <f t="shared" si="104"/>
        <v>BRASIL</v>
      </c>
      <c r="D2679" s="4" t="str">
        <f>"RN061"</f>
        <v>RN061</v>
      </c>
    </row>
    <row r="2680" spans="1:4" x14ac:dyDescent="0.3">
      <c r="A2680" s="2" t="str">
        <f>"JARDIM DE PIRANHAS"</f>
        <v>JARDIM DE PIRANHAS</v>
      </c>
      <c r="B2680" s="3" t="str">
        <f>"RN"</f>
        <v>RN</v>
      </c>
      <c r="C2680" s="3" t="str">
        <f t="shared" si="104"/>
        <v>BRASIL</v>
      </c>
      <c r="D2680" s="4" t="str">
        <f>"RN062"</f>
        <v>RN062</v>
      </c>
    </row>
    <row r="2681" spans="1:4" x14ac:dyDescent="0.3">
      <c r="A2681" s="2" t="str">
        <f>"JARDIM DO MULATO"</f>
        <v>JARDIM DO MULATO</v>
      </c>
      <c r="B2681" s="3" t="str">
        <f>"PI"</f>
        <v>PI</v>
      </c>
      <c r="C2681" s="3" t="str">
        <f t="shared" si="104"/>
        <v>BRASIL</v>
      </c>
      <c r="D2681" s="4" t="str">
        <f>"PI102"</f>
        <v>PI102</v>
      </c>
    </row>
    <row r="2682" spans="1:4" x14ac:dyDescent="0.3">
      <c r="A2682" s="2" t="str">
        <f>"JARDIM DO SERIDO"</f>
        <v>JARDIM DO SERIDO</v>
      </c>
      <c r="B2682" s="3" t="str">
        <f>"RN"</f>
        <v>RN</v>
      </c>
      <c r="C2682" s="3" t="str">
        <f t="shared" si="104"/>
        <v>BRASIL</v>
      </c>
      <c r="D2682" s="4" t="str">
        <f>"RN063"</f>
        <v>RN063</v>
      </c>
    </row>
    <row r="2683" spans="1:4" x14ac:dyDescent="0.3">
      <c r="A2683" s="2" t="str">
        <f>"JARDIM OLINDA"</f>
        <v>JARDIM OLINDA</v>
      </c>
      <c r="B2683" s="3" t="str">
        <f>"PR"</f>
        <v>PR</v>
      </c>
      <c r="C2683" s="3" t="str">
        <f t="shared" si="104"/>
        <v>BRASIL</v>
      </c>
      <c r="D2683" s="4" t="str">
        <f>"PR175"</f>
        <v>PR175</v>
      </c>
    </row>
    <row r="2684" spans="1:4" x14ac:dyDescent="0.3">
      <c r="A2684" s="2" t="str">
        <f>"JARDINOPOLIS"</f>
        <v>JARDINOPOLIS</v>
      </c>
      <c r="B2684" s="3" t="str">
        <f>"SC"</f>
        <v>SC</v>
      </c>
      <c r="C2684" s="3" t="str">
        <f t="shared" si="104"/>
        <v>BRASIL</v>
      </c>
      <c r="D2684" s="4" t="str">
        <f>"SC135"</f>
        <v>SC135</v>
      </c>
    </row>
    <row r="2685" spans="1:4" x14ac:dyDescent="0.3">
      <c r="A2685" s="2" t="str">
        <f>"JARDINOPOLIS"</f>
        <v>JARDINOPOLIS</v>
      </c>
      <c r="B2685" s="3" t="str">
        <f>"SP"</f>
        <v>SP</v>
      </c>
      <c r="C2685" s="3" t="str">
        <f t="shared" si="104"/>
        <v>BRASIL</v>
      </c>
      <c r="D2685" s="4" t="str">
        <f>"SP285"</f>
        <v>SP285</v>
      </c>
    </row>
    <row r="2686" spans="1:4" x14ac:dyDescent="0.3">
      <c r="A2686" s="2" t="str">
        <f>"JARI"</f>
        <v>JARI</v>
      </c>
      <c r="B2686" s="3" t="str">
        <f>"RS"</f>
        <v>RS</v>
      </c>
      <c r="C2686" s="3" t="str">
        <f t="shared" si="104"/>
        <v>BRASIL</v>
      </c>
      <c r="D2686" s="4" t="str">
        <f>"RS225"</f>
        <v>RS225</v>
      </c>
    </row>
    <row r="2687" spans="1:4" x14ac:dyDescent="0.3">
      <c r="A2687" s="2" t="str">
        <f>"JARINU"</f>
        <v>JARINU</v>
      </c>
      <c r="B2687" s="3" t="str">
        <f>"SP"</f>
        <v>SP</v>
      </c>
      <c r="C2687" s="3" t="str">
        <f t="shared" si="104"/>
        <v>BRASIL</v>
      </c>
      <c r="D2687" s="4" t="str">
        <f>"SP286"</f>
        <v>SP286</v>
      </c>
    </row>
    <row r="2688" spans="1:4" x14ac:dyDescent="0.3">
      <c r="A2688" s="2" t="str">
        <f>"JARU"</f>
        <v>JARU</v>
      </c>
      <c r="B2688" s="3" t="str">
        <f>"RO"</f>
        <v>RO</v>
      </c>
      <c r="C2688" s="3" t="str">
        <f t="shared" si="104"/>
        <v>BRASIL</v>
      </c>
      <c r="D2688" s="4" t="str">
        <f>"RO011"</f>
        <v>RO011</v>
      </c>
    </row>
    <row r="2689" spans="1:4" x14ac:dyDescent="0.3">
      <c r="A2689" s="2" t="str">
        <f>"JATAI"</f>
        <v>JATAI</v>
      </c>
      <c r="B2689" s="3" t="str">
        <f>"GO"</f>
        <v>GO</v>
      </c>
      <c r="C2689" s="3" t="str">
        <f t="shared" si="104"/>
        <v>BRASIL</v>
      </c>
      <c r="D2689" s="4" t="str">
        <f>"GO128"</f>
        <v>GO128</v>
      </c>
    </row>
    <row r="2690" spans="1:4" x14ac:dyDescent="0.3">
      <c r="A2690" s="2" t="str">
        <f>"JATAIZINHO"</f>
        <v>JATAIZINHO</v>
      </c>
      <c r="B2690" s="3" t="str">
        <f>"PR"</f>
        <v>PR</v>
      </c>
      <c r="C2690" s="3" t="str">
        <f t="shared" si="104"/>
        <v>BRASIL</v>
      </c>
      <c r="D2690" s="4" t="str">
        <f>"PR176"</f>
        <v>PR176</v>
      </c>
    </row>
    <row r="2691" spans="1:4" x14ac:dyDescent="0.3">
      <c r="A2691" s="2" t="str">
        <f>"JATAUBA"</f>
        <v>JATAUBA</v>
      </c>
      <c r="B2691" s="3" t="str">
        <f>"PE"</f>
        <v>PE</v>
      </c>
      <c r="C2691" s="3" t="str">
        <f t="shared" si="104"/>
        <v>BRASIL</v>
      </c>
      <c r="D2691" s="4" t="str">
        <f>"PE090"</f>
        <v>PE090</v>
      </c>
    </row>
    <row r="2692" spans="1:4" x14ac:dyDescent="0.3">
      <c r="A2692" s="2" t="str">
        <f>"JATEI"</f>
        <v>JATEI</v>
      </c>
      <c r="B2692" s="3" t="str">
        <f>"MS"</f>
        <v>MS</v>
      </c>
      <c r="C2692" s="3" t="str">
        <f t="shared" si="104"/>
        <v>BRASIL</v>
      </c>
      <c r="D2692" s="4" t="str">
        <f>"MS046"</f>
        <v>MS046</v>
      </c>
    </row>
    <row r="2693" spans="1:4" x14ac:dyDescent="0.3">
      <c r="A2693" s="2" t="str">
        <f>"JATI"</f>
        <v>JATI</v>
      </c>
      <c r="B2693" s="3" t="str">
        <f>"CE"</f>
        <v>CE</v>
      </c>
      <c r="C2693" s="3" t="str">
        <f t="shared" si="104"/>
        <v>BRASIL</v>
      </c>
      <c r="D2693" s="4" t="str">
        <f>"CE097"</f>
        <v>CE097</v>
      </c>
    </row>
    <row r="2694" spans="1:4" x14ac:dyDescent="0.3">
      <c r="A2694" s="2" t="str">
        <f>"JATOBA"</f>
        <v>JATOBA</v>
      </c>
      <c r="B2694" s="3" t="str">
        <f>"MA"</f>
        <v>MA</v>
      </c>
      <c r="C2694" s="3" t="str">
        <f t="shared" si="104"/>
        <v>BRASIL</v>
      </c>
      <c r="D2694" s="4" t="str">
        <f>"MA094"</f>
        <v>MA094</v>
      </c>
    </row>
    <row r="2695" spans="1:4" x14ac:dyDescent="0.3">
      <c r="A2695" s="2" t="str">
        <f>"JATOBA"</f>
        <v>JATOBA</v>
      </c>
      <c r="B2695" s="3" t="str">
        <f>"PE"</f>
        <v>PE</v>
      </c>
      <c r="C2695" s="3" t="str">
        <f t="shared" si="104"/>
        <v>BRASIL</v>
      </c>
      <c r="D2695" s="4" t="str">
        <f>"PE091"</f>
        <v>PE091</v>
      </c>
    </row>
    <row r="2696" spans="1:4" x14ac:dyDescent="0.3">
      <c r="A2696" s="2" t="str">
        <f>"JATOBA DO PIAUI"</f>
        <v>JATOBA DO PIAUI</v>
      </c>
      <c r="B2696" s="3" t="str">
        <f>"PI"</f>
        <v>PI</v>
      </c>
      <c r="C2696" s="3" t="str">
        <f t="shared" si="104"/>
        <v>BRASIL</v>
      </c>
      <c r="D2696" s="4" t="str">
        <f>"PI103"</f>
        <v>PI103</v>
      </c>
    </row>
    <row r="2697" spans="1:4" x14ac:dyDescent="0.3">
      <c r="A2697" s="2" t="str">
        <f>"JAU"</f>
        <v>JAU</v>
      </c>
      <c r="B2697" s="3" t="str">
        <f>"SP"</f>
        <v>SP</v>
      </c>
      <c r="C2697" s="3" t="str">
        <f t="shared" si="104"/>
        <v>BRASIL</v>
      </c>
      <c r="D2697" s="4" t="str">
        <f>"SP287"</f>
        <v>SP287</v>
      </c>
    </row>
    <row r="2698" spans="1:4" x14ac:dyDescent="0.3">
      <c r="A2698" s="2" t="str">
        <f>"JAU DO TOCANTINS"</f>
        <v>JAU DO TOCANTINS</v>
      </c>
      <c r="B2698" s="3" t="str">
        <f>"TO"</f>
        <v>TO</v>
      </c>
      <c r="C2698" s="3" t="str">
        <f t="shared" si="104"/>
        <v>BRASIL</v>
      </c>
      <c r="D2698" s="4" t="str">
        <f>"TO064"</f>
        <v>TO064</v>
      </c>
    </row>
    <row r="2699" spans="1:4" x14ac:dyDescent="0.3">
      <c r="A2699" s="2" t="str">
        <f>"JAUPACI"</f>
        <v>JAUPACI</v>
      </c>
      <c r="B2699" s="3" t="str">
        <f>"GO"</f>
        <v>GO</v>
      </c>
      <c r="C2699" s="3" t="str">
        <f t="shared" si="104"/>
        <v>BRASIL</v>
      </c>
      <c r="D2699" s="4" t="str">
        <f>"GO129"</f>
        <v>GO129</v>
      </c>
    </row>
    <row r="2700" spans="1:4" x14ac:dyDescent="0.3">
      <c r="A2700" s="2" t="str">
        <f>"JAURU"</f>
        <v>JAURU</v>
      </c>
      <c r="B2700" s="3" t="str">
        <f>"MT"</f>
        <v>MT</v>
      </c>
      <c r="C2700" s="3" t="str">
        <f t="shared" si="104"/>
        <v>BRASIL</v>
      </c>
      <c r="D2700" s="4" t="str">
        <f>"MT057"</f>
        <v>MT057</v>
      </c>
    </row>
    <row r="2701" spans="1:4" x14ac:dyDescent="0.3">
      <c r="A2701" s="2" t="str">
        <f>"JECEABA"</f>
        <v>JECEABA</v>
      </c>
      <c r="B2701" s="3" t="str">
        <f>"MG"</f>
        <v>MG</v>
      </c>
      <c r="C2701" s="3" t="str">
        <f t="shared" si="104"/>
        <v>BRASIL</v>
      </c>
      <c r="D2701" s="4" t="str">
        <f>"MG402"</f>
        <v>MG402</v>
      </c>
    </row>
    <row r="2702" spans="1:4" x14ac:dyDescent="0.3">
      <c r="A2702" s="2" t="str">
        <f>"JENIPAPO DE MINAS"</f>
        <v>JENIPAPO DE MINAS</v>
      </c>
      <c r="B2702" s="3" t="str">
        <f>"MG"</f>
        <v>MG</v>
      </c>
      <c r="C2702" s="3" t="str">
        <f t="shared" si="104"/>
        <v>BRASIL</v>
      </c>
      <c r="D2702" s="4" t="str">
        <f>"MG403"</f>
        <v>MG403</v>
      </c>
    </row>
    <row r="2703" spans="1:4" x14ac:dyDescent="0.3">
      <c r="A2703" s="2" t="str">
        <f>"JENIPAPO DOS VIEIRAS"</f>
        <v>JENIPAPO DOS VIEIRAS</v>
      </c>
      <c r="B2703" s="3" t="str">
        <f>"MA"</f>
        <v>MA</v>
      </c>
      <c r="C2703" s="3" t="str">
        <f t="shared" si="104"/>
        <v>BRASIL</v>
      </c>
      <c r="D2703" s="4" t="str">
        <f>"MA095"</f>
        <v>MA095</v>
      </c>
    </row>
    <row r="2704" spans="1:4" x14ac:dyDescent="0.3">
      <c r="A2704" s="2" t="str">
        <f>"JEQUERI"</f>
        <v>JEQUERI</v>
      </c>
      <c r="B2704" s="3" t="str">
        <f>"MG"</f>
        <v>MG</v>
      </c>
      <c r="C2704" s="3" t="str">
        <f t="shared" si="104"/>
        <v>BRASIL</v>
      </c>
      <c r="D2704" s="4" t="str">
        <f>"MG404"</f>
        <v>MG404</v>
      </c>
    </row>
    <row r="2705" spans="1:4" x14ac:dyDescent="0.3">
      <c r="A2705" s="2" t="str">
        <f>"JEQUIA DA PRAIA"</f>
        <v>JEQUIA DA PRAIA</v>
      </c>
      <c r="B2705" s="3" t="str">
        <f>"AL"</f>
        <v>AL</v>
      </c>
      <c r="C2705" s="3" t="str">
        <f t="shared" si="104"/>
        <v>BRASIL</v>
      </c>
      <c r="D2705" s="4" t="str">
        <f>"AL041"</f>
        <v>AL041</v>
      </c>
    </row>
    <row r="2706" spans="1:4" x14ac:dyDescent="0.3">
      <c r="A2706" s="2" t="str">
        <f>"JEQUIE"</f>
        <v>JEQUIE</v>
      </c>
      <c r="B2706" s="3" t="str">
        <f>"BA"</f>
        <v>BA</v>
      </c>
      <c r="C2706" s="3" t="str">
        <f t="shared" si="104"/>
        <v>BRASIL</v>
      </c>
      <c r="D2706" s="4" t="str">
        <f>"BA213"</f>
        <v>BA213</v>
      </c>
    </row>
    <row r="2707" spans="1:4" x14ac:dyDescent="0.3">
      <c r="A2707" s="2" t="str">
        <f>"JEQUITAI"</f>
        <v>JEQUITAI</v>
      </c>
      <c r="B2707" s="3" t="str">
        <f>"MG"</f>
        <v>MG</v>
      </c>
      <c r="C2707" s="3" t="str">
        <f t="shared" si="104"/>
        <v>BRASIL</v>
      </c>
      <c r="D2707" s="4" t="str">
        <f>"MG405"</f>
        <v>MG405</v>
      </c>
    </row>
    <row r="2708" spans="1:4" x14ac:dyDescent="0.3">
      <c r="A2708" s="2" t="str">
        <f>"JEQUITIBA"</f>
        <v>JEQUITIBA</v>
      </c>
      <c r="B2708" s="3" t="str">
        <f>"MG"</f>
        <v>MG</v>
      </c>
      <c r="C2708" s="3" t="str">
        <f t="shared" si="104"/>
        <v>BRASIL</v>
      </c>
      <c r="D2708" s="4" t="str">
        <f>"MG406"</f>
        <v>MG406</v>
      </c>
    </row>
    <row r="2709" spans="1:4" x14ac:dyDescent="0.3">
      <c r="A2709" s="2" t="str">
        <f>"JEQUITINHONHA"</f>
        <v>JEQUITINHONHA</v>
      </c>
      <c r="B2709" s="3" t="str">
        <f>"MG"</f>
        <v>MG</v>
      </c>
      <c r="C2709" s="3" t="str">
        <f t="shared" si="104"/>
        <v>BRASIL</v>
      </c>
      <c r="D2709" s="4" t="str">
        <f>"MG407"</f>
        <v>MG407</v>
      </c>
    </row>
    <row r="2710" spans="1:4" x14ac:dyDescent="0.3">
      <c r="A2710" s="2" t="str">
        <f>"JEREMOABO"</f>
        <v>JEREMOABO</v>
      </c>
      <c r="B2710" s="3" t="str">
        <f>"BA"</f>
        <v>BA</v>
      </c>
      <c r="C2710" s="3" t="str">
        <f t="shared" ref="C2710:C2718" si="105">"BRASIL"</f>
        <v>BRASIL</v>
      </c>
      <c r="D2710" s="4" t="str">
        <f>"BA214"</f>
        <v>BA214</v>
      </c>
    </row>
    <row r="2711" spans="1:4" x14ac:dyDescent="0.3">
      <c r="A2711" s="2" t="str">
        <f>"JERICO"</f>
        <v>JERICO</v>
      </c>
      <c r="B2711" s="3" t="str">
        <f>"PB"</f>
        <v>PB</v>
      </c>
      <c r="C2711" s="3" t="str">
        <f t="shared" si="105"/>
        <v>BRASIL</v>
      </c>
      <c r="D2711" s="4" t="str">
        <f>"PB095"</f>
        <v>PB095</v>
      </c>
    </row>
    <row r="2712" spans="1:4" x14ac:dyDescent="0.3">
      <c r="A2712" s="2" t="str">
        <f>"JERIQUARA"</f>
        <v>JERIQUARA</v>
      </c>
      <c r="B2712" s="3" t="str">
        <f>"SP"</f>
        <v>SP</v>
      </c>
      <c r="C2712" s="3" t="str">
        <f t="shared" si="105"/>
        <v>BRASIL</v>
      </c>
      <c r="D2712" s="4" t="str">
        <f>"SP288"</f>
        <v>SP288</v>
      </c>
    </row>
    <row r="2713" spans="1:4" x14ac:dyDescent="0.3">
      <c r="A2713" s="2" t="str">
        <f>"JERONIMO MONTEIRO"</f>
        <v>JERONIMO MONTEIRO</v>
      </c>
      <c r="B2713" s="3" t="str">
        <f>"ES"</f>
        <v>ES</v>
      </c>
      <c r="C2713" s="3" t="str">
        <f t="shared" si="105"/>
        <v>BRASIL</v>
      </c>
      <c r="D2713" s="4" t="str">
        <f>"ES040"</f>
        <v>ES040</v>
      </c>
    </row>
    <row r="2714" spans="1:4" x14ac:dyDescent="0.3">
      <c r="A2714" s="2" t="str">
        <f>"JERUMENHA"</f>
        <v>JERUMENHA</v>
      </c>
      <c r="B2714" s="3" t="str">
        <f>"PI"</f>
        <v>PI</v>
      </c>
      <c r="C2714" s="3" t="str">
        <f t="shared" si="105"/>
        <v>BRASIL</v>
      </c>
      <c r="D2714" s="4" t="str">
        <f>"PI104"</f>
        <v>PI104</v>
      </c>
    </row>
    <row r="2715" spans="1:4" x14ac:dyDescent="0.3">
      <c r="A2715" s="2" t="str">
        <f>"JESUANIA"</f>
        <v>JESUANIA</v>
      </c>
      <c r="B2715" s="3" t="str">
        <f>"MG"</f>
        <v>MG</v>
      </c>
      <c r="C2715" s="3" t="str">
        <f t="shared" si="105"/>
        <v>BRASIL</v>
      </c>
      <c r="D2715" s="4" t="str">
        <f>"MG408"</f>
        <v>MG408</v>
      </c>
    </row>
    <row r="2716" spans="1:4" x14ac:dyDescent="0.3">
      <c r="A2716" s="2" t="str">
        <f>"JESUITAS"</f>
        <v>JESUITAS</v>
      </c>
      <c r="B2716" s="3" t="str">
        <f>"PR"</f>
        <v>PR</v>
      </c>
      <c r="C2716" s="3" t="str">
        <f t="shared" si="105"/>
        <v>BRASIL</v>
      </c>
      <c r="D2716" s="4" t="str">
        <f>"PR177"</f>
        <v>PR177</v>
      </c>
    </row>
    <row r="2717" spans="1:4" x14ac:dyDescent="0.3">
      <c r="A2717" s="2" t="str">
        <f>"JESUPOLIS"</f>
        <v>JESUPOLIS</v>
      </c>
      <c r="B2717" s="3" t="str">
        <f>"GO"</f>
        <v>GO</v>
      </c>
      <c r="C2717" s="3" t="str">
        <f t="shared" si="105"/>
        <v>BRASIL</v>
      </c>
      <c r="D2717" s="4" t="str">
        <f>"GO130"</f>
        <v>GO130</v>
      </c>
    </row>
    <row r="2718" spans="1:4" x14ac:dyDescent="0.3">
      <c r="A2718" s="2" t="str">
        <f>"JI-PARANA"</f>
        <v>JI-PARANA</v>
      </c>
      <c r="B2718" s="3" t="str">
        <f>"RO"</f>
        <v>RO</v>
      </c>
      <c r="C2718" s="3" t="str">
        <f t="shared" si="105"/>
        <v>BRASIL</v>
      </c>
      <c r="D2718" s="4" t="str">
        <f>"RO012"</f>
        <v>RO012</v>
      </c>
    </row>
    <row r="2719" spans="1:4" x14ac:dyDescent="0.3">
      <c r="A2719" s="2" t="str">
        <f>"JIANGSU"</f>
        <v>JIANGSU</v>
      </c>
      <c r="B2719" s="3" t="str">
        <f>"EX"</f>
        <v>EX</v>
      </c>
      <c r="C2719" s="3" t="str">
        <f>"CHINA"</f>
        <v>CHINA</v>
      </c>
      <c r="D2719" s="4" t="str">
        <f>"JIANG"</f>
        <v>JIANG</v>
      </c>
    </row>
    <row r="2720" spans="1:4" x14ac:dyDescent="0.3">
      <c r="A2720" s="2" t="str">
        <f>"JIJOCA DE JERICOACOARA"</f>
        <v>JIJOCA DE JERICOACOARA</v>
      </c>
      <c r="B2720" s="3" t="str">
        <f>"CE"</f>
        <v>CE</v>
      </c>
      <c r="C2720" s="3" t="str">
        <f>"BRASIL"</f>
        <v>BRASIL</v>
      </c>
      <c r="D2720" s="4" t="str">
        <f>"CE098"</f>
        <v>CE098</v>
      </c>
    </row>
    <row r="2721" spans="1:4" x14ac:dyDescent="0.3">
      <c r="A2721" s="2" t="str">
        <f>"JIMO"</f>
        <v>JIMO</v>
      </c>
      <c r="B2721" s="3" t="str">
        <f>"EX"</f>
        <v>EX</v>
      </c>
      <c r="C2721" s="3" t="str">
        <f>"CHINA"</f>
        <v>CHINA</v>
      </c>
      <c r="D2721" s="4" t="str">
        <f>"JIMO"</f>
        <v>JIMO</v>
      </c>
    </row>
    <row r="2722" spans="1:4" x14ac:dyDescent="0.3">
      <c r="A2722" s="2" t="str">
        <f>"JINGJIANG"</f>
        <v>JINGJIANG</v>
      </c>
      <c r="B2722" s="3" t="str">
        <f>"EX"</f>
        <v>EX</v>
      </c>
      <c r="C2722" s="3" t="str">
        <f>"CHINA"</f>
        <v>CHINA</v>
      </c>
      <c r="D2722" s="4" t="str">
        <f>"JING"</f>
        <v>JING</v>
      </c>
    </row>
    <row r="2723" spans="1:4" x14ac:dyDescent="0.3">
      <c r="A2723" s="2" t="str">
        <f>"JINGJIANG"</f>
        <v>JINGJIANG</v>
      </c>
      <c r="B2723" s="3" t="str">
        <f>"EX"</f>
        <v>EX</v>
      </c>
      <c r="C2723" s="3" t="str">
        <f>"CHINA, REPUBLICA POP"</f>
        <v>CHINA, REPUBLICA POP</v>
      </c>
      <c r="D2723" s="4" t="str">
        <f>"JINGJ"</f>
        <v>JINGJ</v>
      </c>
    </row>
    <row r="2724" spans="1:4" x14ac:dyDescent="0.3">
      <c r="A2724" s="2" t="str">
        <f>"JIQUIRICA"</f>
        <v>JIQUIRICA</v>
      </c>
      <c r="B2724" s="3" t="str">
        <f>"BA"</f>
        <v>BA</v>
      </c>
      <c r="C2724" s="3" t="str">
        <f t="shared" ref="C2724:C2755" si="106">"BRASIL"</f>
        <v>BRASIL</v>
      </c>
      <c r="D2724" s="4" t="str">
        <f>"BA215"</f>
        <v>BA215</v>
      </c>
    </row>
    <row r="2725" spans="1:4" x14ac:dyDescent="0.3">
      <c r="A2725" s="2" t="str">
        <f>"JITAUNA"</f>
        <v>JITAUNA</v>
      </c>
      <c r="B2725" s="3" t="str">
        <f>"BA"</f>
        <v>BA</v>
      </c>
      <c r="C2725" s="3" t="str">
        <f t="shared" si="106"/>
        <v>BRASIL</v>
      </c>
      <c r="D2725" s="4" t="str">
        <f>"BA216"</f>
        <v>BA216</v>
      </c>
    </row>
    <row r="2726" spans="1:4" x14ac:dyDescent="0.3">
      <c r="A2726" s="2" t="str">
        <f>"JOACABA"</f>
        <v>JOACABA</v>
      </c>
      <c r="B2726" s="3" t="str">
        <f>"SC"</f>
        <v>SC</v>
      </c>
      <c r="C2726" s="3" t="str">
        <f t="shared" si="106"/>
        <v>BRASIL</v>
      </c>
      <c r="D2726" s="4" t="str">
        <f>"SC136"</f>
        <v>SC136</v>
      </c>
    </row>
    <row r="2727" spans="1:4" x14ac:dyDescent="0.3">
      <c r="A2727" s="2" t="str">
        <f>"JOAIMA"</f>
        <v>JOAIMA</v>
      </c>
      <c r="B2727" s="3" t="str">
        <f>"MG"</f>
        <v>MG</v>
      </c>
      <c r="C2727" s="3" t="str">
        <f t="shared" si="106"/>
        <v>BRASIL</v>
      </c>
      <c r="D2727" s="4" t="str">
        <f>"MG409"</f>
        <v>MG409</v>
      </c>
    </row>
    <row r="2728" spans="1:4" x14ac:dyDescent="0.3">
      <c r="A2728" s="2" t="str">
        <f>"JOANESIA"</f>
        <v>JOANESIA</v>
      </c>
      <c r="B2728" s="3" t="str">
        <f>"MG"</f>
        <v>MG</v>
      </c>
      <c r="C2728" s="3" t="str">
        <f t="shared" si="106"/>
        <v>BRASIL</v>
      </c>
      <c r="D2728" s="4" t="str">
        <f>"MG410"</f>
        <v>MG410</v>
      </c>
    </row>
    <row r="2729" spans="1:4" x14ac:dyDescent="0.3">
      <c r="A2729" s="2" t="str">
        <f>"JOANOPOLIS"</f>
        <v>JOANOPOLIS</v>
      </c>
      <c r="B2729" s="3" t="str">
        <f>"SP"</f>
        <v>SP</v>
      </c>
      <c r="C2729" s="3" t="str">
        <f t="shared" si="106"/>
        <v>BRASIL</v>
      </c>
      <c r="D2729" s="4" t="str">
        <f>"SP289"</f>
        <v>SP289</v>
      </c>
    </row>
    <row r="2730" spans="1:4" x14ac:dyDescent="0.3">
      <c r="A2730" s="2" t="str">
        <f>"JOAO ALFREDO"</f>
        <v>JOAO ALFREDO</v>
      </c>
      <c r="B2730" s="3" t="str">
        <f>"PE"</f>
        <v>PE</v>
      </c>
      <c r="C2730" s="3" t="str">
        <f t="shared" si="106"/>
        <v>BRASIL</v>
      </c>
      <c r="D2730" s="4" t="str">
        <f>"PE092"</f>
        <v>PE092</v>
      </c>
    </row>
    <row r="2731" spans="1:4" x14ac:dyDescent="0.3">
      <c r="A2731" s="2" t="str">
        <f>"JOAO CAMARA"</f>
        <v>JOAO CAMARA</v>
      </c>
      <c r="B2731" s="3" t="str">
        <f>"RN"</f>
        <v>RN</v>
      </c>
      <c r="C2731" s="3" t="str">
        <f t="shared" si="106"/>
        <v>BRASIL</v>
      </c>
      <c r="D2731" s="4" t="str">
        <f>"RN064"</f>
        <v>RN064</v>
      </c>
    </row>
    <row r="2732" spans="1:4" x14ac:dyDescent="0.3">
      <c r="A2732" s="2" t="str">
        <f>"JOAO COSTA"</f>
        <v>JOAO COSTA</v>
      </c>
      <c r="B2732" s="3" t="str">
        <f>"PI"</f>
        <v>PI</v>
      </c>
      <c r="C2732" s="3" t="str">
        <f t="shared" si="106"/>
        <v>BRASIL</v>
      </c>
      <c r="D2732" s="4" t="str">
        <f>"PI105"</f>
        <v>PI105</v>
      </c>
    </row>
    <row r="2733" spans="1:4" x14ac:dyDescent="0.3">
      <c r="A2733" s="2" t="str">
        <f>"JOAO DIAS"</f>
        <v>JOAO DIAS</v>
      </c>
      <c r="B2733" s="3" t="str">
        <f>"RN"</f>
        <v>RN</v>
      </c>
      <c r="C2733" s="3" t="str">
        <f t="shared" si="106"/>
        <v>BRASIL</v>
      </c>
      <c r="D2733" s="4" t="str">
        <f>"RN065"</f>
        <v>RN065</v>
      </c>
    </row>
    <row r="2734" spans="1:4" x14ac:dyDescent="0.3">
      <c r="A2734" s="2" t="str">
        <f>"JOAO DOURADO"</f>
        <v>JOAO DOURADO</v>
      </c>
      <c r="B2734" s="3" t="str">
        <f>"BA"</f>
        <v>BA</v>
      </c>
      <c r="C2734" s="3" t="str">
        <f t="shared" si="106"/>
        <v>BRASIL</v>
      </c>
      <c r="D2734" s="4" t="str">
        <f>"BA217"</f>
        <v>BA217</v>
      </c>
    </row>
    <row r="2735" spans="1:4" x14ac:dyDescent="0.3">
      <c r="A2735" s="2" t="str">
        <f>"JOAO LISBOA"</f>
        <v>JOAO LISBOA</v>
      </c>
      <c r="B2735" s="3" t="str">
        <f>"MA"</f>
        <v>MA</v>
      </c>
      <c r="C2735" s="3" t="str">
        <f t="shared" si="106"/>
        <v>BRASIL</v>
      </c>
      <c r="D2735" s="4" t="str">
        <f>"MA096"</f>
        <v>MA096</v>
      </c>
    </row>
    <row r="2736" spans="1:4" x14ac:dyDescent="0.3">
      <c r="A2736" s="2" t="str">
        <f>"JOAO MONLEVADE"</f>
        <v>JOAO MONLEVADE</v>
      </c>
      <c r="B2736" s="3" t="str">
        <f>"MG"</f>
        <v>MG</v>
      </c>
      <c r="C2736" s="3" t="str">
        <f t="shared" si="106"/>
        <v>BRASIL</v>
      </c>
      <c r="D2736" s="4" t="str">
        <f>"MG411"</f>
        <v>MG411</v>
      </c>
    </row>
    <row r="2737" spans="1:4" x14ac:dyDescent="0.3">
      <c r="A2737" s="2" t="str">
        <f>"JOAO NEIVA"</f>
        <v>JOAO NEIVA</v>
      </c>
      <c r="B2737" s="3" t="str">
        <f>"ES"</f>
        <v>ES</v>
      </c>
      <c r="C2737" s="3" t="str">
        <f t="shared" si="106"/>
        <v>BRASIL</v>
      </c>
      <c r="D2737" s="4" t="str">
        <f>"ES041"</f>
        <v>ES041</v>
      </c>
    </row>
    <row r="2738" spans="1:4" x14ac:dyDescent="0.3">
      <c r="A2738" s="2" t="str">
        <f>"JOAO PESSOA"</f>
        <v>JOAO PESSOA</v>
      </c>
      <c r="B2738" s="3" t="str">
        <f>"PB"</f>
        <v>PB</v>
      </c>
      <c r="C2738" s="3" t="str">
        <f t="shared" si="106"/>
        <v>BRASIL</v>
      </c>
      <c r="D2738" s="4" t="str">
        <f>"PB096"</f>
        <v>PB096</v>
      </c>
    </row>
    <row r="2739" spans="1:4" x14ac:dyDescent="0.3">
      <c r="A2739" s="2" t="str">
        <f>"JOAO PINHEIRO"</f>
        <v>JOAO PINHEIRO</v>
      </c>
      <c r="B2739" s="3" t="str">
        <f>"MG"</f>
        <v>MG</v>
      </c>
      <c r="C2739" s="3" t="str">
        <f t="shared" si="106"/>
        <v>BRASIL</v>
      </c>
      <c r="D2739" s="4" t="str">
        <f>"MG412"</f>
        <v>MG412</v>
      </c>
    </row>
    <row r="2740" spans="1:4" x14ac:dyDescent="0.3">
      <c r="A2740" s="2" t="str">
        <f>"JOAO RAMALHO"</f>
        <v>JOAO RAMALHO</v>
      </c>
      <c r="B2740" s="3" t="str">
        <f>"SP"</f>
        <v>SP</v>
      </c>
      <c r="C2740" s="3" t="str">
        <f t="shared" si="106"/>
        <v>BRASIL</v>
      </c>
      <c r="D2740" s="4" t="str">
        <f>"SP290"</f>
        <v>SP290</v>
      </c>
    </row>
    <row r="2741" spans="1:4" x14ac:dyDescent="0.3">
      <c r="A2741" s="2" t="str">
        <f>"JOAQUIM FELICIO"</f>
        <v>JOAQUIM FELICIO</v>
      </c>
      <c r="B2741" s="3" t="str">
        <f>"MG"</f>
        <v>MG</v>
      </c>
      <c r="C2741" s="3" t="str">
        <f t="shared" si="106"/>
        <v>BRASIL</v>
      </c>
      <c r="D2741" s="4" t="str">
        <f>"MG413"</f>
        <v>MG413</v>
      </c>
    </row>
    <row r="2742" spans="1:4" x14ac:dyDescent="0.3">
      <c r="A2742" s="2" t="str">
        <f>"JOAQUIM GOMES"</f>
        <v>JOAQUIM GOMES</v>
      </c>
      <c r="B2742" s="3" t="str">
        <f>"AL"</f>
        <v>AL</v>
      </c>
      <c r="C2742" s="3" t="str">
        <f t="shared" si="106"/>
        <v>BRASIL</v>
      </c>
      <c r="D2742" s="4" t="str">
        <f>"AL042"</f>
        <v>AL042</v>
      </c>
    </row>
    <row r="2743" spans="1:4" x14ac:dyDescent="0.3">
      <c r="A2743" s="2" t="str">
        <f>"JOAQUIM NABUCO"</f>
        <v>JOAQUIM NABUCO</v>
      </c>
      <c r="B2743" s="3" t="str">
        <f>"PE"</f>
        <v>PE</v>
      </c>
      <c r="C2743" s="3" t="str">
        <f t="shared" si="106"/>
        <v>BRASIL</v>
      </c>
      <c r="D2743" s="4" t="str">
        <f>"PE093"</f>
        <v>PE093</v>
      </c>
    </row>
    <row r="2744" spans="1:4" x14ac:dyDescent="0.3">
      <c r="A2744" s="2" t="str">
        <f>"JOAQUIM PIRES"</f>
        <v>JOAQUIM PIRES</v>
      </c>
      <c r="B2744" s="3" t="str">
        <f>"PI"</f>
        <v>PI</v>
      </c>
      <c r="C2744" s="3" t="str">
        <f t="shared" si="106"/>
        <v>BRASIL</v>
      </c>
      <c r="D2744" s="4" t="str">
        <f>"PI106"</f>
        <v>PI106</v>
      </c>
    </row>
    <row r="2745" spans="1:4" x14ac:dyDescent="0.3">
      <c r="A2745" s="2" t="str">
        <f>"JOAQUIM TAVORA"</f>
        <v>JOAQUIM TAVORA</v>
      </c>
      <c r="B2745" s="3" t="str">
        <f>"PR"</f>
        <v>PR</v>
      </c>
      <c r="C2745" s="3" t="str">
        <f t="shared" si="106"/>
        <v>BRASIL</v>
      </c>
      <c r="D2745" s="4" t="str">
        <f>"PR178"</f>
        <v>PR178</v>
      </c>
    </row>
    <row r="2746" spans="1:4" x14ac:dyDescent="0.3">
      <c r="A2746" s="2" t="str">
        <f>"JOCA MARQUES"</f>
        <v>JOCA MARQUES</v>
      </c>
      <c r="B2746" s="3" t="str">
        <f>"PI"</f>
        <v>PI</v>
      </c>
      <c r="C2746" s="3" t="str">
        <f t="shared" si="106"/>
        <v>BRASIL</v>
      </c>
      <c r="D2746" s="4" t="str">
        <f>"PI107"</f>
        <v>PI107</v>
      </c>
    </row>
    <row r="2747" spans="1:4" x14ac:dyDescent="0.3">
      <c r="A2747" s="2" t="str">
        <f>"JOIA"</f>
        <v>JOIA</v>
      </c>
      <c r="B2747" s="3" t="str">
        <f>"RS"</f>
        <v>RS</v>
      </c>
      <c r="C2747" s="3" t="str">
        <f t="shared" si="106"/>
        <v>BRASIL</v>
      </c>
      <c r="D2747" s="4" t="str">
        <f>"RS226"</f>
        <v>RS226</v>
      </c>
    </row>
    <row r="2748" spans="1:4" x14ac:dyDescent="0.3">
      <c r="A2748" s="2" t="str">
        <f>"JOINVILLE"</f>
        <v>JOINVILLE</v>
      </c>
      <c r="B2748" s="3" t="str">
        <f>"SC"</f>
        <v>SC</v>
      </c>
      <c r="C2748" s="3" t="str">
        <f t="shared" si="106"/>
        <v>BRASIL</v>
      </c>
      <c r="D2748" s="4" t="str">
        <f>"JV"</f>
        <v>JV</v>
      </c>
    </row>
    <row r="2749" spans="1:4" x14ac:dyDescent="0.3">
      <c r="A2749" s="2" t="str">
        <f>"JORDANIA"</f>
        <v>JORDANIA</v>
      </c>
      <c r="B2749" s="3" t="str">
        <f>"MG"</f>
        <v>MG</v>
      </c>
      <c r="C2749" s="3" t="str">
        <f t="shared" si="106"/>
        <v>BRASIL</v>
      </c>
      <c r="D2749" s="4" t="str">
        <f>"MG414"</f>
        <v>MG414</v>
      </c>
    </row>
    <row r="2750" spans="1:4" x14ac:dyDescent="0.3">
      <c r="A2750" s="2" t="str">
        <f>"JORDAO"</f>
        <v>JORDAO</v>
      </c>
      <c r="B2750" s="3" t="str">
        <f>"AC"</f>
        <v>AC</v>
      </c>
      <c r="C2750" s="3" t="str">
        <f t="shared" si="106"/>
        <v>BRASIL</v>
      </c>
      <c r="D2750" s="4" t="str">
        <f>"AC009"</f>
        <v>AC009</v>
      </c>
    </row>
    <row r="2751" spans="1:4" x14ac:dyDescent="0.3">
      <c r="A2751" s="2" t="str">
        <f>"JOSE BOITEUX"</f>
        <v>JOSE BOITEUX</v>
      </c>
      <c r="B2751" s="3" t="str">
        <f>"SC"</f>
        <v>SC</v>
      </c>
      <c r="C2751" s="3" t="str">
        <f t="shared" si="106"/>
        <v>BRASIL</v>
      </c>
      <c r="D2751" s="4" t="str">
        <f>"SC138"</f>
        <v>SC138</v>
      </c>
    </row>
    <row r="2752" spans="1:4" x14ac:dyDescent="0.3">
      <c r="A2752" s="2" t="str">
        <f>"JOSE BONIFACIO"</f>
        <v>JOSE BONIFACIO</v>
      </c>
      <c r="B2752" s="3" t="str">
        <f>"SP"</f>
        <v>SP</v>
      </c>
      <c r="C2752" s="3" t="str">
        <f t="shared" si="106"/>
        <v>BRASIL</v>
      </c>
      <c r="D2752" s="4" t="str">
        <f>"SP291"</f>
        <v>SP291</v>
      </c>
    </row>
    <row r="2753" spans="1:4" x14ac:dyDescent="0.3">
      <c r="A2753" s="2" t="str">
        <f>"JOSE DA PENHA"</f>
        <v>JOSE DA PENHA</v>
      </c>
      <c r="B2753" s="3" t="str">
        <f>"RN"</f>
        <v>RN</v>
      </c>
      <c r="C2753" s="3" t="str">
        <f t="shared" si="106"/>
        <v>BRASIL</v>
      </c>
      <c r="D2753" s="4" t="str">
        <f>"RN066"</f>
        <v>RN066</v>
      </c>
    </row>
    <row r="2754" spans="1:4" x14ac:dyDescent="0.3">
      <c r="A2754" s="2" t="str">
        <f>"JOSE DE FREITAS"</f>
        <v>JOSE DE FREITAS</v>
      </c>
      <c r="B2754" s="3" t="str">
        <f>"PI"</f>
        <v>PI</v>
      </c>
      <c r="C2754" s="3" t="str">
        <f t="shared" si="106"/>
        <v>BRASIL</v>
      </c>
      <c r="D2754" s="4" t="str">
        <f>"PI108"</f>
        <v>PI108</v>
      </c>
    </row>
    <row r="2755" spans="1:4" x14ac:dyDescent="0.3">
      <c r="A2755" s="2" t="str">
        <f>"JOSE GONCALVES DE MINAS"</f>
        <v>JOSE GONCALVES DE MINAS</v>
      </c>
      <c r="B2755" s="3" t="str">
        <f>"MG"</f>
        <v>MG</v>
      </c>
      <c r="C2755" s="3" t="str">
        <f t="shared" si="106"/>
        <v>BRASIL</v>
      </c>
      <c r="D2755" s="4" t="str">
        <f>"MG415"</f>
        <v>MG415</v>
      </c>
    </row>
    <row r="2756" spans="1:4" x14ac:dyDescent="0.3">
      <c r="A2756" s="2" t="str">
        <f>"JOSE RAYDAN"</f>
        <v>JOSE RAYDAN</v>
      </c>
      <c r="B2756" s="3" t="str">
        <f>"MG"</f>
        <v>MG</v>
      </c>
      <c r="C2756" s="3" t="str">
        <f t="shared" ref="C2756:C2787" si="107">"BRASIL"</f>
        <v>BRASIL</v>
      </c>
      <c r="D2756" s="4" t="str">
        <f>"MG416"</f>
        <v>MG416</v>
      </c>
    </row>
    <row r="2757" spans="1:4" x14ac:dyDescent="0.3">
      <c r="A2757" s="2" t="str">
        <f>"JOSELANDIA"</f>
        <v>JOSELANDIA</v>
      </c>
      <c r="B2757" s="3" t="str">
        <f>"MA"</f>
        <v>MA</v>
      </c>
      <c r="C2757" s="3" t="str">
        <f t="shared" si="107"/>
        <v>BRASIL</v>
      </c>
      <c r="D2757" s="4" t="str">
        <f>"MA097"</f>
        <v>MA097</v>
      </c>
    </row>
    <row r="2758" spans="1:4" x14ac:dyDescent="0.3">
      <c r="A2758" s="2" t="str">
        <f>"JOSENOPOLIS"</f>
        <v>JOSENOPOLIS</v>
      </c>
      <c r="B2758" s="3" t="str">
        <f>"MG"</f>
        <v>MG</v>
      </c>
      <c r="C2758" s="3" t="str">
        <f t="shared" si="107"/>
        <v>BRASIL</v>
      </c>
      <c r="D2758" s="4" t="str">
        <f>"MG417"</f>
        <v>MG417</v>
      </c>
    </row>
    <row r="2759" spans="1:4" x14ac:dyDescent="0.3">
      <c r="A2759" s="2" t="str">
        <f>"JOVIANIA"</f>
        <v>JOVIANIA</v>
      </c>
      <c r="B2759" s="3" t="str">
        <f>"GO"</f>
        <v>GO</v>
      </c>
      <c r="C2759" s="3" t="str">
        <f t="shared" si="107"/>
        <v>BRASIL</v>
      </c>
      <c r="D2759" s="4" t="str">
        <f>"GO131"</f>
        <v>GO131</v>
      </c>
    </row>
    <row r="2760" spans="1:4" x14ac:dyDescent="0.3">
      <c r="A2760" s="2" t="str">
        <f>"JUARA"</f>
        <v>JUARA</v>
      </c>
      <c r="B2760" s="3" t="str">
        <f>"MT"</f>
        <v>MT</v>
      </c>
      <c r="C2760" s="3" t="str">
        <f t="shared" si="107"/>
        <v>BRASIL</v>
      </c>
      <c r="D2760" s="4" t="str">
        <f>"MT058"</f>
        <v>MT058</v>
      </c>
    </row>
    <row r="2761" spans="1:4" x14ac:dyDescent="0.3">
      <c r="A2761" s="2" t="str">
        <f>"JUAREZ TAVORA"</f>
        <v>JUAREZ TAVORA</v>
      </c>
      <c r="B2761" s="3" t="str">
        <f>"PB"</f>
        <v>PB</v>
      </c>
      <c r="C2761" s="3" t="str">
        <f t="shared" si="107"/>
        <v>BRASIL</v>
      </c>
      <c r="D2761" s="4" t="str">
        <f>"PB097"</f>
        <v>PB097</v>
      </c>
    </row>
    <row r="2762" spans="1:4" x14ac:dyDescent="0.3">
      <c r="A2762" s="2" t="str">
        <f>"JUARINA"</f>
        <v>JUARINA</v>
      </c>
      <c r="B2762" s="3" t="str">
        <f>"TO"</f>
        <v>TO</v>
      </c>
      <c r="C2762" s="3" t="str">
        <f t="shared" si="107"/>
        <v>BRASIL</v>
      </c>
      <c r="D2762" s="4" t="str">
        <f>"TO065"</f>
        <v>TO065</v>
      </c>
    </row>
    <row r="2763" spans="1:4" x14ac:dyDescent="0.3">
      <c r="A2763" s="2" t="str">
        <f>"JUATUBA"</f>
        <v>JUATUBA</v>
      </c>
      <c r="B2763" s="3" t="str">
        <f>"MG"</f>
        <v>MG</v>
      </c>
      <c r="C2763" s="3" t="str">
        <f t="shared" si="107"/>
        <v>BRASIL</v>
      </c>
      <c r="D2763" s="4" t="str">
        <f>"MG419"</f>
        <v>MG419</v>
      </c>
    </row>
    <row r="2764" spans="1:4" x14ac:dyDescent="0.3">
      <c r="A2764" s="2" t="str">
        <f>"JUAZEIRINHO"</f>
        <v>JUAZEIRINHO</v>
      </c>
      <c r="B2764" s="3" t="str">
        <f>"PB"</f>
        <v>PB</v>
      </c>
      <c r="C2764" s="3" t="str">
        <f t="shared" si="107"/>
        <v>BRASIL</v>
      </c>
      <c r="D2764" s="4" t="str">
        <f>"PB098"</f>
        <v>PB098</v>
      </c>
    </row>
    <row r="2765" spans="1:4" x14ac:dyDescent="0.3">
      <c r="A2765" s="2" t="str">
        <f>"JUAZEIRO"</f>
        <v>JUAZEIRO</v>
      </c>
      <c r="B2765" s="3" t="str">
        <f>"BA"</f>
        <v>BA</v>
      </c>
      <c r="C2765" s="3" t="str">
        <f t="shared" si="107"/>
        <v>BRASIL</v>
      </c>
      <c r="D2765" s="4" t="str">
        <f>"BA218"</f>
        <v>BA218</v>
      </c>
    </row>
    <row r="2766" spans="1:4" x14ac:dyDescent="0.3">
      <c r="A2766" s="2" t="str">
        <f>"JUAZEIRO DO NORTE"</f>
        <v>JUAZEIRO DO NORTE</v>
      </c>
      <c r="B2766" s="3" t="str">
        <f>"CE"</f>
        <v>CE</v>
      </c>
      <c r="C2766" s="3" t="str">
        <f t="shared" si="107"/>
        <v>BRASIL</v>
      </c>
      <c r="D2766" s="4" t="str">
        <f>"CE099"</f>
        <v>CE099</v>
      </c>
    </row>
    <row r="2767" spans="1:4" x14ac:dyDescent="0.3">
      <c r="A2767" s="2" t="str">
        <f>"JUAZEIRO DO PIAUI"</f>
        <v>JUAZEIRO DO PIAUI</v>
      </c>
      <c r="B2767" s="3" t="str">
        <f>"PI"</f>
        <v>PI</v>
      </c>
      <c r="C2767" s="3" t="str">
        <f t="shared" si="107"/>
        <v>BRASIL</v>
      </c>
      <c r="D2767" s="4" t="str">
        <f>"PI109"</f>
        <v>PI109</v>
      </c>
    </row>
    <row r="2768" spans="1:4" x14ac:dyDescent="0.3">
      <c r="A2768" s="2" t="str">
        <f>"JUCAS"</f>
        <v>JUCAS</v>
      </c>
      <c r="B2768" s="3" t="str">
        <f>"CE"</f>
        <v>CE</v>
      </c>
      <c r="C2768" s="3" t="str">
        <f t="shared" si="107"/>
        <v>BRASIL</v>
      </c>
      <c r="D2768" s="4" t="str">
        <f>"CE100"</f>
        <v>CE100</v>
      </c>
    </row>
    <row r="2769" spans="1:4" x14ac:dyDescent="0.3">
      <c r="A2769" s="2" t="str">
        <f>"JUCATI"</f>
        <v>JUCATI</v>
      </c>
      <c r="B2769" s="3" t="str">
        <f>"PE"</f>
        <v>PE</v>
      </c>
      <c r="C2769" s="3" t="str">
        <f t="shared" si="107"/>
        <v>BRASIL</v>
      </c>
      <c r="D2769" s="4" t="str">
        <f>"PE094"</f>
        <v>PE094</v>
      </c>
    </row>
    <row r="2770" spans="1:4" x14ac:dyDescent="0.3">
      <c r="A2770" s="2" t="str">
        <f>"JUCURUCU"</f>
        <v>JUCURUCU</v>
      </c>
      <c r="B2770" s="3" t="str">
        <f>"BA"</f>
        <v>BA</v>
      </c>
      <c r="C2770" s="3" t="str">
        <f t="shared" si="107"/>
        <v>BRASIL</v>
      </c>
      <c r="D2770" s="4" t="str">
        <f>"BA219"</f>
        <v>BA219</v>
      </c>
    </row>
    <row r="2771" spans="1:4" x14ac:dyDescent="0.3">
      <c r="A2771" s="2" t="str">
        <f>"JUCURUTU"</f>
        <v>JUCURUTU</v>
      </c>
      <c r="B2771" s="3" t="str">
        <f>"RN"</f>
        <v>RN</v>
      </c>
      <c r="C2771" s="3" t="str">
        <f t="shared" si="107"/>
        <v>BRASIL</v>
      </c>
      <c r="D2771" s="4" t="str">
        <f>"RN067"</f>
        <v>RN067</v>
      </c>
    </row>
    <row r="2772" spans="1:4" x14ac:dyDescent="0.3">
      <c r="A2772" s="2" t="str">
        <f>"JUINA"</f>
        <v>JUINA</v>
      </c>
      <c r="B2772" s="3" t="str">
        <f>"MT"</f>
        <v>MT</v>
      </c>
      <c r="C2772" s="3" t="str">
        <f t="shared" si="107"/>
        <v>BRASIL</v>
      </c>
      <c r="D2772" s="4" t="str">
        <f>"MT059"</f>
        <v>MT059</v>
      </c>
    </row>
    <row r="2773" spans="1:4" x14ac:dyDescent="0.3">
      <c r="A2773" s="2" t="str">
        <f>"JUIZ DE FORA"</f>
        <v>JUIZ DE FORA</v>
      </c>
      <c r="B2773" s="3" t="str">
        <f>"MG"</f>
        <v>MG</v>
      </c>
      <c r="C2773" s="3" t="str">
        <f t="shared" si="107"/>
        <v>BRASIL</v>
      </c>
      <c r="D2773" s="4" t="str">
        <f>"MG420"</f>
        <v>MG420</v>
      </c>
    </row>
    <row r="2774" spans="1:4" x14ac:dyDescent="0.3">
      <c r="A2774" s="2" t="str">
        <f>"JULIO BORGES"</f>
        <v>JULIO BORGES</v>
      </c>
      <c r="B2774" s="3" t="str">
        <f>"PI"</f>
        <v>PI</v>
      </c>
      <c r="C2774" s="3" t="str">
        <f t="shared" si="107"/>
        <v>BRASIL</v>
      </c>
      <c r="D2774" s="4" t="str">
        <f>"PI110"</f>
        <v>PI110</v>
      </c>
    </row>
    <row r="2775" spans="1:4" x14ac:dyDescent="0.3">
      <c r="A2775" s="2" t="str">
        <f>"JULIO DE CASTILHOS"</f>
        <v>JULIO DE CASTILHOS</v>
      </c>
      <c r="B2775" s="3" t="str">
        <f>"RS"</f>
        <v>RS</v>
      </c>
      <c r="C2775" s="3" t="str">
        <f t="shared" si="107"/>
        <v>BRASIL</v>
      </c>
      <c r="D2775" s="4" t="str">
        <f>"RS227"</f>
        <v>RS227</v>
      </c>
    </row>
    <row r="2776" spans="1:4" x14ac:dyDescent="0.3">
      <c r="A2776" s="2" t="str">
        <f>"JULIO MESQUITA"</f>
        <v>JULIO MESQUITA</v>
      </c>
      <c r="B2776" s="3" t="str">
        <f>"SP"</f>
        <v>SP</v>
      </c>
      <c r="C2776" s="3" t="str">
        <f t="shared" si="107"/>
        <v>BRASIL</v>
      </c>
      <c r="D2776" s="4" t="str">
        <f>"SP292"</f>
        <v>SP292</v>
      </c>
    </row>
    <row r="2777" spans="1:4" x14ac:dyDescent="0.3">
      <c r="A2777" s="2" t="str">
        <f>"JUMIRIM"</f>
        <v>JUMIRIM</v>
      </c>
      <c r="B2777" s="3" t="str">
        <f>"SP"</f>
        <v>SP</v>
      </c>
      <c r="C2777" s="3" t="str">
        <f t="shared" si="107"/>
        <v>BRASIL</v>
      </c>
      <c r="D2777" s="4" t="str">
        <f>"SP293"</f>
        <v>SP293</v>
      </c>
    </row>
    <row r="2778" spans="1:4" x14ac:dyDescent="0.3">
      <c r="A2778" s="2" t="str">
        <f>"JUNCO DO MARANHAO"</f>
        <v>JUNCO DO MARANHAO</v>
      </c>
      <c r="B2778" s="3" t="str">
        <f>"MA"</f>
        <v>MA</v>
      </c>
      <c r="C2778" s="3" t="str">
        <f t="shared" si="107"/>
        <v>BRASIL</v>
      </c>
      <c r="D2778" s="4" t="str">
        <f>"MA098"</f>
        <v>MA098</v>
      </c>
    </row>
    <row r="2779" spans="1:4" x14ac:dyDescent="0.3">
      <c r="A2779" s="2" t="str">
        <f>"JUNCO DO SERIDO"</f>
        <v>JUNCO DO SERIDO</v>
      </c>
      <c r="B2779" s="3" t="str">
        <f>"PB"</f>
        <v>PB</v>
      </c>
      <c r="C2779" s="3" t="str">
        <f t="shared" si="107"/>
        <v>BRASIL</v>
      </c>
      <c r="D2779" s="4" t="str">
        <f>"PB099"</f>
        <v>PB099</v>
      </c>
    </row>
    <row r="2780" spans="1:4" x14ac:dyDescent="0.3">
      <c r="A2780" s="2" t="str">
        <f>"JUNDIA"</f>
        <v>JUNDIA</v>
      </c>
      <c r="B2780" s="3" t="str">
        <f>"AL"</f>
        <v>AL</v>
      </c>
      <c r="C2780" s="3" t="str">
        <f t="shared" si="107"/>
        <v>BRASIL</v>
      </c>
      <c r="D2780" s="4" t="str">
        <f>"AL043"</f>
        <v>AL043</v>
      </c>
    </row>
    <row r="2781" spans="1:4" x14ac:dyDescent="0.3">
      <c r="A2781" s="2" t="str">
        <f>"JUNDIA"</f>
        <v>JUNDIA</v>
      </c>
      <c r="B2781" s="3" t="str">
        <f>"RN"</f>
        <v>RN</v>
      </c>
      <c r="C2781" s="3" t="str">
        <f t="shared" si="107"/>
        <v>BRASIL</v>
      </c>
      <c r="D2781" s="4" t="str">
        <f>"RN068"</f>
        <v>RN068</v>
      </c>
    </row>
    <row r="2782" spans="1:4" x14ac:dyDescent="0.3">
      <c r="A2782" s="2" t="str">
        <f>"JUNDIAI"</f>
        <v>JUNDIAI</v>
      </c>
      <c r="B2782" s="3" t="str">
        <f>"SP"</f>
        <v>SP</v>
      </c>
      <c r="C2782" s="3" t="str">
        <f t="shared" si="107"/>
        <v>BRASIL</v>
      </c>
      <c r="D2782" s="4" t="str">
        <f>"SP294"</f>
        <v>SP294</v>
      </c>
    </row>
    <row r="2783" spans="1:4" x14ac:dyDescent="0.3">
      <c r="A2783" s="2" t="str">
        <f>"JUNDIAI DO SUL"</f>
        <v>JUNDIAI DO SUL</v>
      </c>
      <c r="B2783" s="3" t="str">
        <f>"PR"</f>
        <v>PR</v>
      </c>
      <c r="C2783" s="3" t="str">
        <f t="shared" si="107"/>
        <v>BRASIL</v>
      </c>
      <c r="D2783" s="4" t="str">
        <f>"PR179"</f>
        <v>PR179</v>
      </c>
    </row>
    <row r="2784" spans="1:4" x14ac:dyDescent="0.3">
      <c r="A2784" s="2" t="str">
        <f>"JUNQUEIRO"</f>
        <v>JUNQUEIRO</v>
      </c>
      <c r="B2784" s="3" t="str">
        <f>"AL"</f>
        <v>AL</v>
      </c>
      <c r="C2784" s="3" t="str">
        <f t="shared" si="107"/>
        <v>BRASIL</v>
      </c>
      <c r="D2784" s="4" t="str">
        <f>"AL044"</f>
        <v>AL044</v>
      </c>
    </row>
    <row r="2785" spans="1:4" x14ac:dyDescent="0.3">
      <c r="A2785" s="2" t="str">
        <f>"JUNQUEIROPOLIS"</f>
        <v>JUNQUEIROPOLIS</v>
      </c>
      <c r="B2785" s="3" t="str">
        <f>"SP"</f>
        <v>SP</v>
      </c>
      <c r="C2785" s="3" t="str">
        <f t="shared" si="107"/>
        <v>BRASIL</v>
      </c>
      <c r="D2785" s="4" t="str">
        <f>"SP295"</f>
        <v>SP295</v>
      </c>
    </row>
    <row r="2786" spans="1:4" x14ac:dyDescent="0.3">
      <c r="A2786" s="2" t="str">
        <f>"JUPI"</f>
        <v>JUPI</v>
      </c>
      <c r="B2786" s="3" t="str">
        <f>"PE"</f>
        <v>PE</v>
      </c>
      <c r="C2786" s="3" t="str">
        <f t="shared" si="107"/>
        <v>BRASIL</v>
      </c>
      <c r="D2786" s="4" t="str">
        <f>"PE095"</f>
        <v>PE095</v>
      </c>
    </row>
    <row r="2787" spans="1:4" x14ac:dyDescent="0.3">
      <c r="A2787" s="2" t="str">
        <f>"JUPIA"</f>
        <v>JUPIA</v>
      </c>
      <c r="B2787" s="3" t="str">
        <f>"SC"</f>
        <v>SC</v>
      </c>
      <c r="C2787" s="3" t="str">
        <f t="shared" si="107"/>
        <v>BRASIL</v>
      </c>
      <c r="D2787" s="4" t="str">
        <f>"SC139"</f>
        <v>SC139</v>
      </c>
    </row>
    <row r="2788" spans="1:4" x14ac:dyDescent="0.3">
      <c r="A2788" s="2" t="str">
        <f>"JUQUIA"</f>
        <v>JUQUIA</v>
      </c>
      <c r="B2788" s="3" t="str">
        <f>"SP"</f>
        <v>SP</v>
      </c>
      <c r="C2788" s="3" t="str">
        <f t="shared" ref="C2788:C2809" si="108">"BRASIL"</f>
        <v>BRASIL</v>
      </c>
      <c r="D2788" s="4" t="str">
        <f>"SP296"</f>
        <v>SP296</v>
      </c>
    </row>
    <row r="2789" spans="1:4" x14ac:dyDescent="0.3">
      <c r="A2789" s="2" t="str">
        <f>"JUQUITIBA"</f>
        <v>JUQUITIBA</v>
      </c>
      <c r="B2789" s="3" t="str">
        <f>"SP"</f>
        <v>SP</v>
      </c>
      <c r="C2789" s="3" t="str">
        <f t="shared" si="108"/>
        <v>BRASIL</v>
      </c>
      <c r="D2789" s="4" t="str">
        <f>"SP297"</f>
        <v>SP297</v>
      </c>
    </row>
    <row r="2790" spans="1:4" x14ac:dyDescent="0.3">
      <c r="A2790" s="2" t="str">
        <f>"JURAMENTO"</f>
        <v>JURAMENTO</v>
      </c>
      <c r="B2790" s="3" t="str">
        <f>"MG"</f>
        <v>MG</v>
      </c>
      <c r="C2790" s="3" t="str">
        <f t="shared" si="108"/>
        <v>BRASIL</v>
      </c>
      <c r="D2790" s="4" t="str">
        <f>"MG421"</f>
        <v>MG421</v>
      </c>
    </row>
    <row r="2791" spans="1:4" x14ac:dyDescent="0.3">
      <c r="A2791" s="2" t="str">
        <f>"JURANDA"</f>
        <v>JURANDA</v>
      </c>
      <c r="B2791" s="3" t="str">
        <f>"PR"</f>
        <v>PR</v>
      </c>
      <c r="C2791" s="3" t="str">
        <f t="shared" si="108"/>
        <v>BRASIL</v>
      </c>
      <c r="D2791" s="4" t="str">
        <f>"PR180"</f>
        <v>PR180</v>
      </c>
    </row>
    <row r="2792" spans="1:4" x14ac:dyDescent="0.3">
      <c r="A2792" s="2" t="str">
        <f>"JUREMA"</f>
        <v>JUREMA</v>
      </c>
      <c r="B2792" s="3" t="str">
        <f>"PE"</f>
        <v>PE</v>
      </c>
      <c r="C2792" s="3" t="str">
        <f t="shared" si="108"/>
        <v>BRASIL</v>
      </c>
      <c r="D2792" s="4" t="str">
        <f>"PE096"</f>
        <v>PE096</v>
      </c>
    </row>
    <row r="2793" spans="1:4" x14ac:dyDescent="0.3">
      <c r="A2793" s="2" t="str">
        <f>"JUREMA"</f>
        <v>JUREMA</v>
      </c>
      <c r="B2793" s="3" t="str">
        <f>"PI"</f>
        <v>PI</v>
      </c>
      <c r="C2793" s="3" t="str">
        <f t="shared" si="108"/>
        <v>BRASIL</v>
      </c>
      <c r="D2793" s="4" t="str">
        <f>"PI111"</f>
        <v>PI111</v>
      </c>
    </row>
    <row r="2794" spans="1:4" x14ac:dyDescent="0.3">
      <c r="A2794" s="2" t="str">
        <f>"JURIPIRANGA"</f>
        <v>JURIPIRANGA</v>
      </c>
      <c r="B2794" s="3" t="str">
        <f>"PB"</f>
        <v>PB</v>
      </c>
      <c r="C2794" s="3" t="str">
        <f t="shared" si="108"/>
        <v>BRASIL</v>
      </c>
      <c r="D2794" s="4" t="str">
        <f>"PB100"</f>
        <v>PB100</v>
      </c>
    </row>
    <row r="2795" spans="1:4" x14ac:dyDescent="0.3">
      <c r="A2795" s="2" t="str">
        <f>"JURU"</f>
        <v>JURU</v>
      </c>
      <c r="B2795" s="3" t="str">
        <f>"PB"</f>
        <v>PB</v>
      </c>
      <c r="C2795" s="3" t="str">
        <f t="shared" si="108"/>
        <v>BRASIL</v>
      </c>
      <c r="D2795" s="4" t="str">
        <f>"PB101"</f>
        <v>PB101</v>
      </c>
    </row>
    <row r="2796" spans="1:4" x14ac:dyDescent="0.3">
      <c r="A2796" s="2" t="str">
        <f>"JURUA"</f>
        <v>JURUA</v>
      </c>
      <c r="B2796" s="3" t="str">
        <f>"AM"</f>
        <v>AM</v>
      </c>
      <c r="C2796" s="3" t="str">
        <f t="shared" si="108"/>
        <v>BRASIL</v>
      </c>
      <c r="D2796" s="4" t="str">
        <f>"AM033"</f>
        <v>AM033</v>
      </c>
    </row>
    <row r="2797" spans="1:4" x14ac:dyDescent="0.3">
      <c r="A2797" s="2" t="str">
        <f>"JURUAIA"</f>
        <v>JURUAIA</v>
      </c>
      <c r="B2797" s="3" t="str">
        <f>"MG"</f>
        <v>MG</v>
      </c>
      <c r="C2797" s="3" t="str">
        <f t="shared" si="108"/>
        <v>BRASIL</v>
      </c>
      <c r="D2797" s="4" t="str">
        <f>"MG422"</f>
        <v>MG422</v>
      </c>
    </row>
    <row r="2798" spans="1:4" x14ac:dyDescent="0.3">
      <c r="A2798" s="2" t="str">
        <f>"JURUENA"</f>
        <v>JURUENA</v>
      </c>
      <c r="B2798" s="3" t="str">
        <f>"MT"</f>
        <v>MT</v>
      </c>
      <c r="C2798" s="3" t="str">
        <f t="shared" si="108"/>
        <v>BRASIL</v>
      </c>
      <c r="D2798" s="4" t="str">
        <f>"MT060"</f>
        <v>MT060</v>
      </c>
    </row>
    <row r="2799" spans="1:4" x14ac:dyDescent="0.3">
      <c r="A2799" s="2" t="str">
        <f>"JURUTI"</f>
        <v>JURUTI</v>
      </c>
      <c r="B2799" s="3" t="str">
        <f>"PA"</f>
        <v>PA</v>
      </c>
      <c r="C2799" s="3" t="str">
        <f t="shared" si="108"/>
        <v>BRASIL</v>
      </c>
      <c r="D2799" s="4" t="str">
        <f>"PA062"</f>
        <v>PA062</v>
      </c>
    </row>
    <row r="2800" spans="1:4" x14ac:dyDescent="0.3">
      <c r="A2800" s="2" t="str">
        <f>"JUSCIMEIRA"</f>
        <v>JUSCIMEIRA</v>
      </c>
      <c r="B2800" s="3" t="str">
        <f>"MT"</f>
        <v>MT</v>
      </c>
      <c r="C2800" s="3" t="str">
        <f t="shared" si="108"/>
        <v>BRASIL</v>
      </c>
      <c r="D2800" s="4" t="str">
        <f>"MT061"</f>
        <v>MT061</v>
      </c>
    </row>
    <row r="2801" spans="1:4" x14ac:dyDescent="0.3">
      <c r="A2801" s="2" t="str">
        <f>"JUSSARA"</f>
        <v>JUSSARA</v>
      </c>
      <c r="B2801" s="3" t="str">
        <f>"BA"</f>
        <v>BA</v>
      </c>
      <c r="C2801" s="3" t="str">
        <f t="shared" si="108"/>
        <v>BRASIL</v>
      </c>
      <c r="D2801" s="4" t="str">
        <f>"BA220"</f>
        <v>BA220</v>
      </c>
    </row>
    <row r="2802" spans="1:4" x14ac:dyDescent="0.3">
      <c r="A2802" s="2" t="str">
        <f>"JUSSARA"</f>
        <v>JUSSARA</v>
      </c>
      <c r="B2802" s="3" t="str">
        <f>"GO"</f>
        <v>GO</v>
      </c>
      <c r="C2802" s="3" t="str">
        <f t="shared" si="108"/>
        <v>BRASIL</v>
      </c>
      <c r="D2802" s="4" t="str">
        <f>"GO132"</f>
        <v>GO132</v>
      </c>
    </row>
    <row r="2803" spans="1:4" x14ac:dyDescent="0.3">
      <c r="A2803" s="2" t="str">
        <f>"JUSSARA"</f>
        <v>JUSSARA</v>
      </c>
      <c r="B2803" s="3" t="str">
        <f>"PR"</f>
        <v>PR</v>
      </c>
      <c r="C2803" s="3" t="str">
        <f t="shared" si="108"/>
        <v>BRASIL</v>
      </c>
      <c r="D2803" s="4" t="str">
        <f>"PR181"</f>
        <v>PR181</v>
      </c>
    </row>
    <row r="2804" spans="1:4" x14ac:dyDescent="0.3">
      <c r="A2804" s="2" t="str">
        <f>"JUSSARI"</f>
        <v>JUSSARI</v>
      </c>
      <c r="B2804" s="3" t="str">
        <f>"BA"</f>
        <v>BA</v>
      </c>
      <c r="C2804" s="3" t="str">
        <f t="shared" si="108"/>
        <v>BRASIL</v>
      </c>
      <c r="D2804" s="4" t="str">
        <f>"BA221"</f>
        <v>BA221</v>
      </c>
    </row>
    <row r="2805" spans="1:4" x14ac:dyDescent="0.3">
      <c r="A2805" s="2" t="str">
        <f>"JUSSIAPE"</f>
        <v>JUSSIAPE</v>
      </c>
      <c r="B2805" s="3" t="str">
        <f>"BA"</f>
        <v>BA</v>
      </c>
      <c r="C2805" s="3" t="str">
        <f t="shared" si="108"/>
        <v>BRASIL</v>
      </c>
      <c r="D2805" s="4" t="str">
        <f>"BA222"</f>
        <v>BA222</v>
      </c>
    </row>
    <row r="2806" spans="1:4" x14ac:dyDescent="0.3">
      <c r="A2806" s="2" t="str">
        <f>"JUTAI"</f>
        <v>JUTAI</v>
      </c>
      <c r="B2806" s="3" t="str">
        <f>"AM"</f>
        <v>AM</v>
      </c>
      <c r="C2806" s="3" t="str">
        <f t="shared" si="108"/>
        <v>BRASIL</v>
      </c>
      <c r="D2806" s="4" t="str">
        <f>"AM034"</f>
        <v>AM034</v>
      </c>
    </row>
    <row r="2807" spans="1:4" x14ac:dyDescent="0.3">
      <c r="A2807" s="2" t="str">
        <f>"JUTI"</f>
        <v>JUTI</v>
      </c>
      <c r="B2807" s="3" t="str">
        <f>"MS"</f>
        <v>MS</v>
      </c>
      <c r="C2807" s="3" t="str">
        <f t="shared" si="108"/>
        <v>BRASIL</v>
      </c>
      <c r="D2807" s="4" t="str">
        <f>"MS047"</f>
        <v>MS047</v>
      </c>
    </row>
    <row r="2808" spans="1:4" x14ac:dyDescent="0.3">
      <c r="A2808" s="2" t="str">
        <f>"JUVENILIA"</f>
        <v>JUVENILIA</v>
      </c>
      <c r="B2808" s="3" t="str">
        <f>"MG"</f>
        <v>MG</v>
      </c>
      <c r="C2808" s="3" t="str">
        <f t="shared" si="108"/>
        <v>BRASIL</v>
      </c>
      <c r="D2808" s="4" t="str">
        <f>"MG423"</f>
        <v>MG423</v>
      </c>
    </row>
    <row r="2809" spans="1:4" x14ac:dyDescent="0.3">
      <c r="A2809" s="2" t="str">
        <f>"KALORE"</f>
        <v>KALORE</v>
      </c>
      <c r="B2809" s="3" t="str">
        <f>"PR"</f>
        <v>PR</v>
      </c>
      <c r="C2809" s="3" t="str">
        <f t="shared" si="108"/>
        <v>BRASIL</v>
      </c>
      <c r="D2809" s="4" t="str">
        <f>"PR182"</f>
        <v>PR182</v>
      </c>
    </row>
    <row r="2810" spans="1:4" x14ac:dyDescent="0.3">
      <c r="A2810" s="2" t="str">
        <f>"KEHL"</f>
        <v>KEHL</v>
      </c>
      <c r="B2810" s="3" t="str">
        <f>"EX"</f>
        <v>EX</v>
      </c>
      <c r="C2810" s="3" t="str">
        <f>"ALEMANHA"</f>
        <v>ALEMANHA</v>
      </c>
      <c r="D2810" s="4" t="str">
        <f>"KEHL"</f>
        <v>KEHL</v>
      </c>
    </row>
    <row r="2811" spans="1:4" x14ac:dyDescent="0.3">
      <c r="A2811" s="2" t="str">
        <f>"KENTWOOD"</f>
        <v>KENTWOOD</v>
      </c>
      <c r="B2811" s="3" t="str">
        <f>"EX"</f>
        <v>EX</v>
      </c>
      <c r="C2811" s="3" t="str">
        <f>"ESTADOS UNIDOS"</f>
        <v>ESTADOS UNIDOS</v>
      </c>
      <c r="D2811" s="4" t="str">
        <f>"KENTW"</f>
        <v>KENTW</v>
      </c>
    </row>
    <row r="2812" spans="1:4" x14ac:dyDescent="0.3">
      <c r="A2812" s="2" t="str">
        <f>"KINGSTON"</f>
        <v>KINGSTON</v>
      </c>
      <c r="B2812" s="3" t="str">
        <f>"ING"</f>
        <v>ING</v>
      </c>
      <c r="C2812" s="3" t="str">
        <f>"INGLATERRA"</f>
        <v>INGLATERRA</v>
      </c>
      <c r="D2812" s="4" t="str">
        <f>"KING"</f>
        <v>KING</v>
      </c>
    </row>
    <row r="2813" spans="1:4" x14ac:dyDescent="0.3">
      <c r="A2813" s="2" t="str">
        <f>"KLEINOSTHEIM"</f>
        <v>KLEINOSTHEIM</v>
      </c>
      <c r="B2813" s="3" t="str">
        <f>"EX"</f>
        <v>EX</v>
      </c>
      <c r="C2813" s="3" t="str">
        <f>"ALEMANHA"</f>
        <v>ALEMANHA</v>
      </c>
      <c r="D2813" s="4" t="str">
        <f>"KLEI"</f>
        <v>KLEI</v>
      </c>
    </row>
    <row r="2814" spans="1:4" x14ac:dyDescent="0.3">
      <c r="A2814" s="2" t="str">
        <f>"KLEINOSTHEIM"</f>
        <v>KLEINOSTHEIM</v>
      </c>
      <c r="B2814" s="3" t="str">
        <f>"GER"</f>
        <v>GER</v>
      </c>
      <c r="C2814" s="3" t="str">
        <f>"ALEMANHA"</f>
        <v>ALEMANHA</v>
      </c>
      <c r="D2814" s="4" t="str">
        <f>"KLEIN"</f>
        <v>KLEIN</v>
      </c>
    </row>
    <row r="2815" spans="1:4" x14ac:dyDescent="0.3">
      <c r="A2815" s="2" t="str">
        <f>"KÖLN"</f>
        <v>KÖLN</v>
      </c>
      <c r="B2815" s="3" t="str">
        <f>"EX"</f>
        <v>EX</v>
      </c>
      <c r="C2815" s="3" t="str">
        <f>"ALEMANHA"</f>
        <v>ALEMANHA</v>
      </c>
      <c r="D2815" s="4" t="str">
        <f>"KÖLN"</f>
        <v>KÖLN</v>
      </c>
    </row>
    <row r="2816" spans="1:4" x14ac:dyDescent="0.3">
      <c r="A2816" s="2" t="str">
        <f>"KRAKÓW"</f>
        <v>KRAKÓW</v>
      </c>
      <c r="B2816" s="3" t="str">
        <f>"EX"</f>
        <v>EX</v>
      </c>
      <c r="C2816" s="3" t="str">
        <f>"POLONIA"</f>
        <v>POLONIA</v>
      </c>
      <c r="D2816" s="4" t="str">
        <f>"KRA"</f>
        <v>KRA</v>
      </c>
    </row>
    <row r="2817" spans="1:4" x14ac:dyDescent="0.3">
      <c r="A2817" s="2" t="str">
        <f>"KREFELD"</f>
        <v>KREFELD</v>
      </c>
      <c r="B2817" s="3" t="str">
        <f>"EX"</f>
        <v>EX</v>
      </c>
      <c r="C2817" s="3" t="str">
        <f>"ALEMANHA"</f>
        <v>ALEMANHA</v>
      </c>
      <c r="D2817" s="4" t="str">
        <f>"KREF"</f>
        <v>KREF</v>
      </c>
    </row>
    <row r="2818" spans="1:4" x14ac:dyDescent="0.3">
      <c r="A2818" s="2" t="str">
        <f>"KREFELD"</f>
        <v>KREFELD</v>
      </c>
      <c r="B2818" s="3" t="str">
        <f>"GER"</f>
        <v>GER</v>
      </c>
      <c r="C2818" s="3" t="str">
        <f>"ALEMANHA"</f>
        <v>ALEMANHA</v>
      </c>
      <c r="D2818" s="4" t="str">
        <f>"KREF."</f>
        <v>KREF.</v>
      </c>
    </row>
    <row r="2819" spans="1:4" x14ac:dyDescent="0.3">
      <c r="A2819" s="2" t="str">
        <f>"KUFSTEIN"</f>
        <v>KUFSTEIN</v>
      </c>
      <c r="B2819" s="3" t="str">
        <f>"AUT"</f>
        <v>AUT</v>
      </c>
      <c r="C2819" s="3" t="str">
        <f>"AUSTRIA"</f>
        <v>AUSTRIA</v>
      </c>
      <c r="D2819" s="4" t="str">
        <f>"KUFST"</f>
        <v>KUFST</v>
      </c>
    </row>
    <row r="2820" spans="1:4" x14ac:dyDescent="0.3">
      <c r="A2820" s="2" t="str">
        <f>"KUFSTEIN"</f>
        <v>KUFSTEIN</v>
      </c>
      <c r="B2820" s="3" t="str">
        <f>"EX"</f>
        <v>EX</v>
      </c>
      <c r="C2820" s="3" t="str">
        <f>"AUSTRIA"</f>
        <v>AUSTRIA</v>
      </c>
      <c r="D2820" s="4" t="str">
        <f>"KUFEX"</f>
        <v>KUFEX</v>
      </c>
    </row>
    <row r="2821" spans="1:4" x14ac:dyDescent="0.3">
      <c r="A2821" s="2" t="str">
        <f>"LABREA"</f>
        <v>LABREA</v>
      </c>
      <c r="B2821" s="3" t="str">
        <f>"AM"</f>
        <v>AM</v>
      </c>
      <c r="C2821" s="3" t="str">
        <f t="shared" ref="C2821:C2827" si="109">"BRASIL"</f>
        <v>BRASIL</v>
      </c>
      <c r="D2821" s="4" t="str">
        <f>"AM035"</f>
        <v>AM035</v>
      </c>
    </row>
    <row r="2822" spans="1:4" x14ac:dyDescent="0.3">
      <c r="A2822" s="2" t="str">
        <f>"LACERDOPOLIS"</f>
        <v>LACERDOPOLIS</v>
      </c>
      <c r="B2822" s="3" t="str">
        <f>"SC"</f>
        <v>SC</v>
      </c>
      <c r="C2822" s="3" t="str">
        <f t="shared" si="109"/>
        <v>BRASIL</v>
      </c>
      <c r="D2822" s="4" t="str">
        <f>"SC140"</f>
        <v>SC140</v>
      </c>
    </row>
    <row r="2823" spans="1:4" x14ac:dyDescent="0.3">
      <c r="A2823" s="2" t="str">
        <f>"LADAINHA"</f>
        <v>LADAINHA</v>
      </c>
      <c r="B2823" s="3" t="str">
        <f>"MG"</f>
        <v>MG</v>
      </c>
      <c r="C2823" s="3" t="str">
        <f t="shared" si="109"/>
        <v>BRASIL</v>
      </c>
      <c r="D2823" s="4" t="str">
        <f>"MG424"</f>
        <v>MG424</v>
      </c>
    </row>
    <row r="2824" spans="1:4" x14ac:dyDescent="0.3">
      <c r="A2824" s="2" t="str">
        <f>"LADARIO"</f>
        <v>LADARIO</v>
      </c>
      <c r="B2824" s="3" t="str">
        <f>"MS"</f>
        <v>MS</v>
      </c>
      <c r="C2824" s="3" t="str">
        <f t="shared" si="109"/>
        <v>BRASIL</v>
      </c>
      <c r="D2824" s="4" t="str">
        <f>"MS048"</f>
        <v>MS048</v>
      </c>
    </row>
    <row r="2825" spans="1:4" x14ac:dyDescent="0.3">
      <c r="A2825" s="2" t="str">
        <f>"LAFAIETE COUTINHO"</f>
        <v>LAFAIETE COUTINHO</v>
      </c>
      <c r="B2825" s="3" t="str">
        <f>"BA"</f>
        <v>BA</v>
      </c>
      <c r="C2825" s="3" t="str">
        <f t="shared" si="109"/>
        <v>BRASIL</v>
      </c>
      <c r="D2825" s="4" t="str">
        <f>"BA223"</f>
        <v>BA223</v>
      </c>
    </row>
    <row r="2826" spans="1:4" x14ac:dyDescent="0.3">
      <c r="A2826" s="2" t="str">
        <f>"LAGAMAR"</f>
        <v>LAGAMAR</v>
      </c>
      <c r="B2826" s="3" t="str">
        <f>"MG"</f>
        <v>MG</v>
      </c>
      <c r="C2826" s="3" t="str">
        <f t="shared" si="109"/>
        <v>BRASIL</v>
      </c>
      <c r="D2826" s="4" t="str">
        <f>"MG425"</f>
        <v>MG425</v>
      </c>
    </row>
    <row r="2827" spans="1:4" x14ac:dyDescent="0.3">
      <c r="A2827" s="2" t="str">
        <f>"LAGARTO"</f>
        <v>LAGARTO</v>
      </c>
      <c r="B2827" s="3" t="str">
        <f>"SE"</f>
        <v>SE</v>
      </c>
      <c r="C2827" s="3" t="str">
        <f t="shared" si="109"/>
        <v>BRASIL</v>
      </c>
      <c r="D2827" s="4" t="str">
        <f>"SE033"</f>
        <v>SE033</v>
      </c>
    </row>
    <row r="2828" spans="1:4" x14ac:dyDescent="0.3">
      <c r="A2828" s="2" t="str">
        <f>"LAGE"</f>
        <v>LAGE</v>
      </c>
      <c r="B2828" s="3" t="str">
        <f>"EX"</f>
        <v>EX</v>
      </c>
      <c r="C2828" s="3" t="str">
        <f>"ALEMANHA"</f>
        <v>ALEMANHA</v>
      </c>
      <c r="D2828" s="4" t="str">
        <f>"LAGE"</f>
        <v>LAGE</v>
      </c>
    </row>
    <row r="2829" spans="1:4" x14ac:dyDescent="0.3">
      <c r="A2829" s="2" t="str">
        <f>"LAGES"</f>
        <v>LAGES</v>
      </c>
      <c r="B2829" s="3" t="str">
        <f>"SC"</f>
        <v>SC</v>
      </c>
      <c r="C2829" s="3" t="str">
        <f t="shared" ref="C2829:C2860" si="110">"BRASIL"</f>
        <v>BRASIL</v>
      </c>
      <c r="D2829" s="4" t="str">
        <f>"SC141"</f>
        <v>SC141</v>
      </c>
    </row>
    <row r="2830" spans="1:4" x14ac:dyDescent="0.3">
      <c r="A2830" s="2" t="str">
        <f>"LAGO DA PEDRA"</f>
        <v>LAGO DA PEDRA</v>
      </c>
      <c r="B2830" s="3" t="str">
        <f>"MA"</f>
        <v>MA</v>
      </c>
      <c r="C2830" s="3" t="str">
        <f t="shared" si="110"/>
        <v>BRASIL</v>
      </c>
      <c r="D2830" s="4" t="str">
        <f>"MA099"</f>
        <v>MA099</v>
      </c>
    </row>
    <row r="2831" spans="1:4" x14ac:dyDescent="0.3">
      <c r="A2831" s="2" t="str">
        <f>"LAGO DO JUNCO"</f>
        <v>LAGO DO JUNCO</v>
      </c>
      <c r="B2831" s="3" t="str">
        <f>"MA"</f>
        <v>MA</v>
      </c>
      <c r="C2831" s="3" t="str">
        <f t="shared" si="110"/>
        <v>BRASIL</v>
      </c>
      <c r="D2831" s="4" t="str">
        <f>"MA100"</f>
        <v>MA100</v>
      </c>
    </row>
    <row r="2832" spans="1:4" x14ac:dyDescent="0.3">
      <c r="A2832" s="2" t="str">
        <f>"LAGO DOS RODRIGUES"</f>
        <v>LAGO DOS RODRIGUES</v>
      </c>
      <c r="B2832" s="3" t="str">
        <f>"MA"</f>
        <v>MA</v>
      </c>
      <c r="C2832" s="3" t="str">
        <f t="shared" si="110"/>
        <v>BRASIL</v>
      </c>
      <c r="D2832" s="4" t="str">
        <f>"MA103"</f>
        <v>MA103</v>
      </c>
    </row>
    <row r="2833" spans="1:4" x14ac:dyDescent="0.3">
      <c r="A2833" s="2" t="str">
        <f>"LAGO VERDE"</f>
        <v>LAGO VERDE</v>
      </c>
      <c r="B2833" s="3" t="str">
        <f>"MA"</f>
        <v>MA</v>
      </c>
      <c r="C2833" s="3" t="str">
        <f t="shared" si="110"/>
        <v>BRASIL</v>
      </c>
      <c r="D2833" s="4" t="str">
        <f>"MA101"</f>
        <v>MA101</v>
      </c>
    </row>
    <row r="2834" spans="1:4" x14ac:dyDescent="0.3">
      <c r="A2834" s="2" t="str">
        <f>"LAGOA"</f>
        <v>LAGOA</v>
      </c>
      <c r="B2834" s="3" t="str">
        <f>"PB"</f>
        <v>PB</v>
      </c>
      <c r="C2834" s="3" t="str">
        <f t="shared" si="110"/>
        <v>BRASIL</v>
      </c>
      <c r="D2834" s="4" t="str">
        <f>"PB102"</f>
        <v>PB102</v>
      </c>
    </row>
    <row r="2835" spans="1:4" x14ac:dyDescent="0.3">
      <c r="A2835" s="2" t="str">
        <f>"LAGOA ALEGRE"</f>
        <v>LAGOA ALEGRE</v>
      </c>
      <c r="B2835" s="3" t="str">
        <f>"PI"</f>
        <v>PI</v>
      </c>
      <c r="C2835" s="3" t="str">
        <f t="shared" si="110"/>
        <v>BRASIL</v>
      </c>
      <c r="D2835" s="4" t="str">
        <f>"PI113"</f>
        <v>PI113</v>
      </c>
    </row>
    <row r="2836" spans="1:4" x14ac:dyDescent="0.3">
      <c r="A2836" s="2" t="str">
        <f>"LAGOA BONITA DO SUL"</f>
        <v>LAGOA BONITA DO SUL</v>
      </c>
      <c r="B2836" s="3" t="str">
        <f>"RS"</f>
        <v>RS</v>
      </c>
      <c r="C2836" s="3" t="str">
        <f t="shared" si="110"/>
        <v>BRASIL</v>
      </c>
      <c r="D2836" s="4" t="str">
        <f>"RS228"</f>
        <v>RS228</v>
      </c>
    </row>
    <row r="2837" spans="1:4" x14ac:dyDescent="0.3">
      <c r="A2837" s="2" t="str">
        <f>"LAGOA D'ANTA"</f>
        <v>LAGOA D'ANTA</v>
      </c>
      <c r="B2837" s="3" t="str">
        <f>"RN"</f>
        <v>RN</v>
      </c>
      <c r="C2837" s="3" t="str">
        <f t="shared" si="110"/>
        <v>BRASIL</v>
      </c>
      <c r="D2837" s="4" t="str">
        <f>"RN069"</f>
        <v>RN069</v>
      </c>
    </row>
    <row r="2838" spans="1:4" x14ac:dyDescent="0.3">
      <c r="A2838" s="2" t="str">
        <f>"LAGOA DA CANOA"</f>
        <v>LAGOA DA CANOA</v>
      </c>
      <c r="B2838" s="3" t="str">
        <f>"AL"</f>
        <v>AL</v>
      </c>
      <c r="C2838" s="3" t="str">
        <f t="shared" si="110"/>
        <v>BRASIL</v>
      </c>
      <c r="D2838" s="4" t="str">
        <f>"AL045"</f>
        <v>AL045</v>
      </c>
    </row>
    <row r="2839" spans="1:4" x14ac:dyDescent="0.3">
      <c r="A2839" s="2" t="str">
        <f>"LAGOA DA CONFUSAO"</f>
        <v>LAGOA DA CONFUSAO</v>
      </c>
      <c r="B2839" s="3" t="str">
        <f>"TO"</f>
        <v>TO</v>
      </c>
      <c r="C2839" s="3" t="str">
        <f t="shared" si="110"/>
        <v>BRASIL</v>
      </c>
      <c r="D2839" s="4" t="str">
        <f>"TO066"</f>
        <v>TO066</v>
      </c>
    </row>
    <row r="2840" spans="1:4" x14ac:dyDescent="0.3">
      <c r="A2840" s="2" t="str">
        <f>"LAGOA DA PRATA"</f>
        <v>LAGOA DA PRATA</v>
      </c>
      <c r="B2840" s="3" t="str">
        <f>"MG"</f>
        <v>MG</v>
      </c>
      <c r="C2840" s="3" t="str">
        <f t="shared" si="110"/>
        <v>BRASIL</v>
      </c>
      <c r="D2840" s="4" t="str">
        <f>"MG426"</f>
        <v>MG426</v>
      </c>
    </row>
    <row r="2841" spans="1:4" x14ac:dyDescent="0.3">
      <c r="A2841" s="2" t="str">
        <f>"LAGOA DE DENTRO"</f>
        <v>LAGOA DE DENTRO</v>
      </c>
      <c r="B2841" s="3" t="str">
        <f>"PB"</f>
        <v>PB</v>
      </c>
      <c r="C2841" s="3" t="str">
        <f t="shared" si="110"/>
        <v>BRASIL</v>
      </c>
      <c r="D2841" s="4" t="str">
        <f>"PB103"</f>
        <v>PB103</v>
      </c>
    </row>
    <row r="2842" spans="1:4" x14ac:dyDescent="0.3">
      <c r="A2842" s="2" t="str">
        <f>"LAGOA DE PEDRAS"</f>
        <v>LAGOA DE PEDRAS</v>
      </c>
      <c r="B2842" s="3" t="str">
        <f>"RN"</f>
        <v>RN</v>
      </c>
      <c r="C2842" s="3" t="str">
        <f t="shared" si="110"/>
        <v>BRASIL</v>
      </c>
      <c r="D2842" s="4" t="str">
        <f>"RN070"</f>
        <v>RN070</v>
      </c>
    </row>
    <row r="2843" spans="1:4" x14ac:dyDescent="0.3">
      <c r="A2843" s="2" t="str">
        <f>"LAGOA DE SAO FRANCISCO"</f>
        <v>LAGOA DE SAO FRANCISCO</v>
      </c>
      <c r="B2843" s="3" t="str">
        <f>"PI"</f>
        <v>PI</v>
      </c>
      <c r="C2843" s="3" t="str">
        <f t="shared" si="110"/>
        <v>BRASIL</v>
      </c>
      <c r="D2843" s="4" t="str">
        <f>"PI115"</f>
        <v>PI115</v>
      </c>
    </row>
    <row r="2844" spans="1:4" x14ac:dyDescent="0.3">
      <c r="A2844" s="2" t="str">
        <f>"LAGOA DE VELHOS"</f>
        <v>LAGOA DE VELHOS</v>
      </c>
      <c r="B2844" s="3" t="str">
        <f>"RN"</f>
        <v>RN</v>
      </c>
      <c r="C2844" s="3" t="str">
        <f t="shared" si="110"/>
        <v>BRASIL</v>
      </c>
      <c r="D2844" s="4" t="str">
        <f>"RN071"</f>
        <v>RN071</v>
      </c>
    </row>
    <row r="2845" spans="1:4" x14ac:dyDescent="0.3">
      <c r="A2845" s="2" t="str">
        <f>"LAGOA DO BARRO DO PIAUI"</f>
        <v>LAGOA DO BARRO DO PIAUI</v>
      </c>
      <c r="B2845" s="3" t="str">
        <f>"PI"</f>
        <v>PI</v>
      </c>
      <c r="C2845" s="3" t="str">
        <f t="shared" si="110"/>
        <v>BRASIL</v>
      </c>
      <c r="D2845" s="4" t="str">
        <f>"PI114"</f>
        <v>PI114</v>
      </c>
    </row>
    <row r="2846" spans="1:4" x14ac:dyDescent="0.3">
      <c r="A2846" s="2" t="str">
        <f>"LAGOA DO CARRO"</f>
        <v>LAGOA DO CARRO</v>
      </c>
      <c r="B2846" s="3" t="str">
        <f>"PE"</f>
        <v>PE</v>
      </c>
      <c r="C2846" s="3" t="str">
        <f t="shared" si="110"/>
        <v>BRASIL</v>
      </c>
      <c r="D2846" s="4" t="str">
        <f>"PE097"</f>
        <v>PE097</v>
      </c>
    </row>
    <row r="2847" spans="1:4" x14ac:dyDescent="0.3">
      <c r="A2847" s="2" t="str">
        <f>"LAGOA DO ITAENGA"</f>
        <v>LAGOA DO ITAENGA</v>
      </c>
      <c r="B2847" s="3" t="str">
        <f>"PE"</f>
        <v>PE</v>
      </c>
      <c r="C2847" s="3" t="str">
        <f t="shared" si="110"/>
        <v>BRASIL</v>
      </c>
      <c r="D2847" s="4" t="str">
        <f>"PE098"</f>
        <v>PE098</v>
      </c>
    </row>
    <row r="2848" spans="1:4" x14ac:dyDescent="0.3">
      <c r="A2848" s="2" t="str">
        <f>"LAGOA DO MATO"</f>
        <v>LAGOA DO MATO</v>
      </c>
      <c r="B2848" s="3" t="str">
        <f>"MA"</f>
        <v>MA</v>
      </c>
      <c r="C2848" s="3" t="str">
        <f t="shared" si="110"/>
        <v>BRASIL</v>
      </c>
      <c r="D2848" s="4" t="str">
        <f>"MA102"</f>
        <v>MA102</v>
      </c>
    </row>
    <row r="2849" spans="1:4" x14ac:dyDescent="0.3">
      <c r="A2849" s="2" t="str">
        <f>"LAGOA DO OURO"</f>
        <v>LAGOA DO OURO</v>
      </c>
      <c r="B2849" s="3" t="str">
        <f>"PE"</f>
        <v>PE</v>
      </c>
      <c r="C2849" s="3" t="str">
        <f t="shared" si="110"/>
        <v>BRASIL</v>
      </c>
      <c r="D2849" s="4" t="str">
        <f>"PE099"</f>
        <v>PE099</v>
      </c>
    </row>
    <row r="2850" spans="1:4" x14ac:dyDescent="0.3">
      <c r="A2850" s="2" t="str">
        <f>"LAGOA DO PIAUI"</f>
        <v>LAGOA DO PIAUI</v>
      </c>
      <c r="B2850" s="3" t="str">
        <f>"PI"</f>
        <v>PI</v>
      </c>
      <c r="C2850" s="3" t="str">
        <f t="shared" si="110"/>
        <v>BRASIL</v>
      </c>
      <c r="D2850" s="4" t="str">
        <f>"PI116"</f>
        <v>PI116</v>
      </c>
    </row>
    <row r="2851" spans="1:4" x14ac:dyDescent="0.3">
      <c r="A2851" s="2" t="str">
        <f>"LAGOA DO SITIO"</f>
        <v>LAGOA DO SITIO</v>
      </c>
      <c r="B2851" s="3" t="str">
        <f>"PI"</f>
        <v>PI</v>
      </c>
      <c r="C2851" s="3" t="str">
        <f t="shared" si="110"/>
        <v>BRASIL</v>
      </c>
      <c r="D2851" s="4" t="str">
        <f>"PI117"</f>
        <v>PI117</v>
      </c>
    </row>
    <row r="2852" spans="1:4" x14ac:dyDescent="0.3">
      <c r="A2852" s="2" t="str">
        <f>"LAGOA DO TOCANTINS"</f>
        <v>LAGOA DO TOCANTINS</v>
      </c>
      <c r="B2852" s="3" t="str">
        <f>"TO"</f>
        <v>TO</v>
      </c>
      <c r="C2852" s="3" t="str">
        <f t="shared" si="110"/>
        <v>BRASIL</v>
      </c>
      <c r="D2852" s="4" t="str">
        <f>"TO067"</f>
        <v>TO067</v>
      </c>
    </row>
    <row r="2853" spans="1:4" x14ac:dyDescent="0.3">
      <c r="A2853" s="2" t="str">
        <f>"LAGOA DOS GATOS"</f>
        <v>LAGOA DOS GATOS</v>
      </c>
      <c r="B2853" s="3" t="str">
        <f>"PE"</f>
        <v>PE</v>
      </c>
      <c r="C2853" s="3" t="str">
        <f t="shared" si="110"/>
        <v>BRASIL</v>
      </c>
      <c r="D2853" s="4" t="str">
        <f>"PE100"</f>
        <v>PE100</v>
      </c>
    </row>
    <row r="2854" spans="1:4" x14ac:dyDescent="0.3">
      <c r="A2854" s="2" t="str">
        <f>"LAGOA DOS PATOS"</f>
        <v>LAGOA DOS PATOS</v>
      </c>
      <c r="B2854" s="3" t="str">
        <f>"MG"</f>
        <v>MG</v>
      </c>
      <c r="C2854" s="3" t="str">
        <f t="shared" si="110"/>
        <v>BRASIL</v>
      </c>
      <c r="D2854" s="4" t="str">
        <f>"MG427"</f>
        <v>MG427</v>
      </c>
    </row>
    <row r="2855" spans="1:4" x14ac:dyDescent="0.3">
      <c r="A2855" s="2" t="str">
        <f>"LAGOA DOS TRES CANTOS"</f>
        <v>LAGOA DOS TRES CANTOS</v>
      </c>
      <c r="B2855" s="3" t="str">
        <f>"RS"</f>
        <v>RS</v>
      </c>
      <c r="C2855" s="3" t="str">
        <f t="shared" si="110"/>
        <v>BRASIL</v>
      </c>
      <c r="D2855" s="4" t="str">
        <f>"RS230"</f>
        <v>RS230</v>
      </c>
    </row>
    <row r="2856" spans="1:4" x14ac:dyDescent="0.3">
      <c r="A2856" s="2" t="str">
        <f>"LAGOA DOURADA"</f>
        <v>LAGOA DOURADA</v>
      </c>
      <c r="B2856" s="3" t="str">
        <f>"MG"</f>
        <v>MG</v>
      </c>
      <c r="C2856" s="3" t="str">
        <f t="shared" si="110"/>
        <v>BRASIL</v>
      </c>
      <c r="D2856" s="4" t="str">
        <f>"MG428"</f>
        <v>MG428</v>
      </c>
    </row>
    <row r="2857" spans="1:4" x14ac:dyDescent="0.3">
      <c r="A2857" s="2" t="str">
        <f>"LAGOA FORMOSA"</f>
        <v>LAGOA FORMOSA</v>
      </c>
      <c r="B2857" s="3" t="str">
        <f>"MG"</f>
        <v>MG</v>
      </c>
      <c r="C2857" s="3" t="str">
        <f t="shared" si="110"/>
        <v>BRASIL</v>
      </c>
      <c r="D2857" s="4" t="str">
        <f>"MG429"</f>
        <v>MG429</v>
      </c>
    </row>
    <row r="2858" spans="1:4" x14ac:dyDescent="0.3">
      <c r="A2858" s="2" t="str">
        <f>"LAGOA GRANDE"</f>
        <v>LAGOA GRANDE</v>
      </c>
      <c r="B2858" s="3" t="str">
        <f>"MG"</f>
        <v>MG</v>
      </c>
      <c r="C2858" s="3" t="str">
        <f t="shared" si="110"/>
        <v>BRASIL</v>
      </c>
      <c r="D2858" s="4" t="str">
        <f>"MG430"</f>
        <v>MG430</v>
      </c>
    </row>
    <row r="2859" spans="1:4" x14ac:dyDescent="0.3">
      <c r="A2859" s="2" t="str">
        <f>"LAGOA GRANDE"</f>
        <v>LAGOA GRANDE</v>
      </c>
      <c r="B2859" s="3" t="str">
        <f>"PE"</f>
        <v>PE</v>
      </c>
      <c r="C2859" s="3" t="str">
        <f t="shared" si="110"/>
        <v>BRASIL</v>
      </c>
      <c r="D2859" s="4" t="str">
        <f>"PE101"</f>
        <v>PE101</v>
      </c>
    </row>
    <row r="2860" spans="1:4" x14ac:dyDescent="0.3">
      <c r="A2860" s="2" t="str">
        <f>"LAGOA GRANDE DO MARANHAO"</f>
        <v>LAGOA GRANDE DO MARANHAO</v>
      </c>
      <c r="B2860" s="3" t="str">
        <f>"MA"</f>
        <v>MA</v>
      </c>
      <c r="C2860" s="3" t="str">
        <f t="shared" si="110"/>
        <v>BRASIL</v>
      </c>
      <c r="D2860" s="4" t="str">
        <f>"MA104"</f>
        <v>MA104</v>
      </c>
    </row>
    <row r="2861" spans="1:4" x14ac:dyDescent="0.3">
      <c r="A2861" s="2" t="str">
        <f>"LAGOA NOVA"</f>
        <v>LAGOA NOVA</v>
      </c>
      <c r="B2861" s="3" t="str">
        <f>"RN"</f>
        <v>RN</v>
      </c>
      <c r="C2861" s="3" t="str">
        <f t="shared" ref="C2861:C2890" si="111">"BRASIL"</f>
        <v>BRASIL</v>
      </c>
      <c r="D2861" s="4" t="str">
        <f>"RN072"</f>
        <v>RN072</v>
      </c>
    </row>
    <row r="2862" spans="1:4" x14ac:dyDescent="0.3">
      <c r="A2862" s="2" t="str">
        <f>"LAGOA REAL"</f>
        <v>LAGOA REAL</v>
      </c>
      <c r="B2862" s="3" t="str">
        <f>"BA"</f>
        <v>BA</v>
      </c>
      <c r="C2862" s="3" t="str">
        <f t="shared" si="111"/>
        <v>BRASIL</v>
      </c>
      <c r="D2862" s="4" t="str">
        <f>"BA224"</f>
        <v>BA224</v>
      </c>
    </row>
    <row r="2863" spans="1:4" x14ac:dyDescent="0.3">
      <c r="A2863" s="2" t="str">
        <f>"LAGOA SALGADA"</f>
        <v>LAGOA SALGADA</v>
      </c>
      <c r="B2863" s="3" t="str">
        <f>"RN"</f>
        <v>RN</v>
      </c>
      <c r="C2863" s="3" t="str">
        <f t="shared" si="111"/>
        <v>BRASIL</v>
      </c>
      <c r="D2863" s="4" t="str">
        <f>"RN073"</f>
        <v>RN073</v>
      </c>
    </row>
    <row r="2864" spans="1:4" x14ac:dyDescent="0.3">
      <c r="A2864" s="2" t="str">
        <f>"LAGOA SANTA"</f>
        <v>LAGOA SANTA</v>
      </c>
      <c r="B2864" s="3" t="str">
        <f>"GO"</f>
        <v>GO</v>
      </c>
      <c r="C2864" s="3" t="str">
        <f t="shared" si="111"/>
        <v>BRASIL</v>
      </c>
      <c r="D2864" s="4" t="str">
        <f>"GO133"</f>
        <v>GO133</v>
      </c>
    </row>
    <row r="2865" spans="1:4" x14ac:dyDescent="0.3">
      <c r="A2865" s="2" t="str">
        <f>"LAGOA SANTA"</f>
        <v>LAGOA SANTA</v>
      </c>
      <c r="B2865" s="3" t="str">
        <f>"MG"</f>
        <v>MG</v>
      </c>
      <c r="C2865" s="3" t="str">
        <f t="shared" si="111"/>
        <v>BRASIL</v>
      </c>
      <c r="D2865" s="4" t="str">
        <f>"MG431"</f>
        <v>MG431</v>
      </c>
    </row>
    <row r="2866" spans="1:4" x14ac:dyDescent="0.3">
      <c r="A2866" s="2" t="str">
        <f>"LAGOA SECA"</f>
        <v>LAGOA SECA</v>
      </c>
      <c r="B2866" s="3" t="str">
        <f>"PB"</f>
        <v>PB</v>
      </c>
      <c r="C2866" s="3" t="str">
        <f t="shared" si="111"/>
        <v>BRASIL</v>
      </c>
      <c r="D2866" s="4" t="str">
        <f>"PB104"</f>
        <v>PB104</v>
      </c>
    </row>
    <row r="2867" spans="1:4" x14ac:dyDescent="0.3">
      <c r="A2867" s="2" t="str">
        <f>"LAGOA VERMELHA"</f>
        <v>LAGOA VERMELHA</v>
      </c>
      <c r="B2867" s="3" t="str">
        <f>"RS"</f>
        <v>RS</v>
      </c>
      <c r="C2867" s="3" t="str">
        <f t="shared" si="111"/>
        <v>BRASIL</v>
      </c>
      <c r="D2867" s="4" t="str">
        <f>"LGV"</f>
        <v>LGV</v>
      </c>
    </row>
    <row r="2868" spans="1:4" x14ac:dyDescent="0.3">
      <c r="A2868" s="2" t="str">
        <f>"LAGOAO"</f>
        <v>LAGOAO</v>
      </c>
      <c r="B2868" s="3" t="str">
        <f>"RS"</f>
        <v>RS</v>
      </c>
      <c r="C2868" s="3" t="str">
        <f t="shared" si="111"/>
        <v>BRASIL</v>
      </c>
      <c r="D2868" s="4" t="str">
        <f>"RS229"</f>
        <v>RS229</v>
      </c>
    </row>
    <row r="2869" spans="1:4" x14ac:dyDescent="0.3">
      <c r="A2869" s="2" t="str">
        <f>"LAGOINHA"</f>
        <v>LAGOINHA</v>
      </c>
      <c r="B2869" s="3" t="str">
        <f>"SP"</f>
        <v>SP</v>
      </c>
      <c r="C2869" s="3" t="str">
        <f t="shared" si="111"/>
        <v>BRASIL</v>
      </c>
      <c r="D2869" s="4" t="str">
        <f>"SP298"</f>
        <v>SP298</v>
      </c>
    </row>
    <row r="2870" spans="1:4" x14ac:dyDescent="0.3">
      <c r="A2870" s="2" t="str">
        <f>"LAGOINHA DO PIAUI"</f>
        <v>LAGOINHA DO PIAUI</v>
      </c>
      <c r="B2870" s="3" t="str">
        <f>"PI"</f>
        <v>PI</v>
      </c>
      <c r="C2870" s="3" t="str">
        <f t="shared" si="111"/>
        <v>BRASIL</v>
      </c>
      <c r="D2870" s="4" t="str">
        <f>"PI112"</f>
        <v>PI112</v>
      </c>
    </row>
    <row r="2871" spans="1:4" x14ac:dyDescent="0.3">
      <c r="A2871" s="2" t="str">
        <f>"LAGUNA"</f>
        <v>LAGUNA</v>
      </c>
      <c r="B2871" s="3" t="str">
        <f>"SC"</f>
        <v>SC</v>
      </c>
      <c r="C2871" s="3" t="str">
        <f t="shared" si="111"/>
        <v>BRASIL</v>
      </c>
      <c r="D2871" s="4" t="str">
        <f>"SC142"</f>
        <v>SC142</v>
      </c>
    </row>
    <row r="2872" spans="1:4" x14ac:dyDescent="0.3">
      <c r="A2872" s="2" t="str">
        <f>"LAGUNA CARAPA"</f>
        <v>LAGUNA CARAPA</v>
      </c>
      <c r="B2872" s="3" t="str">
        <f>"MS"</f>
        <v>MS</v>
      </c>
      <c r="C2872" s="3" t="str">
        <f t="shared" si="111"/>
        <v>BRASIL</v>
      </c>
      <c r="D2872" s="4" t="str">
        <f>"MS049"</f>
        <v>MS049</v>
      </c>
    </row>
    <row r="2873" spans="1:4" x14ac:dyDescent="0.3">
      <c r="A2873" s="2" t="str">
        <f>"LAJE"</f>
        <v>LAJE</v>
      </c>
      <c r="B2873" s="3" t="str">
        <f>"BA"</f>
        <v>BA</v>
      </c>
      <c r="C2873" s="3" t="str">
        <f t="shared" si="111"/>
        <v>BRASIL</v>
      </c>
      <c r="D2873" s="4" t="str">
        <f>"BA225"</f>
        <v>BA225</v>
      </c>
    </row>
    <row r="2874" spans="1:4" x14ac:dyDescent="0.3">
      <c r="A2874" s="2" t="str">
        <f>"LAJE DO MURIAE"</f>
        <v>LAJE DO MURIAE</v>
      </c>
      <c r="B2874" s="3" t="str">
        <f>"RJ"</f>
        <v>RJ</v>
      </c>
      <c r="C2874" s="3" t="str">
        <f t="shared" si="111"/>
        <v>BRASIL</v>
      </c>
      <c r="D2874" s="4" t="str">
        <f>"RJ036"</f>
        <v>RJ036</v>
      </c>
    </row>
    <row r="2875" spans="1:4" x14ac:dyDescent="0.3">
      <c r="A2875" s="2" t="str">
        <f>"LAJEADO"</f>
        <v>LAJEADO</v>
      </c>
      <c r="B2875" s="3" t="str">
        <f>"RS"</f>
        <v>RS</v>
      </c>
      <c r="C2875" s="3" t="str">
        <f t="shared" si="111"/>
        <v>BRASIL</v>
      </c>
      <c r="D2875" s="4" t="str">
        <f>"RS232"</f>
        <v>RS232</v>
      </c>
    </row>
    <row r="2876" spans="1:4" x14ac:dyDescent="0.3">
      <c r="A2876" s="2" t="str">
        <f>"LAJEADO"</f>
        <v>LAJEADO</v>
      </c>
      <c r="B2876" s="3" t="str">
        <f>"TO"</f>
        <v>TO</v>
      </c>
      <c r="C2876" s="3" t="str">
        <f t="shared" si="111"/>
        <v>BRASIL</v>
      </c>
      <c r="D2876" s="4" t="str">
        <f>"TO068"</f>
        <v>TO068</v>
      </c>
    </row>
    <row r="2877" spans="1:4" x14ac:dyDescent="0.3">
      <c r="A2877" s="2" t="str">
        <f>"LAJEADO DO BUGRE"</f>
        <v>LAJEADO DO BUGRE</v>
      </c>
      <c r="B2877" s="3" t="str">
        <f>"RS"</f>
        <v>RS</v>
      </c>
      <c r="C2877" s="3" t="str">
        <f t="shared" si="111"/>
        <v>BRASIL</v>
      </c>
      <c r="D2877" s="4" t="str">
        <f>"RS233"</f>
        <v>RS233</v>
      </c>
    </row>
    <row r="2878" spans="1:4" x14ac:dyDescent="0.3">
      <c r="A2878" s="2" t="str">
        <f>"LAJEADO GRANDE"</f>
        <v>LAJEADO GRANDE</v>
      </c>
      <c r="B2878" s="3" t="str">
        <f>"SC"</f>
        <v>SC</v>
      </c>
      <c r="C2878" s="3" t="str">
        <f t="shared" si="111"/>
        <v>BRASIL</v>
      </c>
      <c r="D2878" s="4" t="str">
        <f>"SC143"</f>
        <v>SC143</v>
      </c>
    </row>
    <row r="2879" spans="1:4" x14ac:dyDescent="0.3">
      <c r="A2879" s="2" t="str">
        <f>"LAJEADO NOVO"</f>
        <v>LAJEADO NOVO</v>
      </c>
      <c r="B2879" s="3" t="str">
        <f>"MA"</f>
        <v>MA</v>
      </c>
      <c r="C2879" s="3" t="str">
        <f t="shared" si="111"/>
        <v>BRASIL</v>
      </c>
      <c r="D2879" s="4" t="str">
        <f>"MA105"</f>
        <v>MA105</v>
      </c>
    </row>
    <row r="2880" spans="1:4" x14ac:dyDescent="0.3">
      <c r="A2880" s="2" t="str">
        <f>"LAJEDAO"</f>
        <v>LAJEDAO</v>
      </c>
      <c r="B2880" s="3" t="str">
        <f>"BA"</f>
        <v>BA</v>
      </c>
      <c r="C2880" s="3" t="str">
        <f t="shared" si="111"/>
        <v>BRASIL</v>
      </c>
      <c r="D2880" s="4" t="str">
        <f>"BA226"</f>
        <v>BA226</v>
      </c>
    </row>
    <row r="2881" spans="1:4" x14ac:dyDescent="0.3">
      <c r="A2881" s="2" t="str">
        <f>"LAJEDINHO"</f>
        <v>LAJEDINHO</v>
      </c>
      <c r="B2881" s="3" t="str">
        <f>"BA"</f>
        <v>BA</v>
      </c>
      <c r="C2881" s="3" t="str">
        <f t="shared" si="111"/>
        <v>BRASIL</v>
      </c>
      <c r="D2881" s="4" t="str">
        <f>"BA227"</f>
        <v>BA227</v>
      </c>
    </row>
    <row r="2882" spans="1:4" x14ac:dyDescent="0.3">
      <c r="A2882" s="2" t="str">
        <f>"LAJEDO"</f>
        <v>LAJEDO</v>
      </c>
      <c r="B2882" s="3" t="str">
        <f>"PE"</f>
        <v>PE</v>
      </c>
      <c r="C2882" s="3" t="str">
        <f t="shared" si="111"/>
        <v>BRASIL</v>
      </c>
      <c r="D2882" s="4" t="str">
        <f>"PE102"</f>
        <v>PE102</v>
      </c>
    </row>
    <row r="2883" spans="1:4" x14ac:dyDescent="0.3">
      <c r="A2883" s="2" t="str">
        <f>"LAJEDO DO TABOCAL"</f>
        <v>LAJEDO DO TABOCAL</v>
      </c>
      <c r="B2883" s="3" t="str">
        <f>"BA"</f>
        <v>BA</v>
      </c>
      <c r="C2883" s="3" t="str">
        <f t="shared" si="111"/>
        <v>BRASIL</v>
      </c>
      <c r="D2883" s="4" t="str">
        <f>"BA228"</f>
        <v>BA228</v>
      </c>
    </row>
    <row r="2884" spans="1:4" x14ac:dyDescent="0.3">
      <c r="A2884" s="2" t="str">
        <f>"LAJES"</f>
        <v>LAJES</v>
      </c>
      <c r="B2884" s="3" t="str">
        <f>"RN"</f>
        <v>RN</v>
      </c>
      <c r="C2884" s="3" t="str">
        <f t="shared" si="111"/>
        <v>BRASIL</v>
      </c>
      <c r="D2884" s="4" t="str">
        <f>"RN074"</f>
        <v>RN074</v>
      </c>
    </row>
    <row r="2885" spans="1:4" x14ac:dyDescent="0.3">
      <c r="A2885" s="2" t="str">
        <f>"LAJES PINTADAS"</f>
        <v>LAJES PINTADAS</v>
      </c>
      <c r="B2885" s="3" t="str">
        <f>"RN"</f>
        <v>RN</v>
      </c>
      <c r="C2885" s="3" t="str">
        <f t="shared" si="111"/>
        <v>BRASIL</v>
      </c>
      <c r="D2885" s="4" t="str">
        <f>"RN075"</f>
        <v>RN075</v>
      </c>
    </row>
    <row r="2886" spans="1:4" x14ac:dyDescent="0.3">
      <c r="A2886" s="2" t="str">
        <f>"LAJINHA"</f>
        <v>LAJINHA</v>
      </c>
      <c r="B2886" s="3" t="str">
        <f>"MG"</f>
        <v>MG</v>
      </c>
      <c r="C2886" s="3" t="str">
        <f t="shared" si="111"/>
        <v>BRASIL</v>
      </c>
      <c r="D2886" s="4" t="str">
        <f>"MG432"</f>
        <v>MG432</v>
      </c>
    </row>
    <row r="2887" spans="1:4" x14ac:dyDescent="0.3">
      <c r="A2887" s="2" t="str">
        <f>"LAMARAO"</f>
        <v>LAMARAO</v>
      </c>
      <c r="B2887" s="3" t="str">
        <f>"BA"</f>
        <v>BA</v>
      </c>
      <c r="C2887" s="3" t="str">
        <f t="shared" si="111"/>
        <v>BRASIL</v>
      </c>
      <c r="D2887" s="4" t="str">
        <f>"BA229"</f>
        <v>BA229</v>
      </c>
    </row>
    <row r="2888" spans="1:4" x14ac:dyDescent="0.3">
      <c r="A2888" s="2" t="str">
        <f>"LAMBARI"</f>
        <v>LAMBARI</v>
      </c>
      <c r="B2888" s="3" t="str">
        <f>"MG"</f>
        <v>MG</v>
      </c>
      <c r="C2888" s="3" t="str">
        <f t="shared" si="111"/>
        <v>BRASIL</v>
      </c>
      <c r="D2888" s="4" t="str">
        <f>"MG433"</f>
        <v>MG433</v>
      </c>
    </row>
    <row r="2889" spans="1:4" x14ac:dyDescent="0.3">
      <c r="A2889" s="2" t="str">
        <f>"LAMBARI D'OESTE"</f>
        <v>LAMBARI D'OESTE</v>
      </c>
      <c r="B2889" s="3" t="str">
        <f>"MT"</f>
        <v>MT</v>
      </c>
      <c r="C2889" s="3" t="str">
        <f t="shared" si="111"/>
        <v>BRASIL</v>
      </c>
      <c r="D2889" s="4" t="str">
        <f>"MT062"</f>
        <v>MT062</v>
      </c>
    </row>
    <row r="2890" spans="1:4" x14ac:dyDescent="0.3">
      <c r="A2890" s="2" t="str">
        <f>"LAMIM"</f>
        <v>LAMIM</v>
      </c>
      <c r="B2890" s="3" t="str">
        <f>"MG"</f>
        <v>MG</v>
      </c>
      <c r="C2890" s="3" t="str">
        <f t="shared" si="111"/>
        <v>BRASIL</v>
      </c>
      <c r="D2890" s="4" t="str">
        <f>"MG434"</f>
        <v>MG434</v>
      </c>
    </row>
    <row r="2891" spans="1:4" x14ac:dyDescent="0.3">
      <c r="A2891" s="2" t="str">
        <f>"LANDENBERG"</f>
        <v>LANDENBERG</v>
      </c>
      <c r="B2891" s="3" t="str">
        <f>"EX"</f>
        <v>EX</v>
      </c>
      <c r="C2891" s="3" t="str">
        <f>"ESTADOS UNIDOS"</f>
        <v>ESTADOS UNIDOS</v>
      </c>
      <c r="D2891" s="4" t="str">
        <f>"LAN"</f>
        <v>LAN</v>
      </c>
    </row>
    <row r="2892" spans="1:4" x14ac:dyDescent="0.3">
      <c r="A2892" s="2" t="str">
        <f>"LANDENBERG"</f>
        <v>LANDENBERG</v>
      </c>
      <c r="B2892" s="3" t="str">
        <f>"PA"</f>
        <v>PA</v>
      </c>
      <c r="C2892" s="3" t="str">
        <f>"ESTADOS UNIDOS"</f>
        <v>ESTADOS UNIDOS</v>
      </c>
      <c r="D2892" s="4" t="str">
        <f>"LABER"</f>
        <v>LABER</v>
      </c>
    </row>
    <row r="2893" spans="1:4" x14ac:dyDescent="0.3">
      <c r="A2893" s="2" t="str">
        <f>"LANDERBERG"</f>
        <v>LANDERBERG</v>
      </c>
      <c r="B2893" s="3" t="str">
        <f>"PA"</f>
        <v>PA</v>
      </c>
      <c r="C2893" s="3" t="str">
        <f>"ESTADOS UNIDOS"</f>
        <v>ESTADOS UNIDOS</v>
      </c>
      <c r="D2893" s="4" t="str">
        <f>"LANDE"</f>
        <v>LANDE</v>
      </c>
    </row>
    <row r="2894" spans="1:4" x14ac:dyDescent="0.3">
      <c r="A2894" s="2" t="str">
        <f>"LANDRI SALES"</f>
        <v>LANDRI SALES</v>
      </c>
      <c r="B2894" s="3" t="str">
        <f>"PI"</f>
        <v>PI</v>
      </c>
      <c r="C2894" s="3" t="str">
        <f>"BRASIL"</f>
        <v>BRASIL</v>
      </c>
      <c r="D2894" s="4" t="str">
        <f>"PI118"</f>
        <v>PI118</v>
      </c>
    </row>
    <row r="2895" spans="1:4" x14ac:dyDescent="0.3">
      <c r="A2895" s="2" t="str">
        <f>"LANGENFELD"</f>
        <v>LANGENFELD</v>
      </c>
      <c r="B2895" s="3" t="str">
        <f>"EX"</f>
        <v>EX</v>
      </c>
      <c r="C2895" s="3" t="str">
        <f>"ALEMANHA"</f>
        <v>ALEMANHA</v>
      </c>
      <c r="D2895" s="4" t="str">
        <f>"LANG"</f>
        <v>LANG</v>
      </c>
    </row>
    <row r="2896" spans="1:4" x14ac:dyDescent="0.3">
      <c r="A2896" s="2" t="str">
        <f>"LANGENFELD"</f>
        <v>LANGENFELD</v>
      </c>
      <c r="B2896" s="3" t="str">
        <f>"GER"</f>
        <v>GER</v>
      </c>
      <c r="C2896" s="3" t="str">
        <f>"ALEMANHA"</f>
        <v>ALEMANHA</v>
      </c>
      <c r="D2896" s="4" t="str">
        <f>"LANGE"</f>
        <v>LANGE</v>
      </c>
    </row>
    <row r="2897" spans="1:4" x14ac:dyDescent="0.3">
      <c r="A2897" s="2" t="str">
        <f>"LAPA"</f>
        <v>LAPA</v>
      </c>
      <c r="B2897" s="3" t="str">
        <f>"PR"</f>
        <v>PR</v>
      </c>
      <c r="C2897" s="3" t="str">
        <f t="shared" ref="C2897:C2907" si="112">"BRASIL"</f>
        <v>BRASIL</v>
      </c>
      <c r="D2897" s="4" t="str">
        <f>"PR183"</f>
        <v>PR183</v>
      </c>
    </row>
    <row r="2898" spans="1:4" x14ac:dyDescent="0.3">
      <c r="A2898" s="2" t="str">
        <f>"LAPAO"</f>
        <v>LAPAO</v>
      </c>
      <c r="B2898" s="3" t="str">
        <f>"BA"</f>
        <v>BA</v>
      </c>
      <c r="C2898" s="3" t="str">
        <f t="shared" si="112"/>
        <v>BRASIL</v>
      </c>
      <c r="D2898" s="4" t="str">
        <f>"BA230"</f>
        <v>BA230</v>
      </c>
    </row>
    <row r="2899" spans="1:4" x14ac:dyDescent="0.3">
      <c r="A2899" s="2" t="str">
        <f>"LARANJA DA TERRA"</f>
        <v>LARANJA DA TERRA</v>
      </c>
      <c r="B2899" s="3" t="str">
        <f>"ES"</f>
        <v>ES</v>
      </c>
      <c r="C2899" s="3" t="str">
        <f t="shared" si="112"/>
        <v>BRASIL</v>
      </c>
      <c r="D2899" s="4" t="str">
        <f>"ES042"</f>
        <v>ES042</v>
      </c>
    </row>
    <row r="2900" spans="1:4" x14ac:dyDescent="0.3">
      <c r="A2900" s="2" t="str">
        <f>"LARANJAL"</f>
        <v>LARANJAL</v>
      </c>
      <c r="B2900" s="3" t="str">
        <f>"MG"</f>
        <v>MG</v>
      </c>
      <c r="C2900" s="3" t="str">
        <f t="shared" si="112"/>
        <v>BRASIL</v>
      </c>
      <c r="D2900" s="4" t="str">
        <f>"MG435"</f>
        <v>MG435</v>
      </c>
    </row>
    <row r="2901" spans="1:4" x14ac:dyDescent="0.3">
      <c r="A2901" s="2" t="str">
        <f>"LARANJAL"</f>
        <v>LARANJAL</v>
      </c>
      <c r="B2901" s="3" t="str">
        <f>"PR"</f>
        <v>PR</v>
      </c>
      <c r="C2901" s="3" t="str">
        <f t="shared" si="112"/>
        <v>BRASIL</v>
      </c>
      <c r="D2901" s="4" t="str">
        <f>"PR184"</f>
        <v>PR184</v>
      </c>
    </row>
    <row r="2902" spans="1:4" x14ac:dyDescent="0.3">
      <c r="A2902" s="2" t="str">
        <f>"LARANJAL DO JARI"</f>
        <v>LARANJAL DO JARI</v>
      </c>
      <c r="B2902" s="3" t="str">
        <f>"AP"</f>
        <v>AP</v>
      </c>
      <c r="C2902" s="3" t="str">
        <f t="shared" si="112"/>
        <v>BRASIL</v>
      </c>
      <c r="D2902" s="4" t="str">
        <f>"AP008"</f>
        <v>AP008</v>
      </c>
    </row>
    <row r="2903" spans="1:4" x14ac:dyDescent="0.3">
      <c r="A2903" s="2" t="str">
        <f>"LARANJAL PAULISTA"</f>
        <v>LARANJAL PAULISTA</v>
      </c>
      <c r="B2903" s="3" t="str">
        <f>"SP"</f>
        <v>SP</v>
      </c>
      <c r="C2903" s="3" t="str">
        <f t="shared" si="112"/>
        <v>BRASIL</v>
      </c>
      <c r="D2903" s="4" t="str">
        <f>"SP299"</f>
        <v>SP299</v>
      </c>
    </row>
    <row r="2904" spans="1:4" x14ac:dyDescent="0.3">
      <c r="A2904" s="2" t="str">
        <f>"LARANJEIRAS"</f>
        <v>LARANJEIRAS</v>
      </c>
      <c r="B2904" s="3" t="str">
        <f>"SE"</f>
        <v>SE</v>
      </c>
      <c r="C2904" s="3" t="str">
        <f t="shared" si="112"/>
        <v>BRASIL</v>
      </c>
      <c r="D2904" s="4" t="str">
        <f>"SE034"</f>
        <v>SE034</v>
      </c>
    </row>
    <row r="2905" spans="1:4" x14ac:dyDescent="0.3">
      <c r="A2905" s="2" t="str">
        <f>"LARANJEIRAS DO SUL"</f>
        <v>LARANJEIRAS DO SUL</v>
      </c>
      <c r="B2905" s="3" t="str">
        <f>"PR"</f>
        <v>PR</v>
      </c>
      <c r="C2905" s="3" t="str">
        <f t="shared" si="112"/>
        <v>BRASIL</v>
      </c>
      <c r="D2905" s="4" t="str">
        <f>"PR185"</f>
        <v>PR185</v>
      </c>
    </row>
    <row r="2906" spans="1:4" x14ac:dyDescent="0.3">
      <c r="A2906" s="2" t="str">
        <f>"LASSANCE"</f>
        <v>LASSANCE</v>
      </c>
      <c r="B2906" s="3" t="str">
        <f>"MG"</f>
        <v>MG</v>
      </c>
      <c r="C2906" s="3" t="str">
        <f t="shared" si="112"/>
        <v>BRASIL</v>
      </c>
      <c r="D2906" s="4" t="str">
        <f>"MG436"</f>
        <v>MG436</v>
      </c>
    </row>
    <row r="2907" spans="1:4" x14ac:dyDescent="0.3">
      <c r="A2907" s="2" t="str">
        <f>"LASTRO"</f>
        <v>LASTRO</v>
      </c>
      <c r="B2907" s="3" t="str">
        <f>"PB"</f>
        <v>PB</v>
      </c>
      <c r="C2907" s="3" t="str">
        <f t="shared" si="112"/>
        <v>BRASIL</v>
      </c>
      <c r="D2907" s="4" t="str">
        <f>"PB105"</f>
        <v>PB105</v>
      </c>
    </row>
    <row r="2908" spans="1:4" x14ac:dyDescent="0.3">
      <c r="A2908" s="2" t="str">
        <f>"LAUNSDORF"</f>
        <v>LAUNSDORF</v>
      </c>
      <c r="B2908" s="3" t="str">
        <f>"EX"</f>
        <v>EX</v>
      </c>
      <c r="C2908" s="3" t="str">
        <f>"AUSTRIA"</f>
        <v>AUSTRIA</v>
      </c>
      <c r="D2908" s="4" t="str">
        <f>"LAUNS"</f>
        <v>LAUNS</v>
      </c>
    </row>
    <row r="2909" spans="1:4" x14ac:dyDescent="0.3">
      <c r="A2909" s="2" t="str">
        <f>"LAURENTINO"</f>
        <v>LAURENTINO</v>
      </c>
      <c r="B2909" s="3" t="str">
        <f>"SC"</f>
        <v>SC</v>
      </c>
      <c r="C2909" s="3" t="str">
        <f t="shared" ref="C2909:C2922" si="113">"BRASIL"</f>
        <v>BRASIL</v>
      </c>
      <c r="D2909" s="4" t="str">
        <f>"SC144"</f>
        <v>SC144</v>
      </c>
    </row>
    <row r="2910" spans="1:4" x14ac:dyDescent="0.3">
      <c r="A2910" s="2" t="str">
        <f>"LAURO DE FREITAS"</f>
        <v>LAURO DE FREITAS</v>
      </c>
      <c r="B2910" s="3" t="str">
        <f>"BA"</f>
        <v>BA</v>
      </c>
      <c r="C2910" s="3" t="str">
        <f t="shared" si="113"/>
        <v>BRASIL</v>
      </c>
      <c r="D2910" s="4" t="str">
        <f>"BA231"</f>
        <v>BA231</v>
      </c>
    </row>
    <row r="2911" spans="1:4" x14ac:dyDescent="0.3">
      <c r="A2911" s="2" t="str">
        <f>"LAURO MULLER"</f>
        <v>LAURO MULLER</v>
      </c>
      <c r="B2911" s="3" t="str">
        <f>"SC"</f>
        <v>SC</v>
      </c>
      <c r="C2911" s="3" t="str">
        <f t="shared" si="113"/>
        <v>BRASIL</v>
      </c>
      <c r="D2911" s="4" t="str">
        <f>"SC145"</f>
        <v>SC145</v>
      </c>
    </row>
    <row r="2912" spans="1:4" x14ac:dyDescent="0.3">
      <c r="A2912" s="2" t="str">
        <f>"LAVANDEIRA"</f>
        <v>LAVANDEIRA</v>
      </c>
      <c r="B2912" s="3" t="str">
        <f>"TO"</f>
        <v>TO</v>
      </c>
      <c r="C2912" s="3" t="str">
        <f t="shared" si="113"/>
        <v>BRASIL</v>
      </c>
      <c r="D2912" s="4" t="str">
        <f>"TO069"</f>
        <v>TO069</v>
      </c>
    </row>
    <row r="2913" spans="1:4" x14ac:dyDescent="0.3">
      <c r="A2913" s="2" t="str">
        <f>"LAVINIA"</f>
        <v>LAVINIA</v>
      </c>
      <c r="B2913" s="3" t="str">
        <f>"SP"</f>
        <v>SP</v>
      </c>
      <c r="C2913" s="3" t="str">
        <f t="shared" si="113"/>
        <v>BRASIL</v>
      </c>
      <c r="D2913" s="4" t="str">
        <f>"SP300"</f>
        <v>SP300</v>
      </c>
    </row>
    <row r="2914" spans="1:4" x14ac:dyDescent="0.3">
      <c r="A2914" s="2" t="str">
        <f>"LAVRAS"</f>
        <v>LAVRAS</v>
      </c>
      <c r="B2914" s="3" t="str">
        <f>"MG"</f>
        <v>MG</v>
      </c>
      <c r="C2914" s="3" t="str">
        <f t="shared" si="113"/>
        <v>BRASIL</v>
      </c>
      <c r="D2914" s="4" t="str">
        <f>"MG437"</f>
        <v>MG437</v>
      </c>
    </row>
    <row r="2915" spans="1:4" x14ac:dyDescent="0.3">
      <c r="A2915" s="2" t="str">
        <f>"LAVRAS DA MANGABEIRA"</f>
        <v>LAVRAS DA MANGABEIRA</v>
      </c>
      <c r="B2915" s="3" t="str">
        <f>"CE"</f>
        <v>CE</v>
      </c>
      <c r="C2915" s="3" t="str">
        <f t="shared" si="113"/>
        <v>BRASIL</v>
      </c>
      <c r="D2915" s="4" t="str">
        <f>"CE101"</f>
        <v>CE101</v>
      </c>
    </row>
    <row r="2916" spans="1:4" x14ac:dyDescent="0.3">
      <c r="A2916" s="2" t="str">
        <f>"LAVRAS DO SUL"</f>
        <v>LAVRAS DO SUL</v>
      </c>
      <c r="B2916" s="3" t="str">
        <f>"RS"</f>
        <v>RS</v>
      </c>
      <c r="C2916" s="3" t="str">
        <f t="shared" si="113"/>
        <v>BRASIL</v>
      </c>
      <c r="D2916" s="4" t="str">
        <f>"RS234"</f>
        <v>RS234</v>
      </c>
    </row>
    <row r="2917" spans="1:4" x14ac:dyDescent="0.3">
      <c r="A2917" s="2" t="str">
        <f>"LAVRINHAS"</f>
        <v>LAVRINHAS</v>
      </c>
      <c r="B2917" s="3" t="str">
        <f>"SP"</f>
        <v>SP</v>
      </c>
      <c r="C2917" s="3" t="str">
        <f t="shared" si="113"/>
        <v>BRASIL</v>
      </c>
      <c r="D2917" s="4" t="str">
        <f>"SP301"</f>
        <v>SP301</v>
      </c>
    </row>
    <row r="2918" spans="1:4" x14ac:dyDescent="0.3">
      <c r="A2918" s="2" t="str">
        <f>"LEANDRO FERREIRA"</f>
        <v>LEANDRO FERREIRA</v>
      </c>
      <c r="B2918" s="3" t="str">
        <f>"MG"</f>
        <v>MG</v>
      </c>
      <c r="C2918" s="3" t="str">
        <f t="shared" si="113"/>
        <v>BRASIL</v>
      </c>
      <c r="D2918" s="4" t="str">
        <f>"MG438"</f>
        <v>MG438</v>
      </c>
    </row>
    <row r="2919" spans="1:4" x14ac:dyDescent="0.3">
      <c r="A2919" s="2" t="str">
        <f>"LEBON REGIS"</f>
        <v>LEBON REGIS</v>
      </c>
      <c r="B2919" s="3" t="str">
        <f>"SC"</f>
        <v>SC</v>
      </c>
      <c r="C2919" s="3" t="str">
        <f t="shared" si="113"/>
        <v>BRASIL</v>
      </c>
      <c r="D2919" s="4" t="str">
        <f>"SC146"</f>
        <v>SC146</v>
      </c>
    </row>
    <row r="2920" spans="1:4" x14ac:dyDescent="0.3">
      <c r="A2920" s="2" t="str">
        <f>"LEME"</f>
        <v>LEME</v>
      </c>
      <c r="B2920" s="3" t="str">
        <f>"SP"</f>
        <v>SP</v>
      </c>
      <c r="C2920" s="3" t="str">
        <f t="shared" si="113"/>
        <v>BRASIL</v>
      </c>
      <c r="D2920" s="4" t="str">
        <f>"SP302"</f>
        <v>SP302</v>
      </c>
    </row>
    <row r="2921" spans="1:4" x14ac:dyDescent="0.3">
      <c r="A2921" s="2" t="str">
        <f>"LEME DO PRADO"</f>
        <v>LEME DO PRADO</v>
      </c>
      <c r="B2921" s="3" t="str">
        <f>"MG"</f>
        <v>MG</v>
      </c>
      <c r="C2921" s="3" t="str">
        <f t="shared" si="113"/>
        <v>BRASIL</v>
      </c>
      <c r="D2921" s="4" t="str">
        <f>"MG439"</f>
        <v>MG439</v>
      </c>
    </row>
    <row r="2922" spans="1:4" x14ac:dyDescent="0.3">
      <c r="A2922" s="2" t="str">
        <f>"LENCOIS"</f>
        <v>LENCOIS</v>
      </c>
      <c r="B2922" s="3" t="str">
        <f>"BA"</f>
        <v>BA</v>
      </c>
      <c r="C2922" s="3" t="str">
        <f t="shared" si="113"/>
        <v>BRASIL</v>
      </c>
      <c r="D2922" s="4" t="str">
        <f>"BA232"</f>
        <v>BA232</v>
      </c>
    </row>
    <row r="2923" spans="1:4" x14ac:dyDescent="0.3">
      <c r="A2923" s="2" t="str">
        <f>"LENCOIS PAULISTA"</f>
        <v>LENCOIS PAULISTA</v>
      </c>
      <c r="B2923" s="3" t="str">
        <f>"SP"</f>
        <v>SP</v>
      </c>
      <c r="C2923" s="3" t="str">
        <f>"Brasil"</f>
        <v>Brasil</v>
      </c>
      <c r="D2923" s="4" t="str">
        <f>"LCP"</f>
        <v>LCP</v>
      </c>
    </row>
    <row r="2924" spans="1:4" x14ac:dyDescent="0.3">
      <c r="A2924" s="2" t="str">
        <f>"LENEXA"</f>
        <v>LENEXA</v>
      </c>
      <c r="B2924" s="3" t="str">
        <f>"EX"</f>
        <v>EX</v>
      </c>
      <c r="C2924" s="3" t="str">
        <f>"ESTADOS UNIDOS"</f>
        <v>ESTADOS UNIDOS</v>
      </c>
      <c r="D2924" s="4" t="str">
        <f>"LEN"</f>
        <v>LEN</v>
      </c>
    </row>
    <row r="2925" spans="1:4" x14ac:dyDescent="0.3">
      <c r="A2925" s="2" t="str">
        <f>"LENEXA"</f>
        <v>LENEXA</v>
      </c>
      <c r="B2925" s="3" t="str">
        <f>"KS"</f>
        <v>KS</v>
      </c>
      <c r="C2925" s="3" t="str">
        <f>"ESTADOS UNIDOS"</f>
        <v>ESTADOS UNIDOS</v>
      </c>
      <c r="D2925" s="4" t="str">
        <f>"USA"</f>
        <v>USA</v>
      </c>
    </row>
    <row r="2926" spans="1:4" x14ac:dyDescent="0.3">
      <c r="A2926" s="2" t="str">
        <f>"LEOBERTO LEAL"</f>
        <v>LEOBERTO LEAL</v>
      </c>
      <c r="B2926" s="3" t="str">
        <f>"SC"</f>
        <v>SC</v>
      </c>
      <c r="C2926" s="3" t="str">
        <f>"BRASIL"</f>
        <v>BRASIL</v>
      </c>
      <c r="D2926" s="4" t="str">
        <f>"SC147"</f>
        <v>SC147</v>
      </c>
    </row>
    <row r="2927" spans="1:4" x14ac:dyDescent="0.3">
      <c r="A2927" s="2" t="str">
        <f>"LEOPOLDINA"</f>
        <v>LEOPOLDINA</v>
      </c>
      <c r="B2927" s="3" t="str">
        <f>"MG"</f>
        <v>MG</v>
      </c>
      <c r="C2927" s="3" t="str">
        <f>"BRASIL"</f>
        <v>BRASIL</v>
      </c>
      <c r="D2927" s="4" t="str">
        <f>"MG440"</f>
        <v>MG440</v>
      </c>
    </row>
    <row r="2928" spans="1:4" x14ac:dyDescent="0.3">
      <c r="A2928" s="2" t="str">
        <f>"LEOPOLDO DE BULHÕES"</f>
        <v>LEOPOLDO DE BULHÕES</v>
      </c>
      <c r="B2928" s="3" t="str">
        <f>"GO"</f>
        <v>GO</v>
      </c>
      <c r="C2928" s="3" t="str">
        <f>"BRASIL"</f>
        <v>BRASIL</v>
      </c>
      <c r="D2928" s="4" t="str">
        <f>"GO134"</f>
        <v>GO134</v>
      </c>
    </row>
    <row r="2929" spans="1:4" x14ac:dyDescent="0.3">
      <c r="A2929" s="2" t="str">
        <f>"LEOPOLDSHOHE"</f>
        <v>LEOPOLDSHOHE</v>
      </c>
      <c r="B2929" s="3" t="str">
        <f>"EX"</f>
        <v>EX</v>
      </c>
      <c r="C2929" s="3" t="str">
        <f>"ALEMANHA"</f>
        <v>ALEMANHA</v>
      </c>
      <c r="D2929" s="4" t="str">
        <f>"LEOPO"</f>
        <v>LEOPO</v>
      </c>
    </row>
    <row r="2930" spans="1:4" x14ac:dyDescent="0.3">
      <c r="A2930" s="2" t="str">
        <f>"LEOPOLIS"</f>
        <v>LEOPOLIS</v>
      </c>
      <c r="B2930" s="3" t="str">
        <f>"PR"</f>
        <v>PR</v>
      </c>
      <c r="C2930" s="3" t="str">
        <f>"BRASIL"</f>
        <v>BRASIL</v>
      </c>
      <c r="D2930" s="4" t="str">
        <f>"PR186"</f>
        <v>PR186</v>
      </c>
    </row>
    <row r="2931" spans="1:4" x14ac:dyDescent="0.3">
      <c r="A2931" s="2" t="str">
        <f>"LERMA"</f>
        <v>LERMA</v>
      </c>
      <c r="B2931" s="3" t="str">
        <f>"EX"</f>
        <v>EX</v>
      </c>
      <c r="C2931" s="3" t="str">
        <f>"MEXICO"</f>
        <v>MEXICO</v>
      </c>
      <c r="D2931" s="4" t="str">
        <f>"LER"</f>
        <v>LER</v>
      </c>
    </row>
    <row r="2932" spans="1:4" x14ac:dyDescent="0.3">
      <c r="A2932" s="2" t="str">
        <f>"LEVERKUSEN"</f>
        <v>LEVERKUSEN</v>
      </c>
      <c r="B2932" s="3" t="str">
        <f>"EX"</f>
        <v>EX</v>
      </c>
      <c r="C2932" s="3" t="str">
        <f>"ALEMANHA"</f>
        <v>ALEMANHA</v>
      </c>
      <c r="D2932" s="4" t="str">
        <f>"LEVER"</f>
        <v>LEVER</v>
      </c>
    </row>
    <row r="2933" spans="1:4" x14ac:dyDescent="0.3">
      <c r="A2933" s="2" t="str">
        <f>"LH VEENENDAAL"</f>
        <v>LH VEENENDAAL</v>
      </c>
      <c r="B2933" s="3" t="str">
        <f>"EX"</f>
        <v>EX</v>
      </c>
      <c r="C2933" s="3" t="str">
        <f>"HOLANDA"</f>
        <v>HOLANDA</v>
      </c>
      <c r="D2933" s="4" t="str">
        <f>"LH VE"</f>
        <v>LH VE</v>
      </c>
    </row>
    <row r="2934" spans="1:4" x14ac:dyDescent="0.3">
      <c r="A2934" s="2" t="str">
        <f>"LH VEENENDAAL"</f>
        <v>LH VEENENDAAL</v>
      </c>
      <c r="B2934" s="3" t="str">
        <f>"EX"</f>
        <v>EX</v>
      </c>
      <c r="C2934" s="3" t="str">
        <f>"PAISES BAIXOS"</f>
        <v>PAISES BAIXOS</v>
      </c>
      <c r="D2934" s="4" t="str">
        <f>"PAISE"</f>
        <v>PAISE</v>
      </c>
    </row>
    <row r="2935" spans="1:4" x14ac:dyDescent="0.3">
      <c r="A2935" s="2" t="str">
        <f>"LIBERATO SALZANO"</f>
        <v>LIBERATO SALZANO</v>
      </c>
      <c r="B2935" s="3" t="str">
        <f>"RS"</f>
        <v>RS</v>
      </c>
      <c r="C2935" s="3" t="str">
        <f>"BRASIL"</f>
        <v>BRASIL</v>
      </c>
      <c r="D2935" s="4" t="str">
        <f>"RS235"</f>
        <v>RS235</v>
      </c>
    </row>
    <row r="2936" spans="1:4" x14ac:dyDescent="0.3">
      <c r="A2936" s="2" t="str">
        <f>"LIBERDADE"</f>
        <v>LIBERDADE</v>
      </c>
      <c r="B2936" s="3" t="str">
        <f>"MG"</f>
        <v>MG</v>
      </c>
      <c r="C2936" s="3" t="str">
        <f>"BRASIL"</f>
        <v>BRASIL</v>
      </c>
      <c r="D2936" s="4" t="str">
        <f>"MG441"</f>
        <v>MG441</v>
      </c>
    </row>
    <row r="2937" spans="1:4" x14ac:dyDescent="0.3">
      <c r="A2937" s="2" t="str">
        <f>"LICINIO DE ALMEIDA"</f>
        <v>LICINIO DE ALMEIDA</v>
      </c>
      <c r="B2937" s="3" t="str">
        <f>"BA"</f>
        <v>BA</v>
      </c>
      <c r="C2937" s="3" t="str">
        <f>"BRASIL"</f>
        <v>BRASIL</v>
      </c>
      <c r="D2937" s="4" t="str">
        <f>"BA233"</f>
        <v>BA233</v>
      </c>
    </row>
    <row r="2938" spans="1:4" x14ac:dyDescent="0.3">
      <c r="A2938" s="2" t="str">
        <f>"LIDIANOPOLIS"</f>
        <v>LIDIANOPOLIS</v>
      </c>
      <c r="B2938" s="3" t="str">
        <f>"PR"</f>
        <v>PR</v>
      </c>
      <c r="C2938" s="3" t="str">
        <f>"BRASIL"</f>
        <v>BRASIL</v>
      </c>
      <c r="D2938" s="4" t="str">
        <f>"PR187"</f>
        <v>PR187</v>
      </c>
    </row>
    <row r="2939" spans="1:4" x14ac:dyDescent="0.3">
      <c r="A2939" s="2" t="str">
        <f>"LIETUVA"</f>
        <v>LIETUVA</v>
      </c>
      <c r="B2939" s="3" t="str">
        <f>"EX"</f>
        <v>EX</v>
      </c>
      <c r="C2939" s="3" t="str">
        <f>"Lituania"</f>
        <v>Lituania</v>
      </c>
      <c r="D2939" s="4" t="str">
        <f>"LIET"</f>
        <v>LIET</v>
      </c>
    </row>
    <row r="2940" spans="1:4" x14ac:dyDescent="0.3">
      <c r="A2940" s="2" t="str">
        <f>"LIETUVA"</f>
        <v>LIETUVA</v>
      </c>
      <c r="B2940" s="3" t="str">
        <f>"LIT"</f>
        <v>LIT</v>
      </c>
      <c r="C2940" s="3" t="str">
        <f>"Lituania"</f>
        <v>Lituania</v>
      </c>
      <c r="D2940" s="4" t="str">
        <f>"LIETU"</f>
        <v>LIETU</v>
      </c>
    </row>
    <row r="2941" spans="1:4" x14ac:dyDescent="0.3">
      <c r="A2941" s="2" t="str">
        <f>"LIMA"</f>
        <v>LIMA</v>
      </c>
      <c r="B2941" s="3" t="str">
        <f>"EX"</f>
        <v>EX</v>
      </c>
      <c r="C2941" s="3" t="str">
        <f>"PERU"</f>
        <v>PERU</v>
      </c>
      <c r="D2941" s="4" t="str">
        <f>"PERU"</f>
        <v>PERU</v>
      </c>
    </row>
    <row r="2942" spans="1:4" x14ac:dyDescent="0.3">
      <c r="A2942" s="2" t="str">
        <f>"LIMA CAMPOS"</f>
        <v>LIMA CAMPOS</v>
      </c>
      <c r="B2942" s="3" t="str">
        <f>"MA"</f>
        <v>MA</v>
      </c>
      <c r="C2942" s="3" t="str">
        <f t="shared" ref="C2942:C2962" si="114">"BRASIL"</f>
        <v>BRASIL</v>
      </c>
      <c r="D2942" s="4" t="str">
        <f>"MA106"</f>
        <v>MA106</v>
      </c>
    </row>
    <row r="2943" spans="1:4" x14ac:dyDescent="0.3">
      <c r="A2943" s="2" t="str">
        <f>"LIMA DUARTE"</f>
        <v>LIMA DUARTE</v>
      </c>
      <c r="B2943" s="3" t="str">
        <f>"MG"</f>
        <v>MG</v>
      </c>
      <c r="C2943" s="3" t="str">
        <f t="shared" si="114"/>
        <v>BRASIL</v>
      </c>
      <c r="D2943" s="4" t="str">
        <f>"MG442"</f>
        <v>MG442</v>
      </c>
    </row>
    <row r="2944" spans="1:4" x14ac:dyDescent="0.3">
      <c r="A2944" s="2" t="str">
        <f>"LIMEIRA"</f>
        <v>LIMEIRA</v>
      </c>
      <c r="B2944" s="3" t="str">
        <f>"SP"</f>
        <v>SP</v>
      </c>
      <c r="C2944" s="3" t="str">
        <f t="shared" si="114"/>
        <v>BRASIL</v>
      </c>
      <c r="D2944" s="4" t="str">
        <f>"SP304"</f>
        <v>SP304</v>
      </c>
    </row>
    <row r="2945" spans="1:4" x14ac:dyDescent="0.3">
      <c r="A2945" s="2" t="str">
        <f>"LIMEIRA DO OESTE"</f>
        <v>LIMEIRA DO OESTE</v>
      </c>
      <c r="B2945" s="3" t="str">
        <f>"MG"</f>
        <v>MG</v>
      </c>
      <c r="C2945" s="3" t="str">
        <f t="shared" si="114"/>
        <v>BRASIL</v>
      </c>
      <c r="D2945" s="4" t="str">
        <f>"MG443"</f>
        <v>MG443</v>
      </c>
    </row>
    <row r="2946" spans="1:4" x14ac:dyDescent="0.3">
      <c r="A2946" s="2" t="str">
        <f>"LIMOEIRO"</f>
        <v>LIMOEIRO</v>
      </c>
      <c r="B2946" s="3" t="str">
        <f>"PE"</f>
        <v>PE</v>
      </c>
      <c r="C2946" s="3" t="str">
        <f t="shared" si="114"/>
        <v>BRASIL</v>
      </c>
      <c r="D2946" s="4" t="str">
        <f>"PE103"</f>
        <v>PE103</v>
      </c>
    </row>
    <row r="2947" spans="1:4" x14ac:dyDescent="0.3">
      <c r="A2947" s="2" t="str">
        <f>"LIMOEIRO DE ANADIA"</f>
        <v>LIMOEIRO DE ANADIA</v>
      </c>
      <c r="B2947" s="3" t="str">
        <f>"AL"</f>
        <v>AL</v>
      </c>
      <c r="C2947" s="3" t="str">
        <f t="shared" si="114"/>
        <v>BRASIL</v>
      </c>
      <c r="D2947" s="4" t="str">
        <f>"AL046"</f>
        <v>AL046</v>
      </c>
    </row>
    <row r="2948" spans="1:4" x14ac:dyDescent="0.3">
      <c r="A2948" s="2" t="str">
        <f>"LIMOEIRO DO AJURU"</f>
        <v>LIMOEIRO DO AJURU</v>
      </c>
      <c r="B2948" s="3" t="str">
        <f>"PA"</f>
        <v>PA</v>
      </c>
      <c r="C2948" s="3" t="str">
        <f t="shared" si="114"/>
        <v>BRASIL</v>
      </c>
      <c r="D2948" s="4" t="str">
        <f>"PA063"</f>
        <v>PA063</v>
      </c>
    </row>
    <row r="2949" spans="1:4" x14ac:dyDescent="0.3">
      <c r="A2949" s="2" t="str">
        <f>"LIMOEIRO DO NORTE"</f>
        <v>LIMOEIRO DO NORTE</v>
      </c>
      <c r="B2949" s="3" t="str">
        <f>"CE"</f>
        <v>CE</v>
      </c>
      <c r="C2949" s="3" t="str">
        <f t="shared" si="114"/>
        <v>BRASIL</v>
      </c>
      <c r="D2949" s="4" t="str">
        <f>"CE102"</f>
        <v>CE102</v>
      </c>
    </row>
    <row r="2950" spans="1:4" x14ac:dyDescent="0.3">
      <c r="A2950" s="2" t="str">
        <f>"LINDOESTE"</f>
        <v>LINDOESTE</v>
      </c>
      <c r="B2950" s="3" t="str">
        <f>"PR"</f>
        <v>PR</v>
      </c>
      <c r="C2950" s="3" t="str">
        <f t="shared" si="114"/>
        <v>BRASIL</v>
      </c>
      <c r="D2950" s="4" t="str">
        <f>"PR188"</f>
        <v>PR188</v>
      </c>
    </row>
    <row r="2951" spans="1:4" x14ac:dyDescent="0.3">
      <c r="A2951" s="2" t="str">
        <f>"LINDOIA"</f>
        <v>LINDOIA</v>
      </c>
      <c r="B2951" s="3" t="str">
        <f>"SP"</f>
        <v>SP</v>
      </c>
      <c r="C2951" s="3" t="str">
        <f t="shared" si="114"/>
        <v>BRASIL</v>
      </c>
      <c r="D2951" s="4" t="str">
        <f>"SP305"</f>
        <v>SP305</v>
      </c>
    </row>
    <row r="2952" spans="1:4" x14ac:dyDescent="0.3">
      <c r="A2952" s="2" t="str">
        <f>"LINDOIA DO SUL"</f>
        <v>LINDOIA DO SUL</v>
      </c>
      <c r="B2952" s="3" t="str">
        <f>"SC"</f>
        <v>SC</v>
      </c>
      <c r="C2952" s="3" t="str">
        <f t="shared" si="114"/>
        <v>BRASIL</v>
      </c>
      <c r="D2952" s="4" t="str">
        <f>"SC148"</f>
        <v>SC148</v>
      </c>
    </row>
    <row r="2953" spans="1:4" x14ac:dyDescent="0.3">
      <c r="A2953" s="2" t="str">
        <f>"LINDOLFO COLLOR"</f>
        <v>LINDOLFO COLLOR</v>
      </c>
      <c r="B2953" s="3" t="str">
        <f>"RS"</f>
        <v>RS</v>
      </c>
      <c r="C2953" s="3" t="str">
        <f t="shared" si="114"/>
        <v>BRASIL</v>
      </c>
      <c r="D2953" s="4" t="str">
        <f>"RS236"</f>
        <v>RS236</v>
      </c>
    </row>
    <row r="2954" spans="1:4" x14ac:dyDescent="0.3">
      <c r="A2954" s="2" t="str">
        <f>"LINHA NOVA"</f>
        <v>LINHA NOVA</v>
      </c>
      <c r="B2954" s="3" t="str">
        <f>"RS"</f>
        <v>RS</v>
      </c>
      <c r="C2954" s="3" t="str">
        <f t="shared" si="114"/>
        <v>BRASIL</v>
      </c>
      <c r="D2954" s="4" t="str">
        <f>"RS237"</f>
        <v>RS237</v>
      </c>
    </row>
    <row r="2955" spans="1:4" x14ac:dyDescent="0.3">
      <c r="A2955" s="2" t="str">
        <f>"LINHARES"</f>
        <v>LINHARES</v>
      </c>
      <c r="B2955" s="3" t="str">
        <f>"ES"</f>
        <v>ES</v>
      </c>
      <c r="C2955" s="3" t="str">
        <f t="shared" si="114"/>
        <v>BRASIL</v>
      </c>
      <c r="D2955" s="4" t="str">
        <f>"ES043"</f>
        <v>ES043</v>
      </c>
    </row>
    <row r="2956" spans="1:4" x14ac:dyDescent="0.3">
      <c r="A2956" s="2" t="str">
        <f>"LINS"</f>
        <v>LINS</v>
      </c>
      <c r="B2956" s="3" t="str">
        <f>"SP"</f>
        <v>SP</v>
      </c>
      <c r="C2956" s="3" t="str">
        <f t="shared" si="114"/>
        <v>BRASIL</v>
      </c>
      <c r="D2956" s="4" t="str">
        <f>"SP306"</f>
        <v>SP306</v>
      </c>
    </row>
    <row r="2957" spans="1:4" x14ac:dyDescent="0.3">
      <c r="A2957" s="2" t="str">
        <f>"LIVRAMENTO"</f>
        <v>LIVRAMENTO</v>
      </c>
      <c r="B2957" s="3" t="str">
        <f>"PB"</f>
        <v>PB</v>
      </c>
      <c r="C2957" s="3" t="str">
        <f t="shared" si="114"/>
        <v>BRASIL</v>
      </c>
      <c r="D2957" s="4" t="str">
        <f>"PB106"</f>
        <v>PB106</v>
      </c>
    </row>
    <row r="2958" spans="1:4" x14ac:dyDescent="0.3">
      <c r="A2958" s="2" t="str">
        <f>"LIVRAMENTO DE NOSSA SENHO"</f>
        <v>LIVRAMENTO DE NOSSA SENHO</v>
      </c>
      <c r="B2958" s="3" t="str">
        <f>"BA"</f>
        <v>BA</v>
      </c>
      <c r="C2958" s="3" t="str">
        <f t="shared" si="114"/>
        <v>BRASIL</v>
      </c>
      <c r="D2958" s="4" t="str">
        <f>"BA234"</f>
        <v>BA234</v>
      </c>
    </row>
    <row r="2959" spans="1:4" x14ac:dyDescent="0.3">
      <c r="A2959" s="2" t="str">
        <f>"LIZARDA"</f>
        <v>LIZARDA</v>
      </c>
      <c r="B2959" s="3" t="str">
        <f>"TO"</f>
        <v>TO</v>
      </c>
      <c r="C2959" s="3" t="str">
        <f t="shared" si="114"/>
        <v>BRASIL</v>
      </c>
      <c r="D2959" s="4" t="str">
        <f>"TO070"</f>
        <v>TO070</v>
      </c>
    </row>
    <row r="2960" spans="1:4" x14ac:dyDescent="0.3">
      <c r="A2960" s="2" t="str">
        <f>"LOANDA"</f>
        <v>LOANDA</v>
      </c>
      <c r="B2960" s="3" t="str">
        <f>"PR"</f>
        <v>PR</v>
      </c>
      <c r="C2960" s="3" t="str">
        <f t="shared" si="114"/>
        <v>BRASIL</v>
      </c>
      <c r="D2960" s="4" t="str">
        <f>"PR189"</f>
        <v>PR189</v>
      </c>
    </row>
    <row r="2961" spans="1:4" x14ac:dyDescent="0.3">
      <c r="A2961" s="2" t="str">
        <f>"LOBATO"</f>
        <v>LOBATO</v>
      </c>
      <c r="B2961" s="3" t="str">
        <f>"PR"</f>
        <v>PR</v>
      </c>
      <c r="C2961" s="3" t="str">
        <f t="shared" si="114"/>
        <v>BRASIL</v>
      </c>
      <c r="D2961" s="4" t="str">
        <f>"PR190"</f>
        <v>PR190</v>
      </c>
    </row>
    <row r="2962" spans="1:4" x14ac:dyDescent="0.3">
      <c r="A2962" s="2" t="str">
        <f>"LOGRADOURO"</f>
        <v>LOGRADOURO</v>
      </c>
      <c r="B2962" s="3" t="str">
        <f>"PB"</f>
        <v>PB</v>
      </c>
      <c r="C2962" s="3" t="str">
        <f t="shared" si="114"/>
        <v>BRASIL</v>
      </c>
      <c r="D2962" s="4" t="str">
        <f>"PB107"</f>
        <v>PB107</v>
      </c>
    </row>
    <row r="2963" spans="1:4" x14ac:dyDescent="0.3">
      <c r="A2963" s="2" t="str">
        <f>"LONDRES"</f>
        <v>LONDRES</v>
      </c>
      <c r="B2963" s="3" t="str">
        <f>"EX"</f>
        <v>EX</v>
      </c>
      <c r="C2963" s="3" t="str">
        <f>"INGLATERRA"</f>
        <v>INGLATERRA</v>
      </c>
      <c r="D2963" s="4" t="str">
        <f>"LONDR"</f>
        <v>LONDR</v>
      </c>
    </row>
    <row r="2964" spans="1:4" x14ac:dyDescent="0.3">
      <c r="A2964" s="2" t="str">
        <f>"LONDRES"</f>
        <v>LONDRES</v>
      </c>
      <c r="B2964" s="3" t="str">
        <f>"ING"</f>
        <v>ING</v>
      </c>
      <c r="C2964" s="3" t="str">
        <f>"INGLATERRA"</f>
        <v>INGLATERRA</v>
      </c>
      <c r="D2964" s="4" t="str">
        <f>"LOND"</f>
        <v>LOND</v>
      </c>
    </row>
    <row r="2965" spans="1:4" x14ac:dyDescent="0.3">
      <c r="A2965" s="2" t="str">
        <f>"LONDRINA"</f>
        <v>LONDRINA</v>
      </c>
      <c r="B2965" s="3" t="str">
        <f>"PR"</f>
        <v>PR</v>
      </c>
      <c r="C2965" s="3" t="str">
        <f t="shared" ref="C2965:C2977" si="115">"BRASIL"</f>
        <v>BRASIL</v>
      </c>
      <c r="D2965" s="4" t="str">
        <f>"PR191"</f>
        <v>PR191</v>
      </c>
    </row>
    <row r="2966" spans="1:4" x14ac:dyDescent="0.3">
      <c r="A2966" s="2" t="str">
        <f>"LONTRA"</f>
        <v>LONTRA</v>
      </c>
      <c r="B2966" s="3" t="str">
        <f>"MG"</f>
        <v>MG</v>
      </c>
      <c r="C2966" s="3" t="str">
        <f t="shared" si="115"/>
        <v>BRASIL</v>
      </c>
      <c r="D2966" s="4" t="str">
        <f>"MG444"</f>
        <v>MG444</v>
      </c>
    </row>
    <row r="2967" spans="1:4" x14ac:dyDescent="0.3">
      <c r="A2967" s="2" t="str">
        <f>"LONTRAS"</f>
        <v>LONTRAS</v>
      </c>
      <c r="B2967" s="3" t="str">
        <f>"SC"</f>
        <v>SC</v>
      </c>
      <c r="C2967" s="3" t="str">
        <f t="shared" si="115"/>
        <v>BRASIL</v>
      </c>
      <c r="D2967" s="4" t="str">
        <f>"SC149"</f>
        <v>SC149</v>
      </c>
    </row>
    <row r="2968" spans="1:4" x14ac:dyDescent="0.3">
      <c r="A2968" s="2" t="str">
        <f>"LORENA"</f>
        <v>LORENA</v>
      </c>
      <c r="B2968" s="3" t="str">
        <f>"SP"</f>
        <v>SP</v>
      </c>
      <c r="C2968" s="3" t="str">
        <f t="shared" si="115"/>
        <v>BRASIL</v>
      </c>
      <c r="D2968" s="4" t="str">
        <f>"SP307"</f>
        <v>SP307</v>
      </c>
    </row>
    <row r="2969" spans="1:4" x14ac:dyDescent="0.3">
      <c r="A2969" s="2" t="str">
        <f>"LORETO"</f>
        <v>LORETO</v>
      </c>
      <c r="B2969" s="3" t="str">
        <f>"MA"</f>
        <v>MA</v>
      </c>
      <c r="C2969" s="3" t="str">
        <f t="shared" si="115"/>
        <v>BRASIL</v>
      </c>
      <c r="D2969" s="4" t="str">
        <f>"MA107"</f>
        <v>MA107</v>
      </c>
    </row>
    <row r="2970" spans="1:4" x14ac:dyDescent="0.3">
      <c r="A2970" s="2" t="str">
        <f>"LOURDES"</f>
        <v>LOURDES</v>
      </c>
      <c r="B2970" s="3" t="str">
        <f>"SP"</f>
        <v>SP</v>
      </c>
      <c r="C2970" s="3" t="str">
        <f t="shared" si="115"/>
        <v>BRASIL</v>
      </c>
      <c r="D2970" s="4" t="str">
        <f>"SP308"</f>
        <v>SP308</v>
      </c>
    </row>
    <row r="2971" spans="1:4" x14ac:dyDescent="0.3">
      <c r="A2971" s="2" t="str">
        <f>"LOUVEIRA"</f>
        <v>LOUVEIRA</v>
      </c>
      <c r="B2971" s="3" t="str">
        <f>"SP"</f>
        <v>SP</v>
      </c>
      <c r="C2971" s="3" t="str">
        <f t="shared" si="115"/>
        <v>BRASIL</v>
      </c>
      <c r="D2971" s="4" t="str">
        <f>"SP309"</f>
        <v>SP309</v>
      </c>
    </row>
    <row r="2972" spans="1:4" x14ac:dyDescent="0.3">
      <c r="A2972" s="2" t="str">
        <f>"LUCAS DO RIO VERDE"</f>
        <v>LUCAS DO RIO VERDE</v>
      </c>
      <c r="B2972" s="3" t="str">
        <f>"MT"</f>
        <v>MT</v>
      </c>
      <c r="C2972" s="3" t="str">
        <f t="shared" si="115"/>
        <v>BRASIL</v>
      </c>
      <c r="D2972" s="4" t="str">
        <f>"MT063"</f>
        <v>MT063</v>
      </c>
    </row>
    <row r="2973" spans="1:4" x14ac:dyDescent="0.3">
      <c r="A2973" s="2" t="str">
        <f>"LUCELIA"</f>
        <v>LUCELIA</v>
      </c>
      <c r="B2973" s="3" t="str">
        <f>"SP"</f>
        <v>SP</v>
      </c>
      <c r="C2973" s="3" t="str">
        <f t="shared" si="115"/>
        <v>BRASIL</v>
      </c>
      <c r="D2973" s="4" t="str">
        <f>"SP310"</f>
        <v>SP310</v>
      </c>
    </row>
    <row r="2974" spans="1:4" x14ac:dyDescent="0.3">
      <c r="A2974" s="2" t="str">
        <f>"LUCENA"</f>
        <v>LUCENA</v>
      </c>
      <c r="B2974" s="3" t="str">
        <f>"PB"</f>
        <v>PB</v>
      </c>
      <c r="C2974" s="3" t="str">
        <f t="shared" si="115"/>
        <v>BRASIL</v>
      </c>
      <c r="D2974" s="4" t="str">
        <f>"PB108"</f>
        <v>PB108</v>
      </c>
    </row>
    <row r="2975" spans="1:4" x14ac:dyDescent="0.3">
      <c r="A2975" s="2" t="str">
        <f>"LUCIANOPOLIS"</f>
        <v>LUCIANOPOLIS</v>
      </c>
      <c r="B2975" s="3" t="str">
        <f>"SP"</f>
        <v>SP</v>
      </c>
      <c r="C2975" s="3" t="str">
        <f t="shared" si="115"/>
        <v>BRASIL</v>
      </c>
      <c r="D2975" s="4" t="str">
        <f>"SP311"</f>
        <v>SP311</v>
      </c>
    </row>
    <row r="2976" spans="1:4" x14ac:dyDescent="0.3">
      <c r="A2976" s="2" t="str">
        <f>"LUCIARA"</f>
        <v>LUCIARA</v>
      </c>
      <c r="B2976" s="3" t="str">
        <f>"MT"</f>
        <v>MT</v>
      </c>
      <c r="C2976" s="3" t="str">
        <f t="shared" si="115"/>
        <v>BRASIL</v>
      </c>
      <c r="D2976" s="4" t="str">
        <f>"MT064"</f>
        <v>MT064</v>
      </c>
    </row>
    <row r="2977" spans="1:4" x14ac:dyDescent="0.3">
      <c r="A2977" s="2" t="str">
        <f>"LUCRECIA"</f>
        <v>LUCRECIA</v>
      </c>
      <c r="B2977" s="3" t="str">
        <f>"RN"</f>
        <v>RN</v>
      </c>
      <c r="C2977" s="3" t="str">
        <f t="shared" si="115"/>
        <v>BRASIL</v>
      </c>
      <c r="D2977" s="4" t="str">
        <f>"RN076"</f>
        <v>RN076</v>
      </c>
    </row>
    <row r="2978" spans="1:4" x14ac:dyDescent="0.3">
      <c r="A2978" s="2" t="str">
        <f>"LUDWIGSHAFEN"</f>
        <v>LUDWIGSHAFEN</v>
      </c>
      <c r="B2978" s="3" t="str">
        <f>"EX"</f>
        <v>EX</v>
      </c>
      <c r="C2978" s="3" t="str">
        <f>"ALEMANHA"</f>
        <v>ALEMANHA</v>
      </c>
      <c r="D2978" s="4" t="str">
        <f>"LUDWI"</f>
        <v>LUDWI</v>
      </c>
    </row>
    <row r="2979" spans="1:4" x14ac:dyDescent="0.3">
      <c r="A2979" s="2" t="str">
        <f>"LUIS ANTONIO"</f>
        <v>LUIS ANTONIO</v>
      </c>
      <c r="B2979" s="3" t="str">
        <f>"SP"</f>
        <v>SP</v>
      </c>
      <c r="C2979" s="3" t="str">
        <f t="shared" ref="C2979:C3022" si="116">"BRASIL"</f>
        <v>BRASIL</v>
      </c>
      <c r="D2979" s="4" t="str">
        <f>"SP312"</f>
        <v>SP312</v>
      </c>
    </row>
    <row r="2980" spans="1:4" x14ac:dyDescent="0.3">
      <c r="A2980" s="2" t="str">
        <f>"LUIS CORREIA"</f>
        <v>LUIS CORREIA</v>
      </c>
      <c r="B2980" s="3" t="str">
        <f>"PI"</f>
        <v>PI</v>
      </c>
      <c r="C2980" s="3" t="str">
        <f t="shared" si="116"/>
        <v>BRASIL</v>
      </c>
      <c r="D2980" s="4" t="str">
        <f>"PI119"</f>
        <v>PI119</v>
      </c>
    </row>
    <row r="2981" spans="1:4" x14ac:dyDescent="0.3">
      <c r="A2981" s="2" t="str">
        <f>"LUIS DOMINGUES"</f>
        <v>LUIS DOMINGUES</v>
      </c>
      <c r="B2981" s="3" t="str">
        <f>"MA"</f>
        <v>MA</v>
      </c>
      <c r="C2981" s="3" t="str">
        <f t="shared" si="116"/>
        <v>BRASIL</v>
      </c>
      <c r="D2981" s="4" t="str">
        <f>"MA108"</f>
        <v>MA108</v>
      </c>
    </row>
    <row r="2982" spans="1:4" x14ac:dyDescent="0.3">
      <c r="A2982" s="2" t="str">
        <f>"LUIS EDUARDO MAGALHAES"</f>
        <v>LUIS EDUARDO MAGALHAES</v>
      </c>
      <c r="B2982" s="3" t="str">
        <f>"BA"</f>
        <v>BA</v>
      </c>
      <c r="C2982" s="3" t="str">
        <f t="shared" si="116"/>
        <v>BRASIL</v>
      </c>
      <c r="D2982" s="4" t="str">
        <f>"BA235"</f>
        <v>BA235</v>
      </c>
    </row>
    <row r="2983" spans="1:4" x14ac:dyDescent="0.3">
      <c r="A2983" s="2" t="str">
        <f>"LUIS GOMES"</f>
        <v>LUIS GOMES</v>
      </c>
      <c r="B2983" s="3" t="str">
        <f>"RN"</f>
        <v>RN</v>
      </c>
      <c r="C2983" s="3" t="str">
        <f t="shared" si="116"/>
        <v>BRASIL</v>
      </c>
      <c r="D2983" s="4" t="str">
        <f>"RN077"</f>
        <v>RN077</v>
      </c>
    </row>
    <row r="2984" spans="1:4" x14ac:dyDescent="0.3">
      <c r="A2984" s="2" t="str">
        <f>"LUISBURGO"</f>
        <v>LUISBURGO</v>
      </c>
      <c r="B2984" s="3" t="str">
        <f>"MG"</f>
        <v>MG</v>
      </c>
      <c r="C2984" s="3" t="str">
        <f t="shared" si="116"/>
        <v>BRASIL</v>
      </c>
      <c r="D2984" s="4" t="str">
        <f>"MG445"</f>
        <v>MG445</v>
      </c>
    </row>
    <row r="2985" spans="1:4" x14ac:dyDescent="0.3">
      <c r="A2985" s="2" t="str">
        <f>"LUISLANDIA"</f>
        <v>LUISLANDIA</v>
      </c>
      <c r="B2985" s="3" t="str">
        <f>"MG"</f>
        <v>MG</v>
      </c>
      <c r="C2985" s="3" t="str">
        <f t="shared" si="116"/>
        <v>BRASIL</v>
      </c>
      <c r="D2985" s="4" t="str">
        <f>"MG446"</f>
        <v>MG446</v>
      </c>
    </row>
    <row r="2986" spans="1:4" x14ac:dyDescent="0.3">
      <c r="A2986" s="2" t="str">
        <f>"LUIZ ALVES"</f>
        <v>LUIZ ALVES</v>
      </c>
      <c r="B2986" s="3" t="str">
        <f>"SC"</f>
        <v>SC</v>
      </c>
      <c r="C2986" s="3" t="str">
        <f t="shared" si="116"/>
        <v>BRASIL</v>
      </c>
      <c r="D2986" s="4" t="str">
        <f>"SC150"</f>
        <v>SC150</v>
      </c>
    </row>
    <row r="2987" spans="1:4" x14ac:dyDescent="0.3">
      <c r="A2987" s="2" t="str">
        <f>"LUIZIANA"</f>
        <v>LUIZIANA</v>
      </c>
      <c r="B2987" s="3" t="str">
        <f>"PR"</f>
        <v>PR</v>
      </c>
      <c r="C2987" s="3" t="str">
        <f t="shared" si="116"/>
        <v>BRASIL</v>
      </c>
      <c r="D2987" s="4" t="str">
        <f>"PR192"</f>
        <v>PR192</v>
      </c>
    </row>
    <row r="2988" spans="1:4" x14ac:dyDescent="0.3">
      <c r="A2988" s="2" t="str">
        <f>"LUIZIANIA"</f>
        <v>LUIZIANIA</v>
      </c>
      <c r="B2988" s="3" t="str">
        <f>"SP"</f>
        <v>SP</v>
      </c>
      <c r="C2988" s="3" t="str">
        <f t="shared" si="116"/>
        <v>BRASIL</v>
      </c>
      <c r="D2988" s="4" t="str">
        <f>"SP313"</f>
        <v>SP313</v>
      </c>
    </row>
    <row r="2989" spans="1:4" x14ac:dyDescent="0.3">
      <c r="A2989" s="2" t="str">
        <f>"LUMINARIAS"</f>
        <v>LUMINARIAS</v>
      </c>
      <c r="B2989" s="3" t="str">
        <f>"MG"</f>
        <v>MG</v>
      </c>
      <c r="C2989" s="3" t="str">
        <f t="shared" si="116"/>
        <v>BRASIL</v>
      </c>
      <c r="D2989" s="4" t="str">
        <f>"MG447"</f>
        <v>MG447</v>
      </c>
    </row>
    <row r="2990" spans="1:4" x14ac:dyDescent="0.3">
      <c r="A2990" s="2" t="str">
        <f>"LUNARDELLI"</f>
        <v>LUNARDELLI</v>
      </c>
      <c r="B2990" s="3" t="str">
        <f>"PR"</f>
        <v>PR</v>
      </c>
      <c r="C2990" s="3" t="str">
        <f t="shared" si="116"/>
        <v>BRASIL</v>
      </c>
      <c r="D2990" s="4" t="str">
        <f>"PR193"</f>
        <v>PR193</v>
      </c>
    </row>
    <row r="2991" spans="1:4" x14ac:dyDescent="0.3">
      <c r="A2991" s="2" t="str">
        <f>"LUPERCIO"</f>
        <v>LUPERCIO</v>
      </c>
      <c r="B2991" s="3" t="str">
        <f>"SP"</f>
        <v>SP</v>
      </c>
      <c r="C2991" s="3" t="str">
        <f t="shared" si="116"/>
        <v>BRASIL</v>
      </c>
      <c r="D2991" s="4" t="str">
        <f>"SP314"</f>
        <v>SP314</v>
      </c>
    </row>
    <row r="2992" spans="1:4" x14ac:dyDescent="0.3">
      <c r="A2992" s="2" t="str">
        <f>"LUPIONOPOLIS"</f>
        <v>LUPIONOPOLIS</v>
      </c>
      <c r="B2992" s="3" t="str">
        <f>"PR"</f>
        <v>PR</v>
      </c>
      <c r="C2992" s="3" t="str">
        <f t="shared" si="116"/>
        <v>BRASIL</v>
      </c>
      <c r="D2992" s="4" t="str">
        <f>"PR194"</f>
        <v>PR194</v>
      </c>
    </row>
    <row r="2993" spans="1:4" x14ac:dyDescent="0.3">
      <c r="A2993" s="2" t="str">
        <f>"LUTECIA"</f>
        <v>LUTECIA</v>
      </c>
      <c r="B2993" s="3" t="str">
        <f>"SP"</f>
        <v>SP</v>
      </c>
      <c r="C2993" s="3" t="str">
        <f t="shared" si="116"/>
        <v>BRASIL</v>
      </c>
      <c r="D2993" s="4" t="str">
        <f>"SP315"</f>
        <v>SP315</v>
      </c>
    </row>
    <row r="2994" spans="1:4" x14ac:dyDescent="0.3">
      <c r="A2994" s="2" t="str">
        <f>"LUZ"</f>
        <v>LUZ</v>
      </c>
      <c r="B2994" s="3" t="str">
        <f>"MG"</f>
        <v>MG</v>
      </c>
      <c r="C2994" s="3" t="str">
        <f t="shared" si="116"/>
        <v>BRASIL</v>
      </c>
      <c r="D2994" s="4" t="str">
        <f>"MG448"</f>
        <v>MG448</v>
      </c>
    </row>
    <row r="2995" spans="1:4" x14ac:dyDescent="0.3">
      <c r="A2995" s="2" t="str">
        <f>"LUZERNA"</f>
        <v>LUZERNA</v>
      </c>
      <c r="B2995" s="3" t="str">
        <f>"SC"</f>
        <v>SC</v>
      </c>
      <c r="C2995" s="3" t="str">
        <f t="shared" si="116"/>
        <v>BRASIL</v>
      </c>
      <c r="D2995" s="4" t="str">
        <f>"SC151"</f>
        <v>SC151</v>
      </c>
    </row>
    <row r="2996" spans="1:4" x14ac:dyDescent="0.3">
      <c r="A2996" s="2" t="str">
        <f>"LUZIANIA"</f>
        <v>LUZIANIA</v>
      </c>
      <c r="B2996" s="3" t="str">
        <f>"GO"</f>
        <v>GO</v>
      </c>
      <c r="C2996" s="3" t="str">
        <f t="shared" si="116"/>
        <v>BRASIL</v>
      </c>
      <c r="D2996" s="4" t="str">
        <f>"GO135"</f>
        <v>GO135</v>
      </c>
    </row>
    <row r="2997" spans="1:4" x14ac:dyDescent="0.3">
      <c r="A2997" s="2" t="str">
        <f>"LUZILANDIA"</f>
        <v>LUZILANDIA</v>
      </c>
      <c r="B2997" s="3" t="str">
        <f>"PI"</f>
        <v>PI</v>
      </c>
      <c r="C2997" s="3" t="str">
        <f t="shared" si="116"/>
        <v>BRASIL</v>
      </c>
      <c r="D2997" s="4" t="str">
        <f>"PI120"</f>
        <v>PI120</v>
      </c>
    </row>
    <row r="2998" spans="1:4" x14ac:dyDescent="0.3">
      <c r="A2998" s="2" t="str">
        <f>"LUZINOPOLIS"</f>
        <v>LUZINOPOLIS</v>
      </c>
      <c r="B2998" s="3" t="str">
        <f>"TO"</f>
        <v>TO</v>
      </c>
      <c r="C2998" s="3" t="str">
        <f t="shared" si="116"/>
        <v>BRASIL</v>
      </c>
      <c r="D2998" s="4" t="str">
        <f>"TO071"</f>
        <v>TO071</v>
      </c>
    </row>
    <row r="2999" spans="1:4" x14ac:dyDescent="0.3">
      <c r="A2999" s="2" t="str">
        <f>"MACAE"</f>
        <v>MACAE</v>
      </c>
      <c r="B2999" s="3" t="str">
        <f>"RJ"</f>
        <v>RJ</v>
      </c>
      <c r="C2999" s="3" t="str">
        <f t="shared" si="116"/>
        <v>BRASIL</v>
      </c>
      <c r="D2999" s="4" t="str">
        <f>"RJ037"</f>
        <v>RJ037</v>
      </c>
    </row>
    <row r="3000" spans="1:4" x14ac:dyDescent="0.3">
      <c r="A3000" s="2" t="str">
        <f>"MACAIBA"</f>
        <v>MACAIBA</v>
      </c>
      <c r="B3000" s="3" t="str">
        <f>"RN"</f>
        <v>RN</v>
      </c>
      <c r="C3000" s="3" t="str">
        <f t="shared" si="116"/>
        <v>BRASIL</v>
      </c>
      <c r="D3000" s="4" t="str">
        <f>"RN078"</f>
        <v>RN078</v>
      </c>
    </row>
    <row r="3001" spans="1:4" x14ac:dyDescent="0.3">
      <c r="A3001" s="2" t="str">
        <f>"MACAJUBA"</f>
        <v>MACAJUBA</v>
      </c>
      <c r="B3001" s="3" t="str">
        <f>"BA"</f>
        <v>BA</v>
      </c>
      <c r="C3001" s="3" t="str">
        <f t="shared" si="116"/>
        <v>BRASIL</v>
      </c>
      <c r="D3001" s="4" t="str">
        <f>"BA236"</f>
        <v>BA236</v>
      </c>
    </row>
    <row r="3002" spans="1:4" x14ac:dyDescent="0.3">
      <c r="A3002" s="2" t="str">
        <f>"MACAMBARA"</f>
        <v>MACAMBARA</v>
      </c>
      <c r="B3002" s="3" t="str">
        <f>"RS"</f>
        <v>RS</v>
      </c>
      <c r="C3002" s="3" t="str">
        <f t="shared" si="116"/>
        <v>BRASIL</v>
      </c>
      <c r="D3002" s="4" t="str">
        <f>"RS239"</f>
        <v>RS239</v>
      </c>
    </row>
    <row r="3003" spans="1:4" x14ac:dyDescent="0.3">
      <c r="A3003" s="2" t="str">
        <f>"MACAMBIRA"</f>
        <v>MACAMBIRA</v>
      </c>
      <c r="B3003" s="3" t="str">
        <f>"SE"</f>
        <v>SE</v>
      </c>
      <c r="C3003" s="3" t="str">
        <f t="shared" si="116"/>
        <v>BRASIL</v>
      </c>
      <c r="D3003" s="4" t="str">
        <f>"SE035"</f>
        <v>SE035</v>
      </c>
    </row>
    <row r="3004" spans="1:4" x14ac:dyDescent="0.3">
      <c r="A3004" s="2" t="str">
        <f>"MACAPA"</f>
        <v>MACAPA</v>
      </c>
      <c r="B3004" s="3" t="str">
        <f>"AP"</f>
        <v>AP</v>
      </c>
      <c r="C3004" s="3" t="str">
        <f t="shared" si="116"/>
        <v>BRASIL</v>
      </c>
      <c r="D3004" s="4" t="str">
        <f>"AP009"</f>
        <v>AP009</v>
      </c>
    </row>
    <row r="3005" spans="1:4" x14ac:dyDescent="0.3">
      <c r="A3005" s="2" t="str">
        <f>"MACAPARANA"</f>
        <v>MACAPARANA</v>
      </c>
      <c r="B3005" s="3" t="str">
        <f>"PE"</f>
        <v>PE</v>
      </c>
      <c r="C3005" s="3" t="str">
        <f t="shared" si="116"/>
        <v>BRASIL</v>
      </c>
      <c r="D3005" s="4" t="str">
        <f>"PE104"</f>
        <v>PE104</v>
      </c>
    </row>
    <row r="3006" spans="1:4" x14ac:dyDescent="0.3">
      <c r="A3006" s="2" t="str">
        <f>"MACARANI"</f>
        <v>MACARANI</v>
      </c>
      <c r="B3006" s="3" t="str">
        <f>"BA"</f>
        <v>BA</v>
      </c>
      <c r="C3006" s="3" t="str">
        <f t="shared" si="116"/>
        <v>BRASIL</v>
      </c>
      <c r="D3006" s="4" t="str">
        <f>"BA237"</f>
        <v>BA237</v>
      </c>
    </row>
    <row r="3007" spans="1:4" x14ac:dyDescent="0.3">
      <c r="A3007" s="2" t="str">
        <f>"MACATUBA"</f>
        <v>MACATUBA</v>
      </c>
      <c r="B3007" s="3" t="str">
        <f>"SP"</f>
        <v>SP</v>
      </c>
      <c r="C3007" s="3" t="str">
        <f t="shared" si="116"/>
        <v>BRASIL</v>
      </c>
      <c r="D3007" s="4" t="str">
        <f>"SP316"</f>
        <v>SP316</v>
      </c>
    </row>
    <row r="3008" spans="1:4" x14ac:dyDescent="0.3">
      <c r="A3008" s="2" t="str">
        <f>"MACAU"</f>
        <v>MACAU</v>
      </c>
      <c r="B3008" s="3" t="str">
        <f>"RN"</f>
        <v>RN</v>
      </c>
      <c r="C3008" s="3" t="str">
        <f t="shared" si="116"/>
        <v>BRASIL</v>
      </c>
      <c r="D3008" s="4" t="str">
        <f>"RN079"</f>
        <v>RN079</v>
      </c>
    </row>
    <row r="3009" spans="1:4" x14ac:dyDescent="0.3">
      <c r="A3009" s="2" t="str">
        <f>"MACAUBAL"</f>
        <v>MACAUBAL</v>
      </c>
      <c r="B3009" s="3" t="str">
        <f>"SP"</f>
        <v>SP</v>
      </c>
      <c r="C3009" s="3" t="str">
        <f t="shared" si="116"/>
        <v>BRASIL</v>
      </c>
      <c r="D3009" s="4" t="str">
        <f>"SP317"</f>
        <v>SP317</v>
      </c>
    </row>
    <row r="3010" spans="1:4" x14ac:dyDescent="0.3">
      <c r="A3010" s="2" t="str">
        <f>"MACAUBAS"</f>
        <v>MACAUBAS</v>
      </c>
      <c r="B3010" s="3" t="str">
        <f>"BA"</f>
        <v>BA</v>
      </c>
      <c r="C3010" s="3" t="str">
        <f t="shared" si="116"/>
        <v>BRASIL</v>
      </c>
      <c r="D3010" s="4" t="str">
        <f>"BA238"</f>
        <v>BA238</v>
      </c>
    </row>
    <row r="3011" spans="1:4" x14ac:dyDescent="0.3">
      <c r="A3011" s="2" t="str">
        <f>"MACEDONIA"</f>
        <v>MACEDONIA</v>
      </c>
      <c r="B3011" s="3" t="str">
        <f>"SP"</f>
        <v>SP</v>
      </c>
      <c r="C3011" s="3" t="str">
        <f t="shared" si="116"/>
        <v>BRASIL</v>
      </c>
      <c r="D3011" s="4" t="str">
        <f>"SP318"</f>
        <v>SP318</v>
      </c>
    </row>
    <row r="3012" spans="1:4" x14ac:dyDescent="0.3">
      <c r="A3012" s="2" t="str">
        <f>"MACEIO"</f>
        <v>MACEIO</v>
      </c>
      <c r="B3012" s="3" t="str">
        <f>"AL"</f>
        <v>AL</v>
      </c>
      <c r="C3012" s="3" t="str">
        <f t="shared" si="116"/>
        <v>BRASIL</v>
      </c>
      <c r="D3012" s="4" t="str">
        <f>"AL047"</f>
        <v>AL047</v>
      </c>
    </row>
    <row r="3013" spans="1:4" x14ac:dyDescent="0.3">
      <c r="A3013" s="2" t="str">
        <f>"MACHACALIS"</f>
        <v>MACHACALIS</v>
      </c>
      <c r="B3013" s="3" t="str">
        <f>"MG"</f>
        <v>MG</v>
      </c>
      <c r="C3013" s="3" t="str">
        <f t="shared" si="116"/>
        <v>BRASIL</v>
      </c>
      <c r="D3013" s="4" t="str">
        <f>"MG449"</f>
        <v>MG449</v>
      </c>
    </row>
    <row r="3014" spans="1:4" x14ac:dyDescent="0.3">
      <c r="A3014" s="2" t="str">
        <f>"MACHADINHO"</f>
        <v>MACHADINHO</v>
      </c>
      <c r="B3014" s="3" t="str">
        <f>"RS"</f>
        <v>RS</v>
      </c>
      <c r="C3014" s="3" t="str">
        <f t="shared" si="116"/>
        <v>BRASIL</v>
      </c>
      <c r="D3014" s="4" t="str">
        <f>"RS238"</f>
        <v>RS238</v>
      </c>
    </row>
    <row r="3015" spans="1:4" x14ac:dyDescent="0.3">
      <c r="A3015" s="2" t="str">
        <f>"MACHADINHO D'OESTE"</f>
        <v>MACHADINHO D'OESTE</v>
      </c>
      <c r="B3015" s="3" t="str">
        <f>"RO"</f>
        <v>RO</v>
      </c>
      <c r="C3015" s="3" t="str">
        <f t="shared" si="116"/>
        <v>BRASIL</v>
      </c>
      <c r="D3015" s="4" t="str">
        <f>"RO013"</f>
        <v>RO013</v>
      </c>
    </row>
    <row r="3016" spans="1:4" x14ac:dyDescent="0.3">
      <c r="A3016" s="2" t="str">
        <f>"MACHADO"</f>
        <v>MACHADO</v>
      </c>
      <c r="B3016" s="3" t="str">
        <f>"MG"</f>
        <v>MG</v>
      </c>
      <c r="C3016" s="3" t="str">
        <f t="shared" si="116"/>
        <v>BRASIL</v>
      </c>
      <c r="D3016" s="4" t="str">
        <f>"MG450"</f>
        <v>MG450</v>
      </c>
    </row>
    <row r="3017" spans="1:4" x14ac:dyDescent="0.3">
      <c r="A3017" s="2" t="str">
        <f>"MACHADOS"</f>
        <v>MACHADOS</v>
      </c>
      <c r="B3017" s="3" t="str">
        <f>"PE"</f>
        <v>PE</v>
      </c>
      <c r="C3017" s="3" t="str">
        <f t="shared" si="116"/>
        <v>BRASIL</v>
      </c>
      <c r="D3017" s="4" t="str">
        <f>"PE105"</f>
        <v>PE105</v>
      </c>
    </row>
    <row r="3018" spans="1:4" x14ac:dyDescent="0.3">
      <c r="A3018" s="2" t="str">
        <f>"MACIEIRA"</f>
        <v>MACIEIRA</v>
      </c>
      <c r="B3018" s="3" t="str">
        <f>"SC"</f>
        <v>SC</v>
      </c>
      <c r="C3018" s="3" t="str">
        <f t="shared" si="116"/>
        <v>BRASIL</v>
      </c>
      <c r="D3018" s="4" t="str">
        <f>"SC152"</f>
        <v>SC152</v>
      </c>
    </row>
    <row r="3019" spans="1:4" x14ac:dyDescent="0.3">
      <c r="A3019" s="2" t="str">
        <f>"MACUCO"</f>
        <v>MACUCO</v>
      </c>
      <c r="B3019" s="3" t="str">
        <f>"RJ"</f>
        <v>RJ</v>
      </c>
      <c r="C3019" s="3" t="str">
        <f t="shared" si="116"/>
        <v>BRASIL</v>
      </c>
      <c r="D3019" s="4" t="str">
        <f>"RJ038"</f>
        <v>RJ038</v>
      </c>
    </row>
    <row r="3020" spans="1:4" x14ac:dyDescent="0.3">
      <c r="A3020" s="2" t="str">
        <f>"MACURURE"</f>
        <v>MACURURE</v>
      </c>
      <c r="B3020" s="3" t="str">
        <f>"BA"</f>
        <v>BA</v>
      </c>
      <c r="C3020" s="3" t="str">
        <f t="shared" si="116"/>
        <v>BRASIL</v>
      </c>
      <c r="D3020" s="4" t="str">
        <f>"BA239"</f>
        <v>BA239</v>
      </c>
    </row>
    <row r="3021" spans="1:4" x14ac:dyDescent="0.3">
      <c r="A3021" s="2" t="str">
        <f>"MADALENA"</f>
        <v>MADALENA</v>
      </c>
      <c r="B3021" s="3" t="str">
        <f>"CE"</f>
        <v>CE</v>
      </c>
      <c r="C3021" s="3" t="str">
        <f t="shared" si="116"/>
        <v>BRASIL</v>
      </c>
      <c r="D3021" s="4" t="str">
        <f>"CE103"</f>
        <v>CE103</v>
      </c>
    </row>
    <row r="3022" spans="1:4" x14ac:dyDescent="0.3">
      <c r="A3022" s="2" t="str">
        <f>"MADEIRO"</f>
        <v>MADEIRO</v>
      </c>
      <c r="B3022" s="3" t="str">
        <f>"PI"</f>
        <v>PI</v>
      </c>
      <c r="C3022" s="3" t="str">
        <f t="shared" si="116"/>
        <v>BRASIL</v>
      </c>
      <c r="D3022" s="4" t="str">
        <f>"PI121"</f>
        <v>PI121</v>
      </c>
    </row>
    <row r="3023" spans="1:4" x14ac:dyDescent="0.3">
      <c r="A3023" s="2" t="str">
        <f>"MADISON"</f>
        <v>MADISON</v>
      </c>
      <c r="B3023" s="3" t="str">
        <f>"EX"</f>
        <v>EX</v>
      </c>
      <c r="C3023" s="3" t="str">
        <f>"ESTADOS UNIDOS"</f>
        <v>ESTADOS UNIDOS</v>
      </c>
      <c r="D3023" s="4" t="str">
        <f>"MADIS"</f>
        <v>MADIS</v>
      </c>
    </row>
    <row r="3024" spans="1:4" x14ac:dyDescent="0.3">
      <c r="A3024" s="2" t="str">
        <f>"MADISON"</f>
        <v>MADISON</v>
      </c>
      <c r="B3024" s="3" t="str">
        <f>"NJ"</f>
        <v>NJ</v>
      </c>
      <c r="C3024" s="3" t="str">
        <f>"ESTADOS UNIDOS"</f>
        <v>ESTADOS UNIDOS</v>
      </c>
      <c r="D3024" s="4" t="str">
        <f>"MAD"</f>
        <v>MAD</v>
      </c>
    </row>
    <row r="3025" spans="1:4" x14ac:dyDescent="0.3">
      <c r="A3025" s="2" t="str">
        <f>"MADRE DE DEUS"</f>
        <v>MADRE DE DEUS</v>
      </c>
      <c r="B3025" s="3" t="str">
        <f>"BA"</f>
        <v>BA</v>
      </c>
      <c r="C3025" s="3" t="str">
        <f t="shared" ref="C3025:C3044" si="117">"BRASIL"</f>
        <v>BRASIL</v>
      </c>
      <c r="D3025" s="4" t="str">
        <f>"BA240"</f>
        <v>BA240</v>
      </c>
    </row>
    <row r="3026" spans="1:4" x14ac:dyDescent="0.3">
      <c r="A3026" s="2" t="str">
        <f>"MADRE DE DEUS DE MINAS"</f>
        <v>MADRE DE DEUS DE MINAS</v>
      </c>
      <c r="B3026" s="3" t="str">
        <f>"MG"</f>
        <v>MG</v>
      </c>
      <c r="C3026" s="3" t="str">
        <f t="shared" si="117"/>
        <v>BRASIL</v>
      </c>
      <c r="D3026" s="4" t="str">
        <f>"MG451"</f>
        <v>MG451</v>
      </c>
    </row>
    <row r="3027" spans="1:4" x14ac:dyDescent="0.3">
      <c r="A3027" s="2" t="str">
        <f>"MAE D'AGUA"</f>
        <v>MAE D'AGUA</v>
      </c>
      <c r="B3027" s="3" t="str">
        <f>"PB"</f>
        <v>PB</v>
      </c>
      <c r="C3027" s="3" t="str">
        <f t="shared" si="117"/>
        <v>BRASIL</v>
      </c>
      <c r="D3027" s="4" t="str">
        <f>"PB109"</f>
        <v>PB109</v>
      </c>
    </row>
    <row r="3028" spans="1:4" x14ac:dyDescent="0.3">
      <c r="A3028" s="2" t="str">
        <f>"MAE DO RIO"</f>
        <v>MAE DO RIO</v>
      </c>
      <c r="B3028" s="3" t="str">
        <f>"PA"</f>
        <v>PA</v>
      </c>
      <c r="C3028" s="3" t="str">
        <f t="shared" si="117"/>
        <v>BRASIL</v>
      </c>
      <c r="D3028" s="4" t="str">
        <f>"PA064"</f>
        <v>PA064</v>
      </c>
    </row>
    <row r="3029" spans="1:4" x14ac:dyDescent="0.3">
      <c r="A3029" s="2" t="str">
        <f>"MAETINGA"</f>
        <v>MAETINGA</v>
      </c>
      <c r="B3029" s="3" t="str">
        <f>"BA"</f>
        <v>BA</v>
      </c>
      <c r="C3029" s="3" t="str">
        <f t="shared" si="117"/>
        <v>BRASIL</v>
      </c>
      <c r="D3029" s="4" t="str">
        <f>"BA241"</f>
        <v>BA241</v>
      </c>
    </row>
    <row r="3030" spans="1:4" x14ac:dyDescent="0.3">
      <c r="A3030" s="2" t="str">
        <f>"MAFRA"</f>
        <v>MAFRA</v>
      </c>
      <c r="B3030" s="3" t="str">
        <f>"SC"</f>
        <v>SC</v>
      </c>
      <c r="C3030" s="3" t="str">
        <f t="shared" si="117"/>
        <v>BRASIL</v>
      </c>
      <c r="D3030" s="4" t="str">
        <f>"SC153"</f>
        <v>SC153</v>
      </c>
    </row>
    <row r="3031" spans="1:4" x14ac:dyDescent="0.3">
      <c r="A3031" s="2" t="str">
        <f>"MAGALHAES BARATA"</f>
        <v>MAGALHAES BARATA</v>
      </c>
      <c r="B3031" s="3" t="str">
        <f>"PA"</f>
        <v>PA</v>
      </c>
      <c r="C3031" s="3" t="str">
        <f t="shared" si="117"/>
        <v>BRASIL</v>
      </c>
      <c r="D3031" s="4" t="str">
        <f>"PA065"</f>
        <v>PA065</v>
      </c>
    </row>
    <row r="3032" spans="1:4" x14ac:dyDescent="0.3">
      <c r="A3032" s="2" t="str">
        <f>"MAGALHAES DE ALMEIDA"</f>
        <v>MAGALHAES DE ALMEIDA</v>
      </c>
      <c r="B3032" s="3" t="str">
        <f>"MA"</f>
        <v>MA</v>
      </c>
      <c r="C3032" s="3" t="str">
        <f t="shared" si="117"/>
        <v>BRASIL</v>
      </c>
      <c r="D3032" s="4" t="str">
        <f>"MA109"</f>
        <v>MA109</v>
      </c>
    </row>
    <row r="3033" spans="1:4" x14ac:dyDescent="0.3">
      <c r="A3033" s="2" t="str">
        <f>"MAGDA"</f>
        <v>MAGDA</v>
      </c>
      <c r="B3033" s="3" t="str">
        <f>"SP"</f>
        <v>SP</v>
      </c>
      <c r="C3033" s="3" t="str">
        <f t="shared" si="117"/>
        <v>BRASIL</v>
      </c>
      <c r="D3033" s="4" t="str">
        <f>"SP319"</f>
        <v>SP319</v>
      </c>
    </row>
    <row r="3034" spans="1:4" x14ac:dyDescent="0.3">
      <c r="A3034" s="2" t="str">
        <f>"MAGE"</f>
        <v>MAGE</v>
      </c>
      <c r="B3034" s="3" t="str">
        <f>"RJ"</f>
        <v>RJ</v>
      </c>
      <c r="C3034" s="3" t="str">
        <f t="shared" si="117"/>
        <v>BRASIL</v>
      </c>
      <c r="D3034" s="4" t="str">
        <f>"RJ039"</f>
        <v>RJ039</v>
      </c>
    </row>
    <row r="3035" spans="1:4" x14ac:dyDescent="0.3">
      <c r="A3035" s="2" t="str">
        <f>"MAIQUINIQUE"</f>
        <v>MAIQUINIQUE</v>
      </c>
      <c r="B3035" s="3" t="str">
        <f>"BA"</f>
        <v>BA</v>
      </c>
      <c r="C3035" s="3" t="str">
        <f t="shared" si="117"/>
        <v>BRASIL</v>
      </c>
      <c r="D3035" s="4" t="str">
        <f>"BA242"</f>
        <v>BA242</v>
      </c>
    </row>
    <row r="3036" spans="1:4" x14ac:dyDescent="0.3">
      <c r="A3036" s="2" t="str">
        <f>"MAIRI"</f>
        <v>MAIRI</v>
      </c>
      <c r="B3036" s="3" t="str">
        <f>"BA"</f>
        <v>BA</v>
      </c>
      <c r="C3036" s="3" t="str">
        <f t="shared" si="117"/>
        <v>BRASIL</v>
      </c>
      <c r="D3036" s="4" t="str">
        <f>"BA243"</f>
        <v>BA243</v>
      </c>
    </row>
    <row r="3037" spans="1:4" x14ac:dyDescent="0.3">
      <c r="A3037" s="2" t="str">
        <f>"MAIRINQUE"</f>
        <v>MAIRINQUE</v>
      </c>
      <c r="B3037" s="3" t="str">
        <f>"SP"</f>
        <v>SP</v>
      </c>
      <c r="C3037" s="3" t="str">
        <f t="shared" si="117"/>
        <v>BRASIL</v>
      </c>
      <c r="D3037" s="4" t="str">
        <f>"SP320"</f>
        <v>SP320</v>
      </c>
    </row>
    <row r="3038" spans="1:4" x14ac:dyDescent="0.3">
      <c r="A3038" s="2" t="str">
        <f>"MAIRIPORA"</f>
        <v>MAIRIPORA</v>
      </c>
      <c r="B3038" s="3" t="str">
        <f>"SP"</f>
        <v>SP</v>
      </c>
      <c r="C3038" s="3" t="str">
        <f t="shared" si="117"/>
        <v>BRASIL</v>
      </c>
      <c r="D3038" s="4" t="str">
        <f>"SP321"</f>
        <v>SP321</v>
      </c>
    </row>
    <row r="3039" spans="1:4" x14ac:dyDescent="0.3">
      <c r="A3039" s="2" t="str">
        <f>"MAIRIPOTABA"</f>
        <v>MAIRIPOTABA</v>
      </c>
      <c r="B3039" s="3" t="str">
        <f>"GO"</f>
        <v>GO</v>
      </c>
      <c r="C3039" s="3" t="str">
        <f t="shared" si="117"/>
        <v>BRASIL</v>
      </c>
      <c r="D3039" s="4" t="str">
        <f>"GO136"</f>
        <v>GO136</v>
      </c>
    </row>
    <row r="3040" spans="1:4" x14ac:dyDescent="0.3">
      <c r="A3040" s="2" t="str">
        <f>"MAJOR GERCINO"</f>
        <v>MAJOR GERCINO</v>
      </c>
      <c r="B3040" s="3" t="str">
        <f>"SC"</f>
        <v>SC</v>
      </c>
      <c r="C3040" s="3" t="str">
        <f t="shared" si="117"/>
        <v>BRASIL</v>
      </c>
      <c r="D3040" s="4" t="str">
        <f>"SC154"</f>
        <v>SC154</v>
      </c>
    </row>
    <row r="3041" spans="1:4" x14ac:dyDescent="0.3">
      <c r="A3041" s="2" t="str">
        <f>"MAJOR ISIDORO"</f>
        <v>MAJOR ISIDORO</v>
      </c>
      <c r="B3041" s="3" t="str">
        <f>"AL"</f>
        <v>AL</v>
      </c>
      <c r="C3041" s="3" t="str">
        <f t="shared" si="117"/>
        <v>BRASIL</v>
      </c>
      <c r="D3041" s="4" t="str">
        <f>"AL048"</f>
        <v>AL048</v>
      </c>
    </row>
    <row r="3042" spans="1:4" x14ac:dyDescent="0.3">
      <c r="A3042" s="2" t="str">
        <f>"MAJOR SALES"</f>
        <v>MAJOR SALES</v>
      </c>
      <c r="B3042" s="3" t="str">
        <f>"RN"</f>
        <v>RN</v>
      </c>
      <c r="C3042" s="3" t="str">
        <f t="shared" si="117"/>
        <v>BRASIL</v>
      </c>
      <c r="D3042" s="4" t="str">
        <f>"RN080"</f>
        <v>RN080</v>
      </c>
    </row>
    <row r="3043" spans="1:4" x14ac:dyDescent="0.3">
      <c r="A3043" s="2" t="str">
        <f>"MAJOR VIEIRA"</f>
        <v>MAJOR VIEIRA</v>
      </c>
      <c r="B3043" s="3" t="str">
        <f>"SC"</f>
        <v>SC</v>
      </c>
      <c r="C3043" s="3" t="str">
        <f t="shared" si="117"/>
        <v>BRASIL</v>
      </c>
      <c r="D3043" s="4" t="str">
        <f>"SC155"</f>
        <v>SC155</v>
      </c>
    </row>
    <row r="3044" spans="1:4" x14ac:dyDescent="0.3">
      <c r="A3044" s="2" t="str">
        <f>"MALACACHETA"</f>
        <v>MALACACHETA</v>
      </c>
      <c r="B3044" s="3" t="str">
        <f>"MG"</f>
        <v>MG</v>
      </c>
      <c r="C3044" s="3" t="str">
        <f t="shared" si="117"/>
        <v>BRASIL</v>
      </c>
      <c r="D3044" s="4" t="str">
        <f>"MG452"</f>
        <v>MG452</v>
      </c>
    </row>
    <row r="3045" spans="1:4" x14ac:dyDescent="0.3">
      <c r="A3045" s="2" t="str">
        <f>"MALDONADO"</f>
        <v>MALDONADO</v>
      </c>
      <c r="B3045" s="3" t="str">
        <f>"URG"</f>
        <v>URG</v>
      </c>
      <c r="C3045" s="3" t="str">
        <f>"URUGUAI"</f>
        <v>URUGUAI</v>
      </c>
      <c r="D3045" s="4" t="str">
        <f>"MLD"</f>
        <v>MLD</v>
      </c>
    </row>
    <row r="3046" spans="1:4" x14ac:dyDescent="0.3">
      <c r="A3046" s="2" t="str">
        <f>"MALHADA"</f>
        <v>MALHADA</v>
      </c>
      <c r="B3046" s="3" t="str">
        <f>"BA"</f>
        <v>BA</v>
      </c>
      <c r="C3046" s="3" t="str">
        <f t="shared" ref="C3046:C3077" si="118">"BRASIL"</f>
        <v>BRASIL</v>
      </c>
      <c r="D3046" s="4" t="str">
        <f>"BA244"</f>
        <v>BA244</v>
      </c>
    </row>
    <row r="3047" spans="1:4" x14ac:dyDescent="0.3">
      <c r="A3047" s="2" t="str">
        <f>"MALHADA DE PEDRAS"</f>
        <v>MALHADA DE PEDRAS</v>
      </c>
      <c r="B3047" s="3" t="str">
        <f>"BA"</f>
        <v>BA</v>
      </c>
      <c r="C3047" s="3" t="str">
        <f t="shared" si="118"/>
        <v>BRASIL</v>
      </c>
      <c r="D3047" s="4" t="str">
        <f>"BA245"</f>
        <v>BA245</v>
      </c>
    </row>
    <row r="3048" spans="1:4" x14ac:dyDescent="0.3">
      <c r="A3048" s="2" t="str">
        <f>"MALHADA DOS BOIS"</f>
        <v>MALHADA DOS BOIS</v>
      </c>
      <c r="B3048" s="3" t="str">
        <f>"SE"</f>
        <v>SE</v>
      </c>
      <c r="C3048" s="3" t="str">
        <f t="shared" si="118"/>
        <v>BRASIL</v>
      </c>
      <c r="D3048" s="4" t="str">
        <f>"SE036"</f>
        <v>SE036</v>
      </c>
    </row>
    <row r="3049" spans="1:4" x14ac:dyDescent="0.3">
      <c r="A3049" s="2" t="str">
        <f>"MALHADOR"</f>
        <v>MALHADOR</v>
      </c>
      <c r="B3049" s="3" t="str">
        <f>"SE"</f>
        <v>SE</v>
      </c>
      <c r="C3049" s="3" t="str">
        <f t="shared" si="118"/>
        <v>BRASIL</v>
      </c>
      <c r="D3049" s="4" t="str">
        <f>"SE037"</f>
        <v>SE037</v>
      </c>
    </row>
    <row r="3050" spans="1:4" x14ac:dyDescent="0.3">
      <c r="A3050" s="2" t="str">
        <f>"MALLET"</f>
        <v>MALLET</v>
      </c>
      <c r="B3050" s="3" t="str">
        <f>"PR"</f>
        <v>PR</v>
      </c>
      <c r="C3050" s="3" t="str">
        <f t="shared" si="118"/>
        <v>BRASIL</v>
      </c>
      <c r="D3050" s="4" t="str">
        <f>"PR195"</f>
        <v>PR195</v>
      </c>
    </row>
    <row r="3051" spans="1:4" x14ac:dyDescent="0.3">
      <c r="A3051" s="2" t="str">
        <f>"MALTA"</f>
        <v>MALTA</v>
      </c>
      <c r="B3051" s="3" t="str">
        <f>"PB"</f>
        <v>PB</v>
      </c>
      <c r="C3051" s="3" t="str">
        <f t="shared" si="118"/>
        <v>BRASIL</v>
      </c>
      <c r="D3051" s="4" t="str">
        <f>"PB110"</f>
        <v>PB110</v>
      </c>
    </row>
    <row r="3052" spans="1:4" x14ac:dyDescent="0.3">
      <c r="A3052" s="2" t="str">
        <f>"MAMANGUAPE"</f>
        <v>MAMANGUAPE</v>
      </c>
      <c r="B3052" s="3" t="str">
        <f>"PB"</f>
        <v>PB</v>
      </c>
      <c r="C3052" s="3" t="str">
        <f t="shared" si="118"/>
        <v>BRASIL</v>
      </c>
      <c r="D3052" s="4" t="str">
        <f>"PB111"</f>
        <v>PB111</v>
      </c>
    </row>
    <row r="3053" spans="1:4" x14ac:dyDescent="0.3">
      <c r="A3053" s="2" t="str">
        <f>"MAMBAI"</f>
        <v>MAMBAI</v>
      </c>
      <c r="B3053" s="3" t="str">
        <f>"GO"</f>
        <v>GO</v>
      </c>
      <c r="C3053" s="3" t="str">
        <f t="shared" si="118"/>
        <v>BRASIL</v>
      </c>
      <c r="D3053" s="4" t="str">
        <f>"GO137"</f>
        <v>GO137</v>
      </c>
    </row>
    <row r="3054" spans="1:4" x14ac:dyDescent="0.3">
      <c r="A3054" s="2" t="str">
        <f>"MAMBORE"</f>
        <v>MAMBORE</v>
      </c>
      <c r="B3054" s="3" t="str">
        <f>"PR"</f>
        <v>PR</v>
      </c>
      <c r="C3054" s="3" t="str">
        <f t="shared" si="118"/>
        <v>BRASIL</v>
      </c>
      <c r="D3054" s="4" t="str">
        <f>"PR196"</f>
        <v>PR196</v>
      </c>
    </row>
    <row r="3055" spans="1:4" x14ac:dyDescent="0.3">
      <c r="A3055" s="2" t="str">
        <f>"MAMONAS"</f>
        <v>MAMONAS</v>
      </c>
      <c r="B3055" s="3" t="str">
        <f>"MG"</f>
        <v>MG</v>
      </c>
      <c r="C3055" s="3" t="str">
        <f t="shared" si="118"/>
        <v>BRASIL</v>
      </c>
      <c r="D3055" s="4" t="str">
        <f>"MG453"</f>
        <v>MG453</v>
      </c>
    </row>
    <row r="3056" spans="1:4" x14ac:dyDescent="0.3">
      <c r="A3056" s="2" t="str">
        <f>"MAMPITUBA"</f>
        <v>MAMPITUBA</v>
      </c>
      <c r="B3056" s="3" t="str">
        <f>"RS"</f>
        <v>RS</v>
      </c>
      <c r="C3056" s="3" t="str">
        <f t="shared" si="118"/>
        <v>BRASIL</v>
      </c>
      <c r="D3056" s="4" t="str">
        <f>"RS240"</f>
        <v>RS240</v>
      </c>
    </row>
    <row r="3057" spans="1:4" x14ac:dyDescent="0.3">
      <c r="A3057" s="2" t="str">
        <f>"MANACAPURU"</f>
        <v>MANACAPURU</v>
      </c>
      <c r="B3057" s="3" t="str">
        <f>"AM"</f>
        <v>AM</v>
      </c>
      <c r="C3057" s="3" t="str">
        <f t="shared" si="118"/>
        <v>BRASIL</v>
      </c>
      <c r="D3057" s="4" t="str">
        <f>"AM036"</f>
        <v>AM036</v>
      </c>
    </row>
    <row r="3058" spans="1:4" x14ac:dyDescent="0.3">
      <c r="A3058" s="2" t="str">
        <f>"MANAIRA"</f>
        <v>MANAIRA</v>
      </c>
      <c r="B3058" s="3" t="str">
        <f>"PB"</f>
        <v>PB</v>
      </c>
      <c r="C3058" s="3" t="str">
        <f t="shared" si="118"/>
        <v>BRASIL</v>
      </c>
      <c r="D3058" s="4" t="str">
        <f>"PB112"</f>
        <v>PB112</v>
      </c>
    </row>
    <row r="3059" spans="1:4" x14ac:dyDescent="0.3">
      <c r="A3059" s="2" t="str">
        <f>"MANAQUIRI"</f>
        <v>MANAQUIRI</v>
      </c>
      <c r="B3059" s="3" t="str">
        <f>"AM"</f>
        <v>AM</v>
      </c>
      <c r="C3059" s="3" t="str">
        <f t="shared" si="118"/>
        <v>BRASIL</v>
      </c>
      <c r="D3059" s="4" t="str">
        <f>"AM037"</f>
        <v>AM037</v>
      </c>
    </row>
    <row r="3060" spans="1:4" x14ac:dyDescent="0.3">
      <c r="A3060" s="2" t="str">
        <f>"MANARI"</f>
        <v>MANARI</v>
      </c>
      <c r="B3060" s="3" t="str">
        <f>"PE"</f>
        <v>PE</v>
      </c>
      <c r="C3060" s="3" t="str">
        <f t="shared" si="118"/>
        <v>BRASIL</v>
      </c>
      <c r="D3060" s="4" t="str">
        <f>"PE106"</f>
        <v>PE106</v>
      </c>
    </row>
    <row r="3061" spans="1:4" x14ac:dyDescent="0.3">
      <c r="A3061" s="2" t="str">
        <f>"MANAUS"</f>
        <v>MANAUS</v>
      </c>
      <c r="B3061" s="3" t="str">
        <f>"AM"</f>
        <v>AM</v>
      </c>
      <c r="C3061" s="3" t="str">
        <f t="shared" si="118"/>
        <v>BRASIL</v>
      </c>
      <c r="D3061" s="4" t="str">
        <f>"AM038"</f>
        <v>AM038</v>
      </c>
    </row>
    <row r="3062" spans="1:4" x14ac:dyDescent="0.3">
      <c r="A3062" s="2" t="str">
        <f>"MANCIO LIMA"</f>
        <v>MANCIO LIMA</v>
      </c>
      <c r="B3062" s="3" t="str">
        <f>"AC"</f>
        <v>AC</v>
      </c>
      <c r="C3062" s="3" t="str">
        <f t="shared" si="118"/>
        <v>BRASIL</v>
      </c>
      <c r="D3062" s="4" t="str">
        <f>"AC010"</f>
        <v>AC010</v>
      </c>
    </row>
    <row r="3063" spans="1:4" x14ac:dyDescent="0.3">
      <c r="A3063" s="2" t="str">
        <f>"MANDAGUACU"</f>
        <v>MANDAGUACU</v>
      </c>
      <c r="B3063" s="3" t="str">
        <f>"PR"</f>
        <v>PR</v>
      </c>
      <c r="C3063" s="3" t="str">
        <f t="shared" si="118"/>
        <v>BRASIL</v>
      </c>
      <c r="D3063" s="4" t="str">
        <f>"PR197"</f>
        <v>PR197</v>
      </c>
    </row>
    <row r="3064" spans="1:4" x14ac:dyDescent="0.3">
      <c r="A3064" s="2" t="str">
        <f>"MANDAGUARI"</f>
        <v>MANDAGUARI</v>
      </c>
      <c r="B3064" s="3" t="str">
        <f>"PR"</f>
        <v>PR</v>
      </c>
      <c r="C3064" s="3" t="str">
        <f t="shared" si="118"/>
        <v>BRASIL</v>
      </c>
      <c r="D3064" s="4" t="str">
        <f>"PR198"</f>
        <v>PR198</v>
      </c>
    </row>
    <row r="3065" spans="1:4" x14ac:dyDescent="0.3">
      <c r="A3065" s="2" t="str">
        <f>"MANDIRITUBA"</f>
        <v>MANDIRITUBA</v>
      </c>
      <c r="B3065" s="3" t="str">
        <f>"PR"</f>
        <v>PR</v>
      </c>
      <c r="C3065" s="3" t="str">
        <f t="shared" si="118"/>
        <v>BRASIL</v>
      </c>
      <c r="D3065" s="4" t="str">
        <f>"PR199"</f>
        <v>PR199</v>
      </c>
    </row>
    <row r="3066" spans="1:4" x14ac:dyDescent="0.3">
      <c r="A3066" s="2" t="str">
        <f>"MANDURI"</f>
        <v>MANDURI</v>
      </c>
      <c r="B3066" s="3" t="str">
        <f>"SP"</f>
        <v>SP</v>
      </c>
      <c r="C3066" s="3" t="str">
        <f t="shared" si="118"/>
        <v>BRASIL</v>
      </c>
      <c r="D3066" s="4" t="str">
        <f>"SP322"</f>
        <v>SP322</v>
      </c>
    </row>
    <row r="3067" spans="1:4" x14ac:dyDescent="0.3">
      <c r="A3067" s="2" t="str">
        <f>"MANFRINOPOLIS"</f>
        <v>MANFRINOPOLIS</v>
      </c>
      <c r="B3067" s="3" t="str">
        <f>"PR"</f>
        <v>PR</v>
      </c>
      <c r="C3067" s="3" t="str">
        <f t="shared" si="118"/>
        <v>BRASIL</v>
      </c>
      <c r="D3067" s="4" t="str">
        <f>"PR200"</f>
        <v>PR200</v>
      </c>
    </row>
    <row r="3068" spans="1:4" x14ac:dyDescent="0.3">
      <c r="A3068" s="2" t="str">
        <f>"MANGA"</f>
        <v>MANGA</v>
      </c>
      <c r="B3068" s="3" t="str">
        <f>"MG"</f>
        <v>MG</v>
      </c>
      <c r="C3068" s="3" t="str">
        <f t="shared" si="118"/>
        <v>BRASIL</v>
      </c>
      <c r="D3068" s="4" t="str">
        <f>"MG454"</f>
        <v>MG454</v>
      </c>
    </row>
    <row r="3069" spans="1:4" x14ac:dyDescent="0.3">
      <c r="A3069" s="2" t="str">
        <f>"MANGARATIBA"</f>
        <v>MANGARATIBA</v>
      </c>
      <c r="B3069" s="3" t="str">
        <f>"RJ"</f>
        <v>RJ</v>
      </c>
      <c r="C3069" s="3" t="str">
        <f t="shared" si="118"/>
        <v>BRASIL</v>
      </c>
      <c r="D3069" s="4" t="str">
        <f>"RJ040"</f>
        <v>RJ040</v>
      </c>
    </row>
    <row r="3070" spans="1:4" x14ac:dyDescent="0.3">
      <c r="A3070" s="2" t="str">
        <f>"MANGUEIRINHA"</f>
        <v>MANGUEIRINHA</v>
      </c>
      <c r="B3070" s="3" t="str">
        <f>"PR"</f>
        <v>PR</v>
      </c>
      <c r="C3070" s="3" t="str">
        <f t="shared" si="118"/>
        <v>BRASIL</v>
      </c>
      <c r="D3070" s="4" t="str">
        <f>"PR201"</f>
        <v>PR201</v>
      </c>
    </row>
    <row r="3071" spans="1:4" x14ac:dyDescent="0.3">
      <c r="A3071" s="2" t="str">
        <f>"MANHUACU"</f>
        <v>MANHUACU</v>
      </c>
      <c r="B3071" s="3" t="str">
        <f>"MG"</f>
        <v>MG</v>
      </c>
      <c r="C3071" s="3" t="str">
        <f t="shared" si="118"/>
        <v>BRASIL</v>
      </c>
      <c r="D3071" s="4" t="str">
        <f>"MG455"</f>
        <v>MG455</v>
      </c>
    </row>
    <row r="3072" spans="1:4" x14ac:dyDescent="0.3">
      <c r="A3072" s="2" t="str">
        <f>"MANHUMIRIM"</f>
        <v>MANHUMIRIM</v>
      </c>
      <c r="B3072" s="3" t="str">
        <f>"MG"</f>
        <v>MG</v>
      </c>
      <c r="C3072" s="3" t="str">
        <f t="shared" si="118"/>
        <v>BRASIL</v>
      </c>
      <c r="D3072" s="4" t="str">
        <f>"MG456"</f>
        <v>MG456</v>
      </c>
    </row>
    <row r="3073" spans="1:4" x14ac:dyDescent="0.3">
      <c r="A3073" s="2" t="str">
        <f>"MANICORE"</f>
        <v>MANICORE</v>
      </c>
      <c r="B3073" s="3" t="str">
        <f>"AM"</f>
        <v>AM</v>
      </c>
      <c r="C3073" s="3" t="str">
        <f t="shared" si="118"/>
        <v>BRASIL</v>
      </c>
      <c r="D3073" s="4" t="str">
        <f>"AM039"</f>
        <v>AM039</v>
      </c>
    </row>
    <row r="3074" spans="1:4" x14ac:dyDescent="0.3">
      <c r="A3074" s="2" t="str">
        <f>"MANOEL EMIDIO"</f>
        <v>MANOEL EMIDIO</v>
      </c>
      <c r="B3074" s="3" t="str">
        <f>"PI"</f>
        <v>PI</v>
      </c>
      <c r="C3074" s="3" t="str">
        <f t="shared" si="118"/>
        <v>BRASIL</v>
      </c>
      <c r="D3074" s="4" t="str">
        <f>"PI122"</f>
        <v>PI122</v>
      </c>
    </row>
    <row r="3075" spans="1:4" x14ac:dyDescent="0.3">
      <c r="A3075" s="2" t="str">
        <f>"MANOEL RIBAS"</f>
        <v>MANOEL RIBAS</v>
      </c>
      <c r="B3075" s="3" t="str">
        <f>"PR"</f>
        <v>PR</v>
      </c>
      <c r="C3075" s="3" t="str">
        <f t="shared" si="118"/>
        <v>BRASIL</v>
      </c>
      <c r="D3075" s="4" t="str">
        <f>"PR202"</f>
        <v>PR202</v>
      </c>
    </row>
    <row r="3076" spans="1:4" x14ac:dyDescent="0.3">
      <c r="A3076" s="2" t="str">
        <f>"MANOEL URBANO"</f>
        <v>MANOEL URBANO</v>
      </c>
      <c r="B3076" s="3" t="str">
        <f>"AC"</f>
        <v>AC</v>
      </c>
      <c r="C3076" s="3" t="str">
        <f t="shared" si="118"/>
        <v>BRASIL</v>
      </c>
      <c r="D3076" s="4" t="str">
        <f>"AC011"</f>
        <v>AC011</v>
      </c>
    </row>
    <row r="3077" spans="1:4" x14ac:dyDescent="0.3">
      <c r="A3077" s="2" t="str">
        <f>"MANOEL VIANA"</f>
        <v>MANOEL VIANA</v>
      </c>
      <c r="B3077" s="3" t="str">
        <f>"RS"</f>
        <v>RS</v>
      </c>
      <c r="C3077" s="3" t="str">
        <f t="shared" si="118"/>
        <v>BRASIL</v>
      </c>
      <c r="D3077" s="4" t="str">
        <f>"RS241"</f>
        <v>RS241</v>
      </c>
    </row>
    <row r="3078" spans="1:4" x14ac:dyDescent="0.3">
      <c r="A3078" s="2" t="str">
        <f>"MANOEL VITORINO"</f>
        <v>MANOEL VITORINO</v>
      </c>
      <c r="B3078" s="3" t="str">
        <f>"BA"</f>
        <v>BA</v>
      </c>
      <c r="C3078" s="3" t="str">
        <f t="shared" ref="C3078:C3109" si="119">"BRASIL"</f>
        <v>BRASIL</v>
      </c>
      <c r="D3078" s="4" t="str">
        <f>"BA246"</f>
        <v>BA246</v>
      </c>
    </row>
    <row r="3079" spans="1:4" x14ac:dyDescent="0.3">
      <c r="A3079" s="2" t="str">
        <f>"MANSIDAO"</f>
        <v>MANSIDAO</v>
      </c>
      <c r="B3079" s="3" t="str">
        <f>"BA"</f>
        <v>BA</v>
      </c>
      <c r="C3079" s="3" t="str">
        <f t="shared" si="119"/>
        <v>BRASIL</v>
      </c>
      <c r="D3079" s="4" t="str">
        <f>"BA247"</f>
        <v>BA247</v>
      </c>
    </row>
    <row r="3080" spans="1:4" x14ac:dyDescent="0.3">
      <c r="A3080" s="2" t="str">
        <f>"MANTENA"</f>
        <v>MANTENA</v>
      </c>
      <c r="B3080" s="3" t="str">
        <f>"MG"</f>
        <v>MG</v>
      </c>
      <c r="C3080" s="3" t="str">
        <f t="shared" si="119"/>
        <v>BRASIL</v>
      </c>
      <c r="D3080" s="4" t="str">
        <f>"MG457"</f>
        <v>MG457</v>
      </c>
    </row>
    <row r="3081" spans="1:4" x14ac:dyDescent="0.3">
      <c r="A3081" s="2" t="str">
        <f>"MANTENOPOLIS"</f>
        <v>MANTENOPOLIS</v>
      </c>
      <c r="B3081" s="3" t="str">
        <f>"ES"</f>
        <v>ES</v>
      </c>
      <c r="C3081" s="3" t="str">
        <f t="shared" si="119"/>
        <v>BRASIL</v>
      </c>
      <c r="D3081" s="4" t="str">
        <f>"ES044"</f>
        <v>ES044</v>
      </c>
    </row>
    <row r="3082" spans="1:4" x14ac:dyDescent="0.3">
      <c r="A3082" s="2" t="str">
        <f>"MAQUINE"</f>
        <v>MAQUINE</v>
      </c>
      <c r="B3082" s="3" t="str">
        <f>"RS"</f>
        <v>RS</v>
      </c>
      <c r="C3082" s="3" t="str">
        <f t="shared" si="119"/>
        <v>BRASIL</v>
      </c>
      <c r="D3082" s="4" t="str">
        <f>"RS242"</f>
        <v>RS242</v>
      </c>
    </row>
    <row r="3083" spans="1:4" x14ac:dyDescent="0.3">
      <c r="A3083" s="2" t="str">
        <f>"MAR DE ESPANHA"</f>
        <v>MAR DE ESPANHA</v>
      </c>
      <c r="B3083" s="3" t="str">
        <f>"MG"</f>
        <v>MG</v>
      </c>
      <c r="C3083" s="3" t="str">
        <f t="shared" si="119"/>
        <v>BRASIL</v>
      </c>
      <c r="D3083" s="4" t="str">
        <f>"MG459"</f>
        <v>MG459</v>
      </c>
    </row>
    <row r="3084" spans="1:4" x14ac:dyDescent="0.3">
      <c r="A3084" s="2" t="str">
        <f>"MAR VERMELHO"</f>
        <v>MAR VERMELHO</v>
      </c>
      <c r="B3084" s="3" t="str">
        <f>"AL"</f>
        <v>AL</v>
      </c>
      <c r="C3084" s="3" t="str">
        <f t="shared" si="119"/>
        <v>BRASIL</v>
      </c>
      <c r="D3084" s="4" t="str">
        <f>"AL053"</f>
        <v>AL053</v>
      </c>
    </row>
    <row r="3085" spans="1:4" x14ac:dyDescent="0.3">
      <c r="A3085" s="2" t="str">
        <f>"MARA ROSA"</f>
        <v>MARA ROSA</v>
      </c>
      <c r="B3085" s="3" t="str">
        <f>"GO"</f>
        <v>GO</v>
      </c>
      <c r="C3085" s="3" t="str">
        <f t="shared" si="119"/>
        <v>BRASIL</v>
      </c>
      <c r="D3085" s="4" t="str">
        <f>"GO138"</f>
        <v>GO138</v>
      </c>
    </row>
    <row r="3086" spans="1:4" x14ac:dyDescent="0.3">
      <c r="A3086" s="2" t="str">
        <f>"MARAA"</f>
        <v>MARAA</v>
      </c>
      <c r="B3086" s="3" t="str">
        <f>"AM"</f>
        <v>AM</v>
      </c>
      <c r="C3086" s="3" t="str">
        <f t="shared" si="119"/>
        <v>BRASIL</v>
      </c>
      <c r="D3086" s="4" t="str">
        <f>"AM040"</f>
        <v>AM040</v>
      </c>
    </row>
    <row r="3087" spans="1:4" x14ac:dyDescent="0.3">
      <c r="A3087" s="2" t="str">
        <f>"MARABA"</f>
        <v>MARABA</v>
      </c>
      <c r="B3087" s="3" t="str">
        <f>"PA"</f>
        <v>PA</v>
      </c>
      <c r="C3087" s="3" t="str">
        <f t="shared" si="119"/>
        <v>BRASIL</v>
      </c>
      <c r="D3087" s="4" t="str">
        <f>"PA066"</f>
        <v>PA066</v>
      </c>
    </row>
    <row r="3088" spans="1:4" x14ac:dyDescent="0.3">
      <c r="A3088" s="2" t="str">
        <f>"MARABA PAULISTA"</f>
        <v>MARABA PAULISTA</v>
      </c>
      <c r="B3088" s="3" t="str">
        <f>"SP"</f>
        <v>SP</v>
      </c>
      <c r="C3088" s="3" t="str">
        <f t="shared" si="119"/>
        <v>BRASIL</v>
      </c>
      <c r="D3088" s="4" t="str">
        <f>"SP323"</f>
        <v>SP323</v>
      </c>
    </row>
    <row r="3089" spans="1:4" x14ac:dyDescent="0.3">
      <c r="A3089" s="2" t="str">
        <f>"MARACACUME"</f>
        <v>MARACACUME</v>
      </c>
      <c r="B3089" s="3" t="str">
        <f>"MA"</f>
        <v>MA</v>
      </c>
      <c r="C3089" s="3" t="str">
        <f t="shared" si="119"/>
        <v>BRASIL</v>
      </c>
      <c r="D3089" s="4" t="str">
        <f>"MA110"</f>
        <v>MA110</v>
      </c>
    </row>
    <row r="3090" spans="1:4" x14ac:dyDescent="0.3">
      <c r="A3090" s="2" t="str">
        <f>"MARACAI"</f>
        <v>MARACAI</v>
      </c>
      <c r="B3090" s="3" t="str">
        <f>"SP"</f>
        <v>SP</v>
      </c>
      <c r="C3090" s="3" t="str">
        <f t="shared" si="119"/>
        <v>BRASIL</v>
      </c>
      <c r="D3090" s="4" t="str">
        <f>"SP324"</f>
        <v>SP324</v>
      </c>
    </row>
    <row r="3091" spans="1:4" x14ac:dyDescent="0.3">
      <c r="A3091" s="2" t="str">
        <f>"MARACAJA"</f>
        <v>MARACAJA</v>
      </c>
      <c r="B3091" s="3" t="str">
        <f>"SC"</f>
        <v>SC</v>
      </c>
      <c r="C3091" s="3" t="str">
        <f t="shared" si="119"/>
        <v>BRASIL</v>
      </c>
      <c r="D3091" s="4" t="str">
        <f>"SC156"</f>
        <v>SC156</v>
      </c>
    </row>
    <row r="3092" spans="1:4" x14ac:dyDescent="0.3">
      <c r="A3092" s="2" t="str">
        <f>"MARACAJU"</f>
        <v>MARACAJU</v>
      </c>
      <c r="B3092" s="3" t="str">
        <f>"MS"</f>
        <v>MS</v>
      </c>
      <c r="C3092" s="3" t="str">
        <f t="shared" si="119"/>
        <v>BRASIL</v>
      </c>
      <c r="D3092" s="4" t="str">
        <f>"MS050"</f>
        <v>MS050</v>
      </c>
    </row>
    <row r="3093" spans="1:4" x14ac:dyDescent="0.3">
      <c r="A3093" s="2" t="str">
        <f>"MARACANA"</f>
        <v>MARACANA</v>
      </c>
      <c r="B3093" s="3" t="str">
        <f>"PA"</f>
        <v>PA</v>
      </c>
      <c r="C3093" s="3" t="str">
        <f t="shared" si="119"/>
        <v>BRASIL</v>
      </c>
      <c r="D3093" s="4" t="str">
        <f>"PA067"</f>
        <v>PA067</v>
      </c>
    </row>
    <row r="3094" spans="1:4" x14ac:dyDescent="0.3">
      <c r="A3094" s="2" t="str">
        <f>"MARACANAU"</f>
        <v>MARACANAU</v>
      </c>
      <c r="B3094" s="3" t="str">
        <f>"CE"</f>
        <v>CE</v>
      </c>
      <c r="C3094" s="3" t="str">
        <f t="shared" si="119"/>
        <v>BRASIL</v>
      </c>
      <c r="D3094" s="4" t="str">
        <f>"CE104"</f>
        <v>CE104</v>
      </c>
    </row>
    <row r="3095" spans="1:4" x14ac:dyDescent="0.3">
      <c r="A3095" s="2" t="str">
        <f>"MARACAS"</f>
        <v>MARACAS</v>
      </c>
      <c r="B3095" s="3" t="str">
        <f>"BA"</f>
        <v>BA</v>
      </c>
      <c r="C3095" s="3" t="str">
        <f t="shared" si="119"/>
        <v>BRASIL</v>
      </c>
      <c r="D3095" s="4" t="str">
        <f>"BA248"</f>
        <v>BA248</v>
      </c>
    </row>
    <row r="3096" spans="1:4" x14ac:dyDescent="0.3">
      <c r="A3096" s="2" t="str">
        <f>"MARAGOGI"</f>
        <v>MARAGOGI</v>
      </c>
      <c r="B3096" s="3" t="str">
        <f>"AL"</f>
        <v>AL</v>
      </c>
      <c r="C3096" s="3" t="str">
        <f t="shared" si="119"/>
        <v>BRASIL</v>
      </c>
      <c r="D3096" s="4" t="str">
        <f>"AL049"</f>
        <v>AL049</v>
      </c>
    </row>
    <row r="3097" spans="1:4" x14ac:dyDescent="0.3">
      <c r="A3097" s="2" t="str">
        <f>"MARAGOGIPE"</f>
        <v>MARAGOGIPE</v>
      </c>
      <c r="B3097" s="3" t="str">
        <f>"BA"</f>
        <v>BA</v>
      </c>
      <c r="C3097" s="3" t="str">
        <f t="shared" si="119"/>
        <v>BRASIL</v>
      </c>
      <c r="D3097" s="4" t="str">
        <f>"BA249"</f>
        <v>BA249</v>
      </c>
    </row>
    <row r="3098" spans="1:4" x14ac:dyDescent="0.3">
      <c r="A3098" s="2" t="str">
        <f>"MARAIAL"</f>
        <v>MARAIAL</v>
      </c>
      <c r="B3098" s="3" t="str">
        <f>"PE"</f>
        <v>PE</v>
      </c>
      <c r="C3098" s="3" t="str">
        <f t="shared" si="119"/>
        <v>BRASIL</v>
      </c>
      <c r="D3098" s="4" t="str">
        <f>"PE107"</f>
        <v>PE107</v>
      </c>
    </row>
    <row r="3099" spans="1:4" x14ac:dyDescent="0.3">
      <c r="A3099" s="2" t="str">
        <f>"MARAJA DO SENA"</f>
        <v>MARAJA DO SENA</v>
      </c>
      <c r="B3099" s="3" t="str">
        <f>"MA"</f>
        <v>MA</v>
      </c>
      <c r="C3099" s="3" t="str">
        <f t="shared" si="119"/>
        <v>BRASIL</v>
      </c>
      <c r="D3099" s="4" t="str">
        <f>"MA111"</f>
        <v>MA111</v>
      </c>
    </row>
    <row r="3100" spans="1:4" x14ac:dyDescent="0.3">
      <c r="A3100" s="2" t="str">
        <f>"MARANGUAPE"</f>
        <v>MARANGUAPE</v>
      </c>
      <c r="B3100" s="3" t="str">
        <f>"CE"</f>
        <v>CE</v>
      </c>
      <c r="C3100" s="3" t="str">
        <f t="shared" si="119"/>
        <v>BRASIL</v>
      </c>
      <c r="D3100" s="4" t="str">
        <f>"CE105"</f>
        <v>CE105</v>
      </c>
    </row>
    <row r="3101" spans="1:4" x14ac:dyDescent="0.3">
      <c r="A3101" s="2" t="str">
        <f>"MARANHAOZINHO"</f>
        <v>MARANHAOZINHO</v>
      </c>
      <c r="B3101" s="3" t="str">
        <f>"MA"</f>
        <v>MA</v>
      </c>
      <c r="C3101" s="3" t="str">
        <f t="shared" si="119"/>
        <v>BRASIL</v>
      </c>
      <c r="D3101" s="4" t="str">
        <f>"MA112"</f>
        <v>MA112</v>
      </c>
    </row>
    <row r="3102" spans="1:4" x14ac:dyDescent="0.3">
      <c r="A3102" s="2" t="str">
        <f>"MARAPANIM"</f>
        <v>MARAPANIM</v>
      </c>
      <c r="B3102" s="3" t="str">
        <f>"PA"</f>
        <v>PA</v>
      </c>
      <c r="C3102" s="3" t="str">
        <f t="shared" si="119"/>
        <v>BRASIL</v>
      </c>
      <c r="D3102" s="4" t="str">
        <f>"PA068"</f>
        <v>PA068</v>
      </c>
    </row>
    <row r="3103" spans="1:4" x14ac:dyDescent="0.3">
      <c r="A3103" s="2" t="str">
        <f>"MARAPOAMA"</f>
        <v>MARAPOAMA</v>
      </c>
      <c r="B3103" s="3" t="str">
        <f>"SP"</f>
        <v>SP</v>
      </c>
      <c r="C3103" s="3" t="str">
        <f t="shared" si="119"/>
        <v>BRASIL</v>
      </c>
      <c r="D3103" s="4" t="str">
        <f>"SP325"</f>
        <v>SP325</v>
      </c>
    </row>
    <row r="3104" spans="1:4" x14ac:dyDescent="0.3">
      <c r="A3104" s="2" t="str">
        <f>"MARATA"</f>
        <v>MARATA</v>
      </c>
      <c r="B3104" s="3" t="str">
        <f>"RS"</f>
        <v>RS</v>
      </c>
      <c r="C3104" s="3" t="str">
        <f t="shared" si="119"/>
        <v>BRASIL</v>
      </c>
      <c r="D3104" s="4" t="str">
        <f>"RS243"</f>
        <v>RS243</v>
      </c>
    </row>
    <row r="3105" spans="1:4" x14ac:dyDescent="0.3">
      <c r="A3105" s="2" t="str">
        <f>"MARATAIZES"</f>
        <v>MARATAIZES</v>
      </c>
      <c r="B3105" s="3" t="str">
        <f>"ES"</f>
        <v>ES</v>
      </c>
      <c r="C3105" s="3" t="str">
        <f t="shared" si="119"/>
        <v>BRASIL</v>
      </c>
      <c r="D3105" s="4" t="str">
        <f>"ES045"</f>
        <v>ES045</v>
      </c>
    </row>
    <row r="3106" spans="1:4" x14ac:dyDescent="0.3">
      <c r="A3106" s="2" t="str">
        <f>"MARAU"</f>
        <v>MARAU</v>
      </c>
      <c r="B3106" s="3" t="str">
        <f>"BA"</f>
        <v>BA</v>
      </c>
      <c r="C3106" s="3" t="str">
        <f t="shared" si="119"/>
        <v>BRASIL</v>
      </c>
      <c r="D3106" s="4" t="str">
        <f>"BA250"</f>
        <v>BA250</v>
      </c>
    </row>
    <row r="3107" spans="1:4" x14ac:dyDescent="0.3">
      <c r="A3107" s="2" t="str">
        <f>"MARAU"</f>
        <v>MARAU</v>
      </c>
      <c r="B3107" s="3" t="str">
        <f>"RS"</f>
        <v>RS</v>
      </c>
      <c r="C3107" s="3" t="str">
        <f t="shared" si="119"/>
        <v>BRASIL</v>
      </c>
      <c r="D3107" s="4" t="str">
        <f>"RS244"</f>
        <v>RS244</v>
      </c>
    </row>
    <row r="3108" spans="1:4" x14ac:dyDescent="0.3">
      <c r="A3108" s="2" t="str">
        <f>"MARAVILHA"</f>
        <v>MARAVILHA</v>
      </c>
      <c r="B3108" s="3" t="str">
        <f>"AL"</f>
        <v>AL</v>
      </c>
      <c r="C3108" s="3" t="str">
        <f t="shared" si="119"/>
        <v>BRASIL</v>
      </c>
      <c r="D3108" s="4" t="str">
        <f>"AL050"</f>
        <v>AL050</v>
      </c>
    </row>
    <row r="3109" spans="1:4" x14ac:dyDescent="0.3">
      <c r="A3109" s="2" t="str">
        <f>"MARAVILHA"</f>
        <v>MARAVILHA</v>
      </c>
      <c r="B3109" s="3" t="str">
        <f>"SC"</f>
        <v>SC</v>
      </c>
      <c r="C3109" s="3" t="str">
        <f t="shared" si="119"/>
        <v>BRASIL</v>
      </c>
      <c r="D3109" s="4" t="str">
        <f>"SC157"</f>
        <v>SC157</v>
      </c>
    </row>
    <row r="3110" spans="1:4" x14ac:dyDescent="0.3">
      <c r="A3110" s="2" t="str">
        <f>"MARAVILHAS"</f>
        <v>MARAVILHAS</v>
      </c>
      <c r="B3110" s="3" t="str">
        <f>"MG"</f>
        <v>MG</v>
      </c>
      <c r="C3110" s="3" t="str">
        <f t="shared" ref="C3110:C3141" si="120">"BRASIL"</f>
        <v>BRASIL</v>
      </c>
      <c r="D3110" s="4" t="str">
        <f>"MG458"</f>
        <v>MG458</v>
      </c>
    </row>
    <row r="3111" spans="1:4" x14ac:dyDescent="0.3">
      <c r="A3111" s="2" t="str">
        <f>"MARCACAO"</f>
        <v>MARCACAO</v>
      </c>
      <c r="B3111" s="3" t="str">
        <f>"PB"</f>
        <v>PB</v>
      </c>
      <c r="C3111" s="3" t="str">
        <f t="shared" si="120"/>
        <v>BRASIL</v>
      </c>
      <c r="D3111" s="4" t="str">
        <f>"PB113"</f>
        <v>PB113</v>
      </c>
    </row>
    <row r="3112" spans="1:4" x14ac:dyDescent="0.3">
      <c r="A3112" s="2" t="str">
        <f>"MARCELANDIA"</f>
        <v>MARCELANDIA</v>
      </c>
      <c r="B3112" s="3" t="str">
        <f>"MT"</f>
        <v>MT</v>
      </c>
      <c r="C3112" s="3" t="str">
        <f t="shared" si="120"/>
        <v>BRASIL</v>
      </c>
      <c r="D3112" s="4" t="str">
        <f>"MT066"</f>
        <v>MT066</v>
      </c>
    </row>
    <row r="3113" spans="1:4" x14ac:dyDescent="0.3">
      <c r="A3113" s="2" t="str">
        <f>"MARCELINO RAMOS"</f>
        <v>MARCELINO RAMOS</v>
      </c>
      <c r="B3113" s="3" t="str">
        <f>"RS"</f>
        <v>RS</v>
      </c>
      <c r="C3113" s="3" t="str">
        <f t="shared" si="120"/>
        <v>BRASIL</v>
      </c>
      <c r="D3113" s="4" t="str">
        <f>"RS245"</f>
        <v>RS245</v>
      </c>
    </row>
    <row r="3114" spans="1:4" x14ac:dyDescent="0.3">
      <c r="A3114" s="2" t="str">
        <f>"MARCELINO VIEIRA"</f>
        <v>MARCELINO VIEIRA</v>
      </c>
      <c r="B3114" s="3" t="str">
        <f>"RN"</f>
        <v>RN</v>
      </c>
      <c r="C3114" s="3" t="str">
        <f t="shared" si="120"/>
        <v>BRASIL</v>
      </c>
      <c r="D3114" s="4" t="str">
        <f>"RN081"</f>
        <v>RN081</v>
      </c>
    </row>
    <row r="3115" spans="1:4" x14ac:dyDescent="0.3">
      <c r="A3115" s="2" t="str">
        <f>"MARCIONILIO SOUZA"</f>
        <v>MARCIONILIO SOUZA</v>
      </c>
      <c r="B3115" s="3" t="str">
        <f>"BA"</f>
        <v>BA</v>
      </c>
      <c r="C3115" s="3" t="str">
        <f t="shared" si="120"/>
        <v>BRASIL</v>
      </c>
      <c r="D3115" s="4" t="str">
        <f>"BA251"</f>
        <v>BA251</v>
      </c>
    </row>
    <row r="3116" spans="1:4" x14ac:dyDescent="0.3">
      <c r="A3116" s="2" t="str">
        <f>"MARCO"</f>
        <v>MARCO</v>
      </c>
      <c r="B3116" s="3" t="str">
        <f>"CE"</f>
        <v>CE</v>
      </c>
      <c r="C3116" s="3" t="str">
        <f t="shared" si="120"/>
        <v>BRASIL</v>
      </c>
      <c r="D3116" s="4" t="str">
        <f>"CE106"</f>
        <v>CE106</v>
      </c>
    </row>
    <row r="3117" spans="1:4" x14ac:dyDescent="0.3">
      <c r="A3117" s="2" t="str">
        <f>"MARCOLANDIA"</f>
        <v>MARCOLANDIA</v>
      </c>
      <c r="B3117" s="3" t="str">
        <f>"PI"</f>
        <v>PI</v>
      </c>
      <c r="C3117" s="3" t="str">
        <f t="shared" si="120"/>
        <v>BRASIL</v>
      </c>
      <c r="D3117" s="4" t="str">
        <f>"PI123"</f>
        <v>PI123</v>
      </c>
    </row>
    <row r="3118" spans="1:4" x14ac:dyDescent="0.3">
      <c r="A3118" s="2" t="str">
        <f>"MARCOS PARENTE"</f>
        <v>MARCOS PARENTE</v>
      </c>
      <c r="B3118" s="3" t="str">
        <f>"PI"</f>
        <v>PI</v>
      </c>
      <c r="C3118" s="3" t="str">
        <f t="shared" si="120"/>
        <v>BRASIL</v>
      </c>
      <c r="D3118" s="4" t="str">
        <f>"PI124"</f>
        <v>PI124</v>
      </c>
    </row>
    <row r="3119" spans="1:4" x14ac:dyDescent="0.3">
      <c r="A3119" s="2" t="str">
        <f>"MARECHAL CANDIDO RONDON"</f>
        <v>MARECHAL CANDIDO RONDON</v>
      </c>
      <c r="B3119" s="3" t="str">
        <f>"PR"</f>
        <v>PR</v>
      </c>
      <c r="C3119" s="3" t="str">
        <f t="shared" si="120"/>
        <v>BRASIL</v>
      </c>
      <c r="D3119" s="4" t="str">
        <f>"PR203"</f>
        <v>PR203</v>
      </c>
    </row>
    <row r="3120" spans="1:4" x14ac:dyDescent="0.3">
      <c r="A3120" s="2" t="str">
        <f>"MARECHAL DEODORO"</f>
        <v>MARECHAL DEODORO</v>
      </c>
      <c r="B3120" s="3" t="str">
        <f>"AL"</f>
        <v>AL</v>
      </c>
      <c r="C3120" s="3" t="str">
        <f t="shared" si="120"/>
        <v>BRASIL</v>
      </c>
      <c r="D3120" s="4" t="str">
        <f>"AL051"</f>
        <v>AL051</v>
      </c>
    </row>
    <row r="3121" spans="1:4" x14ac:dyDescent="0.3">
      <c r="A3121" s="2" t="str">
        <f>"MARECHAL FLORIANO"</f>
        <v>MARECHAL FLORIANO</v>
      </c>
      <c r="B3121" s="3" t="str">
        <f>"ES"</f>
        <v>ES</v>
      </c>
      <c r="C3121" s="3" t="str">
        <f t="shared" si="120"/>
        <v>BRASIL</v>
      </c>
      <c r="D3121" s="4" t="str">
        <f>"ES046"</f>
        <v>ES046</v>
      </c>
    </row>
    <row r="3122" spans="1:4" x14ac:dyDescent="0.3">
      <c r="A3122" s="2" t="str">
        <f>"MARECHAL THAUMATURGO"</f>
        <v>MARECHAL THAUMATURGO</v>
      </c>
      <c r="B3122" s="3" t="str">
        <f>"AC"</f>
        <v>AC</v>
      </c>
      <c r="C3122" s="3" t="str">
        <f t="shared" si="120"/>
        <v>BRASIL</v>
      </c>
      <c r="D3122" s="4" t="str">
        <f>"AC012"</f>
        <v>AC012</v>
      </c>
    </row>
    <row r="3123" spans="1:4" x14ac:dyDescent="0.3">
      <c r="A3123" s="2" t="str">
        <f>"MAREMA"</f>
        <v>MAREMA</v>
      </c>
      <c r="B3123" s="3" t="str">
        <f>"SC"</f>
        <v>SC</v>
      </c>
      <c r="C3123" s="3" t="str">
        <f t="shared" si="120"/>
        <v>BRASIL</v>
      </c>
      <c r="D3123" s="4" t="str">
        <f>"SC158"</f>
        <v>SC158</v>
      </c>
    </row>
    <row r="3124" spans="1:4" x14ac:dyDescent="0.3">
      <c r="A3124" s="2" t="str">
        <f>"MARI"</f>
        <v>MARI</v>
      </c>
      <c r="B3124" s="3" t="str">
        <f>"PB"</f>
        <v>PB</v>
      </c>
      <c r="C3124" s="3" t="str">
        <f t="shared" si="120"/>
        <v>BRASIL</v>
      </c>
      <c r="D3124" s="4" t="str">
        <f>"PB114"</f>
        <v>PB114</v>
      </c>
    </row>
    <row r="3125" spans="1:4" x14ac:dyDescent="0.3">
      <c r="A3125" s="2" t="str">
        <f>"MARIA DA FE"</f>
        <v>MARIA DA FE</v>
      </c>
      <c r="B3125" s="3" t="str">
        <f>"MG"</f>
        <v>MG</v>
      </c>
      <c r="C3125" s="3" t="str">
        <f t="shared" si="120"/>
        <v>BRASIL</v>
      </c>
      <c r="D3125" s="4" t="str">
        <f>"MG460"</f>
        <v>MG460</v>
      </c>
    </row>
    <row r="3126" spans="1:4" x14ac:dyDescent="0.3">
      <c r="A3126" s="2" t="str">
        <f>"MARIA HELENA"</f>
        <v>MARIA HELENA</v>
      </c>
      <c r="B3126" s="3" t="str">
        <f>"PR"</f>
        <v>PR</v>
      </c>
      <c r="C3126" s="3" t="str">
        <f t="shared" si="120"/>
        <v>BRASIL</v>
      </c>
      <c r="D3126" s="4" t="str">
        <f>"PR204"</f>
        <v>PR204</v>
      </c>
    </row>
    <row r="3127" spans="1:4" x14ac:dyDescent="0.3">
      <c r="A3127" s="2" t="str">
        <f>"MARIALVA"</f>
        <v>MARIALVA</v>
      </c>
      <c r="B3127" s="3" t="str">
        <f>"PR"</f>
        <v>PR</v>
      </c>
      <c r="C3127" s="3" t="str">
        <f t="shared" si="120"/>
        <v>BRASIL</v>
      </c>
      <c r="D3127" s="4" t="str">
        <f>"MVA"</f>
        <v>MVA</v>
      </c>
    </row>
    <row r="3128" spans="1:4" x14ac:dyDescent="0.3">
      <c r="A3128" s="2" t="str">
        <f>"MARIANA"</f>
        <v>MARIANA</v>
      </c>
      <c r="B3128" s="3" t="str">
        <f>"MG"</f>
        <v>MG</v>
      </c>
      <c r="C3128" s="3" t="str">
        <f t="shared" si="120"/>
        <v>BRASIL</v>
      </c>
      <c r="D3128" s="4" t="str">
        <f>"MG461"</f>
        <v>MG461</v>
      </c>
    </row>
    <row r="3129" spans="1:4" x14ac:dyDescent="0.3">
      <c r="A3129" s="2" t="str">
        <f>"MARIANA PIMENTEL"</f>
        <v>MARIANA PIMENTEL</v>
      </c>
      <c r="B3129" s="3" t="str">
        <f>"RS"</f>
        <v>RS</v>
      </c>
      <c r="C3129" s="3" t="str">
        <f t="shared" si="120"/>
        <v>BRASIL</v>
      </c>
      <c r="D3129" s="4" t="str">
        <f>"RS246"</f>
        <v>RS246</v>
      </c>
    </row>
    <row r="3130" spans="1:4" x14ac:dyDescent="0.3">
      <c r="A3130" s="2" t="str">
        <f>"MARIANO MORO"</f>
        <v>MARIANO MORO</v>
      </c>
      <c r="B3130" s="3" t="str">
        <f>"RS"</f>
        <v>RS</v>
      </c>
      <c r="C3130" s="3" t="str">
        <f t="shared" si="120"/>
        <v>BRASIL</v>
      </c>
      <c r="D3130" s="4" t="str">
        <f>"RS247"</f>
        <v>RS247</v>
      </c>
    </row>
    <row r="3131" spans="1:4" x14ac:dyDescent="0.3">
      <c r="A3131" s="2" t="str">
        <f>"MARIANOPOLIS DO TOCANTINS"</f>
        <v>MARIANOPOLIS DO TOCANTINS</v>
      </c>
      <c r="B3131" s="3" t="str">
        <f>"TO"</f>
        <v>TO</v>
      </c>
      <c r="C3131" s="3" t="str">
        <f t="shared" si="120"/>
        <v>BRASIL</v>
      </c>
      <c r="D3131" s="4" t="str">
        <f>"TO072"</f>
        <v>TO072</v>
      </c>
    </row>
    <row r="3132" spans="1:4" x14ac:dyDescent="0.3">
      <c r="A3132" s="2" t="str">
        <f>"MARIAPOLIS"</f>
        <v>MARIAPOLIS</v>
      </c>
      <c r="B3132" s="3" t="str">
        <f>"SP"</f>
        <v>SP</v>
      </c>
      <c r="C3132" s="3" t="str">
        <f t="shared" si="120"/>
        <v>BRASIL</v>
      </c>
      <c r="D3132" s="4" t="str">
        <f>"SP326"</f>
        <v>SP326</v>
      </c>
    </row>
    <row r="3133" spans="1:4" x14ac:dyDescent="0.3">
      <c r="A3133" s="2" t="str">
        <f>"MARIBONDO"</f>
        <v>MARIBONDO</v>
      </c>
      <c r="B3133" s="3" t="str">
        <f>"AL"</f>
        <v>AL</v>
      </c>
      <c r="C3133" s="3" t="str">
        <f t="shared" si="120"/>
        <v>BRASIL</v>
      </c>
      <c r="D3133" s="4" t="str">
        <f>"AL052"</f>
        <v>AL052</v>
      </c>
    </row>
    <row r="3134" spans="1:4" x14ac:dyDescent="0.3">
      <c r="A3134" s="2" t="str">
        <f>"MARICA"</f>
        <v>MARICA</v>
      </c>
      <c r="B3134" s="3" t="str">
        <f>"RJ"</f>
        <v>RJ</v>
      </c>
      <c r="C3134" s="3" t="str">
        <f t="shared" si="120"/>
        <v>BRASIL</v>
      </c>
      <c r="D3134" s="4" t="str">
        <f>"RJ041"</f>
        <v>RJ041</v>
      </c>
    </row>
    <row r="3135" spans="1:4" x14ac:dyDescent="0.3">
      <c r="A3135" s="2" t="str">
        <f>"MARILAC"</f>
        <v>MARILAC</v>
      </c>
      <c r="B3135" s="3" t="str">
        <f>"MG"</f>
        <v>MG</v>
      </c>
      <c r="C3135" s="3" t="str">
        <f t="shared" si="120"/>
        <v>BRASIL</v>
      </c>
      <c r="D3135" s="4" t="str">
        <f>"MG462"</f>
        <v>MG462</v>
      </c>
    </row>
    <row r="3136" spans="1:4" x14ac:dyDescent="0.3">
      <c r="A3136" s="2" t="str">
        <f>"MARILANDIA"</f>
        <v>MARILANDIA</v>
      </c>
      <c r="B3136" s="3" t="str">
        <f>"ES"</f>
        <v>ES</v>
      </c>
      <c r="C3136" s="3" t="str">
        <f t="shared" si="120"/>
        <v>BRASIL</v>
      </c>
      <c r="D3136" s="4" t="str">
        <f>"ES047"</f>
        <v>ES047</v>
      </c>
    </row>
    <row r="3137" spans="1:4" x14ac:dyDescent="0.3">
      <c r="A3137" s="2" t="str">
        <f>"MARILANDIA DO SUL"</f>
        <v>MARILANDIA DO SUL</v>
      </c>
      <c r="B3137" s="3" t="str">
        <f>"PR"</f>
        <v>PR</v>
      </c>
      <c r="C3137" s="3" t="str">
        <f t="shared" si="120"/>
        <v>BRASIL</v>
      </c>
      <c r="D3137" s="4" t="str">
        <f>"PR206"</f>
        <v>PR206</v>
      </c>
    </row>
    <row r="3138" spans="1:4" x14ac:dyDescent="0.3">
      <c r="A3138" s="2" t="str">
        <f>"MARILENA"</f>
        <v>MARILENA</v>
      </c>
      <c r="B3138" s="3" t="str">
        <f>"PR"</f>
        <v>PR</v>
      </c>
      <c r="C3138" s="3" t="str">
        <f t="shared" si="120"/>
        <v>BRASIL</v>
      </c>
      <c r="D3138" s="4" t="str">
        <f>"PR207"</f>
        <v>PR207</v>
      </c>
    </row>
    <row r="3139" spans="1:4" x14ac:dyDescent="0.3">
      <c r="A3139" s="2" t="str">
        <f>"MARILIA"</f>
        <v>MARILIA</v>
      </c>
      <c r="B3139" s="3" t="str">
        <f>"SP"</f>
        <v>SP</v>
      </c>
      <c r="C3139" s="3" t="str">
        <f t="shared" si="120"/>
        <v>BRASIL</v>
      </c>
      <c r="D3139" s="4" t="str">
        <f>"SP327"</f>
        <v>SP327</v>
      </c>
    </row>
    <row r="3140" spans="1:4" x14ac:dyDescent="0.3">
      <c r="A3140" s="2" t="str">
        <f>"MARILUZ"</f>
        <v>MARILUZ</v>
      </c>
      <c r="B3140" s="3" t="str">
        <f>"PR"</f>
        <v>PR</v>
      </c>
      <c r="C3140" s="3" t="str">
        <f t="shared" si="120"/>
        <v>BRASIL</v>
      </c>
      <c r="D3140" s="4" t="str">
        <f>"PR208"</f>
        <v>PR208</v>
      </c>
    </row>
    <row r="3141" spans="1:4" x14ac:dyDescent="0.3">
      <c r="A3141" s="2" t="str">
        <f>"MARINGA"</f>
        <v>MARINGA</v>
      </c>
      <c r="B3141" s="3" t="str">
        <f>"PR"</f>
        <v>PR</v>
      </c>
      <c r="C3141" s="3" t="str">
        <f t="shared" si="120"/>
        <v>BRASIL</v>
      </c>
      <c r="D3141" s="4" t="str">
        <f>"PR209"</f>
        <v>PR209</v>
      </c>
    </row>
    <row r="3142" spans="1:4" x14ac:dyDescent="0.3">
      <c r="A3142" s="2" t="str">
        <f>"MARINOPOLIS"</f>
        <v>MARINOPOLIS</v>
      </c>
      <c r="B3142" s="3" t="str">
        <f>"SP"</f>
        <v>SP</v>
      </c>
      <c r="C3142" s="3" t="str">
        <f t="shared" ref="C3142:C3173" si="121">"BRASIL"</f>
        <v>BRASIL</v>
      </c>
      <c r="D3142" s="4" t="str">
        <f>"SP328"</f>
        <v>SP328</v>
      </c>
    </row>
    <row r="3143" spans="1:4" x14ac:dyDescent="0.3">
      <c r="A3143" s="2" t="str">
        <f>"MARIO CAMPOS"</f>
        <v>MARIO CAMPOS</v>
      </c>
      <c r="B3143" s="3" t="str">
        <f>"MG"</f>
        <v>MG</v>
      </c>
      <c r="C3143" s="3" t="str">
        <f t="shared" si="121"/>
        <v>BRASIL</v>
      </c>
      <c r="D3143" s="4" t="str">
        <f>"MG463"</f>
        <v>MG463</v>
      </c>
    </row>
    <row r="3144" spans="1:4" x14ac:dyDescent="0.3">
      <c r="A3144" s="2" t="str">
        <f>"MARIOPOLIS"</f>
        <v>MARIOPOLIS</v>
      </c>
      <c r="B3144" s="3" t="str">
        <f>"PR"</f>
        <v>PR</v>
      </c>
      <c r="C3144" s="3" t="str">
        <f t="shared" si="121"/>
        <v>BRASIL</v>
      </c>
      <c r="D3144" s="4" t="str">
        <f>"PR210"</f>
        <v>PR210</v>
      </c>
    </row>
    <row r="3145" spans="1:4" x14ac:dyDescent="0.3">
      <c r="A3145" s="2" t="str">
        <f>"MARIPA"</f>
        <v>MARIPA</v>
      </c>
      <c r="B3145" s="3" t="str">
        <f>"PR"</f>
        <v>PR</v>
      </c>
      <c r="C3145" s="3" t="str">
        <f t="shared" si="121"/>
        <v>BRASIL</v>
      </c>
      <c r="D3145" s="4" t="str">
        <f>"PR211"</f>
        <v>PR211</v>
      </c>
    </row>
    <row r="3146" spans="1:4" x14ac:dyDescent="0.3">
      <c r="A3146" s="2" t="str">
        <f>"MARIPA DE MINAS"</f>
        <v>MARIPA DE MINAS</v>
      </c>
      <c r="B3146" s="3" t="str">
        <f>"MG"</f>
        <v>MG</v>
      </c>
      <c r="C3146" s="3" t="str">
        <f t="shared" si="121"/>
        <v>BRASIL</v>
      </c>
      <c r="D3146" s="4" t="str">
        <f>"MG464"</f>
        <v>MG464</v>
      </c>
    </row>
    <row r="3147" spans="1:4" x14ac:dyDescent="0.3">
      <c r="A3147" s="2" t="str">
        <f>"MARITUBA"</f>
        <v>MARITUBA</v>
      </c>
      <c r="B3147" s="3" t="str">
        <f>"PA"</f>
        <v>PA</v>
      </c>
      <c r="C3147" s="3" t="str">
        <f t="shared" si="121"/>
        <v>BRASIL</v>
      </c>
      <c r="D3147" s="4" t="str">
        <f>"PA069"</f>
        <v>PA069</v>
      </c>
    </row>
    <row r="3148" spans="1:4" x14ac:dyDescent="0.3">
      <c r="A3148" s="2" t="str">
        <f>"MARIZOPOLIS"</f>
        <v>MARIZOPOLIS</v>
      </c>
      <c r="B3148" s="3" t="str">
        <f>"PB"</f>
        <v>PB</v>
      </c>
      <c r="C3148" s="3" t="str">
        <f t="shared" si="121"/>
        <v>BRASIL</v>
      </c>
      <c r="D3148" s="4" t="str">
        <f>"PB115"</f>
        <v>PB115</v>
      </c>
    </row>
    <row r="3149" spans="1:4" x14ac:dyDescent="0.3">
      <c r="A3149" s="2" t="str">
        <f>"MARLIERIA"</f>
        <v>MARLIERIA</v>
      </c>
      <c r="B3149" s="3" t="str">
        <f>"MG"</f>
        <v>MG</v>
      </c>
      <c r="C3149" s="3" t="str">
        <f t="shared" si="121"/>
        <v>BRASIL</v>
      </c>
      <c r="D3149" s="4" t="str">
        <f>"MG465"</f>
        <v>MG465</v>
      </c>
    </row>
    <row r="3150" spans="1:4" x14ac:dyDescent="0.3">
      <c r="A3150" s="2" t="str">
        <f>"MARMELEIRO"</f>
        <v>MARMELEIRO</v>
      </c>
      <c r="B3150" s="3" t="str">
        <f>"PR"</f>
        <v>PR</v>
      </c>
      <c r="C3150" s="3" t="str">
        <f t="shared" si="121"/>
        <v>BRASIL</v>
      </c>
      <c r="D3150" s="4" t="str">
        <f>"PR212"</f>
        <v>PR212</v>
      </c>
    </row>
    <row r="3151" spans="1:4" x14ac:dyDescent="0.3">
      <c r="A3151" s="2" t="str">
        <f>"MARMELOPOLIS"</f>
        <v>MARMELOPOLIS</v>
      </c>
      <c r="B3151" s="3" t="str">
        <f>"MG"</f>
        <v>MG</v>
      </c>
      <c r="C3151" s="3" t="str">
        <f t="shared" si="121"/>
        <v>BRASIL</v>
      </c>
      <c r="D3151" s="4" t="str">
        <f>"MG466"</f>
        <v>MG466</v>
      </c>
    </row>
    <row r="3152" spans="1:4" x14ac:dyDescent="0.3">
      <c r="A3152" s="2" t="str">
        <f>"MARQUES DE SOUZA"</f>
        <v>MARQUES DE SOUZA</v>
      </c>
      <c r="B3152" s="3" t="str">
        <f>"RS"</f>
        <v>RS</v>
      </c>
      <c r="C3152" s="3" t="str">
        <f t="shared" si="121"/>
        <v>BRASIL</v>
      </c>
      <c r="D3152" s="4" t="str">
        <f>"RS248"</f>
        <v>RS248</v>
      </c>
    </row>
    <row r="3153" spans="1:4" x14ac:dyDescent="0.3">
      <c r="A3153" s="2" t="str">
        <f>"MARQUINHO"</f>
        <v>MARQUINHO</v>
      </c>
      <c r="B3153" s="3" t="str">
        <f>"PR"</f>
        <v>PR</v>
      </c>
      <c r="C3153" s="3" t="str">
        <f t="shared" si="121"/>
        <v>BRASIL</v>
      </c>
      <c r="D3153" s="4" t="str">
        <f>"PR213"</f>
        <v>PR213</v>
      </c>
    </row>
    <row r="3154" spans="1:4" x14ac:dyDescent="0.3">
      <c r="A3154" s="2" t="str">
        <f>"MARTINHO CAMPOS"</f>
        <v>MARTINHO CAMPOS</v>
      </c>
      <c r="B3154" s="3" t="str">
        <f>"MG"</f>
        <v>MG</v>
      </c>
      <c r="C3154" s="3" t="str">
        <f t="shared" si="121"/>
        <v>BRASIL</v>
      </c>
      <c r="D3154" s="4" t="str">
        <f>"MG467"</f>
        <v>MG467</v>
      </c>
    </row>
    <row r="3155" spans="1:4" x14ac:dyDescent="0.3">
      <c r="A3155" s="2" t="str">
        <f>"MARTINOPOLE"</f>
        <v>MARTINOPOLE</v>
      </c>
      <c r="B3155" s="3" t="str">
        <f>"CE"</f>
        <v>CE</v>
      </c>
      <c r="C3155" s="3" t="str">
        <f t="shared" si="121"/>
        <v>BRASIL</v>
      </c>
      <c r="D3155" s="4" t="str">
        <f>"CE107"</f>
        <v>CE107</v>
      </c>
    </row>
    <row r="3156" spans="1:4" x14ac:dyDescent="0.3">
      <c r="A3156" s="2" t="str">
        <f>"MARTINOPOLIS"</f>
        <v>MARTINOPOLIS</v>
      </c>
      <c r="B3156" s="3" t="str">
        <f>"SP"</f>
        <v>SP</v>
      </c>
      <c r="C3156" s="3" t="str">
        <f t="shared" si="121"/>
        <v>BRASIL</v>
      </c>
      <c r="D3156" s="4" t="str">
        <f>"SP329"</f>
        <v>SP329</v>
      </c>
    </row>
    <row r="3157" spans="1:4" x14ac:dyDescent="0.3">
      <c r="A3157" s="2" t="str">
        <f>"MARTINS"</f>
        <v>MARTINS</v>
      </c>
      <c r="B3157" s="3" t="str">
        <f>"RN"</f>
        <v>RN</v>
      </c>
      <c r="C3157" s="3" t="str">
        <f t="shared" si="121"/>
        <v>BRASIL</v>
      </c>
      <c r="D3157" s="4" t="str">
        <f>"RN082"</f>
        <v>RN082</v>
      </c>
    </row>
    <row r="3158" spans="1:4" x14ac:dyDescent="0.3">
      <c r="A3158" s="2" t="str">
        <f>"MARTINS SOARES"</f>
        <v>MARTINS SOARES</v>
      </c>
      <c r="B3158" s="3" t="str">
        <f>"MG"</f>
        <v>MG</v>
      </c>
      <c r="C3158" s="3" t="str">
        <f t="shared" si="121"/>
        <v>BRASIL</v>
      </c>
      <c r="D3158" s="4" t="str">
        <f>"MG468"</f>
        <v>MG468</v>
      </c>
    </row>
    <row r="3159" spans="1:4" x14ac:dyDescent="0.3">
      <c r="A3159" s="2" t="str">
        <f>"MARUIM"</f>
        <v>MARUIM</v>
      </c>
      <c r="B3159" s="3" t="str">
        <f>"SE"</f>
        <v>SE</v>
      </c>
      <c r="C3159" s="3" t="str">
        <f t="shared" si="121"/>
        <v>BRASIL</v>
      </c>
      <c r="D3159" s="4" t="str">
        <f>"SE038"</f>
        <v>SE038</v>
      </c>
    </row>
    <row r="3160" spans="1:4" x14ac:dyDescent="0.3">
      <c r="A3160" s="2" t="str">
        <f>"MARUMBI"</f>
        <v>MARUMBI</v>
      </c>
      <c r="B3160" s="3" t="str">
        <f>"PR"</f>
        <v>PR</v>
      </c>
      <c r="C3160" s="3" t="str">
        <f t="shared" si="121"/>
        <v>BRASIL</v>
      </c>
      <c r="D3160" s="4" t="str">
        <f>"PR214"</f>
        <v>PR214</v>
      </c>
    </row>
    <row r="3161" spans="1:4" x14ac:dyDescent="0.3">
      <c r="A3161" s="2" t="str">
        <f>"MARZAGAO"</f>
        <v>MARZAGAO</v>
      </c>
      <c r="B3161" s="3" t="str">
        <f>"GO"</f>
        <v>GO</v>
      </c>
      <c r="C3161" s="3" t="str">
        <f t="shared" si="121"/>
        <v>BRASIL</v>
      </c>
      <c r="D3161" s="4" t="str">
        <f>"GO139"</f>
        <v>GO139</v>
      </c>
    </row>
    <row r="3162" spans="1:4" x14ac:dyDescent="0.3">
      <c r="A3162" s="2" t="str">
        <f>"MASCOTE"</f>
        <v>MASCOTE</v>
      </c>
      <c r="B3162" s="3" t="str">
        <f>"BA"</f>
        <v>BA</v>
      </c>
      <c r="C3162" s="3" t="str">
        <f t="shared" si="121"/>
        <v>BRASIL</v>
      </c>
      <c r="D3162" s="4" t="str">
        <f>"BA252"</f>
        <v>BA252</v>
      </c>
    </row>
    <row r="3163" spans="1:4" x14ac:dyDescent="0.3">
      <c r="A3163" s="2" t="str">
        <f>"MASSAPE"</f>
        <v>MASSAPE</v>
      </c>
      <c r="B3163" s="3" t="str">
        <f>"CE"</f>
        <v>CE</v>
      </c>
      <c r="C3163" s="3" t="str">
        <f t="shared" si="121"/>
        <v>BRASIL</v>
      </c>
      <c r="D3163" s="4" t="str">
        <f>"CE108"</f>
        <v>CE108</v>
      </c>
    </row>
    <row r="3164" spans="1:4" x14ac:dyDescent="0.3">
      <c r="A3164" s="2" t="str">
        <f>"MASSAPE DO PIAUI"</f>
        <v>MASSAPE DO PIAUI</v>
      </c>
      <c r="B3164" s="3" t="str">
        <f>"PI"</f>
        <v>PI</v>
      </c>
      <c r="C3164" s="3" t="str">
        <f t="shared" si="121"/>
        <v>BRASIL</v>
      </c>
      <c r="D3164" s="4" t="str">
        <f>"PI125"</f>
        <v>PI125</v>
      </c>
    </row>
    <row r="3165" spans="1:4" x14ac:dyDescent="0.3">
      <c r="A3165" s="2" t="str">
        <f>"MASSARANDUBA"</f>
        <v>MASSARANDUBA</v>
      </c>
      <c r="B3165" s="3" t="str">
        <f>"PB"</f>
        <v>PB</v>
      </c>
      <c r="C3165" s="3" t="str">
        <f t="shared" si="121"/>
        <v>BRASIL</v>
      </c>
      <c r="D3165" s="4" t="str">
        <f>"PB116"</f>
        <v>PB116</v>
      </c>
    </row>
    <row r="3166" spans="1:4" x14ac:dyDescent="0.3">
      <c r="A3166" s="2" t="str">
        <f>"MASSARANDUBA"</f>
        <v>MASSARANDUBA</v>
      </c>
      <c r="B3166" s="3" t="str">
        <f>"SC"</f>
        <v>SC</v>
      </c>
      <c r="C3166" s="3" t="str">
        <f t="shared" si="121"/>
        <v>BRASIL</v>
      </c>
      <c r="D3166" s="4" t="str">
        <f>"SC159"</f>
        <v>SC159</v>
      </c>
    </row>
    <row r="3167" spans="1:4" x14ac:dyDescent="0.3">
      <c r="A3167" s="2" t="str">
        <f>"MATA"</f>
        <v>MATA</v>
      </c>
      <c r="B3167" s="3" t="str">
        <f>"RS"</f>
        <v>RS</v>
      </c>
      <c r="C3167" s="3" t="str">
        <f t="shared" si="121"/>
        <v>BRASIL</v>
      </c>
      <c r="D3167" s="4" t="str">
        <f>"RS249"</f>
        <v>RS249</v>
      </c>
    </row>
    <row r="3168" spans="1:4" x14ac:dyDescent="0.3">
      <c r="A3168" s="2" t="str">
        <f>"MATA DE SAO JOAO"</f>
        <v>MATA DE SAO JOAO</v>
      </c>
      <c r="B3168" s="3" t="str">
        <f>"BA"</f>
        <v>BA</v>
      </c>
      <c r="C3168" s="3" t="str">
        <f t="shared" si="121"/>
        <v>BRASIL</v>
      </c>
      <c r="D3168" s="4" t="str">
        <f>"BA253"</f>
        <v>BA253</v>
      </c>
    </row>
    <row r="3169" spans="1:4" x14ac:dyDescent="0.3">
      <c r="A3169" s="2" t="str">
        <f>"MATA GRANDE"</f>
        <v>MATA GRANDE</v>
      </c>
      <c r="B3169" s="3" t="str">
        <f>"AL"</f>
        <v>AL</v>
      </c>
      <c r="C3169" s="3" t="str">
        <f t="shared" si="121"/>
        <v>BRASIL</v>
      </c>
      <c r="D3169" s="4" t="str">
        <f>"AL054"</f>
        <v>AL054</v>
      </c>
    </row>
    <row r="3170" spans="1:4" x14ac:dyDescent="0.3">
      <c r="A3170" s="2" t="str">
        <f>"MATA ROMA"</f>
        <v>MATA ROMA</v>
      </c>
      <c r="B3170" s="3" t="str">
        <f>"MA"</f>
        <v>MA</v>
      </c>
      <c r="C3170" s="3" t="str">
        <f t="shared" si="121"/>
        <v>BRASIL</v>
      </c>
      <c r="D3170" s="4" t="str">
        <f>"MA113"</f>
        <v>MA113</v>
      </c>
    </row>
    <row r="3171" spans="1:4" x14ac:dyDescent="0.3">
      <c r="A3171" s="2" t="str">
        <f>"MATA VERDE"</f>
        <v>MATA VERDE</v>
      </c>
      <c r="B3171" s="3" t="str">
        <f>"MG"</f>
        <v>MG</v>
      </c>
      <c r="C3171" s="3" t="str">
        <f t="shared" si="121"/>
        <v>BRASIL</v>
      </c>
      <c r="D3171" s="4" t="str">
        <f>"MG469"</f>
        <v>MG469</v>
      </c>
    </row>
    <row r="3172" spans="1:4" x14ac:dyDescent="0.3">
      <c r="A3172" s="2" t="str">
        <f>"MATAO"</f>
        <v>MATAO</v>
      </c>
      <c r="B3172" s="3" t="str">
        <f>"SP"</f>
        <v>SP</v>
      </c>
      <c r="C3172" s="3" t="str">
        <f t="shared" si="121"/>
        <v>BRASIL</v>
      </c>
      <c r="D3172" s="4" t="str">
        <f>"SP330"</f>
        <v>SP330</v>
      </c>
    </row>
    <row r="3173" spans="1:4" x14ac:dyDescent="0.3">
      <c r="A3173" s="2" t="str">
        <f>"MATARACA"</f>
        <v>MATARACA</v>
      </c>
      <c r="B3173" s="3" t="str">
        <f>"PB"</f>
        <v>PB</v>
      </c>
      <c r="C3173" s="3" t="str">
        <f t="shared" si="121"/>
        <v>BRASIL</v>
      </c>
      <c r="D3173" s="4" t="str">
        <f>"PB117"</f>
        <v>PB117</v>
      </c>
    </row>
    <row r="3174" spans="1:4" x14ac:dyDescent="0.3">
      <c r="A3174" s="2" t="str">
        <f>"MATEIROS"</f>
        <v>MATEIROS</v>
      </c>
      <c r="B3174" s="3" t="str">
        <f>"TO"</f>
        <v>TO</v>
      </c>
      <c r="C3174" s="3" t="str">
        <f t="shared" ref="C3174:C3205" si="122">"BRASIL"</f>
        <v>BRASIL</v>
      </c>
      <c r="D3174" s="4" t="str">
        <f>"TO073"</f>
        <v>TO073</v>
      </c>
    </row>
    <row r="3175" spans="1:4" x14ac:dyDescent="0.3">
      <c r="A3175" s="2" t="str">
        <f>"MATELANDIA"</f>
        <v>MATELANDIA</v>
      </c>
      <c r="B3175" s="3" t="str">
        <f>"PR"</f>
        <v>PR</v>
      </c>
      <c r="C3175" s="3" t="str">
        <f t="shared" si="122"/>
        <v>BRASIL</v>
      </c>
      <c r="D3175" s="4" t="str">
        <f>"PR215"</f>
        <v>PR215</v>
      </c>
    </row>
    <row r="3176" spans="1:4" x14ac:dyDescent="0.3">
      <c r="A3176" s="2" t="str">
        <f>"MATERLANDIA"</f>
        <v>MATERLANDIA</v>
      </c>
      <c r="B3176" s="3" t="str">
        <f>"MG"</f>
        <v>MG</v>
      </c>
      <c r="C3176" s="3" t="str">
        <f t="shared" si="122"/>
        <v>BRASIL</v>
      </c>
      <c r="D3176" s="4" t="str">
        <f>"MG470"</f>
        <v>MG470</v>
      </c>
    </row>
    <row r="3177" spans="1:4" x14ac:dyDescent="0.3">
      <c r="A3177" s="2" t="str">
        <f>"MATEUS LEME"</f>
        <v>MATEUS LEME</v>
      </c>
      <c r="B3177" s="3" t="str">
        <f>"MG"</f>
        <v>MG</v>
      </c>
      <c r="C3177" s="3" t="str">
        <f t="shared" si="122"/>
        <v>BRASIL</v>
      </c>
      <c r="D3177" s="4" t="str">
        <f>"MG471"</f>
        <v>MG471</v>
      </c>
    </row>
    <row r="3178" spans="1:4" x14ac:dyDescent="0.3">
      <c r="A3178" s="2" t="str">
        <f>"MATHIAS LOBATO"</f>
        <v>MATHIAS LOBATO</v>
      </c>
      <c r="B3178" s="3" t="str">
        <f>"MG"</f>
        <v>MG</v>
      </c>
      <c r="C3178" s="3" t="str">
        <f t="shared" si="122"/>
        <v>BRASIL</v>
      </c>
      <c r="D3178" s="4" t="str">
        <f>"MG846"</f>
        <v>MG846</v>
      </c>
    </row>
    <row r="3179" spans="1:4" x14ac:dyDescent="0.3">
      <c r="A3179" s="2" t="str">
        <f>"MATIAS BARBOSA"</f>
        <v>MATIAS BARBOSA</v>
      </c>
      <c r="B3179" s="3" t="str">
        <f>"MG"</f>
        <v>MG</v>
      </c>
      <c r="C3179" s="3" t="str">
        <f t="shared" si="122"/>
        <v>BRASIL</v>
      </c>
      <c r="D3179" s="4" t="str">
        <f>"MG472"</f>
        <v>MG472</v>
      </c>
    </row>
    <row r="3180" spans="1:4" x14ac:dyDescent="0.3">
      <c r="A3180" s="2" t="str">
        <f>"MATIAS CARDOSO"</f>
        <v>MATIAS CARDOSO</v>
      </c>
      <c r="B3180" s="3" t="str">
        <f>"MG"</f>
        <v>MG</v>
      </c>
      <c r="C3180" s="3" t="str">
        <f t="shared" si="122"/>
        <v>BRASIL</v>
      </c>
      <c r="D3180" s="4" t="str">
        <f>"MG473"</f>
        <v>MG473</v>
      </c>
    </row>
    <row r="3181" spans="1:4" x14ac:dyDescent="0.3">
      <c r="A3181" s="2" t="str">
        <f>"MATIAS OLIMPIO"</f>
        <v>MATIAS OLIMPIO</v>
      </c>
      <c r="B3181" s="3" t="str">
        <f>"PI"</f>
        <v>PI</v>
      </c>
      <c r="C3181" s="3" t="str">
        <f t="shared" si="122"/>
        <v>BRASIL</v>
      </c>
      <c r="D3181" s="4" t="str">
        <f>"PI126"</f>
        <v>PI126</v>
      </c>
    </row>
    <row r="3182" spans="1:4" x14ac:dyDescent="0.3">
      <c r="A3182" s="2" t="str">
        <f>"MATINA"</f>
        <v>MATINA</v>
      </c>
      <c r="B3182" s="3" t="str">
        <f>"BA"</f>
        <v>BA</v>
      </c>
      <c r="C3182" s="3" t="str">
        <f t="shared" si="122"/>
        <v>BRASIL</v>
      </c>
      <c r="D3182" s="4" t="str">
        <f>"BA254"</f>
        <v>BA254</v>
      </c>
    </row>
    <row r="3183" spans="1:4" x14ac:dyDescent="0.3">
      <c r="A3183" s="2" t="str">
        <f>"MATINHA"</f>
        <v>MATINHA</v>
      </c>
      <c r="B3183" s="3" t="str">
        <f>"MA"</f>
        <v>MA</v>
      </c>
      <c r="C3183" s="3" t="str">
        <f t="shared" si="122"/>
        <v>BRASIL</v>
      </c>
      <c r="D3183" s="4" t="str">
        <f>"MA114"</f>
        <v>MA114</v>
      </c>
    </row>
    <row r="3184" spans="1:4" x14ac:dyDescent="0.3">
      <c r="A3184" s="2" t="str">
        <f>"MATINHAS"</f>
        <v>MATINHAS</v>
      </c>
      <c r="B3184" s="3" t="str">
        <f>"PB"</f>
        <v>PB</v>
      </c>
      <c r="C3184" s="3" t="str">
        <f t="shared" si="122"/>
        <v>BRASIL</v>
      </c>
      <c r="D3184" s="4" t="str">
        <f>"PB118"</f>
        <v>PB118</v>
      </c>
    </row>
    <row r="3185" spans="1:4" x14ac:dyDescent="0.3">
      <c r="A3185" s="2" t="str">
        <f>"MATINHOS"</f>
        <v>MATINHOS</v>
      </c>
      <c r="B3185" s="3" t="str">
        <f>"PR"</f>
        <v>PR</v>
      </c>
      <c r="C3185" s="3" t="str">
        <f t="shared" si="122"/>
        <v>BRASIL</v>
      </c>
      <c r="D3185" s="4" t="str">
        <f>"PR216"</f>
        <v>PR216</v>
      </c>
    </row>
    <row r="3186" spans="1:4" x14ac:dyDescent="0.3">
      <c r="A3186" s="2" t="str">
        <f>"MATIPO"</f>
        <v>MATIPO</v>
      </c>
      <c r="B3186" s="3" t="str">
        <f>"MG"</f>
        <v>MG</v>
      </c>
      <c r="C3186" s="3" t="str">
        <f t="shared" si="122"/>
        <v>BRASIL</v>
      </c>
      <c r="D3186" s="4" t="str">
        <f>"MG474"</f>
        <v>MG474</v>
      </c>
    </row>
    <row r="3187" spans="1:4" x14ac:dyDescent="0.3">
      <c r="A3187" s="2" t="str">
        <f>"MATO CASTELHANO"</f>
        <v>MATO CASTELHANO</v>
      </c>
      <c r="B3187" s="3" t="str">
        <f>"RS"</f>
        <v>RS</v>
      </c>
      <c r="C3187" s="3" t="str">
        <f t="shared" si="122"/>
        <v>BRASIL</v>
      </c>
      <c r="D3187" s="4" t="str">
        <f>"RS250"</f>
        <v>RS250</v>
      </c>
    </row>
    <row r="3188" spans="1:4" x14ac:dyDescent="0.3">
      <c r="A3188" s="2" t="str">
        <f>"MATO GROSSO"</f>
        <v>MATO GROSSO</v>
      </c>
      <c r="B3188" s="3" t="str">
        <f>"PB"</f>
        <v>PB</v>
      </c>
      <c r="C3188" s="3" t="str">
        <f t="shared" si="122"/>
        <v>BRASIL</v>
      </c>
      <c r="D3188" s="4" t="str">
        <f>"PB119"</f>
        <v>PB119</v>
      </c>
    </row>
    <row r="3189" spans="1:4" x14ac:dyDescent="0.3">
      <c r="A3189" s="2" t="str">
        <f>"MATO LEITAO"</f>
        <v>MATO LEITAO</v>
      </c>
      <c r="B3189" s="3" t="str">
        <f>"RS"</f>
        <v>RS</v>
      </c>
      <c r="C3189" s="3" t="str">
        <f t="shared" si="122"/>
        <v>BRASIL</v>
      </c>
      <c r="D3189" s="4" t="str">
        <f>"RS251"</f>
        <v>RS251</v>
      </c>
    </row>
    <row r="3190" spans="1:4" x14ac:dyDescent="0.3">
      <c r="A3190" s="2" t="str">
        <f>"MATO QUEIMADO"</f>
        <v>MATO QUEIMADO</v>
      </c>
      <c r="B3190" s="3" t="str">
        <f>"RS"</f>
        <v>RS</v>
      </c>
      <c r="C3190" s="3" t="str">
        <f t="shared" si="122"/>
        <v>BRASIL</v>
      </c>
      <c r="D3190" s="4" t="str">
        <f>"RS252"</f>
        <v>RS252</v>
      </c>
    </row>
    <row r="3191" spans="1:4" x14ac:dyDescent="0.3">
      <c r="A3191" s="2" t="str">
        <f>"MATO RICO"</f>
        <v>MATO RICO</v>
      </c>
      <c r="B3191" s="3" t="str">
        <f>"PR"</f>
        <v>PR</v>
      </c>
      <c r="C3191" s="3" t="str">
        <f t="shared" si="122"/>
        <v>BRASIL</v>
      </c>
      <c r="D3191" s="4" t="str">
        <f>"PR217"</f>
        <v>PR217</v>
      </c>
    </row>
    <row r="3192" spans="1:4" x14ac:dyDescent="0.3">
      <c r="A3192" s="2" t="str">
        <f>"MATO VERDE"</f>
        <v>MATO VERDE</v>
      </c>
      <c r="B3192" s="3" t="str">
        <f>"MG"</f>
        <v>MG</v>
      </c>
      <c r="C3192" s="3" t="str">
        <f t="shared" si="122"/>
        <v>BRASIL</v>
      </c>
      <c r="D3192" s="4" t="str">
        <f>"MG475"</f>
        <v>MG475</v>
      </c>
    </row>
    <row r="3193" spans="1:4" x14ac:dyDescent="0.3">
      <c r="A3193" s="2" t="str">
        <f>"MATÕES"</f>
        <v>MATÕES</v>
      </c>
      <c r="B3193" s="3" t="str">
        <f>"MA"</f>
        <v>MA</v>
      </c>
      <c r="C3193" s="3" t="str">
        <f t="shared" si="122"/>
        <v>BRASIL</v>
      </c>
      <c r="D3193" s="4" t="str">
        <f>"MA115"</f>
        <v>MA115</v>
      </c>
    </row>
    <row r="3194" spans="1:4" x14ac:dyDescent="0.3">
      <c r="A3194" s="2" t="str">
        <f>"MATÕES DO NORTE"</f>
        <v>MATÕES DO NORTE</v>
      </c>
      <c r="B3194" s="3" t="str">
        <f>"MA"</f>
        <v>MA</v>
      </c>
      <c r="C3194" s="3" t="str">
        <f t="shared" si="122"/>
        <v>BRASIL</v>
      </c>
      <c r="D3194" s="4" t="str">
        <f>"MA116"</f>
        <v>MA116</v>
      </c>
    </row>
    <row r="3195" spans="1:4" x14ac:dyDescent="0.3">
      <c r="A3195" s="2" t="str">
        <f>"MATOS COSTA"</f>
        <v>MATOS COSTA</v>
      </c>
      <c r="B3195" s="3" t="str">
        <f>"SC"</f>
        <v>SC</v>
      </c>
      <c r="C3195" s="3" t="str">
        <f t="shared" si="122"/>
        <v>BRASIL</v>
      </c>
      <c r="D3195" s="4" t="str">
        <f>"SC160"</f>
        <v>SC160</v>
      </c>
    </row>
    <row r="3196" spans="1:4" x14ac:dyDescent="0.3">
      <c r="A3196" s="2" t="str">
        <f>"MATOZINHOS"</f>
        <v>MATOZINHOS</v>
      </c>
      <c r="B3196" s="3" t="str">
        <f>"MG"</f>
        <v>MG</v>
      </c>
      <c r="C3196" s="3" t="str">
        <f t="shared" si="122"/>
        <v>BRASIL</v>
      </c>
      <c r="D3196" s="4" t="str">
        <f>"MG476"</f>
        <v>MG476</v>
      </c>
    </row>
    <row r="3197" spans="1:4" x14ac:dyDescent="0.3">
      <c r="A3197" s="2" t="str">
        <f>"MATRINCHA"</f>
        <v>MATRINCHA</v>
      </c>
      <c r="B3197" s="3" t="str">
        <f>"GO"</f>
        <v>GO</v>
      </c>
      <c r="C3197" s="3" t="str">
        <f t="shared" si="122"/>
        <v>BRASIL</v>
      </c>
      <c r="D3197" s="4" t="str">
        <f>"GO140"</f>
        <v>GO140</v>
      </c>
    </row>
    <row r="3198" spans="1:4" x14ac:dyDescent="0.3">
      <c r="A3198" s="2" t="str">
        <f>"MATRIZ DE CAMARAGIBE"</f>
        <v>MATRIZ DE CAMARAGIBE</v>
      </c>
      <c r="B3198" s="3" t="str">
        <f>"AL"</f>
        <v>AL</v>
      </c>
      <c r="C3198" s="3" t="str">
        <f t="shared" si="122"/>
        <v>BRASIL</v>
      </c>
      <c r="D3198" s="4" t="str">
        <f>"AL055"</f>
        <v>AL055</v>
      </c>
    </row>
    <row r="3199" spans="1:4" x14ac:dyDescent="0.3">
      <c r="A3199" s="2" t="str">
        <f>"MATUPA"</f>
        <v>MATUPA</v>
      </c>
      <c r="B3199" s="3" t="str">
        <f>"MT"</f>
        <v>MT</v>
      </c>
      <c r="C3199" s="3" t="str">
        <f t="shared" si="122"/>
        <v>BRASIL</v>
      </c>
      <c r="D3199" s="4" t="str">
        <f>"MT067"</f>
        <v>MT067</v>
      </c>
    </row>
    <row r="3200" spans="1:4" x14ac:dyDescent="0.3">
      <c r="A3200" s="2" t="str">
        <f>"MATUREIA"</f>
        <v>MATUREIA</v>
      </c>
      <c r="B3200" s="3" t="str">
        <f>"PB"</f>
        <v>PB</v>
      </c>
      <c r="C3200" s="3" t="str">
        <f t="shared" si="122"/>
        <v>BRASIL</v>
      </c>
      <c r="D3200" s="4" t="str">
        <f>"PB120"</f>
        <v>PB120</v>
      </c>
    </row>
    <row r="3201" spans="1:4" x14ac:dyDescent="0.3">
      <c r="A3201" s="2" t="str">
        <f>"MATUTINA"</f>
        <v>MATUTINA</v>
      </c>
      <c r="B3201" s="3" t="str">
        <f>"MG"</f>
        <v>MG</v>
      </c>
      <c r="C3201" s="3" t="str">
        <f t="shared" si="122"/>
        <v>BRASIL</v>
      </c>
      <c r="D3201" s="4" t="str">
        <f>"MG477"</f>
        <v>MG477</v>
      </c>
    </row>
    <row r="3202" spans="1:4" x14ac:dyDescent="0.3">
      <c r="A3202" s="2" t="str">
        <f>"MAUA"</f>
        <v>MAUA</v>
      </c>
      <c r="B3202" s="3" t="str">
        <f>"SP"</f>
        <v>SP</v>
      </c>
      <c r="C3202" s="3" t="str">
        <f t="shared" si="122"/>
        <v>BRASIL</v>
      </c>
      <c r="D3202" s="4" t="str">
        <f>"SP331"</f>
        <v>SP331</v>
      </c>
    </row>
    <row r="3203" spans="1:4" x14ac:dyDescent="0.3">
      <c r="A3203" s="2" t="str">
        <f>"MAUA DA SERRA"</f>
        <v>MAUA DA SERRA</v>
      </c>
      <c r="B3203" s="3" t="str">
        <f>"PR"</f>
        <v>PR</v>
      </c>
      <c r="C3203" s="3" t="str">
        <f t="shared" si="122"/>
        <v>BRASIL</v>
      </c>
      <c r="D3203" s="4" t="str">
        <f>"PR218"</f>
        <v>PR218</v>
      </c>
    </row>
    <row r="3204" spans="1:4" x14ac:dyDescent="0.3">
      <c r="A3204" s="2" t="str">
        <f>"MAUES"</f>
        <v>MAUES</v>
      </c>
      <c r="B3204" s="3" t="str">
        <f>"AM"</f>
        <v>AM</v>
      </c>
      <c r="C3204" s="3" t="str">
        <f t="shared" si="122"/>
        <v>BRASIL</v>
      </c>
      <c r="D3204" s="4" t="str">
        <f>"AM041"</f>
        <v>AM041</v>
      </c>
    </row>
    <row r="3205" spans="1:4" x14ac:dyDescent="0.3">
      <c r="A3205" s="2" t="str">
        <f>"MAURILANDIA"</f>
        <v>MAURILANDIA</v>
      </c>
      <c r="B3205" s="3" t="str">
        <f>"GO"</f>
        <v>GO</v>
      </c>
      <c r="C3205" s="3" t="str">
        <f t="shared" si="122"/>
        <v>BRASIL</v>
      </c>
      <c r="D3205" s="4" t="str">
        <f>"GO141"</f>
        <v>GO141</v>
      </c>
    </row>
    <row r="3206" spans="1:4" x14ac:dyDescent="0.3">
      <c r="A3206" s="2" t="str">
        <f>"MAURILANDIA DO TOCANTINS"</f>
        <v>MAURILANDIA DO TOCANTINS</v>
      </c>
      <c r="B3206" s="3" t="str">
        <f>"TO"</f>
        <v>TO</v>
      </c>
      <c r="C3206" s="3" t="str">
        <f t="shared" ref="C3206:C3212" si="123">"BRASIL"</f>
        <v>BRASIL</v>
      </c>
      <c r="D3206" s="4" t="str">
        <f>"TO074"</f>
        <v>TO074</v>
      </c>
    </row>
    <row r="3207" spans="1:4" x14ac:dyDescent="0.3">
      <c r="A3207" s="2" t="str">
        <f>"MAURITI"</f>
        <v>MAURITI</v>
      </c>
      <c r="B3207" s="3" t="str">
        <f>"CE"</f>
        <v>CE</v>
      </c>
      <c r="C3207" s="3" t="str">
        <f t="shared" si="123"/>
        <v>BRASIL</v>
      </c>
      <c r="D3207" s="4" t="str">
        <f>"CE109"</f>
        <v>CE109</v>
      </c>
    </row>
    <row r="3208" spans="1:4" x14ac:dyDescent="0.3">
      <c r="A3208" s="2" t="str">
        <f>"MAXARANGUAPE"</f>
        <v>MAXARANGUAPE</v>
      </c>
      <c r="B3208" s="3" t="str">
        <f>"RN"</f>
        <v>RN</v>
      </c>
      <c r="C3208" s="3" t="str">
        <f t="shared" si="123"/>
        <v>BRASIL</v>
      </c>
      <c r="D3208" s="4" t="str">
        <f>"RN083"</f>
        <v>RN083</v>
      </c>
    </row>
    <row r="3209" spans="1:4" x14ac:dyDescent="0.3">
      <c r="A3209" s="2" t="str">
        <f>"MAXIMILIANO DE ALMEIDA"</f>
        <v>MAXIMILIANO DE ALMEIDA</v>
      </c>
      <c r="B3209" s="3" t="str">
        <f>"RS"</f>
        <v>RS</v>
      </c>
      <c r="C3209" s="3" t="str">
        <f t="shared" si="123"/>
        <v>BRASIL</v>
      </c>
      <c r="D3209" s="4" t="str">
        <f>"RS253"</f>
        <v>RS253</v>
      </c>
    </row>
    <row r="3210" spans="1:4" x14ac:dyDescent="0.3">
      <c r="A3210" s="2" t="str">
        <f>"MAZAGAO"</f>
        <v>MAZAGAO</v>
      </c>
      <c r="B3210" s="3" t="str">
        <f>"AP"</f>
        <v>AP</v>
      </c>
      <c r="C3210" s="3" t="str">
        <f t="shared" si="123"/>
        <v>BRASIL</v>
      </c>
      <c r="D3210" s="4" t="str">
        <f>"AP010"</f>
        <v>AP010</v>
      </c>
    </row>
    <row r="3211" spans="1:4" x14ac:dyDescent="0.3">
      <c r="A3211" s="2" t="str">
        <f>"MEDEIROS"</f>
        <v>MEDEIROS</v>
      </c>
      <c r="B3211" s="3" t="str">
        <f>"MG"</f>
        <v>MG</v>
      </c>
      <c r="C3211" s="3" t="str">
        <f t="shared" si="123"/>
        <v>BRASIL</v>
      </c>
      <c r="D3211" s="4" t="str">
        <f>"MG478"</f>
        <v>MG478</v>
      </c>
    </row>
    <row r="3212" spans="1:4" x14ac:dyDescent="0.3">
      <c r="A3212" s="2" t="str">
        <f>"MEDEIROS NETO"</f>
        <v>MEDEIROS NETO</v>
      </c>
      <c r="B3212" s="3" t="str">
        <f>"BA"</f>
        <v>BA</v>
      </c>
      <c r="C3212" s="3" t="str">
        <f t="shared" si="123"/>
        <v>BRASIL</v>
      </c>
      <c r="D3212" s="4" t="str">
        <f>"BA255"</f>
        <v>BA255</v>
      </c>
    </row>
    <row r="3213" spans="1:4" x14ac:dyDescent="0.3">
      <c r="A3213" s="2" t="str">
        <f>"MEDELLÍN"</f>
        <v>MEDELLÍN</v>
      </c>
      <c r="B3213" s="3" t="str">
        <f>"EX"</f>
        <v>EX</v>
      </c>
      <c r="C3213" s="3" t="str">
        <f>"COLOMBIA"</f>
        <v>COLOMBIA</v>
      </c>
      <c r="D3213" s="4" t="str">
        <f>"MEDEL"</f>
        <v>MEDEL</v>
      </c>
    </row>
    <row r="3214" spans="1:4" x14ac:dyDescent="0.3">
      <c r="A3214" s="2" t="str">
        <f>"MEDIANEIRA"</f>
        <v>MEDIANEIRA</v>
      </c>
      <c r="B3214" s="3" t="str">
        <f>"PR"</f>
        <v>PR</v>
      </c>
      <c r="C3214" s="3" t="str">
        <f t="shared" ref="C3214:C3221" si="124">"BRASIL"</f>
        <v>BRASIL</v>
      </c>
      <c r="D3214" s="4" t="str">
        <f>"PR219"</f>
        <v>PR219</v>
      </c>
    </row>
    <row r="3215" spans="1:4" x14ac:dyDescent="0.3">
      <c r="A3215" s="2" t="str">
        <f>"MEDICILANDIA"</f>
        <v>MEDICILANDIA</v>
      </c>
      <c r="B3215" s="3" t="str">
        <f>"PA"</f>
        <v>PA</v>
      </c>
      <c r="C3215" s="3" t="str">
        <f t="shared" si="124"/>
        <v>BRASIL</v>
      </c>
      <c r="D3215" s="4" t="str">
        <f>"PA070"</f>
        <v>PA070</v>
      </c>
    </row>
    <row r="3216" spans="1:4" x14ac:dyDescent="0.3">
      <c r="A3216" s="2" t="str">
        <f>"MEDINA"</f>
        <v>MEDINA</v>
      </c>
      <c r="B3216" s="3" t="str">
        <f>"MG"</f>
        <v>MG</v>
      </c>
      <c r="C3216" s="3" t="str">
        <f t="shared" si="124"/>
        <v>BRASIL</v>
      </c>
      <c r="D3216" s="4" t="str">
        <f>"MG479"</f>
        <v>MG479</v>
      </c>
    </row>
    <row r="3217" spans="1:4" x14ac:dyDescent="0.3">
      <c r="A3217" s="2" t="str">
        <f>"MELEIRO"</f>
        <v>MELEIRO</v>
      </c>
      <c r="B3217" s="3" t="str">
        <f>"SC"</f>
        <v>SC</v>
      </c>
      <c r="C3217" s="3" t="str">
        <f t="shared" si="124"/>
        <v>BRASIL</v>
      </c>
      <c r="D3217" s="4" t="str">
        <f>"SC161"</f>
        <v>SC161</v>
      </c>
    </row>
    <row r="3218" spans="1:4" x14ac:dyDescent="0.3">
      <c r="A3218" s="2" t="str">
        <f>"MELGACO"</f>
        <v>MELGACO</v>
      </c>
      <c r="B3218" s="3" t="str">
        <f>"PA"</f>
        <v>PA</v>
      </c>
      <c r="C3218" s="3" t="str">
        <f t="shared" si="124"/>
        <v>BRASIL</v>
      </c>
      <c r="D3218" s="4" t="str">
        <f>"PA071"</f>
        <v>PA071</v>
      </c>
    </row>
    <row r="3219" spans="1:4" x14ac:dyDescent="0.3">
      <c r="A3219" s="2" t="str">
        <f>"MENDES"</f>
        <v>MENDES</v>
      </c>
      <c r="B3219" s="3" t="str">
        <f>"RJ"</f>
        <v>RJ</v>
      </c>
      <c r="C3219" s="3" t="str">
        <f t="shared" si="124"/>
        <v>BRASIL</v>
      </c>
      <c r="D3219" s="4" t="str">
        <f>"RJ042"</f>
        <v>RJ042</v>
      </c>
    </row>
    <row r="3220" spans="1:4" x14ac:dyDescent="0.3">
      <c r="A3220" s="2" t="str">
        <f>"MENDES PIMENTEL"</f>
        <v>MENDES PIMENTEL</v>
      </c>
      <c r="B3220" s="3" t="str">
        <f>"MG"</f>
        <v>MG</v>
      </c>
      <c r="C3220" s="3" t="str">
        <f t="shared" si="124"/>
        <v>BRASIL</v>
      </c>
      <c r="D3220" s="4" t="str">
        <f>"MG480"</f>
        <v>MG480</v>
      </c>
    </row>
    <row r="3221" spans="1:4" x14ac:dyDescent="0.3">
      <c r="A3221" s="2" t="str">
        <f>"MENDONCA"</f>
        <v>MENDONCA</v>
      </c>
      <c r="B3221" s="3" t="str">
        <f>"SP"</f>
        <v>SP</v>
      </c>
      <c r="C3221" s="3" t="str">
        <f t="shared" si="124"/>
        <v>BRASIL</v>
      </c>
      <c r="D3221" s="4" t="str">
        <f>"SP332"</f>
        <v>SP332</v>
      </c>
    </row>
    <row r="3222" spans="1:4" x14ac:dyDescent="0.3">
      <c r="A3222" s="2" t="str">
        <f>"MENDOZA"</f>
        <v>MENDOZA</v>
      </c>
      <c r="B3222" s="3" t="str">
        <f>"EX"</f>
        <v>EX</v>
      </c>
      <c r="C3222" s="3" t="str">
        <f>"ARGENTINA"</f>
        <v>ARGENTINA</v>
      </c>
      <c r="D3222" s="4" t="str">
        <f>"ME"</f>
        <v>ME</v>
      </c>
    </row>
    <row r="3223" spans="1:4" x14ac:dyDescent="0.3">
      <c r="A3223" s="2" t="str">
        <f>"MERCEDES"</f>
        <v>MERCEDES</v>
      </c>
      <c r="B3223" s="3" t="str">
        <f>"PR"</f>
        <v>PR</v>
      </c>
      <c r="C3223" s="3" t="str">
        <f t="shared" ref="C3223:C3231" si="125">"BRASIL"</f>
        <v>BRASIL</v>
      </c>
      <c r="D3223" s="4" t="str">
        <f>"PR220"</f>
        <v>PR220</v>
      </c>
    </row>
    <row r="3224" spans="1:4" x14ac:dyDescent="0.3">
      <c r="A3224" s="2" t="str">
        <f>"MERCES"</f>
        <v>MERCES</v>
      </c>
      <c r="B3224" s="3" t="str">
        <f>"MG"</f>
        <v>MG</v>
      </c>
      <c r="C3224" s="3" t="str">
        <f t="shared" si="125"/>
        <v>BRASIL</v>
      </c>
      <c r="D3224" s="4" t="str">
        <f>"MG481"</f>
        <v>MG481</v>
      </c>
    </row>
    <row r="3225" spans="1:4" x14ac:dyDescent="0.3">
      <c r="A3225" s="2" t="str">
        <f>"MERIDIANO"</f>
        <v>MERIDIANO</v>
      </c>
      <c r="B3225" s="3" t="str">
        <f>"SP"</f>
        <v>SP</v>
      </c>
      <c r="C3225" s="3" t="str">
        <f t="shared" si="125"/>
        <v>BRASIL</v>
      </c>
      <c r="D3225" s="4" t="str">
        <f>"SP333"</f>
        <v>SP333</v>
      </c>
    </row>
    <row r="3226" spans="1:4" x14ac:dyDescent="0.3">
      <c r="A3226" s="2" t="str">
        <f>"MERUOCA"</f>
        <v>MERUOCA</v>
      </c>
      <c r="B3226" s="3" t="str">
        <f>"CE"</f>
        <v>CE</v>
      </c>
      <c r="C3226" s="3" t="str">
        <f t="shared" si="125"/>
        <v>BRASIL</v>
      </c>
      <c r="D3226" s="4" t="str">
        <f>"CE110"</f>
        <v>CE110</v>
      </c>
    </row>
    <row r="3227" spans="1:4" x14ac:dyDescent="0.3">
      <c r="A3227" s="2" t="str">
        <f>"MESOPOLIS"</f>
        <v>MESOPOLIS</v>
      </c>
      <c r="B3227" s="3" t="str">
        <f>"SP"</f>
        <v>SP</v>
      </c>
      <c r="C3227" s="3" t="str">
        <f t="shared" si="125"/>
        <v>BRASIL</v>
      </c>
      <c r="D3227" s="4" t="str">
        <f>"SP334"</f>
        <v>SP334</v>
      </c>
    </row>
    <row r="3228" spans="1:4" x14ac:dyDescent="0.3">
      <c r="A3228" s="2" t="str">
        <f>"MESQUITA"</f>
        <v>MESQUITA</v>
      </c>
      <c r="B3228" s="3" t="str">
        <f>"MG"</f>
        <v>MG</v>
      </c>
      <c r="C3228" s="3" t="str">
        <f t="shared" si="125"/>
        <v>BRASIL</v>
      </c>
      <c r="D3228" s="4" t="str">
        <f>"MG482"</f>
        <v>MG482</v>
      </c>
    </row>
    <row r="3229" spans="1:4" x14ac:dyDescent="0.3">
      <c r="A3229" s="2" t="str">
        <f>"MESQUITA"</f>
        <v>MESQUITA</v>
      </c>
      <c r="B3229" s="3" t="str">
        <f>"RJ"</f>
        <v>RJ</v>
      </c>
      <c r="C3229" s="3" t="str">
        <f t="shared" si="125"/>
        <v>BRASIL</v>
      </c>
      <c r="D3229" s="4" t="str">
        <f>"RJ043"</f>
        <v>RJ043</v>
      </c>
    </row>
    <row r="3230" spans="1:4" x14ac:dyDescent="0.3">
      <c r="A3230" s="2" t="str">
        <f>"MESSIAS"</f>
        <v>MESSIAS</v>
      </c>
      <c r="B3230" s="3" t="str">
        <f>"AL"</f>
        <v>AL</v>
      </c>
      <c r="C3230" s="3" t="str">
        <f t="shared" si="125"/>
        <v>BRASIL</v>
      </c>
      <c r="D3230" s="4" t="str">
        <f>"AL056"</f>
        <v>AL056</v>
      </c>
    </row>
    <row r="3231" spans="1:4" x14ac:dyDescent="0.3">
      <c r="A3231" s="2" t="str">
        <f>"MESSIAS TARGINO"</f>
        <v>MESSIAS TARGINO</v>
      </c>
      <c r="B3231" s="3" t="str">
        <f>"RN"</f>
        <v>RN</v>
      </c>
      <c r="C3231" s="3" t="str">
        <f t="shared" si="125"/>
        <v>BRASIL</v>
      </c>
      <c r="D3231" s="4" t="str">
        <f>"RN084"</f>
        <v>RN084</v>
      </c>
    </row>
    <row r="3232" spans="1:4" x14ac:dyDescent="0.3">
      <c r="A3232" s="2" t="str">
        <f>"MEXICO DF"</f>
        <v>MEXICO DF</v>
      </c>
      <c r="B3232" s="3" t="str">
        <f>"EX"</f>
        <v>EX</v>
      </c>
      <c r="C3232" s="3" t="str">
        <f>"MEXICO"</f>
        <v>MEXICO</v>
      </c>
      <c r="D3232" s="4" t="str">
        <f>"DF"</f>
        <v>DF</v>
      </c>
    </row>
    <row r="3233" spans="1:4" x14ac:dyDescent="0.3">
      <c r="A3233" s="2" t="str">
        <f>"MIDDLESBROUGH"</f>
        <v>MIDDLESBROUGH</v>
      </c>
      <c r="B3233" s="3" t="str">
        <f>"RU"</f>
        <v>RU</v>
      </c>
      <c r="C3233" s="3" t="str">
        <f>"REINO UNIDO"</f>
        <v>REINO UNIDO</v>
      </c>
      <c r="D3233" s="4" t="str">
        <f>"MIDDL"</f>
        <v>MIDDL</v>
      </c>
    </row>
    <row r="3234" spans="1:4" x14ac:dyDescent="0.3">
      <c r="A3234" s="2" t="str">
        <f>"MIGUEL ALVES"</f>
        <v>MIGUEL ALVES</v>
      </c>
      <c r="B3234" s="3" t="str">
        <f>"PI"</f>
        <v>PI</v>
      </c>
      <c r="C3234" s="3" t="str">
        <f t="shared" ref="C3234:C3241" si="126">"BRASIL"</f>
        <v>BRASIL</v>
      </c>
      <c r="D3234" s="4" t="str">
        <f>"PI127"</f>
        <v>PI127</v>
      </c>
    </row>
    <row r="3235" spans="1:4" x14ac:dyDescent="0.3">
      <c r="A3235" s="2" t="str">
        <f>"MIGUEL CALMON"</f>
        <v>MIGUEL CALMON</v>
      </c>
      <c r="B3235" s="3" t="str">
        <f>"BA"</f>
        <v>BA</v>
      </c>
      <c r="C3235" s="3" t="str">
        <f t="shared" si="126"/>
        <v>BRASIL</v>
      </c>
      <c r="D3235" s="4" t="str">
        <f>"BA256"</f>
        <v>BA256</v>
      </c>
    </row>
    <row r="3236" spans="1:4" x14ac:dyDescent="0.3">
      <c r="A3236" s="2" t="str">
        <f>"MIGUEL LEAO"</f>
        <v>MIGUEL LEAO</v>
      </c>
      <c r="B3236" s="3" t="str">
        <f>"PI"</f>
        <v>PI</v>
      </c>
      <c r="C3236" s="3" t="str">
        <f t="shared" si="126"/>
        <v>BRASIL</v>
      </c>
      <c r="D3236" s="4" t="str">
        <f>"PI128"</f>
        <v>PI128</v>
      </c>
    </row>
    <row r="3237" spans="1:4" x14ac:dyDescent="0.3">
      <c r="A3237" s="2" t="str">
        <f>"MIGUEL PEREIRA"</f>
        <v>MIGUEL PEREIRA</v>
      </c>
      <c r="B3237" s="3" t="str">
        <f>"RJ"</f>
        <v>RJ</v>
      </c>
      <c r="C3237" s="3" t="str">
        <f t="shared" si="126"/>
        <v>BRASIL</v>
      </c>
      <c r="D3237" s="4" t="str">
        <f>"RJ044"</f>
        <v>RJ044</v>
      </c>
    </row>
    <row r="3238" spans="1:4" x14ac:dyDescent="0.3">
      <c r="A3238" s="2" t="str">
        <f>"MIGUELOPOLIS"</f>
        <v>MIGUELOPOLIS</v>
      </c>
      <c r="B3238" s="3" t="str">
        <f>"SP"</f>
        <v>SP</v>
      </c>
      <c r="C3238" s="3" t="str">
        <f t="shared" si="126"/>
        <v>BRASIL</v>
      </c>
      <c r="D3238" s="4" t="str">
        <f>"SP335"</f>
        <v>SP335</v>
      </c>
    </row>
    <row r="3239" spans="1:4" x14ac:dyDescent="0.3">
      <c r="A3239" s="2" t="str">
        <f>"MILAGRES"</f>
        <v>MILAGRES</v>
      </c>
      <c r="B3239" s="3" t="str">
        <f>"BA"</f>
        <v>BA</v>
      </c>
      <c r="C3239" s="3" t="str">
        <f t="shared" si="126"/>
        <v>BRASIL</v>
      </c>
      <c r="D3239" s="4" t="str">
        <f>"BA257"</f>
        <v>BA257</v>
      </c>
    </row>
    <row r="3240" spans="1:4" x14ac:dyDescent="0.3">
      <c r="A3240" s="2" t="str">
        <f>"MILAGRES"</f>
        <v>MILAGRES</v>
      </c>
      <c r="B3240" s="3" t="str">
        <f>"CE"</f>
        <v>CE</v>
      </c>
      <c r="C3240" s="3" t="str">
        <f t="shared" si="126"/>
        <v>BRASIL</v>
      </c>
      <c r="D3240" s="4" t="str">
        <f>"CE111"</f>
        <v>CE111</v>
      </c>
    </row>
    <row r="3241" spans="1:4" x14ac:dyDescent="0.3">
      <c r="A3241" s="2" t="str">
        <f>"MILAGRES DO MARANHAO"</f>
        <v>MILAGRES DO MARANHAO</v>
      </c>
      <c r="B3241" s="3" t="str">
        <f>"MA"</f>
        <v>MA</v>
      </c>
      <c r="C3241" s="3" t="str">
        <f t="shared" si="126"/>
        <v>BRASIL</v>
      </c>
      <c r="D3241" s="4" t="str">
        <f>"MA117"</f>
        <v>MA117</v>
      </c>
    </row>
    <row r="3242" spans="1:4" x14ac:dyDescent="0.3">
      <c r="A3242" s="2" t="str">
        <f>"MILAO"</f>
        <v>MILAO</v>
      </c>
      <c r="B3242" s="3" t="str">
        <f>"IT"</f>
        <v>IT</v>
      </c>
      <c r="C3242" s="3" t="str">
        <f>"ITALIA"</f>
        <v>ITALIA</v>
      </c>
      <c r="D3242" s="4" t="str">
        <f>"MILAO"</f>
        <v>MILAO</v>
      </c>
    </row>
    <row r="3243" spans="1:4" x14ac:dyDescent="0.3">
      <c r="A3243" s="2" t="str">
        <f>"MILHA"</f>
        <v>MILHA</v>
      </c>
      <c r="B3243" s="3" t="str">
        <f>"CE"</f>
        <v>CE</v>
      </c>
      <c r="C3243" s="3" t="str">
        <f t="shared" ref="C3243:C3288" si="127">"BRASIL"</f>
        <v>BRASIL</v>
      </c>
      <c r="D3243" s="4" t="str">
        <f>"CE112"</f>
        <v>CE112</v>
      </c>
    </row>
    <row r="3244" spans="1:4" x14ac:dyDescent="0.3">
      <c r="A3244" s="2" t="str">
        <f>"MILTON BRANDAO"</f>
        <v>MILTON BRANDAO</v>
      </c>
      <c r="B3244" s="3" t="str">
        <f>"PI"</f>
        <v>PI</v>
      </c>
      <c r="C3244" s="3" t="str">
        <f t="shared" si="127"/>
        <v>BRASIL</v>
      </c>
      <c r="D3244" s="4" t="str">
        <f>"PI129"</f>
        <v>PI129</v>
      </c>
    </row>
    <row r="3245" spans="1:4" x14ac:dyDescent="0.3">
      <c r="A3245" s="2" t="str">
        <f>"MIMOSO DE GOIAS"</f>
        <v>MIMOSO DE GOIAS</v>
      </c>
      <c r="B3245" s="3" t="str">
        <f>"GO"</f>
        <v>GO</v>
      </c>
      <c r="C3245" s="3" t="str">
        <f t="shared" si="127"/>
        <v>BRASIL</v>
      </c>
      <c r="D3245" s="4" t="str">
        <f>"GO142"</f>
        <v>GO142</v>
      </c>
    </row>
    <row r="3246" spans="1:4" x14ac:dyDescent="0.3">
      <c r="A3246" s="2" t="str">
        <f>"MIMOSO DO SUL"</f>
        <v>MIMOSO DO SUL</v>
      </c>
      <c r="B3246" s="3" t="str">
        <f>"ES"</f>
        <v>ES</v>
      </c>
      <c r="C3246" s="3" t="str">
        <f t="shared" si="127"/>
        <v>BRASIL</v>
      </c>
      <c r="D3246" s="4" t="str">
        <f>"ES048"</f>
        <v>ES048</v>
      </c>
    </row>
    <row r="3247" spans="1:4" x14ac:dyDescent="0.3">
      <c r="A3247" s="2" t="str">
        <f>"MINACU"</f>
        <v>MINACU</v>
      </c>
      <c r="B3247" s="3" t="str">
        <f>"GO"</f>
        <v>GO</v>
      </c>
      <c r="C3247" s="3" t="str">
        <f t="shared" si="127"/>
        <v>BRASIL</v>
      </c>
      <c r="D3247" s="4" t="str">
        <f>"GO143"</f>
        <v>GO143</v>
      </c>
    </row>
    <row r="3248" spans="1:4" x14ac:dyDescent="0.3">
      <c r="A3248" s="2" t="str">
        <f>"MINADOR DO NEGRAO"</f>
        <v>MINADOR DO NEGRAO</v>
      </c>
      <c r="B3248" s="3" t="str">
        <f>"AL"</f>
        <v>AL</v>
      </c>
      <c r="C3248" s="3" t="str">
        <f t="shared" si="127"/>
        <v>BRASIL</v>
      </c>
      <c r="D3248" s="4" t="str">
        <f>"AL057"</f>
        <v>AL057</v>
      </c>
    </row>
    <row r="3249" spans="1:4" x14ac:dyDescent="0.3">
      <c r="A3249" s="2" t="str">
        <f>"MINAS DO LEAO"</f>
        <v>MINAS DO LEAO</v>
      </c>
      <c r="B3249" s="3" t="str">
        <f>"RS"</f>
        <v>RS</v>
      </c>
      <c r="C3249" s="3" t="str">
        <f t="shared" si="127"/>
        <v>BRASIL</v>
      </c>
      <c r="D3249" s="4" t="str">
        <f>"RS254"</f>
        <v>RS254</v>
      </c>
    </row>
    <row r="3250" spans="1:4" x14ac:dyDescent="0.3">
      <c r="A3250" s="2" t="str">
        <f>"MINAS NOVAS"</f>
        <v>MINAS NOVAS</v>
      </c>
      <c r="B3250" s="3" t="str">
        <f>"MG"</f>
        <v>MG</v>
      </c>
      <c r="C3250" s="3" t="str">
        <f t="shared" si="127"/>
        <v>BRASIL</v>
      </c>
      <c r="D3250" s="4" t="str">
        <f>"MG483"</f>
        <v>MG483</v>
      </c>
    </row>
    <row r="3251" spans="1:4" x14ac:dyDescent="0.3">
      <c r="A3251" s="2" t="str">
        <f>"MINDURI"</f>
        <v>MINDURI</v>
      </c>
      <c r="B3251" s="3" t="str">
        <f>"MG"</f>
        <v>MG</v>
      </c>
      <c r="C3251" s="3" t="str">
        <f t="shared" si="127"/>
        <v>BRASIL</v>
      </c>
      <c r="D3251" s="4" t="str">
        <f>"MG484"</f>
        <v>MG484</v>
      </c>
    </row>
    <row r="3252" spans="1:4" x14ac:dyDescent="0.3">
      <c r="A3252" s="2" t="str">
        <f>"MINEIROS"</f>
        <v>MINEIROS</v>
      </c>
      <c r="B3252" s="3" t="str">
        <f>"GO"</f>
        <v>GO</v>
      </c>
      <c r="C3252" s="3" t="str">
        <f t="shared" si="127"/>
        <v>BRASIL</v>
      </c>
      <c r="D3252" s="4" t="str">
        <f>"GO144"</f>
        <v>GO144</v>
      </c>
    </row>
    <row r="3253" spans="1:4" x14ac:dyDescent="0.3">
      <c r="A3253" s="2" t="str">
        <f>"MINEIROS DO TIETE"</f>
        <v>MINEIROS DO TIETE</v>
      </c>
      <c r="B3253" s="3" t="str">
        <f>"SP"</f>
        <v>SP</v>
      </c>
      <c r="C3253" s="3" t="str">
        <f t="shared" si="127"/>
        <v>BRASIL</v>
      </c>
      <c r="D3253" s="4" t="str">
        <f>"SP336"</f>
        <v>SP336</v>
      </c>
    </row>
    <row r="3254" spans="1:4" x14ac:dyDescent="0.3">
      <c r="A3254" s="2" t="str">
        <f>"MINISTRO ANDREAZZA"</f>
        <v>MINISTRO ANDREAZZA</v>
      </c>
      <c r="B3254" s="3" t="str">
        <f>"RO"</f>
        <v>RO</v>
      </c>
      <c r="C3254" s="3" t="str">
        <f t="shared" si="127"/>
        <v>BRASIL</v>
      </c>
      <c r="D3254" s="4" t="str">
        <f>"RO038"</f>
        <v>RO038</v>
      </c>
    </row>
    <row r="3255" spans="1:4" x14ac:dyDescent="0.3">
      <c r="A3255" s="2" t="str">
        <f>"MIRA ESTRELA"</f>
        <v>MIRA ESTRELA</v>
      </c>
      <c r="B3255" s="3" t="str">
        <f>"SP"</f>
        <v>SP</v>
      </c>
      <c r="C3255" s="3" t="str">
        <f t="shared" si="127"/>
        <v>BRASIL</v>
      </c>
      <c r="D3255" s="4" t="str">
        <f>"SP338"</f>
        <v>SP338</v>
      </c>
    </row>
    <row r="3256" spans="1:4" x14ac:dyDescent="0.3">
      <c r="A3256" s="2" t="str">
        <f>"MIRABELA"</f>
        <v>MIRABELA</v>
      </c>
      <c r="B3256" s="3" t="str">
        <f>"MG"</f>
        <v>MG</v>
      </c>
      <c r="C3256" s="3" t="str">
        <f t="shared" si="127"/>
        <v>BRASIL</v>
      </c>
      <c r="D3256" s="4" t="str">
        <f>"MG485"</f>
        <v>MG485</v>
      </c>
    </row>
    <row r="3257" spans="1:4" x14ac:dyDescent="0.3">
      <c r="A3257" s="2" t="str">
        <f>"MIRACATU"</f>
        <v>MIRACATU</v>
      </c>
      <c r="B3257" s="3" t="str">
        <f>"SP"</f>
        <v>SP</v>
      </c>
      <c r="C3257" s="3" t="str">
        <f t="shared" si="127"/>
        <v>BRASIL</v>
      </c>
      <c r="D3257" s="4" t="str">
        <f>"SP337"</f>
        <v>SP337</v>
      </c>
    </row>
    <row r="3258" spans="1:4" x14ac:dyDescent="0.3">
      <c r="A3258" s="2" t="str">
        <f>"MIRACEMA"</f>
        <v>MIRACEMA</v>
      </c>
      <c r="B3258" s="3" t="str">
        <f>"RJ"</f>
        <v>RJ</v>
      </c>
      <c r="C3258" s="3" t="str">
        <f t="shared" si="127"/>
        <v>BRASIL</v>
      </c>
      <c r="D3258" s="4" t="str">
        <f>"RJ045"</f>
        <v>RJ045</v>
      </c>
    </row>
    <row r="3259" spans="1:4" x14ac:dyDescent="0.3">
      <c r="A3259" s="2" t="str">
        <f>"MIRACEMA DO TOCANTINS"</f>
        <v>MIRACEMA DO TOCANTINS</v>
      </c>
      <c r="B3259" s="3" t="str">
        <f>"TO"</f>
        <v>TO</v>
      </c>
      <c r="C3259" s="3" t="str">
        <f t="shared" si="127"/>
        <v>BRASIL</v>
      </c>
      <c r="D3259" s="4" t="str">
        <f>"TO075"</f>
        <v>TO075</v>
      </c>
    </row>
    <row r="3260" spans="1:4" x14ac:dyDescent="0.3">
      <c r="A3260" s="2" t="str">
        <f>"MIRADOR"</f>
        <v>MIRADOR</v>
      </c>
      <c r="B3260" s="3" t="str">
        <f>"MA"</f>
        <v>MA</v>
      </c>
      <c r="C3260" s="3" t="str">
        <f t="shared" si="127"/>
        <v>BRASIL</v>
      </c>
      <c r="D3260" s="4" t="str">
        <f>"MA118"</f>
        <v>MA118</v>
      </c>
    </row>
    <row r="3261" spans="1:4" x14ac:dyDescent="0.3">
      <c r="A3261" s="2" t="str">
        <f>"MIRADOR"</f>
        <v>MIRADOR</v>
      </c>
      <c r="B3261" s="3" t="str">
        <f>"PR"</f>
        <v>PR</v>
      </c>
      <c r="C3261" s="3" t="str">
        <f t="shared" si="127"/>
        <v>BRASIL</v>
      </c>
      <c r="D3261" s="4" t="str">
        <f>"PR221"</f>
        <v>PR221</v>
      </c>
    </row>
    <row r="3262" spans="1:4" x14ac:dyDescent="0.3">
      <c r="A3262" s="2" t="str">
        <f>"MIRADOURO"</f>
        <v>MIRADOURO</v>
      </c>
      <c r="B3262" s="3" t="str">
        <f>"MG"</f>
        <v>MG</v>
      </c>
      <c r="C3262" s="3" t="str">
        <f t="shared" si="127"/>
        <v>BRASIL</v>
      </c>
      <c r="D3262" s="4" t="str">
        <f>"MG486"</f>
        <v>MG486</v>
      </c>
    </row>
    <row r="3263" spans="1:4" x14ac:dyDescent="0.3">
      <c r="A3263" s="2" t="str">
        <f>"MIRAGUAI"</f>
        <v>MIRAGUAI</v>
      </c>
      <c r="B3263" s="3" t="str">
        <f>"RS"</f>
        <v>RS</v>
      </c>
      <c r="C3263" s="3" t="str">
        <f t="shared" si="127"/>
        <v>BRASIL</v>
      </c>
      <c r="D3263" s="4" t="str">
        <f>"RS255"</f>
        <v>RS255</v>
      </c>
    </row>
    <row r="3264" spans="1:4" x14ac:dyDescent="0.3">
      <c r="A3264" s="2" t="str">
        <f>"MIRAI"</f>
        <v>MIRAI</v>
      </c>
      <c r="B3264" s="3" t="str">
        <f>"MG"</f>
        <v>MG</v>
      </c>
      <c r="C3264" s="3" t="str">
        <f t="shared" si="127"/>
        <v>BRASIL</v>
      </c>
      <c r="D3264" s="4" t="str">
        <f>"MG487"</f>
        <v>MG487</v>
      </c>
    </row>
    <row r="3265" spans="1:4" x14ac:dyDescent="0.3">
      <c r="A3265" s="2" t="str">
        <f>"MIRAIMA"</f>
        <v>MIRAIMA</v>
      </c>
      <c r="B3265" s="3" t="str">
        <f>"CE"</f>
        <v>CE</v>
      </c>
      <c r="C3265" s="3" t="str">
        <f t="shared" si="127"/>
        <v>BRASIL</v>
      </c>
      <c r="D3265" s="4" t="str">
        <f>"CE113"</f>
        <v>CE113</v>
      </c>
    </row>
    <row r="3266" spans="1:4" x14ac:dyDescent="0.3">
      <c r="A3266" s="2" t="str">
        <f>"MIRANDA"</f>
        <v>MIRANDA</v>
      </c>
      <c r="B3266" s="3" t="str">
        <f>"MS"</f>
        <v>MS</v>
      </c>
      <c r="C3266" s="3" t="str">
        <f t="shared" si="127"/>
        <v>BRASIL</v>
      </c>
      <c r="D3266" s="4" t="str">
        <f>"MS051"</f>
        <v>MS051</v>
      </c>
    </row>
    <row r="3267" spans="1:4" x14ac:dyDescent="0.3">
      <c r="A3267" s="2" t="str">
        <f>"MIRANDA DO NORTE"</f>
        <v>MIRANDA DO NORTE</v>
      </c>
      <c r="B3267" s="3" t="str">
        <f>"MA"</f>
        <v>MA</v>
      </c>
      <c r="C3267" s="3" t="str">
        <f t="shared" si="127"/>
        <v>BRASIL</v>
      </c>
      <c r="D3267" s="4" t="str">
        <f>"MA119"</f>
        <v>MA119</v>
      </c>
    </row>
    <row r="3268" spans="1:4" x14ac:dyDescent="0.3">
      <c r="A3268" s="2" t="str">
        <f>"MIRANDIBA"</f>
        <v>MIRANDIBA</v>
      </c>
      <c r="B3268" s="3" t="str">
        <f>"PE"</f>
        <v>PE</v>
      </c>
      <c r="C3268" s="3" t="str">
        <f t="shared" si="127"/>
        <v>BRASIL</v>
      </c>
      <c r="D3268" s="4" t="str">
        <f>"PE108"</f>
        <v>PE108</v>
      </c>
    </row>
    <row r="3269" spans="1:4" x14ac:dyDescent="0.3">
      <c r="A3269" s="2" t="str">
        <f>"MIRANDOPOLIS"</f>
        <v>MIRANDOPOLIS</v>
      </c>
      <c r="B3269" s="3" t="str">
        <f>"SP"</f>
        <v>SP</v>
      </c>
      <c r="C3269" s="3" t="str">
        <f t="shared" si="127"/>
        <v>BRASIL</v>
      </c>
      <c r="D3269" s="4" t="str">
        <f>"SP339"</f>
        <v>SP339</v>
      </c>
    </row>
    <row r="3270" spans="1:4" x14ac:dyDescent="0.3">
      <c r="A3270" s="2" t="str">
        <f>"MIRANGABA"</f>
        <v>MIRANGABA</v>
      </c>
      <c r="B3270" s="3" t="str">
        <f>"BA"</f>
        <v>BA</v>
      </c>
      <c r="C3270" s="3" t="str">
        <f t="shared" si="127"/>
        <v>BRASIL</v>
      </c>
      <c r="D3270" s="4" t="str">
        <f>"BA258"</f>
        <v>BA258</v>
      </c>
    </row>
    <row r="3271" spans="1:4" x14ac:dyDescent="0.3">
      <c r="A3271" s="2" t="str">
        <f>"MIRANORTE"</f>
        <v>MIRANORTE</v>
      </c>
      <c r="B3271" s="3" t="str">
        <f>"TO"</f>
        <v>TO</v>
      </c>
      <c r="C3271" s="3" t="str">
        <f t="shared" si="127"/>
        <v>BRASIL</v>
      </c>
      <c r="D3271" s="4" t="str">
        <f>"TO076"</f>
        <v>TO076</v>
      </c>
    </row>
    <row r="3272" spans="1:4" x14ac:dyDescent="0.3">
      <c r="A3272" s="2" t="str">
        <f>"MIRANTE"</f>
        <v>MIRANTE</v>
      </c>
      <c r="B3272" s="3" t="str">
        <f>"BA"</f>
        <v>BA</v>
      </c>
      <c r="C3272" s="3" t="str">
        <f t="shared" si="127"/>
        <v>BRASIL</v>
      </c>
      <c r="D3272" s="4" t="str">
        <f>"BA259"</f>
        <v>BA259</v>
      </c>
    </row>
    <row r="3273" spans="1:4" x14ac:dyDescent="0.3">
      <c r="A3273" s="2" t="str">
        <f>"MIRANTE DA SERRA"</f>
        <v>MIRANTE DA SERRA</v>
      </c>
      <c r="B3273" s="3" t="str">
        <f>"RO"</f>
        <v>RO</v>
      </c>
      <c r="C3273" s="3" t="str">
        <f t="shared" si="127"/>
        <v>BRASIL</v>
      </c>
      <c r="D3273" s="4" t="str">
        <f>"RO039"</f>
        <v>RO039</v>
      </c>
    </row>
    <row r="3274" spans="1:4" x14ac:dyDescent="0.3">
      <c r="A3274" s="2" t="str">
        <f>"MIRANTE DO PARANAPANEMA"</f>
        <v>MIRANTE DO PARANAPANEMA</v>
      </c>
      <c r="B3274" s="3" t="str">
        <f>"SP"</f>
        <v>SP</v>
      </c>
      <c r="C3274" s="3" t="str">
        <f t="shared" si="127"/>
        <v>BRASIL</v>
      </c>
      <c r="D3274" s="4" t="str">
        <f>"SP340"</f>
        <v>SP340</v>
      </c>
    </row>
    <row r="3275" spans="1:4" x14ac:dyDescent="0.3">
      <c r="A3275" s="2" t="str">
        <f>"MIRASELVA"</f>
        <v>MIRASELVA</v>
      </c>
      <c r="B3275" s="3" t="str">
        <f>"PR"</f>
        <v>PR</v>
      </c>
      <c r="C3275" s="3" t="str">
        <f t="shared" si="127"/>
        <v>BRASIL</v>
      </c>
      <c r="D3275" s="4" t="str">
        <f>"PR222"</f>
        <v>PR222</v>
      </c>
    </row>
    <row r="3276" spans="1:4" x14ac:dyDescent="0.3">
      <c r="A3276" s="2" t="str">
        <f>"MIRASSOL"</f>
        <v>MIRASSOL</v>
      </c>
      <c r="B3276" s="3" t="str">
        <f>"SP"</f>
        <v>SP</v>
      </c>
      <c r="C3276" s="3" t="str">
        <f t="shared" si="127"/>
        <v>BRASIL</v>
      </c>
      <c r="D3276" s="4" t="str">
        <f>"SP341"</f>
        <v>SP341</v>
      </c>
    </row>
    <row r="3277" spans="1:4" x14ac:dyDescent="0.3">
      <c r="A3277" s="2" t="str">
        <f>"MIRASSOL D'OESTE"</f>
        <v>MIRASSOL D'OESTE</v>
      </c>
      <c r="B3277" s="3" t="str">
        <f>"MT"</f>
        <v>MT</v>
      </c>
      <c r="C3277" s="3" t="str">
        <f t="shared" si="127"/>
        <v>BRASIL</v>
      </c>
      <c r="D3277" s="4" t="str">
        <f>"MT068"</f>
        <v>MT068</v>
      </c>
    </row>
    <row r="3278" spans="1:4" x14ac:dyDescent="0.3">
      <c r="A3278" s="2" t="str">
        <f>"MIRASSOLANDIA"</f>
        <v>MIRASSOLANDIA</v>
      </c>
      <c r="B3278" s="3" t="str">
        <f>"SP"</f>
        <v>SP</v>
      </c>
      <c r="C3278" s="3" t="str">
        <f t="shared" si="127"/>
        <v>BRASIL</v>
      </c>
      <c r="D3278" s="4" t="str">
        <f>"SP342"</f>
        <v>SP342</v>
      </c>
    </row>
    <row r="3279" spans="1:4" x14ac:dyDescent="0.3">
      <c r="A3279" s="2" t="str">
        <f>"MIRAVANIA"</f>
        <v>MIRAVANIA</v>
      </c>
      <c r="B3279" s="3" t="str">
        <f>"MG"</f>
        <v>MG</v>
      </c>
      <c r="C3279" s="3" t="str">
        <f t="shared" si="127"/>
        <v>BRASIL</v>
      </c>
      <c r="D3279" s="4" t="str">
        <f>"MG488"</f>
        <v>MG488</v>
      </c>
    </row>
    <row r="3280" spans="1:4" x14ac:dyDescent="0.3">
      <c r="A3280" s="2" t="str">
        <f>"MIRIM DOCE"</f>
        <v>MIRIM DOCE</v>
      </c>
      <c r="B3280" s="3" t="str">
        <f>"SC"</f>
        <v>SC</v>
      </c>
      <c r="C3280" s="3" t="str">
        <f t="shared" si="127"/>
        <v>BRASIL</v>
      </c>
      <c r="D3280" s="4" t="str">
        <f>"SC162"</f>
        <v>SC162</v>
      </c>
    </row>
    <row r="3281" spans="1:4" x14ac:dyDescent="0.3">
      <c r="A3281" s="2" t="str">
        <f>"MIRINZAL"</f>
        <v>MIRINZAL</v>
      </c>
      <c r="B3281" s="3" t="str">
        <f>"MA"</f>
        <v>MA</v>
      </c>
      <c r="C3281" s="3" t="str">
        <f t="shared" si="127"/>
        <v>BRASIL</v>
      </c>
      <c r="D3281" s="4" t="str">
        <f>"MA120"</f>
        <v>MA120</v>
      </c>
    </row>
    <row r="3282" spans="1:4" x14ac:dyDescent="0.3">
      <c r="A3282" s="2" t="str">
        <f>"MISSAL"</f>
        <v>MISSAL</v>
      </c>
      <c r="B3282" s="3" t="str">
        <f>"PR"</f>
        <v>PR</v>
      </c>
      <c r="C3282" s="3" t="str">
        <f t="shared" si="127"/>
        <v>BRASIL</v>
      </c>
      <c r="D3282" s="4" t="str">
        <f>"PR223"</f>
        <v>PR223</v>
      </c>
    </row>
    <row r="3283" spans="1:4" x14ac:dyDescent="0.3">
      <c r="A3283" s="2" t="str">
        <f>"MISSAO VELHA"</f>
        <v>MISSAO VELHA</v>
      </c>
      <c r="B3283" s="3" t="str">
        <f>"CE"</f>
        <v>CE</v>
      </c>
      <c r="C3283" s="3" t="str">
        <f t="shared" si="127"/>
        <v>BRASIL</v>
      </c>
      <c r="D3283" s="4" t="str">
        <f>"CE114"</f>
        <v>CE114</v>
      </c>
    </row>
    <row r="3284" spans="1:4" x14ac:dyDescent="0.3">
      <c r="A3284" s="2" t="str">
        <f>"MOCAJUBA"</f>
        <v>MOCAJUBA</v>
      </c>
      <c r="B3284" s="3" t="str">
        <f>"PA"</f>
        <v>PA</v>
      </c>
      <c r="C3284" s="3" t="str">
        <f t="shared" si="127"/>
        <v>BRASIL</v>
      </c>
      <c r="D3284" s="4" t="str">
        <f>"PA072"</f>
        <v>PA072</v>
      </c>
    </row>
    <row r="3285" spans="1:4" x14ac:dyDescent="0.3">
      <c r="A3285" s="2" t="str">
        <f>"MOCOCA"</f>
        <v>MOCOCA</v>
      </c>
      <c r="B3285" s="3" t="str">
        <f>"SP"</f>
        <v>SP</v>
      </c>
      <c r="C3285" s="3" t="str">
        <f t="shared" si="127"/>
        <v>BRASIL</v>
      </c>
      <c r="D3285" s="4" t="str">
        <f>"SP343"</f>
        <v>SP343</v>
      </c>
    </row>
    <row r="3286" spans="1:4" x14ac:dyDescent="0.3">
      <c r="A3286" s="2" t="str">
        <f>"MODELO"</f>
        <v>MODELO</v>
      </c>
      <c r="B3286" s="3" t="str">
        <f>"SC"</f>
        <v>SC</v>
      </c>
      <c r="C3286" s="3" t="str">
        <f t="shared" si="127"/>
        <v>BRASIL</v>
      </c>
      <c r="D3286" s="4" t="str">
        <f>"SC163"</f>
        <v>SC163</v>
      </c>
    </row>
    <row r="3287" spans="1:4" x14ac:dyDescent="0.3">
      <c r="A3287" s="2" t="str">
        <f>"MOEDA"</f>
        <v>MOEDA</v>
      </c>
      <c r="B3287" s="3" t="str">
        <f>"MG"</f>
        <v>MG</v>
      </c>
      <c r="C3287" s="3" t="str">
        <f t="shared" si="127"/>
        <v>BRASIL</v>
      </c>
      <c r="D3287" s="4" t="str">
        <f>"MG489"</f>
        <v>MG489</v>
      </c>
    </row>
    <row r="3288" spans="1:4" x14ac:dyDescent="0.3">
      <c r="A3288" s="2" t="str">
        <f>"MOEMA"</f>
        <v>MOEMA</v>
      </c>
      <c r="B3288" s="3" t="str">
        <f>"MG"</f>
        <v>MG</v>
      </c>
      <c r="C3288" s="3" t="str">
        <f t="shared" si="127"/>
        <v>BRASIL</v>
      </c>
      <c r="D3288" s="4" t="str">
        <f>"MG490"</f>
        <v>MG490</v>
      </c>
    </row>
    <row r="3289" spans="1:4" x14ac:dyDescent="0.3">
      <c r="A3289" s="2" t="str">
        <f>"MOERS"</f>
        <v>MOERS</v>
      </c>
      <c r="B3289" s="3" t="str">
        <f>"EX"</f>
        <v>EX</v>
      </c>
      <c r="C3289" s="3" t="str">
        <f>"ALEMANHA"</f>
        <v>ALEMANHA</v>
      </c>
      <c r="D3289" s="4" t="str">
        <f>"MOERS"</f>
        <v>MOERS</v>
      </c>
    </row>
    <row r="3290" spans="1:4" x14ac:dyDescent="0.3">
      <c r="A3290" s="2" t="str">
        <f>"MOGEIRO"</f>
        <v>MOGEIRO</v>
      </c>
      <c r="B3290" s="3" t="str">
        <f>"PB"</f>
        <v>PB</v>
      </c>
      <c r="C3290" s="3" t="str">
        <f t="shared" ref="C3290:C3296" si="128">"BRASIL"</f>
        <v>BRASIL</v>
      </c>
      <c r="D3290" s="4" t="str">
        <f>"PB121"</f>
        <v>PB121</v>
      </c>
    </row>
    <row r="3291" spans="1:4" x14ac:dyDescent="0.3">
      <c r="A3291" s="2" t="str">
        <f>"MOGI DAS CRUZES"</f>
        <v>MOGI DAS CRUZES</v>
      </c>
      <c r="B3291" s="3" t="str">
        <f>"SP"</f>
        <v>SP</v>
      </c>
      <c r="C3291" s="3" t="str">
        <f t="shared" si="128"/>
        <v>BRASIL</v>
      </c>
      <c r="D3291" s="4" t="str">
        <f>"MCR"</f>
        <v>MCR</v>
      </c>
    </row>
    <row r="3292" spans="1:4" x14ac:dyDescent="0.3">
      <c r="A3292" s="2" t="str">
        <f>"MOGI GUACU"</f>
        <v>MOGI GUACU</v>
      </c>
      <c r="B3292" s="3" t="str">
        <f>"SP"</f>
        <v>SP</v>
      </c>
      <c r="C3292" s="3" t="str">
        <f t="shared" si="128"/>
        <v>BRASIL</v>
      </c>
      <c r="D3292" s="4" t="str">
        <f>"SP345"</f>
        <v>SP345</v>
      </c>
    </row>
    <row r="3293" spans="1:4" x14ac:dyDescent="0.3">
      <c r="A3293" s="2" t="str">
        <f>"MOIPORA"</f>
        <v>MOIPORA</v>
      </c>
      <c r="B3293" s="3" t="str">
        <f>"GO"</f>
        <v>GO</v>
      </c>
      <c r="C3293" s="3" t="str">
        <f t="shared" si="128"/>
        <v>BRASIL</v>
      </c>
      <c r="D3293" s="4" t="str">
        <f>"GO145"</f>
        <v>GO145</v>
      </c>
    </row>
    <row r="3294" spans="1:4" x14ac:dyDescent="0.3">
      <c r="A3294" s="2" t="str">
        <f>"MOITA BONITA"</f>
        <v>MOITA BONITA</v>
      </c>
      <c r="B3294" s="3" t="str">
        <f>"SE"</f>
        <v>SE</v>
      </c>
      <c r="C3294" s="3" t="str">
        <f t="shared" si="128"/>
        <v>BRASIL</v>
      </c>
      <c r="D3294" s="4" t="str">
        <f>"SE039"</f>
        <v>SE039</v>
      </c>
    </row>
    <row r="3295" spans="1:4" x14ac:dyDescent="0.3">
      <c r="A3295" s="2" t="str">
        <f>"MOJI MIRIM"</f>
        <v>MOJI MIRIM</v>
      </c>
      <c r="B3295" s="3" t="str">
        <f>"SP"</f>
        <v>SP</v>
      </c>
      <c r="C3295" s="3" t="str">
        <f t="shared" si="128"/>
        <v>BRASIL</v>
      </c>
      <c r="D3295" s="4" t="str">
        <f>"SP346"</f>
        <v>SP346</v>
      </c>
    </row>
    <row r="3296" spans="1:4" x14ac:dyDescent="0.3">
      <c r="A3296" s="2" t="str">
        <f>"MOJU"</f>
        <v>MOJU</v>
      </c>
      <c r="B3296" s="3" t="str">
        <f>"PA"</f>
        <v>PA</v>
      </c>
      <c r="C3296" s="3" t="str">
        <f t="shared" si="128"/>
        <v>BRASIL</v>
      </c>
      <c r="D3296" s="4" t="str">
        <f>"PA073"</f>
        <v>PA073</v>
      </c>
    </row>
    <row r="3297" spans="1:4" x14ac:dyDescent="0.3">
      <c r="A3297" s="2" t="str">
        <f>"MOLLIS"</f>
        <v>MOLLIS</v>
      </c>
      <c r="B3297" s="3" t="str">
        <f>"SWI"</f>
        <v>SWI</v>
      </c>
      <c r="C3297" s="3" t="str">
        <f>"SUÍÇA"</f>
        <v>SUÍÇA</v>
      </c>
      <c r="D3297" s="4" t="str">
        <f>"MOLLI"</f>
        <v>MOLLI</v>
      </c>
    </row>
    <row r="3298" spans="1:4" x14ac:dyDescent="0.3">
      <c r="A3298" s="2" t="str">
        <f>"MOMBACA"</f>
        <v>MOMBACA</v>
      </c>
      <c r="B3298" s="3" t="str">
        <f>"CE"</f>
        <v>CE</v>
      </c>
      <c r="C3298" s="3" t="str">
        <f>"BRASIL"</f>
        <v>BRASIL</v>
      </c>
      <c r="D3298" s="4" t="str">
        <f>"CE115"</f>
        <v>CE115</v>
      </c>
    </row>
    <row r="3299" spans="1:4" x14ac:dyDescent="0.3">
      <c r="A3299" s="2" t="str">
        <f>"MOMBUCA"</f>
        <v>MOMBUCA</v>
      </c>
      <c r="B3299" s="3" t="str">
        <f>"SP"</f>
        <v>SP</v>
      </c>
      <c r="C3299" s="3" t="str">
        <f>"BRASIL"</f>
        <v>BRASIL</v>
      </c>
      <c r="D3299" s="4" t="str">
        <f>"SP347"</f>
        <v>SP347</v>
      </c>
    </row>
    <row r="3300" spans="1:4" x14ac:dyDescent="0.3">
      <c r="A3300" s="2" t="str">
        <f>"MONCAO"</f>
        <v>MONCAO</v>
      </c>
      <c r="B3300" s="3" t="str">
        <f>"MA"</f>
        <v>MA</v>
      </c>
      <c r="C3300" s="3" t="str">
        <f>"BRASIL"</f>
        <v>BRASIL</v>
      </c>
      <c r="D3300" s="4" t="str">
        <f>"MA121"</f>
        <v>MA121</v>
      </c>
    </row>
    <row r="3301" spans="1:4" x14ac:dyDescent="0.3">
      <c r="A3301" s="2" t="str">
        <f>"MONCHENGLADBACH"</f>
        <v>MONCHENGLADBACH</v>
      </c>
      <c r="B3301" s="3" t="str">
        <f>"EX"</f>
        <v>EX</v>
      </c>
      <c r="C3301" s="3" t="str">
        <f>"ALEMANHA"</f>
        <v>ALEMANHA</v>
      </c>
      <c r="D3301" s="4" t="str">
        <f>"MOCHE"</f>
        <v>MOCHE</v>
      </c>
    </row>
    <row r="3302" spans="1:4" x14ac:dyDescent="0.3">
      <c r="A3302" s="2" t="str">
        <f>"MONCÕES"</f>
        <v>MONCÕES</v>
      </c>
      <c r="B3302" s="3" t="str">
        <f>"SP"</f>
        <v>SP</v>
      </c>
      <c r="C3302" s="3" t="str">
        <f>"BRASIL"</f>
        <v>BRASIL</v>
      </c>
      <c r="D3302" s="4" t="str">
        <f>"SP348"</f>
        <v>SP348</v>
      </c>
    </row>
    <row r="3303" spans="1:4" x14ac:dyDescent="0.3">
      <c r="A3303" s="2" t="str">
        <f>"MONCURE"</f>
        <v>MONCURE</v>
      </c>
      <c r="B3303" s="3" t="str">
        <f>"ex"</f>
        <v>ex</v>
      </c>
      <c r="C3303" s="3" t="str">
        <f>"ESTADOS UNIDOS"</f>
        <v>ESTADOS UNIDOS</v>
      </c>
      <c r="D3303" s="4" t="str">
        <f>"MON"</f>
        <v>MON</v>
      </c>
    </row>
    <row r="3304" spans="1:4" x14ac:dyDescent="0.3">
      <c r="A3304" s="2" t="str">
        <f>"MONCURE"</f>
        <v>MONCURE</v>
      </c>
      <c r="B3304" s="3" t="str">
        <f>"NC"</f>
        <v>NC</v>
      </c>
      <c r="C3304" s="3" t="str">
        <f>"ESTADOS UNIDOS"</f>
        <v>ESTADOS UNIDOS</v>
      </c>
      <c r="D3304" s="4" t="str">
        <f>"MONC"</f>
        <v>MONC</v>
      </c>
    </row>
    <row r="3305" spans="1:4" x14ac:dyDescent="0.3">
      <c r="A3305" s="2" t="str">
        <f>"MONDAI"</f>
        <v>MONDAI</v>
      </c>
      <c r="B3305" s="3" t="str">
        <f>"SC"</f>
        <v>SC</v>
      </c>
      <c r="C3305" s="3" t="str">
        <f t="shared" ref="C3305:C3352" si="129">"BRASIL"</f>
        <v>BRASIL</v>
      </c>
      <c r="D3305" s="4" t="str">
        <f>"SC164"</f>
        <v>SC164</v>
      </c>
    </row>
    <row r="3306" spans="1:4" x14ac:dyDescent="0.3">
      <c r="A3306" s="2" t="str">
        <f>"MONGAGUA"</f>
        <v>MONGAGUA</v>
      </c>
      <c r="B3306" s="3" t="str">
        <f>"SP"</f>
        <v>SP</v>
      </c>
      <c r="C3306" s="3" t="str">
        <f t="shared" si="129"/>
        <v>BRASIL</v>
      </c>
      <c r="D3306" s="4" t="str">
        <f>"SP349"</f>
        <v>SP349</v>
      </c>
    </row>
    <row r="3307" spans="1:4" x14ac:dyDescent="0.3">
      <c r="A3307" s="2" t="str">
        <f>"MONJOLOS"</f>
        <v>MONJOLOS</v>
      </c>
      <c r="B3307" s="3" t="str">
        <f>"MG"</f>
        <v>MG</v>
      </c>
      <c r="C3307" s="3" t="str">
        <f t="shared" si="129"/>
        <v>BRASIL</v>
      </c>
      <c r="D3307" s="4" t="str">
        <f>"MG491"</f>
        <v>MG491</v>
      </c>
    </row>
    <row r="3308" spans="1:4" x14ac:dyDescent="0.3">
      <c r="A3308" s="2" t="str">
        <f>"MONSENHOR GIL"</f>
        <v>MONSENHOR GIL</v>
      </c>
      <c r="B3308" s="3" t="str">
        <f>"PI"</f>
        <v>PI</v>
      </c>
      <c r="C3308" s="3" t="str">
        <f t="shared" si="129"/>
        <v>BRASIL</v>
      </c>
      <c r="D3308" s="4" t="str">
        <f>"PI130"</f>
        <v>PI130</v>
      </c>
    </row>
    <row r="3309" spans="1:4" x14ac:dyDescent="0.3">
      <c r="A3309" s="2" t="str">
        <f>"MONSENHOR HIPOLITO"</f>
        <v>MONSENHOR HIPOLITO</v>
      </c>
      <c r="B3309" s="3" t="str">
        <f>"PI"</f>
        <v>PI</v>
      </c>
      <c r="C3309" s="3" t="str">
        <f t="shared" si="129"/>
        <v>BRASIL</v>
      </c>
      <c r="D3309" s="4" t="str">
        <f>"PI131"</f>
        <v>PI131</v>
      </c>
    </row>
    <row r="3310" spans="1:4" x14ac:dyDescent="0.3">
      <c r="A3310" s="2" t="str">
        <f>"MONSENHOR PAULO"</f>
        <v>MONSENHOR PAULO</v>
      </c>
      <c r="B3310" s="3" t="str">
        <f>"MG"</f>
        <v>MG</v>
      </c>
      <c r="C3310" s="3" t="str">
        <f t="shared" si="129"/>
        <v>BRASIL</v>
      </c>
      <c r="D3310" s="4" t="str">
        <f>"MG492"</f>
        <v>MG492</v>
      </c>
    </row>
    <row r="3311" spans="1:4" x14ac:dyDescent="0.3">
      <c r="A3311" s="2" t="str">
        <f>"MONSENHOR TABOSA"</f>
        <v>MONSENHOR TABOSA</v>
      </c>
      <c r="B3311" s="3" t="str">
        <f>"CE"</f>
        <v>CE</v>
      </c>
      <c r="C3311" s="3" t="str">
        <f t="shared" si="129"/>
        <v>BRASIL</v>
      </c>
      <c r="D3311" s="4" t="str">
        <f>"CE116"</f>
        <v>CE116</v>
      </c>
    </row>
    <row r="3312" spans="1:4" x14ac:dyDescent="0.3">
      <c r="A3312" s="2" t="str">
        <f>"MONTADAS"</f>
        <v>MONTADAS</v>
      </c>
      <c r="B3312" s="3" t="str">
        <f>"PB"</f>
        <v>PB</v>
      </c>
      <c r="C3312" s="3" t="str">
        <f t="shared" si="129"/>
        <v>BRASIL</v>
      </c>
      <c r="D3312" s="4" t="str">
        <f>"PB122"</f>
        <v>PB122</v>
      </c>
    </row>
    <row r="3313" spans="1:4" x14ac:dyDescent="0.3">
      <c r="A3313" s="2" t="str">
        <f>"MONTALVANIA"</f>
        <v>MONTALVANIA</v>
      </c>
      <c r="B3313" s="3" t="str">
        <f>"MG"</f>
        <v>MG</v>
      </c>
      <c r="C3313" s="3" t="str">
        <f t="shared" si="129"/>
        <v>BRASIL</v>
      </c>
      <c r="D3313" s="4" t="str">
        <f>"MG493"</f>
        <v>MG493</v>
      </c>
    </row>
    <row r="3314" spans="1:4" x14ac:dyDescent="0.3">
      <c r="A3314" s="2" t="str">
        <f>"MONTANHA"</f>
        <v>MONTANHA</v>
      </c>
      <c r="B3314" s="3" t="str">
        <f>"ES"</f>
        <v>ES</v>
      </c>
      <c r="C3314" s="3" t="str">
        <f t="shared" si="129"/>
        <v>BRASIL</v>
      </c>
      <c r="D3314" s="4" t="str">
        <f>"ES049"</f>
        <v>ES049</v>
      </c>
    </row>
    <row r="3315" spans="1:4" x14ac:dyDescent="0.3">
      <c r="A3315" s="2" t="str">
        <f>"MONTANHAS"</f>
        <v>MONTANHAS</v>
      </c>
      <c r="B3315" s="3" t="str">
        <f>"RN"</f>
        <v>RN</v>
      </c>
      <c r="C3315" s="3" t="str">
        <f t="shared" si="129"/>
        <v>BRASIL</v>
      </c>
      <c r="D3315" s="4" t="str">
        <f>"RN085"</f>
        <v>RN085</v>
      </c>
    </row>
    <row r="3316" spans="1:4" x14ac:dyDescent="0.3">
      <c r="A3316" s="2" t="str">
        <f>"MONTAURI"</f>
        <v>MONTAURI</v>
      </c>
      <c r="B3316" s="3" t="str">
        <f>"RS"</f>
        <v>RS</v>
      </c>
      <c r="C3316" s="3" t="str">
        <f t="shared" si="129"/>
        <v>BRASIL</v>
      </c>
      <c r="D3316" s="4" t="str">
        <f>"RS256"</f>
        <v>RS256</v>
      </c>
    </row>
    <row r="3317" spans="1:4" x14ac:dyDescent="0.3">
      <c r="A3317" s="2" t="str">
        <f>"MONTE ALEGRE"</f>
        <v>MONTE ALEGRE</v>
      </c>
      <c r="B3317" s="3" t="str">
        <f>"PA"</f>
        <v>PA</v>
      </c>
      <c r="C3317" s="3" t="str">
        <f t="shared" si="129"/>
        <v>BRASIL</v>
      </c>
      <c r="D3317" s="4" t="str">
        <f>"PA074"</f>
        <v>PA074</v>
      </c>
    </row>
    <row r="3318" spans="1:4" x14ac:dyDescent="0.3">
      <c r="A3318" s="2" t="str">
        <f>"MONTE ALEGRE"</f>
        <v>MONTE ALEGRE</v>
      </c>
      <c r="B3318" s="3" t="str">
        <f>"RN"</f>
        <v>RN</v>
      </c>
      <c r="C3318" s="3" t="str">
        <f t="shared" si="129"/>
        <v>BRASIL</v>
      </c>
      <c r="D3318" s="4" t="str">
        <f>"RN086"</f>
        <v>RN086</v>
      </c>
    </row>
    <row r="3319" spans="1:4" x14ac:dyDescent="0.3">
      <c r="A3319" s="2" t="str">
        <f>"MONTE ALEGRE DE GOIAS"</f>
        <v>MONTE ALEGRE DE GOIAS</v>
      </c>
      <c r="B3319" s="3" t="str">
        <f>"GO"</f>
        <v>GO</v>
      </c>
      <c r="C3319" s="3" t="str">
        <f t="shared" si="129"/>
        <v>BRASIL</v>
      </c>
      <c r="D3319" s="4" t="str">
        <f>"GO146"</f>
        <v>GO146</v>
      </c>
    </row>
    <row r="3320" spans="1:4" x14ac:dyDescent="0.3">
      <c r="A3320" s="2" t="str">
        <f>"MONTE ALEGRE DE MINAS"</f>
        <v>MONTE ALEGRE DE MINAS</v>
      </c>
      <c r="B3320" s="3" t="str">
        <f>"MG"</f>
        <v>MG</v>
      </c>
      <c r="C3320" s="3" t="str">
        <f t="shared" si="129"/>
        <v>BRASIL</v>
      </c>
      <c r="D3320" s="4" t="str">
        <f>"MG494"</f>
        <v>MG494</v>
      </c>
    </row>
    <row r="3321" spans="1:4" x14ac:dyDescent="0.3">
      <c r="A3321" s="2" t="str">
        <f>"MONTE ALEGRE DE SERGIPE"</f>
        <v>MONTE ALEGRE DE SERGIPE</v>
      </c>
      <c r="B3321" s="3" t="str">
        <f>"SE"</f>
        <v>SE</v>
      </c>
      <c r="C3321" s="3" t="str">
        <f t="shared" si="129"/>
        <v>BRASIL</v>
      </c>
      <c r="D3321" s="4" t="str">
        <f>"SE040"</f>
        <v>SE040</v>
      </c>
    </row>
    <row r="3322" spans="1:4" x14ac:dyDescent="0.3">
      <c r="A3322" s="2" t="str">
        <f>"MONTE ALEGRE DO PIAUI"</f>
        <v>MONTE ALEGRE DO PIAUI</v>
      </c>
      <c r="B3322" s="3" t="str">
        <f>"PI"</f>
        <v>PI</v>
      </c>
      <c r="C3322" s="3" t="str">
        <f t="shared" si="129"/>
        <v>BRASIL</v>
      </c>
      <c r="D3322" s="4" t="str">
        <f>"PI132"</f>
        <v>PI132</v>
      </c>
    </row>
    <row r="3323" spans="1:4" x14ac:dyDescent="0.3">
      <c r="A3323" s="2" t="str">
        <f>"MONTE ALEGRE DO SUL"</f>
        <v>MONTE ALEGRE DO SUL</v>
      </c>
      <c r="B3323" s="3" t="str">
        <f>"SP"</f>
        <v>SP</v>
      </c>
      <c r="C3323" s="3" t="str">
        <f t="shared" si="129"/>
        <v>BRASIL</v>
      </c>
      <c r="D3323" s="4" t="str">
        <f>"SP350"</f>
        <v>SP350</v>
      </c>
    </row>
    <row r="3324" spans="1:4" x14ac:dyDescent="0.3">
      <c r="A3324" s="2" t="str">
        <f>"MONTE ALEGRE DOS CAMPOS"</f>
        <v>MONTE ALEGRE DOS CAMPOS</v>
      </c>
      <c r="B3324" s="3" t="str">
        <f>"RS"</f>
        <v>RS</v>
      </c>
      <c r="C3324" s="3" t="str">
        <f t="shared" si="129"/>
        <v>BRASIL</v>
      </c>
      <c r="D3324" s="4" t="str">
        <f>"RS257"</f>
        <v>RS257</v>
      </c>
    </row>
    <row r="3325" spans="1:4" x14ac:dyDescent="0.3">
      <c r="A3325" s="2" t="str">
        <f>"MONTE ALTO"</f>
        <v>MONTE ALTO</v>
      </c>
      <c r="B3325" s="3" t="str">
        <f>"SP"</f>
        <v>SP</v>
      </c>
      <c r="C3325" s="3" t="str">
        <f t="shared" si="129"/>
        <v>BRASIL</v>
      </c>
      <c r="D3325" s="4" t="str">
        <f>"SP351"</f>
        <v>SP351</v>
      </c>
    </row>
    <row r="3326" spans="1:4" x14ac:dyDescent="0.3">
      <c r="A3326" s="2" t="str">
        <f>"MONTE APRAZIVEL"</f>
        <v>MONTE APRAZIVEL</v>
      </c>
      <c r="B3326" s="3" t="str">
        <f>"SP"</f>
        <v>SP</v>
      </c>
      <c r="C3326" s="3" t="str">
        <f t="shared" si="129"/>
        <v>BRASIL</v>
      </c>
      <c r="D3326" s="4" t="str">
        <f>"SP352"</f>
        <v>SP352</v>
      </c>
    </row>
    <row r="3327" spans="1:4" x14ac:dyDescent="0.3">
      <c r="A3327" s="2" t="str">
        <f>"MONTE AZUL"</f>
        <v>MONTE AZUL</v>
      </c>
      <c r="B3327" s="3" t="str">
        <f>"MG"</f>
        <v>MG</v>
      </c>
      <c r="C3327" s="3" t="str">
        <f t="shared" si="129"/>
        <v>BRASIL</v>
      </c>
      <c r="D3327" s="4" t="str">
        <f>"MG495"</f>
        <v>MG495</v>
      </c>
    </row>
    <row r="3328" spans="1:4" x14ac:dyDescent="0.3">
      <c r="A3328" s="2" t="str">
        <f>"MONTE AZUL PAULISTA"</f>
        <v>MONTE AZUL PAULISTA</v>
      </c>
      <c r="B3328" s="3" t="str">
        <f>"SP"</f>
        <v>SP</v>
      </c>
      <c r="C3328" s="3" t="str">
        <f t="shared" si="129"/>
        <v>BRASIL</v>
      </c>
      <c r="D3328" s="4" t="str">
        <f>"SP353"</f>
        <v>SP353</v>
      </c>
    </row>
    <row r="3329" spans="1:4" x14ac:dyDescent="0.3">
      <c r="A3329" s="2" t="str">
        <f>"MONTE BELO"</f>
        <v>MONTE BELO</v>
      </c>
      <c r="B3329" s="3" t="str">
        <f>"MG"</f>
        <v>MG</v>
      </c>
      <c r="C3329" s="3" t="str">
        <f t="shared" si="129"/>
        <v>BRASIL</v>
      </c>
      <c r="D3329" s="4" t="str">
        <f>"MG496"</f>
        <v>MG496</v>
      </c>
    </row>
    <row r="3330" spans="1:4" x14ac:dyDescent="0.3">
      <c r="A3330" s="2" t="str">
        <f>"MONTE BELO DO SUL"</f>
        <v>MONTE BELO DO SUL</v>
      </c>
      <c r="B3330" s="3" t="str">
        <f>"RS"</f>
        <v>RS</v>
      </c>
      <c r="C3330" s="3" t="str">
        <f t="shared" si="129"/>
        <v>BRASIL</v>
      </c>
      <c r="D3330" s="4" t="str">
        <f>"RS258"</f>
        <v>RS258</v>
      </c>
    </row>
    <row r="3331" spans="1:4" x14ac:dyDescent="0.3">
      <c r="A3331" s="2" t="str">
        <f>"MONTE CARLO"</f>
        <v>MONTE CARLO</v>
      </c>
      <c r="B3331" s="3" t="str">
        <f>"SC"</f>
        <v>SC</v>
      </c>
      <c r="C3331" s="3" t="str">
        <f t="shared" si="129"/>
        <v>BRASIL</v>
      </c>
      <c r="D3331" s="4" t="str">
        <f>"SC165"</f>
        <v>SC165</v>
      </c>
    </row>
    <row r="3332" spans="1:4" x14ac:dyDescent="0.3">
      <c r="A3332" s="2" t="str">
        <f>"MONTE CARMELO"</f>
        <v>MONTE CARMELO</v>
      </c>
      <c r="B3332" s="3" t="str">
        <f>"MG"</f>
        <v>MG</v>
      </c>
      <c r="C3332" s="3" t="str">
        <f t="shared" si="129"/>
        <v>BRASIL</v>
      </c>
      <c r="D3332" s="4" t="str">
        <f>"MG497"</f>
        <v>MG497</v>
      </c>
    </row>
    <row r="3333" spans="1:4" x14ac:dyDescent="0.3">
      <c r="A3333" s="2" t="str">
        <f>"MONTE CASTELO"</f>
        <v>MONTE CASTELO</v>
      </c>
      <c r="B3333" s="3" t="str">
        <f>"SC"</f>
        <v>SC</v>
      </c>
      <c r="C3333" s="3" t="str">
        <f t="shared" si="129"/>
        <v>BRASIL</v>
      </c>
      <c r="D3333" s="4" t="str">
        <f>"SC166"</f>
        <v>SC166</v>
      </c>
    </row>
    <row r="3334" spans="1:4" x14ac:dyDescent="0.3">
      <c r="A3334" s="2" t="str">
        <f>"MONTE CASTELO"</f>
        <v>MONTE CASTELO</v>
      </c>
      <c r="B3334" s="3" t="str">
        <f>"SP"</f>
        <v>SP</v>
      </c>
      <c r="C3334" s="3" t="str">
        <f t="shared" si="129"/>
        <v>BRASIL</v>
      </c>
      <c r="D3334" s="4" t="str">
        <f>"SP354"</f>
        <v>SP354</v>
      </c>
    </row>
    <row r="3335" spans="1:4" x14ac:dyDescent="0.3">
      <c r="A3335" s="2" t="str">
        <f>"MONTE DAS GAMELEIRAS"</f>
        <v>MONTE DAS GAMELEIRAS</v>
      </c>
      <c r="B3335" s="3" t="str">
        <f>"RN"</f>
        <v>RN</v>
      </c>
      <c r="C3335" s="3" t="str">
        <f t="shared" si="129"/>
        <v>BRASIL</v>
      </c>
      <c r="D3335" s="4" t="str">
        <f>"RN087"</f>
        <v>RN087</v>
      </c>
    </row>
    <row r="3336" spans="1:4" x14ac:dyDescent="0.3">
      <c r="A3336" s="2" t="str">
        <f>"MONTE DO CARMO"</f>
        <v>MONTE DO CARMO</v>
      </c>
      <c r="B3336" s="3" t="str">
        <f>"TO"</f>
        <v>TO</v>
      </c>
      <c r="C3336" s="3" t="str">
        <f t="shared" si="129"/>
        <v>BRASIL</v>
      </c>
      <c r="D3336" s="4" t="str">
        <f>"TO077"</f>
        <v>TO077</v>
      </c>
    </row>
    <row r="3337" spans="1:4" x14ac:dyDescent="0.3">
      <c r="A3337" s="2" t="str">
        <f>"MONTE FORMOSO"</f>
        <v>MONTE FORMOSO</v>
      </c>
      <c r="B3337" s="3" t="str">
        <f>"MG"</f>
        <v>MG</v>
      </c>
      <c r="C3337" s="3" t="str">
        <f t="shared" si="129"/>
        <v>BRASIL</v>
      </c>
      <c r="D3337" s="4" t="str">
        <f>"MG498"</f>
        <v>MG498</v>
      </c>
    </row>
    <row r="3338" spans="1:4" x14ac:dyDescent="0.3">
      <c r="A3338" s="2" t="str">
        <f>"MONTE HOREBE"</f>
        <v>MONTE HOREBE</v>
      </c>
      <c r="B3338" s="3" t="str">
        <f>"PB"</f>
        <v>PB</v>
      </c>
      <c r="C3338" s="3" t="str">
        <f t="shared" si="129"/>
        <v>BRASIL</v>
      </c>
      <c r="D3338" s="4" t="str">
        <f>"PB123"</f>
        <v>PB123</v>
      </c>
    </row>
    <row r="3339" spans="1:4" x14ac:dyDescent="0.3">
      <c r="A3339" s="2" t="str">
        <f>"MONTE MOR"</f>
        <v>MONTE MOR</v>
      </c>
      <c r="B3339" s="3" t="str">
        <f>"SP"</f>
        <v>SP</v>
      </c>
      <c r="C3339" s="3" t="str">
        <f t="shared" si="129"/>
        <v>BRASIL</v>
      </c>
      <c r="D3339" s="4" t="str">
        <f>"SP356"</f>
        <v>SP356</v>
      </c>
    </row>
    <row r="3340" spans="1:4" x14ac:dyDescent="0.3">
      <c r="A3340" s="2" t="str">
        <f>"MONTE NEGRO"</f>
        <v>MONTE NEGRO</v>
      </c>
      <c r="B3340" s="3" t="str">
        <f>"RO"</f>
        <v>RO</v>
      </c>
      <c r="C3340" s="3" t="str">
        <f t="shared" si="129"/>
        <v>BRASIL</v>
      </c>
      <c r="D3340" s="4" t="str">
        <f>"RO040"</f>
        <v>RO040</v>
      </c>
    </row>
    <row r="3341" spans="1:4" x14ac:dyDescent="0.3">
      <c r="A3341" s="2" t="str">
        <f>"MONTE SANTO"</f>
        <v>MONTE SANTO</v>
      </c>
      <c r="B3341" s="3" t="str">
        <f>"BA"</f>
        <v>BA</v>
      </c>
      <c r="C3341" s="3" t="str">
        <f t="shared" si="129"/>
        <v>BRASIL</v>
      </c>
      <c r="D3341" s="4" t="str">
        <f>"BA260"</f>
        <v>BA260</v>
      </c>
    </row>
    <row r="3342" spans="1:4" x14ac:dyDescent="0.3">
      <c r="A3342" s="2" t="str">
        <f>"MONTE SANTO DE MINAS"</f>
        <v>MONTE SANTO DE MINAS</v>
      </c>
      <c r="B3342" s="3" t="str">
        <f>"MG"</f>
        <v>MG</v>
      </c>
      <c r="C3342" s="3" t="str">
        <f t="shared" si="129"/>
        <v>BRASIL</v>
      </c>
      <c r="D3342" s="4" t="str">
        <f>"MG499"</f>
        <v>MG499</v>
      </c>
    </row>
    <row r="3343" spans="1:4" x14ac:dyDescent="0.3">
      <c r="A3343" s="2" t="str">
        <f>"MONTE SANTO DO TOCANTINS"</f>
        <v>MONTE SANTO DO TOCANTINS</v>
      </c>
      <c r="B3343" s="3" t="str">
        <f>"TO"</f>
        <v>TO</v>
      </c>
      <c r="C3343" s="3" t="str">
        <f t="shared" si="129"/>
        <v>BRASIL</v>
      </c>
      <c r="D3343" s="4" t="str">
        <f>"TO078"</f>
        <v>TO078</v>
      </c>
    </row>
    <row r="3344" spans="1:4" x14ac:dyDescent="0.3">
      <c r="A3344" s="2" t="str">
        <f>"MONTE SIAO"</f>
        <v>MONTE SIAO</v>
      </c>
      <c r="B3344" s="3" t="str">
        <f>"MG"</f>
        <v>MG</v>
      </c>
      <c r="C3344" s="3" t="str">
        <f t="shared" si="129"/>
        <v>BRASIL</v>
      </c>
      <c r="D3344" s="4" t="str">
        <f>"MG501"</f>
        <v>MG501</v>
      </c>
    </row>
    <row r="3345" spans="1:4" x14ac:dyDescent="0.3">
      <c r="A3345" s="2" t="str">
        <f>"MONTEIRO"</f>
        <v>MONTEIRO</v>
      </c>
      <c r="B3345" s="3" t="str">
        <f>"PB"</f>
        <v>PB</v>
      </c>
      <c r="C3345" s="3" t="str">
        <f t="shared" si="129"/>
        <v>BRASIL</v>
      </c>
      <c r="D3345" s="4" t="str">
        <f>"PB124"</f>
        <v>PB124</v>
      </c>
    </row>
    <row r="3346" spans="1:4" x14ac:dyDescent="0.3">
      <c r="A3346" s="2" t="str">
        <f>"MONTEIRO LOBATO"</f>
        <v>MONTEIRO LOBATO</v>
      </c>
      <c r="B3346" s="3" t="str">
        <f>"SP"</f>
        <v>SP</v>
      </c>
      <c r="C3346" s="3" t="str">
        <f t="shared" si="129"/>
        <v>BRASIL</v>
      </c>
      <c r="D3346" s="4" t="str">
        <f>"SP355"</f>
        <v>SP355</v>
      </c>
    </row>
    <row r="3347" spans="1:4" x14ac:dyDescent="0.3">
      <c r="A3347" s="2" t="str">
        <f>"MONTEIROPOLIS"</f>
        <v>MONTEIROPOLIS</v>
      </c>
      <c r="B3347" s="3" t="str">
        <f>"AL"</f>
        <v>AL</v>
      </c>
      <c r="C3347" s="3" t="str">
        <f t="shared" si="129"/>
        <v>BRASIL</v>
      </c>
      <c r="D3347" s="4" t="str">
        <f>"AL058"</f>
        <v>AL058</v>
      </c>
    </row>
    <row r="3348" spans="1:4" x14ac:dyDescent="0.3">
      <c r="A3348" s="2" t="str">
        <f>"MONTENEGRO"</f>
        <v>MONTENEGRO</v>
      </c>
      <c r="B3348" s="3" t="str">
        <f>"RS"</f>
        <v>RS</v>
      </c>
      <c r="C3348" s="3" t="str">
        <f t="shared" si="129"/>
        <v>BRASIL</v>
      </c>
      <c r="D3348" s="4" t="str">
        <f>"RS259"</f>
        <v>RS259</v>
      </c>
    </row>
    <row r="3349" spans="1:4" x14ac:dyDescent="0.3">
      <c r="A3349" s="2" t="str">
        <f>"MONTES ALTOS"</f>
        <v>MONTES ALTOS</v>
      </c>
      <c r="B3349" s="3" t="str">
        <f>"MA"</f>
        <v>MA</v>
      </c>
      <c r="C3349" s="3" t="str">
        <f t="shared" si="129"/>
        <v>BRASIL</v>
      </c>
      <c r="D3349" s="4" t="str">
        <f>"MA122"</f>
        <v>MA122</v>
      </c>
    </row>
    <row r="3350" spans="1:4" x14ac:dyDescent="0.3">
      <c r="A3350" s="2" t="str">
        <f>"MONTES CLAROS"</f>
        <v>MONTES CLAROS</v>
      </c>
      <c r="B3350" s="3" t="str">
        <f>"MG"</f>
        <v>MG</v>
      </c>
      <c r="C3350" s="3" t="str">
        <f t="shared" si="129"/>
        <v>BRASIL</v>
      </c>
      <c r="D3350" s="4" t="str">
        <f>"MG500"</f>
        <v>MG500</v>
      </c>
    </row>
    <row r="3351" spans="1:4" x14ac:dyDescent="0.3">
      <c r="A3351" s="2" t="str">
        <f>"MONTES CLAROS DE GOIAS"</f>
        <v>MONTES CLAROS DE GOIAS</v>
      </c>
      <c r="B3351" s="3" t="str">
        <f>"GO"</f>
        <v>GO</v>
      </c>
      <c r="C3351" s="3" t="str">
        <f t="shared" si="129"/>
        <v>BRASIL</v>
      </c>
      <c r="D3351" s="4" t="str">
        <f>"GO147"</f>
        <v>GO147</v>
      </c>
    </row>
    <row r="3352" spans="1:4" x14ac:dyDescent="0.3">
      <c r="A3352" s="2" t="str">
        <f>"MONTEZUMA"</f>
        <v>MONTEZUMA</v>
      </c>
      <c r="B3352" s="3" t="str">
        <f>"MG"</f>
        <v>MG</v>
      </c>
      <c r="C3352" s="3" t="str">
        <f t="shared" si="129"/>
        <v>BRASIL</v>
      </c>
      <c r="D3352" s="4" t="str">
        <f>"MG502"</f>
        <v>MG502</v>
      </c>
    </row>
    <row r="3353" spans="1:4" x14ac:dyDescent="0.3">
      <c r="A3353" s="2" t="str">
        <f>"MONTIVIDEO"</f>
        <v>MONTIVIDEO</v>
      </c>
      <c r="B3353" s="3" t="str">
        <f>"URG"</f>
        <v>URG</v>
      </c>
      <c r="C3353" s="3" t="str">
        <f>"URUGUAI"</f>
        <v>URUGUAI</v>
      </c>
      <c r="D3353" s="4" t="str">
        <f>"MTV"</f>
        <v>MTV</v>
      </c>
    </row>
    <row r="3354" spans="1:4" x14ac:dyDescent="0.3">
      <c r="A3354" s="2" t="str">
        <f>"MONTIVIDIU"</f>
        <v>MONTIVIDIU</v>
      </c>
      <c r="B3354" s="3" t="str">
        <f>"GO"</f>
        <v>GO</v>
      </c>
      <c r="C3354" s="3" t="str">
        <f t="shared" ref="C3354:C3361" si="130">"BRASIL"</f>
        <v>BRASIL</v>
      </c>
      <c r="D3354" s="4" t="str">
        <f>"GO148"</f>
        <v>GO148</v>
      </c>
    </row>
    <row r="3355" spans="1:4" x14ac:dyDescent="0.3">
      <c r="A3355" s="2" t="str">
        <f>"MONTIVIDIU DO NORTE"</f>
        <v>MONTIVIDIU DO NORTE</v>
      </c>
      <c r="B3355" s="3" t="str">
        <f>"GO"</f>
        <v>GO</v>
      </c>
      <c r="C3355" s="3" t="str">
        <f t="shared" si="130"/>
        <v>BRASIL</v>
      </c>
      <c r="D3355" s="4" t="str">
        <f>"GO149"</f>
        <v>GO149</v>
      </c>
    </row>
    <row r="3356" spans="1:4" x14ac:dyDescent="0.3">
      <c r="A3356" s="2" t="str">
        <f>"MORADA NOVA"</f>
        <v>MORADA NOVA</v>
      </c>
      <c r="B3356" s="3" t="str">
        <f>"CE"</f>
        <v>CE</v>
      </c>
      <c r="C3356" s="3" t="str">
        <f t="shared" si="130"/>
        <v>BRASIL</v>
      </c>
      <c r="D3356" s="4" t="str">
        <f>"CE117"</f>
        <v>CE117</v>
      </c>
    </row>
    <row r="3357" spans="1:4" x14ac:dyDescent="0.3">
      <c r="A3357" s="2" t="str">
        <f>"MORADA NOVA DE MINAS"</f>
        <v>MORADA NOVA DE MINAS</v>
      </c>
      <c r="B3357" s="3" t="str">
        <f>"MG"</f>
        <v>MG</v>
      </c>
      <c r="C3357" s="3" t="str">
        <f t="shared" si="130"/>
        <v>BRASIL</v>
      </c>
      <c r="D3357" s="4" t="str">
        <f>"MG503"</f>
        <v>MG503</v>
      </c>
    </row>
    <row r="3358" spans="1:4" x14ac:dyDescent="0.3">
      <c r="A3358" s="2" t="str">
        <f>"MORAUJO"</f>
        <v>MORAUJO</v>
      </c>
      <c r="B3358" s="3" t="str">
        <f>"CE"</f>
        <v>CE</v>
      </c>
      <c r="C3358" s="3" t="str">
        <f t="shared" si="130"/>
        <v>BRASIL</v>
      </c>
      <c r="D3358" s="4" t="str">
        <f>"CE118"</f>
        <v>CE118</v>
      </c>
    </row>
    <row r="3359" spans="1:4" x14ac:dyDescent="0.3">
      <c r="A3359" s="2" t="str">
        <f>"MOREILANDIA"</f>
        <v>MOREILANDIA</v>
      </c>
      <c r="B3359" s="3" t="str">
        <f>"PE"</f>
        <v>PE</v>
      </c>
      <c r="C3359" s="3" t="str">
        <f t="shared" si="130"/>
        <v>BRASIL</v>
      </c>
      <c r="D3359" s="4" t="str">
        <f>"PE162"</f>
        <v>PE162</v>
      </c>
    </row>
    <row r="3360" spans="1:4" x14ac:dyDescent="0.3">
      <c r="A3360" s="2" t="str">
        <f>"MOREIRA SALES"</f>
        <v>MOREIRA SALES</v>
      </c>
      <c r="B3360" s="3" t="str">
        <f>"PR"</f>
        <v>PR</v>
      </c>
      <c r="C3360" s="3" t="str">
        <f t="shared" si="130"/>
        <v>BRASIL</v>
      </c>
      <c r="D3360" s="4" t="str">
        <f>"PR224"</f>
        <v>PR224</v>
      </c>
    </row>
    <row r="3361" spans="1:4" x14ac:dyDescent="0.3">
      <c r="A3361" s="2" t="str">
        <f>"MORENO"</f>
        <v>MORENO</v>
      </c>
      <c r="B3361" s="3" t="str">
        <f>"PE"</f>
        <v>PE</v>
      </c>
      <c r="C3361" s="3" t="str">
        <f t="shared" si="130"/>
        <v>BRASIL</v>
      </c>
      <c r="D3361" s="4" t="str">
        <f>"PE109"</f>
        <v>PE109</v>
      </c>
    </row>
    <row r="3362" spans="1:4" x14ac:dyDescent="0.3">
      <c r="A3362" s="2" t="str">
        <f>"MORINGEN"</f>
        <v>MORINGEN</v>
      </c>
      <c r="B3362" s="3" t="str">
        <f>"EX"</f>
        <v>EX</v>
      </c>
      <c r="C3362" s="3" t="str">
        <f>"ALEMANHA"</f>
        <v>ALEMANHA</v>
      </c>
      <c r="D3362" s="4" t="str">
        <f>"MRG"</f>
        <v>MRG</v>
      </c>
    </row>
    <row r="3363" spans="1:4" x14ac:dyDescent="0.3">
      <c r="A3363" s="2" t="str">
        <f>"MORMACO"</f>
        <v>MORMACO</v>
      </c>
      <c r="B3363" s="3" t="str">
        <f>"RS"</f>
        <v>RS</v>
      </c>
      <c r="C3363" s="3" t="str">
        <f t="shared" ref="C3363:C3382" si="131">"BRASIL"</f>
        <v>BRASIL</v>
      </c>
      <c r="D3363" s="4" t="str">
        <f>"RS260"</f>
        <v>RS260</v>
      </c>
    </row>
    <row r="3364" spans="1:4" x14ac:dyDescent="0.3">
      <c r="A3364" s="2" t="str">
        <f>"MORPARA"</f>
        <v>MORPARA</v>
      </c>
      <c r="B3364" s="3" t="str">
        <f>"BA"</f>
        <v>BA</v>
      </c>
      <c r="C3364" s="3" t="str">
        <f t="shared" si="131"/>
        <v>BRASIL</v>
      </c>
      <c r="D3364" s="4" t="str">
        <f>"BA261"</f>
        <v>BA261</v>
      </c>
    </row>
    <row r="3365" spans="1:4" x14ac:dyDescent="0.3">
      <c r="A3365" s="2" t="str">
        <f>"MORRETES"</f>
        <v>MORRETES</v>
      </c>
      <c r="B3365" s="3" t="str">
        <f>"PR"</f>
        <v>PR</v>
      </c>
      <c r="C3365" s="3" t="str">
        <f t="shared" si="131"/>
        <v>BRASIL</v>
      </c>
      <c r="D3365" s="4" t="str">
        <f>"PR225"</f>
        <v>PR225</v>
      </c>
    </row>
    <row r="3366" spans="1:4" x14ac:dyDescent="0.3">
      <c r="A3366" s="2" t="str">
        <f>"MORRINHOS"</f>
        <v>MORRINHOS</v>
      </c>
      <c r="B3366" s="3" t="str">
        <f>"CE"</f>
        <v>CE</v>
      </c>
      <c r="C3366" s="3" t="str">
        <f t="shared" si="131"/>
        <v>BRASIL</v>
      </c>
      <c r="D3366" s="4" t="str">
        <f>"CE119"</f>
        <v>CE119</v>
      </c>
    </row>
    <row r="3367" spans="1:4" x14ac:dyDescent="0.3">
      <c r="A3367" s="2" t="str">
        <f>"MORRINHOS"</f>
        <v>MORRINHOS</v>
      </c>
      <c r="B3367" s="3" t="str">
        <f>"GO"</f>
        <v>GO</v>
      </c>
      <c r="C3367" s="3" t="str">
        <f t="shared" si="131"/>
        <v>BRASIL</v>
      </c>
      <c r="D3367" s="4" t="str">
        <f>"GO150"</f>
        <v>GO150</v>
      </c>
    </row>
    <row r="3368" spans="1:4" x14ac:dyDescent="0.3">
      <c r="A3368" s="2" t="str">
        <f>"MORRINHOS DO SUL"</f>
        <v>MORRINHOS DO SUL</v>
      </c>
      <c r="B3368" s="3" t="str">
        <f>"RS"</f>
        <v>RS</v>
      </c>
      <c r="C3368" s="3" t="str">
        <f t="shared" si="131"/>
        <v>BRASIL</v>
      </c>
      <c r="D3368" s="4" t="str">
        <f>"RS261"</f>
        <v>RS261</v>
      </c>
    </row>
    <row r="3369" spans="1:4" x14ac:dyDescent="0.3">
      <c r="A3369" s="2" t="str">
        <f>"MORRO AGUDO"</f>
        <v>MORRO AGUDO</v>
      </c>
      <c r="B3369" s="3" t="str">
        <f>"SP"</f>
        <v>SP</v>
      </c>
      <c r="C3369" s="3" t="str">
        <f t="shared" si="131"/>
        <v>BRASIL</v>
      </c>
      <c r="D3369" s="4" t="str">
        <f>"SP357"</f>
        <v>SP357</v>
      </c>
    </row>
    <row r="3370" spans="1:4" x14ac:dyDescent="0.3">
      <c r="A3370" s="2" t="str">
        <f>"MORRO AGUDO DE GOIAS"</f>
        <v>MORRO AGUDO DE GOIAS</v>
      </c>
      <c r="B3370" s="3" t="str">
        <f>"GO"</f>
        <v>GO</v>
      </c>
      <c r="C3370" s="3" t="str">
        <f t="shared" si="131"/>
        <v>BRASIL</v>
      </c>
      <c r="D3370" s="4" t="str">
        <f>"GO151"</f>
        <v>GO151</v>
      </c>
    </row>
    <row r="3371" spans="1:4" x14ac:dyDescent="0.3">
      <c r="A3371" s="2" t="str">
        <f>"MORRO CABECA NO TEMPO"</f>
        <v>MORRO CABECA NO TEMPO</v>
      </c>
      <c r="B3371" s="3" t="str">
        <f>"PI"</f>
        <v>PI</v>
      </c>
      <c r="C3371" s="3" t="str">
        <f t="shared" si="131"/>
        <v>BRASIL</v>
      </c>
      <c r="D3371" s="4" t="str">
        <f>"PI133"</f>
        <v>PI133</v>
      </c>
    </row>
    <row r="3372" spans="1:4" x14ac:dyDescent="0.3">
      <c r="A3372" s="2" t="str">
        <f>"MORRO DA FUMACA"</f>
        <v>MORRO DA FUMACA</v>
      </c>
      <c r="B3372" s="3" t="str">
        <f>"SC"</f>
        <v>SC</v>
      </c>
      <c r="C3372" s="3" t="str">
        <f t="shared" si="131"/>
        <v>BRASIL</v>
      </c>
      <c r="D3372" s="4" t="str">
        <f>"SC167"</f>
        <v>SC167</v>
      </c>
    </row>
    <row r="3373" spans="1:4" x14ac:dyDescent="0.3">
      <c r="A3373" s="2" t="str">
        <f>"MORRO DA GARCA"</f>
        <v>MORRO DA GARCA</v>
      </c>
      <c r="B3373" s="3" t="str">
        <f>"MG"</f>
        <v>MG</v>
      </c>
      <c r="C3373" s="3" t="str">
        <f t="shared" si="131"/>
        <v>BRASIL</v>
      </c>
      <c r="D3373" s="4" t="str">
        <f>"MG504"</f>
        <v>MG504</v>
      </c>
    </row>
    <row r="3374" spans="1:4" x14ac:dyDescent="0.3">
      <c r="A3374" s="2" t="str">
        <f>"MORRO DO CHAPEU"</f>
        <v>MORRO DO CHAPEU</v>
      </c>
      <c r="B3374" s="3" t="str">
        <f>"BA"</f>
        <v>BA</v>
      </c>
      <c r="C3374" s="3" t="str">
        <f t="shared" si="131"/>
        <v>BRASIL</v>
      </c>
      <c r="D3374" s="4" t="str">
        <f>"BA262"</f>
        <v>BA262</v>
      </c>
    </row>
    <row r="3375" spans="1:4" x14ac:dyDescent="0.3">
      <c r="A3375" s="2" t="str">
        <f>"MORRO DO CHAPEU DO PIAUI"</f>
        <v>MORRO DO CHAPEU DO PIAUI</v>
      </c>
      <c r="B3375" s="3" t="str">
        <f>"PI"</f>
        <v>PI</v>
      </c>
      <c r="C3375" s="3" t="str">
        <f t="shared" si="131"/>
        <v>BRASIL</v>
      </c>
      <c r="D3375" s="4" t="str">
        <f>"PI134"</f>
        <v>PI134</v>
      </c>
    </row>
    <row r="3376" spans="1:4" x14ac:dyDescent="0.3">
      <c r="A3376" s="2" t="str">
        <f>"MORRO DO PILAR"</f>
        <v>MORRO DO PILAR</v>
      </c>
      <c r="B3376" s="3" t="str">
        <f>"MG"</f>
        <v>MG</v>
      </c>
      <c r="C3376" s="3" t="str">
        <f t="shared" si="131"/>
        <v>BRASIL</v>
      </c>
      <c r="D3376" s="4" t="str">
        <f>"MG505"</f>
        <v>MG505</v>
      </c>
    </row>
    <row r="3377" spans="1:4" x14ac:dyDescent="0.3">
      <c r="A3377" s="2" t="str">
        <f>"MORRO GRANDE"</f>
        <v>MORRO GRANDE</v>
      </c>
      <c r="B3377" s="3" t="str">
        <f>"SC"</f>
        <v>SC</v>
      </c>
      <c r="C3377" s="3" t="str">
        <f t="shared" si="131"/>
        <v>BRASIL</v>
      </c>
      <c r="D3377" s="4" t="str">
        <f>"SC168"</f>
        <v>SC168</v>
      </c>
    </row>
    <row r="3378" spans="1:4" x14ac:dyDescent="0.3">
      <c r="A3378" s="2" t="str">
        <f>"MORRO REDONDO"</f>
        <v>MORRO REDONDO</v>
      </c>
      <c r="B3378" s="3" t="str">
        <f>"RS"</f>
        <v>RS</v>
      </c>
      <c r="C3378" s="3" t="str">
        <f t="shared" si="131"/>
        <v>BRASIL</v>
      </c>
      <c r="D3378" s="4" t="str">
        <f>"RS262"</f>
        <v>RS262</v>
      </c>
    </row>
    <row r="3379" spans="1:4" x14ac:dyDescent="0.3">
      <c r="A3379" s="2" t="str">
        <f>"MORRO REUTER"</f>
        <v>MORRO REUTER</v>
      </c>
      <c r="B3379" s="3" t="str">
        <f>"RS"</f>
        <v>RS</v>
      </c>
      <c r="C3379" s="3" t="str">
        <f t="shared" si="131"/>
        <v>BRASIL</v>
      </c>
      <c r="D3379" s="4" t="str">
        <f>"RS263"</f>
        <v>RS263</v>
      </c>
    </row>
    <row r="3380" spans="1:4" x14ac:dyDescent="0.3">
      <c r="A3380" s="2" t="str">
        <f>"MORROS"</f>
        <v>MORROS</v>
      </c>
      <c r="B3380" s="3" t="str">
        <f>"MA"</f>
        <v>MA</v>
      </c>
      <c r="C3380" s="3" t="str">
        <f t="shared" si="131"/>
        <v>BRASIL</v>
      </c>
      <c r="D3380" s="4" t="str">
        <f>"MA123"</f>
        <v>MA123</v>
      </c>
    </row>
    <row r="3381" spans="1:4" x14ac:dyDescent="0.3">
      <c r="A3381" s="2" t="str">
        <f>"MORTUGABA"</f>
        <v>MORTUGABA</v>
      </c>
      <c r="B3381" s="3" t="str">
        <f>"BA"</f>
        <v>BA</v>
      </c>
      <c r="C3381" s="3" t="str">
        <f t="shared" si="131"/>
        <v>BRASIL</v>
      </c>
      <c r="D3381" s="4" t="str">
        <f>"BA263"</f>
        <v>BA263</v>
      </c>
    </row>
    <row r="3382" spans="1:4" x14ac:dyDescent="0.3">
      <c r="A3382" s="2" t="str">
        <f>"MORUNGABA"</f>
        <v>MORUNGABA</v>
      </c>
      <c r="B3382" s="3" t="str">
        <f>"SP"</f>
        <v>SP</v>
      </c>
      <c r="C3382" s="3" t="str">
        <f t="shared" si="131"/>
        <v>BRASIL</v>
      </c>
      <c r="D3382" s="4" t="str">
        <f>"SP358"</f>
        <v>SP358</v>
      </c>
    </row>
    <row r="3383" spans="1:4" x14ac:dyDescent="0.3">
      <c r="A3383" s="2" t="str">
        <f>"MOSKAU/MITISCHI"</f>
        <v>MOSKAU/MITISCHI</v>
      </c>
      <c r="B3383" s="3" t="str">
        <f>"EX"</f>
        <v>EX</v>
      </c>
      <c r="C3383" s="3" t="str">
        <f>"RUSSIA"</f>
        <v>RUSSIA</v>
      </c>
      <c r="D3383" s="4" t="str">
        <f>"MOSK"</f>
        <v>MOSK</v>
      </c>
    </row>
    <row r="3384" spans="1:4" x14ac:dyDescent="0.3">
      <c r="A3384" s="2" t="str">
        <f>"MOSSAMEDES"</f>
        <v>MOSSAMEDES</v>
      </c>
      <c r="B3384" s="3" t="str">
        <f>"GO"</f>
        <v>GO</v>
      </c>
      <c r="C3384" s="3" t="str">
        <f t="shared" ref="C3384:C3400" si="132">"BRASIL"</f>
        <v>BRASIL</v>
      </c>
      <c r="D3384" s="4" t="str">
        <f>"GO152"</f>
        <v>GO152</v>
      </c>
    </row>
    <row r="3385" spans="1:4" x14ac:dyDescent="0.3">
      <c r="A3385" s="2" t="str">
        <f>"MOSSORO"</f>
        <v>MOSSORO</v>
      </c>
      <c r="B3385" s="3" t="str">
        <f>"RN"</f>
        <v>RN</v>
      </c>
      <c r="C3385" s="3" t="str">
        <f t="shared" si="132"/>
        <v>BRASIL</v>
      </c>
      <c r="D3385" s="4" t="str">
        <f>"RN088"</f>
        <v>RN088</v>
      </c>
    </row>
    <row r="3386" spans="1:4" x14ac:dyDescent="0.3">
      <c r="A3386" s="2" t="str">
        <f>"MOSTARDAS"</f>
        <v>MOSTARDAS</v>
      </c>
      <c r="B3386" s="3" t="str">
        <f>"RS"</f>
        <v>RS</v>
      </c>
      <c r="C3386" s="3" t="str">
        <f t="shared" si="132"/>
        <v>BRASIL</v>
      </c>
      <c r="D3386" s="4" t="str">
        <f>"RS264"</f>
        <v>RS264</v>
      </c>
    </row>
    <row r="3387" spans="1:4" x14ac:dyDescent="0.3">
      <c r="A3387" s="2" t="str">
        <f>"MOTUCA"</f>
        <v>MOTUCA</v>
      </c>
      <c r="B3387" s="3" t="str">
        <f>"SP"</f>
        <v>SP</v>
      </c>
      <c r="C3387" s="3" t="str">
        <f t="shared" si="132"/>
        <v>BRASIL</v>
      </c>
      <c r="D3387" s="4" t="str">
        <f>"SP359"</f>
        <v>SP359</v>
      </c>
    </row>
    <row r="3388" spans="1:4" x14ac:dyDescent="0.3">
      <c r="A3388" s="2" t="str">
        <f>"MOZARLANDIA"</f>
        <v>MOZARLANDIA</v>
      </c>
      <c r="B3388" s="3" t="str">
        <f>"GO"</f>
        <v>GO</v>
      </c>
      <c r="C3388" s="3" t="str">
        <f t="shared" si="132"/>
        <v>BRASIL</v>
      </c>
      <c r="D3388" s="4" t="str">
        <f>"GO153"</f>
        <v>GO153</v>
      </c>
    </row>
    <row r="3389" spans="1:4" x14ac:dyDescent="0.3">
      <c r="A3389" s="2" t="str">
        <f>"MUANA"</f>
        <v>MUANA</v>
      </c>
      <c r="B3389" s="3" t="str">
        <f>"PA"</f>
        <v>PA</v>
      </c>
      <c r="C3389" s="3" t="str">
        <f t="shared" si="132"/>
        <v>BRASIL</v>
      </c>
      <c r="D3389" s="4" t="str">
        <f>"PA075"</f>
        <v>PA075</v>
      </c>
    </row>
    <row r="3390" spans="1:4" x14ac:dyDescent="0.3">
      <c r="A3390" s="2" t="str">
        <f>"MUCAJAI"</f>
        <v>MUCAJAI</v>
      </c>
      <c r="B3390" s="3" t="str">
        <f>"RR"</f>
        <v>RR</v>
      </c>
      <c r="C3390" s="3" t="str">
        <f t="shared" si="132"/>
        <v>BRASIL</v>
      </c>
      <c r="D3390" s="4" t="str">
        <f>"RR009"</f>
        <v>RR009</v>
      </c>
    </row>
    <row r="3391" spans="1:4" x14ac:dyDescent="0.3">
      <c r="A3391" s="2" t="str">
        <f>"MUCAMBO"</f>
        <v>MUCAMBO</v>
      </c>
      <c r="B3391" s="3" t="str">
        <f>"CE"</f>
        <v>CE</v>
      </c>
      <c r="C3391" s="3" t="str">
        <f t="shared" si="132"/>
        <v>BRASIL</v>
      </c>
      <c r="D3391" s="4" t="str">
        <f>"CE120"</f>
        <v>CE120</v>
      </c>
    </row>
    <row r="3392" spans="1:4" x14ac:dyDescent="0.3">
      <c r="A3392" s="2" t="str">
        <f>"MUCUGE"</f>
        <v>MUCUGE</v>
      </c>
      <c r="B3392" s="3" t="str">
        <f>"BA"</f>
        <v>BA</v>
      </c>
      <c r="C3392" s="3" t="str">
        <f t="shared" si="132"/>
        <v>BRASIL</v>
      </c>
      <c r="D3392" s="4" t="str">
        <f>"BA264"</f>
        <v>BA264</v>
      </c>
    </row>
    <row r="3393" spans="1:4" x14ac:dyDescent="0.3">
      <c r="A3393" s="2" t="str">
        <f>"MUCUM"</f>
        <v>MUCUM</v>
      </c>
      <c r="B3393" s="3" t="str">
        <f>"RS"</f>
        <v>RS</v>
      </c>
      <c r="C3393" s="3" t="str">
        <f t="shared" si="132"/>
        <v>BRASIL</v>
      </c>
      <c r="D3393" s="4" t="str">
        <f>"RS265"</f>
        <v>RS265</v>
      </c>
    </row>
    <row r="3394" spans="1:4" x14ac:dyDescent="0.3">
      <c r="A3394" s="2" t="str">
        <f>"MUCURI"</f>
        <v>MUCURI</v>
      </c>
      <c r="B3394" s="3" t="str">
        <f>"BA"</f>
        <v>BA</v>
      </c>
      <c r="C3394" s="3" t="str">
        <f t="shared" si="132"/>
        <v>BRASIL</v>
      </c>
      <c r="D3394" s="4" t="str">
        <f>"BA265"</f>
        <v>BA265</v>
      </c>
    </row>
    <row r="3395" spans="1:4" x14ac:dyDescent="0.3">
      <c r="A3395" s="2" t="str">
        <f>"MUCURICI"</f>
        <v>MUCURICI</v>
      </c>
      <c r="B3395" s="3" t="str">
        <f>"ES"</f>
        <v>ES</v>
      </c>
      <c r="C3395" s="3" t="str">
        <f t="shared" si="132"/>
        <v>BRASIL</v>
      </c>
      <c r="D3395" s="4" t="str">
        <f>"ES050"</f>
        <v>ES050</v>
      </c>
    </row>
    <row r="3396" spans="1:4" x14ac:dyDescent="0.3">
      <c r="A3396" s="2" t="str">
        <f>"MUITOS CAPÕES"</f>
        <v>MUITOS CAPÕES</v>
      </c>
      <c r="B3396" s="3" t="str">
        <f>"RS"</f>
        <v>RS</v>
      </c>
      <c r="C3396" s="3" t="str">
        <f t="shared" si="132"/>
        <v>BRASIL</v>
      </c>
      <c r="D3396" s="4" t="str">
        <f>"RS266"</f>
        <v>RS266</v>
      </c>
    </row>
    <row r="3397" spans="1:4" x14ac:dyDescent="0.3">
      <c r="A3397" s="2" t="str">
        <f>"MULITERNO"</f>
        <v>MULITERNO</v>
      </c>
      <c r="B3397" s="3" t="str">
        <f>"RS"</f>
        <v>RS</v>
      </c>
      <c r="C3397" s="3" t="str">
        <f t="shared" si="132"/>
        <v>BRASIL</v>
      </c>
      <c r="D3397" s="4" t="str">
        <f>"RS267"</f>
        <v>RS267</v>
      </c>
    </row>
    <row r="3398" spans="1:4" x14ac:dyDescent="0.3">
      <c r="A3398" s="2" t="str">
        <f>"MULUNGU"</f>
        <v>MULUNGU</v>
      </c>
      <c r="B3398" s="3" t="str">
        <f>"CE"</f>
        <v>CE</v>
      </c>
      <c r="C3398" s="3" t="str">
        <f t="shared" si="132"/>
        <v>BRASIL</v>
      </c>
      <c r="D3398" s="4" t="str">
        <f>"CE121"</f>
        <v>CE121</v>
      </c>
    </row>
    <row r="3399" spans="1:4" x14ac:dyDescent="0.3">
      <c r="A3399" s="2" t="str">
        <f>"MULUNGU"</f>
        <v>MULUNGU</v>
      </c>
      <c r="B3399" s="3" t="str">
        <f>"PB"</f>
        <v>PB</v>
      </c>
      <c r="C3399" s="3" t="str">
        <f t="shared" si="132"/>
        <v>BRASIL</v>
      </c>
      <c r="D3399" s="4" t="str">
        <f>"PB125"</f>
        <v>PB125</v>
      </c>
    </row>
    <row r="3400" spans="1:4" x14ac:dyDescent="0.3">
      <c r="A3400" s="2" t="str">
        <f>"MULUNGU DO MORRO"</f>
        <v>MULUNGU DO MORRO</v>
      </c>
      <c r="B3400" s="3" t="str">
        <f>"BA"</f>
        <v>BA</v>
      </c>
      <c r="C3400" s="3" t="str">
        <f t="shared" si="132"/>
        <v>BRASIL</v>
      </c>
      <c r="D3400" s="4" t="str">
        <f>"BA266"</f>
        <v>BA266</v>
      </c>
    </row>
    <row r="3401" spans="1:4" x14ac:dyDescent="0.3">
      <c r="A3401" s="2" t="str">
        <f>"MÜNCHEN"</f>
        <v>MÜNCHEN</v>
      </c>
      <c r="B3401" s="3" t="str">
        <f>"EX"</f>
        <v>EX</v>
      </c>
      <c r="C3401" s="3" t="str">
        <f>"ALEMANHA"</f>
        <v>ALEMANHA</v>
      </c>
      <c r="D3401" s="4" t="str">
        <f>"MUNCH"</f>
        <v>MUNCH</v>
      </c>
    </row>
    <row r="3402" spans="1:4" x14ac:dyDescent="0.3">
      <c r="A3402" s="2" t="str">
        <f>"MUNDO NOVO"</f>
        <v>MUNDO NOVO</v>
      </c>
      <c r="B3402" s="3" t="str">
        <f>"BA"</f>
        <v>BA</v>
      </c>
      <c r="C3402" s="3" t="str">
        <f t="shared" ref="C3402:C3423" si="133">"BRASIL"</f>
        <v>BRASIL</v>
      </c>
      <c r="D3402" s="4" t="str">
        <f>"BA267"</f>
        <v>BA267</v>
      </c>
    </row>
    <row r="3403" spans="1:4" x14ac:dyDescent="0.3">
      <c r="A3403" s="2" t="str">
        <f>"MUNDO NOVO"</f>
        <v>MUNDO NOVO</v>
      </c>
      <c r="B3403" s="3" t="str">
        <f>"GO"</f>
        <v>GO</v>
      </c>
      <c r="C3403" s="3" t="str">
        <f t="shared" si="133"/>
        <v>BRASIL</v>
      </c>
      <c r="D3403" s="4" t="str">
        <f>"GO154"</f>
        <v>GO154</v>
      </c>
    </row>
    <row r="3404" spans="1:4" x14ac:dyDescent="0.3">
      <c r="A3404" s="2" t="str">
        <f>"MUNDO NOVO"</f>
        <v>MUNDO NOVO</v>
      </c>
      <c r="B3404" s="3" t="str">
        <f>"MS"</f>
        <v>MS</v>
      </c>
      <c r="C3404" s="3" t="str">
        <f t="shared" si="133"/>
        <v>BRASIL</v>
      </c>
      <c r="D3404" s="4" t="str">
        <f>"MS052"</f>
        <v>MS052</v>
      </c>
    </row>
    <row r="3405" spans="1:4" x14ac:dyDescent="0.3">
      <c r="A3405" s="2" t="str">
        <f>"MUNHOZ"</f>
        <v>MUNHOZ</v>
      </c>
      <c r="B3405" s="3" t="str">
        <f>"MG"</f>
        <v>MG</v>
      </c>
      <c r="C3405" s="3" t="str">
        <f t="shared" si="133"/>
        <v>BRASIL</v>
      </c>
      <c r="D3405" s="4" t="str">
        <f>"MG506"</f>
        <v>MG506</v>
      </c>
    </row>
    <row r="3406" spans="1:4" x14ac:dyDescent="0.3">
      <c r="A3406" s="2" t="str">
        <f>"MUNHOZ DE MELO"</f>
        <v>MUNHOZ DE MELO</v>
      </c>
      <c r="B3406" s="3" t="str">
        <f>"PR"</f>
        <v>PR</v>
      </c>
      <c r="C3406" s="3" t="str">
        <f t="shared" si="133"/>
        <v>BRASIL</v>
      </c>
      <c r="D3406" s="4" t="str">
        <f>"PR226"</f>
        <v>PR226</v>
      </c>
    </row>
    <row r="3407" spans="1:4" x14ac:dyDescent="0.3">
      <c r="A3407" s="2" t="str">
        <f>"MUNIZ FERREIRA"</f>
        <v>MUNIZ FERREIRA</v>
      </c>
      <c r="B3407" s="3" t="str">
        <f>"BA"</f>
        <v>BA</v>
      </c>
      <c r="C3407" s="3" t="str">
        <f t="shared" si="133"/>
        <v>BRASIL</v>
      </c>
      <c r="D3407" s="4" t="str">
        <f>"BA268"</f>
        <v>BA268</v>
      </c>
    </row>
    <row r="3408" spans="1:4" x14ac:dyDescent="0.3">
      <c r="A3408" s="2" t="str">
        <f>"MUNIZ FREIRE"</f>
        <v>MUNIZ FREIRE</v>
      </c>
      <c r="B3408" s="3" t="str">
        <f>"ES"</f>
        <v>ES</v>
      </c>
      <c r="C3408" s="3" t="str">
        <f t="shared" si="133"/>
        <v>BRASIL</v>
      </c>
      <c r="D3408" s="4" t="str">
        <f>"ES051"</f>
        <v>ES051</v>
      </c>
    </row>
    <row r="3409" spans="1:4" x14ac:dyDescent="0.3">
      <c r="A3409" s="2" t="str">
        <f>"MUQUEM DE SAO FRANCISCO"</f>
        <v>MUQUEM DE SAO FRANCISCO</v>
      </c>
      <c r="B3409" s="3" t="str">
        <f>"BA"</f>
        <v>BA</v>
      </c>
      <c r="C3409" s="3" t="str">
        <f t="shared" si="133"/>
        <v>BRASIL</v>
      </c>
      <c r="D3409" s="4" t="str">
        <f>"BA269"</f>
        <v>BA269</v>
      </c>
    </row>
    <row r="3410" spans="1:4" x14ac:dyDescent="0.3">
      <c r="A3410" s="2" t="str">
        <f>"MUQUI"</f>
        <v>MUQUI</v>
      </c>
      <c r="B3410" s="3" t="str">
        <f>"ES"</f>
        <v>ES</v>
      </c>
      <c r="C3410" s="3" t="str">
        <f t="shared" si="133"/>
        <v>BRASIL</v>
      </c>
      <c r="D3410" s="4" t="str">
        <f>"ES052"</f>
        <v>ES052</v>
      </c>
    </row>
    <row r="3411" spans="1:4" x14ac:dyDescent="0.3">
      <c r="A3411" s="2" t="str">
        <f>"MURIAE"</f>
        <v>MURIAE</v>
      </c>
      <c r="B3411" s="3" t="str">
        <f>"MG"</f>
        <v>MG</v>
      </c>
      <c r="C3411" s="3" t="str">
        <f t="shared" si="133"/>
        <v>BRASIL</v>
      </c>
      <c r="D3411" s="4" t="str">
        <f>"MG507"</f>
        <v>MG507</v>
      </c>
    </row>
    <row r="3412" spans="1:4" x14ac:dyDescent="0.3">
      <c r="A3412" s="2" t="str">
        <f>"MURIBECA"</f>
        <v>MURIBECA</v>
      </c>
      <c r="B3412" s="3" t="str">
        <f>"SE"</f>
        <v>SE</v>
      </c>
      <c r="C3412" s="3" t="str">
        <f t="shared" si="133"/>
        <v>BRASIL</v>
      </c>
      <c r="D3412" s="4" t="str">
        <f>"SE041"</f>
        <v>SE041</v>
      </c>
    </row>
    <row r="3413" spans="1:4" x14ac:dyDescent="0.3">
      <c r="A3413" s="2" t="str">
        <f>"MURICI"</f>
        <v>MURICI</v>
      </c>
      <c r="B3413" s="3" t="str">
        <f>"AL"</f>
        <v>AL</v>
      </c>
      <c r="C3413" s="3" t="str">
        <f t="shared" si="133"/>
        <v>BRASIL</v>
      </c>
      <c r="D3413" s="4" t="str">
        <f>"AL059"</f>
        <v>AL059</v>
      </c>
    </row>
    <row r="3414" spans="1:4" x14ac:dyDescent="0.3">
      <c r="A3414" s="2" t="str">
        <f>"MURICI DOS PORTELAS"</f>
        <v>MURICI DOS PORTELAS</v>
      </c>
      <c r="B3414" s="3" t="str">
        <f>"PI"</f>
        <v>PI</v>
      </c>
      <c r="C3414" s="3" t="str">
        <f t="shared" si="133"/>
        <v>BRASIL</v>
      </c>
      <c r="D3414" s="4" t="str">
        <f>"PI135"</f>
        <v>PI135</v>
      </c>
    </row>
    <row r="3415" spans="1:4" x14ac:dyDescent="0.3">
      <c r="A3415" s="2" t="str">
        <f>"MURICILANDIA"</f>
        <v>MURICILANDIA</v>
      </c>
      <c r="B3415" s="3" t="str">
        <f>"TO"</f>
        <v>TO</v>
      </c>
      <c r="C3415" s="3" t="str">
        <f t="shared" si="133"/>
        <v>BRASIL</v>
      </c>
      <c r="D3415" s="4" t="str">
        <f>"TO080"</f>
        <v>TO080</v>
      </c>
    </row>
    <row r="3416" spans="1:4" x14ac:dyDescent="0.3">
      <c r="A3416" s="2" t="str">
        <f>"MURITIBA"</f>
        <v>MURITIBA</v>
      </c>
      <c r="B3416" s="3" t="str">
        <f>"BA"</f>
        <v>BA</v>
      </c>
      <c r="C3416" s="3" t="str">
        <f t="shared" si="133"/>
        <v>BRASIL</v>
      </c>
      <c r="D3416" s="4" t="str">
        <f>"BA270"</f>
        <v>BA270</v>
      </c>
    </row>
    <row r="3417" spans="1:4" x14ac:dyDescent="0.3">
      <c r="A3417" s="2" t="str">
        <f>"MURUTINGA DO SUL"</f>
        <v>MURUTINGA DO SUL</v>
      </c>
      <c r="B3417" s="3" t="str">
        <f>"SP"</f>
        <v>SP</v>
      </c>
      <c r="C3417" s="3" t="str">
        <f t="shared" si="133"/>
        <v>BRASIL</v>
      </c>
      <c r="D3417" s="4" t="str">
        <f>"SP360"</f>
        <v>SP360</v>
      </c>
    </row>
    <row r="3418" spans="1:4" x14ac:dyDescent="0.3">
      <c r="A3418" s="2" t="str">
        <f>"MUTUIPE"</f>
        <v>MUTUIPE</v>
      </c>
      <c r="B3418" s="3" t="str">
        <f>"BA"</f>
        <v>BA</v>
      </c>
      <c r="C3418" s="3" t="str">
        <f t="shared" si="133"/>
        <v>BRASIL</v>
      </c>
      <c r="D3418" s="4" t="str">
        <f>"BA271"</f>
        <v>BA271</v>
      </c>
    </row>
    <row r="3419" spans="1:4" x14ac:dyDescent="0.3">
      <c r="A3419" s="2" t="str">
        <f>"MUTUM"</f>
        <v>MUTUM</v>
      </c>
      <c r="B3419" s="3" t="str">
        <f>"MG"</f>
        <v>MG</v>
      </c>
      <c r="C3419" s="3" t="str">
        <f t="shared" si="133"/>
        <v>BRASIL</v>
      </c>
      <c r="D3419" s="4" t="str">
        <f>"MG508"</f>
        <v>MG508</v>
      </c>
    </row>
    <row r="3420" spans="1:4" x14ac:dyDescent="0.3">
      <c r="A3420" s="2" t="str">
        <f>"MUTUNOPOLIS"</f>
        <v>MUTUNOPOLIS</v>
      </c>
      <c r="B3420" s="3" t="str">
        <f>"GO"</f>
        <v>GO</v>
      </c>
      <c r="C3420" s="3" t="str">
        <f t="shared" si="133"/>
        <v>BRASIL</v>
      </c>
      <c r="D3420" s="4" t="str">
        <f>"GO155"</f>
        <v>GO155</v>
      </c>
    </row>
    <row r="3421" spans="1:4" x14ac:dyDescent="0.3">
      <c r="A3421" s="2" t="str">
        <f>"MUZAMBINHO"</f>
        <v>MUZAMBINHO</v>
      </c>
      <c r="B3421" s="3" t="str">
        <f>"MG"</f>
        <v>MG</v>
      </c>
      <c r="C3421" s="3" t="str">
        <f t="shared" si="133"/>
        <v>BRASIL</v>
      </c>
      <c r="D3421" s="4" t="str">
        <f>"MG509"</f>
        <v>MG509</v>
      </c>
    </row>
    <row r="3422" spans="1:4" x14ac:dyDescent="0.3">
      <c r="A3422" s="2" t="str">
        <f>"NACIP RAYDAN"</f>
        <v>NACIP RAYDAN</v>
      </c>
      <c r="B3422" s="3" t="str">
        <f>"MG"</f>
        <v>MG</v>
      </c>
      <c r="C3422" s="3" t="str">
        <f t="shared" si="133"/>
        <v>BRASIL</v>
      </c>
      <c r="D3422" s="4" t="str">
        <f>"MG510"</f>
        <v>MG510</v>
      </c>
    </row>
    <row r="3423" spans="1:4" x14ac:dyDescent="0.3">
      <c r="A3423" s="2" t="str">
        <f>"NANTES"</f>
        <v>NANTES</v>
      </c>
      <c r="B3423" s="3" t="str">
        <f>"SP"</f>
        <v>SP</v>
      </c>
      <c r="C3423" s="3" t="str">
        <f t="shared" si="133"/>
        <v>BRASIL</v>
      </c>
      <c r="D3423" s="4" t="str">
        <f>"SP361"</f>
        <v>SP361</v>
      </c>
    </row>
    <row r="3424" spans="1:4" x14ac:dyDescent="0.3">
      <c r="A3424" s="2" t="str">
        <f>"NANTONG"</f>
        <v>NANTONG</v>
      </c>
      <c r="B3424" s="3" t="str">
        <f>"EX"</f>
        <v>EX</v>
      </c>
      <c r="C3424" s="3" t="str">
        <f>"CHINA"</f>
        <v>CHINA</v>
      </c>
      <c r="D3424" s="4" t="str">
        <f>"NANTO"</f>
        <v>NANTO</v>
      </c>
    </row>
    <row r="3425" spans="1:4" x14ac:dyDescent="0.3">
      <c r="A3425" s="2" t="str">
        <f>"NANUQUE"</f>
        <v>NANUQUE</v>
      </c>
      <c r="B3425" s="3" t="str">
        <f>"MG"</f>
        <v>MG</v>
      </c>
      <c r="C3425" s="3" t="str">
        <f t="shared" ref="C3425:C3449" si="134">"BRASIL"</f>
        <v>BRASIL</v>
      </c>
      <c r="D3425" s="4" t="str">
        <f>"MG511"</f>
        <v>MG511</v>
      </c>
    </row>
    <row r="3426" spans="1:4" x14ac:dyDescent="0.3">
      <c r="A3426" s="2" t="str">
        <f>"NAO-ME-TOQUE"</f>
        <v>NAO-ME-TOQUE</v>
      </c>
      <c r="B3426" s="3" t="str">
        <f>"RS"</f>
        <v>RS</v>
      </c>
      <c r="C3426" s="3" t="str">
        <f t="shared" si="134"/>
        <v>BRASIL</v>
      </c>
      <c r="D3426" s="4" t="str">
        <f>"RS268"</f>
        <v>RS268</v>
      </c>
    </row>
    <row r="3427" spans="1:4" x14ac:dyDescent="0.3">
      <c r="A3427" s="2" t="str">
        <f>"NAQUE"</f>
        <v>NAQUE</v>
      </c>
      <c r="B3427" s="3" t="str">
        <f>"MG"</f>
        <v>MG</v>
      </c>
      <c r="C3427" s="3" t="str">
        <f t="shared" si="134"/>
        <v>BRASIL</v>
      </c>
      <c r="D3427" s="4" t="str">
        <f>"MG512"</f>
        <v>MG512</v>
      </c>
    </row>
    <row r="3428" spans="1:4" x14ac:dyDescent="0.3">
      <c r="A3428" s="2" t="str">
        <f>"NARANDIBA"</f>
        <v>NARANDIBA</v>
      </c>
      <c r="B3428" s="3" t="str">
        <f>"SP"</f>
        <v>SP</v>
      </c>
      <c r="C3428" s="3" t="str">
        <f t="shared" si="134"/>
        <v>BRASIL</v>
      </c>
      <c r="D3428" s="4" t="str">
        <f>"SP362"</f>
        <v>SP362</v>
      </c>
    </row>
    <row r="3429" spans="1:4" x14ac:dyDescent="0.3">
      <c r="A3429" s="2" t="str">
        <f>"NATAL"</f>
        <v>NATAL</v>
      </c>
      <c r="B3429" s="3" t="str">
        <f>"RN"</f>
        <v>RN</v>
      </c>
      <c r="C3429" s="3" t="str">
        <f t="shared" si="134"/>
        <v>BRASIL</v>
      </c>
      <c r="D3429" s="4" t="str">
        <f>"RN089"</f>
        <v>RN089</v>
      </c>
    </row>
    <row r="3430" spans="1:4" x14ac:dyDescent="0.3">
      <c r="A3430" s="2" t="str">
        <f>"NATALANDIA"</f>
        <v>NATALANDIA</v>
      </c>
      <c r="B3430" s="3" t="str">
        <f>"MG"</f>
        <v>MG</v>
      </c>
      <c r="C3430" s="3" t="str">
        <f t="shared" si="134"/>
        <v>BRASIL</v>
      </c>
      <c r="D3430" s="4" t="str">
        <f>"MG513"</f>
        <v>MG513</v>
      </c>
    </row>
    <row r="3431" spans="1:4" x14ac:dyDescent="0.3">
      <c r="A3431" s="2" t="str">
        <f>"NATERCIA"</f>
        <v>NATERCIA</v>
      </c>
      <c r="B3431" s="3" t="str">
        <f>"MG"</f>
        <v>MG</v>
      </c>
      <c r="C3431" s="3" t="str">
        <f t="shared" si="134"/>
        <v>BRASIL</v>
      </c>
      <c r="D3431" s="4" t="str">
        <f>"MG514"</f>
        <v>MG514</v>
      </c>
    </row>
    <row r="3432" spans="1:4" x14ac:dyDescent="0.3">
      <c r="A3432" s="2" t="str">
        <f>"NATIVIDADE"</f>
        <v>NATIVIDADE</v>
      </c>
      <c r="B3432" s="3" t="str">
        <f>"RJ"</f>
        <v>RJ</v>
      </c>
      <c r="C3432" s="3" t="str">
        <f t="shared" si="134"/>
        <v>BRASIL</v>
      </c>
      <c r="D3432" s="4" t="str">
        <f>"RJ046"</f>
        <v>RJ046</v>
      </c>
    </row>
    <row r="3433" spans="1:4" x14ac:dyDescent="0.3">
      <c r="A3433" s="2" t="str">
        <f>"NATIVIDADE"</f>
        <v>NATIVIDADE</v>
      </c>
      <c r="B3433" s="3" t="str">
        <f>"TO"</f>
        <v>TO</v>
      </c>
      <c r="C3433" s="3" t="str">
        <f t="shared" si="134"/>
        <v>BRASIL</v>
      </c>
      <c r="D3433" s="4" t="str">
        <f>"TO081"</f>
        <v>TO081</v>
      </c>
    </row>
    <row r="3434" spans="1:4" x14ac:dyDescent="0.3">
      <c r="A3434" s="2" t="str">
        <f>"NATIVIDADE DA SERRA"</f>
        <v>NATIVIDADE DA SERRA</v>
      </c>
      <c r="B3434" s="3" t="str">
        <f>"SP"</f>
        <v>SP</v>
      </c>
      <c r="C3434" s="3" t="str">
        <f t="shared" si="134"/>
        <v>BRASIL</v>
      </c>
      <c r="D3434" s="4" t="str">
        <f>"SP363"</f>
        <v>SP363</v>
      </c>
    </row>
    <row r="3435" spans="1:4" x14ac:dyDescent="0.3">
      <c r="A3435" s="2" t="str">
        <f>"NATUBA"</f>
        <v>NATUBA</v>
      </c>
      <c r="B3435" s="3" t="str">
        <f>"PB"</f>
        <v>PB</v>
      </c>
      <c r="C3435" s="3" t="str">
        <f t="shared" si="134"/>
        <v>BRASIL</v>
      </c>
      <c r="D3435" s="4" t="str">
        <f>"PB126"</f>
        <v>PB126</v>
      </c>
    </row>
    <row r="3436" spans="1:4" x14ac:dyDescent="0.3">
      <c r="A3436" s="2" t="str">
        <f>"NAVEGANTES"</f>
        <v>NAVEGANTES</v>
      </c>
      <c r="B3436" s="3" t="str">
        <f>"SC"</f>
        <v>SC</v>
      </c>
      <c r="C3436" s="3" t="str">
        <f t="shared" si="134"/>
        <v>BRASIL</v>
      </c>
      <c r="D3436" s="4" t="str">
        <f>"SC169"</f>
        <v>SC169</v>
      </c>
    </row>
    <row r="3437" spans="1:4" x14ac:dyDescent="0.3">
      <c r="A3437" s="2" t="str">
        <f>"NAVIRAI"</f>
        <v>NAVIRAI</v>
      </c>
      <c r="B3437" s="3" t="str">
        <f>"MS"</f>
        <v>MS</v>
      </c>
      <c r="C3437" s="3" t="str">
        <f t="shared" si="134"/>
        <v>BRASIL</v>
      </c>
      <c r="D3437" s="4" t="str">
        <f>"MS053"</f>
        <v>MS053</v>
      </c>
    </row>
    <row r="3438" spans="1:4" x14ac:dyDescent="0.3">
      <c r="A3438" s="2" t="str">
        <f>"NAZARE"</f>
        <v>NAZARE</v>
      </c>
      <c r="B3438" s="3" t="str">
        <f>"BA"</f>
        <v>BA</v>
      </c>
      <c r="C3438" s="3" t="str">
        <f t="shared" si="134"/>
        <v>BRASIL</v>
      </c>
      <c r="D3438" s="4" t="str">
        <f>"BA272"</f>
        <v>BA272</v>
      </c>
    </row>
    <row r="3439" spans="1:4" x14ac:dyDescent="0.3">
      <c r="A3439" s="2" t="str">
        <f>"NAZARE"</f>
        <v>NAZARE</v>
      </c>
      <c r="B3439" s="3" t="str">
        <f>"TO"</f>
        <v>TO</v>
      </c>
      <c r="C3439" s="3" t="str">
        <f t="shared" si="134"/>
        <v>BRASIL</v>
      </c>
      <c r="D3439" s="4" t="str">
        <f>"TO082"</f>
        <v>TO082</v>
      </c>
    </row>
    <row r="3440" spans="1:4" x14ac:dyDescent="0.3">
      <c r="A3440" s="2" t="str">
        <f>"NAZARE DA MATA"</f>
        <v>NAZARE DA MATA</v>
      </c>
      <c r="B3440" s="3" t="str">
        <f>"PE"</f>
        <v>PE</v>
      </c>
      <c r="C3440" s="3" t="str">
        <f t="shared" si="134"/>
        <v>BRASIL</v>
      </c>
      <c r="D3440" s="4" t="str">
        <f>"PE110"</f>
        <v>PE110</v>
      </c>
    </row>
    <row r="3441" spans="1:4" x14ac:dyDescent="0.3">
      <c r="A3441" s="2" t="str">
        <f>"NAZARE DO PIAUI"</f>
        <v>NAZARE DO PIAUI</v>
      </c>
      <c r="B3441" s="3" t="str">
        <f>"PI"</f>
        <v>PI</v>
      </c>
      <c r="C3441" s="3" t="str">
        <f t="shared" si="134"/>
        <v>BRASIL</v>
      </c>
      <c r="D3441" s="4" t="str">
        <f>"PI136"</f>
        <v>PI136</v>
      </c>
    </row>
    <row r="3442" spans="1:4" x14ac:dyDescent="0.3">
      <c r="A3442" s="2" t="str">
        <f>"NAZARE PAULISTA"</f>
        <v>NAZARE PAULISTA</v>
      </c>
      <c r="B3442" s="3" t="str">
        <f>"SP"</f>
        <v>SP</v>
      </c>
      <c r="C3442" s="3" t="str">
        <f t="shared" si="134"/>
        <v>BRASIL</v>
      </c>
      <c r="D3442" s="4" t="str">
        <f>"SP364"</f>
        <v>SP364</v>
      </c>
    </row>
    <row r="3443" spans="1:4" x14ac:dyDescent="0.3">
      <c r="A3443" s="2" t="str">
        <f>"NAZARENO"</f>
        <v>NAZARENO</v>
      </c>
      <c r="B3443" s="3" t="str">
        <f>"MG"</f>
        <v>MG</v>
      </c>
      <c r="C3443" s="3" t="str">
        <f t="shared" si="134"/>
        <v>BRASIL</v>
      </c>
      <c r="D3443" s="4" t="str">
        <f>"MG515"</f>
        <v>MG515</v>
      </c>
    </row>
    <row r="3444" spans="1:4" x14ac:dyDescent="0.3">
      <c r="A3444" s="2" t="str">
        <f>"NAZAREZINHO"</f>
        <v>NAZAREZINHO</v>
      </c>
      <c r="B3444" s="3" t="str">
        <f>"PB"</f>
        <v>PB</v>
      </c>
      <c r="C3444" s="3" t="str">
        <f t="shared" si="134"/>
        <v>BRASIL</v>
      </c>
      <c r="D3444" s="4" t="str">
        <f>"PB127"</f>
        <v>PB127</v>
      </c>
    </row>
    <row r="3445" spans="1:4" x14ac:dyDescent="0.3">
      <c r="A3445" s="2" t="str">
        <f>"NAZARIO"</f>
        <v>NAZARIO</v>
      </c>
      <c r="B3445" s="3" t="str">
        <f>"GO"</f>
        <v>GO</v>
      </c>
      <c r="C3445" s="3" t="str">
        <f t="shared" si="134"/>
        <v>BRASIL</v>
      </c>
      <c r="D3445" s="4" t="str">
        <f>"GO156"</f>
        <v>GO156</v>
      </c>
    </row>
    <row r="3446" spans="1:4" x14ac:dyDescent="0.3">
      <c r="A3446" s="2" t="str">
        <f>"NEOPOLIS"</f>
        <v>NEOPOLIS</v>
      </c>
      <c r="B3446" s="3" t="str">
        <f>"SE"</f>
        <v>SE</v>
      </c>
      <c r="C3446" s="3" t="str">
        <f t="shared" si="134"/>
        <v>BRASIL</v>
      </c>
      <c r="D3446" s="4" t="str">
        <f>"SE042"</f>
        <v>SE042</v>
      </c>
    </row>
    <row r="3447" spans="1:4" x14ac:dyDescent="0.3">
      <c r="A3447" s="2" t="str">
        <f>"NEPOMUCENO"</f>
        <v>NEPOMUCENO</v>
      </c>
      <c r="B3447" s="3" t="str">
        <f>"MG"</f>
        <v>MG</v>
      </c>
      <c r="C3447" s="3" t="str">
        <f t="shared" si="134"/>
        <v>BRASIL</v>
      </c>
      <c r="D3447" s="4" t="str">
        <f>"MG516"</f>
        <v>MG516</v>
      </c>
    </row>
    <row r="3448" spans="1:4" x14ac:dyDescent="0.3">
      <c r="A3448" s="2" t="str">
        <f>"NEROPOLIS"</f>
        <v>NEROPOLIS</v>
      </c>
      <c r="B3448" s="3" t="str">
        <f>"GO"</f>
        <v>GO</v>
      </c>
      <c r="C3448" s="3" t="str">
        <f t="shared" si="134"/>
        <v>BRASIL</v>
      </c>
      <c r="D3448" s="4" t="str">
        <f>"GO157"</f>
        <v>GO157</v>
      </c>
    </row>
    <row r="3449" spans="1:4" x14ac:dyDescent="0.3">
      <c r="A3449" s="2" t="str">
        <f>"NEVES PAULISTA"</f>
        <v>NEVES PAULISTA</v>
      </c>
      <c r="B3449" s="3" t="str">
        <f>"SP"</f>
        <v>SP</v>
      </c>
      <c r="C3449" s="3" t="str">
        <f t="shared" si="134"/>
        <v>BRASIL</v>
      </c>
      <c r="D3449" s="4" t="str">
        <f>"SP365"</f>
        <v>SP365</v>
      </c>
    </row>
    <row r="3450" spans="1:4" x14ac:dyDescent="0.3">
      <c r="A3450" s="2" t="str">
        <f>"NEW YORK"</f>
        <v>NEW YORK</v>
      </c>
      <c r="B3450" s="3" t="str">
        <f>"EX"</f>
        <v>EX</v>
      </c>
      <c r="C3450" s="3" t="str">
        <f>"ESTADOS UNIDOS"</f>
        <v>ESTADOS UNIDOS</v>
      </c>
      <c r="D3450" s="4" t="str">
        <f>"NYOR"</f>
        <v>NYOR</v>
      </c>
    </row>
    <row r="3451" spans="1:4" x14ac:dyDescent="0.3">
      <c r="A3451" s="2" t="str">
        <f>"NHAMUNDA"</f>
        <v>NHAMUNDA</v>
      </c>
      <c r="B3451" s="3" t="str">
        <f>"AM"</f>
        <v>AM</v>
      </c>
      <c r="C3451" s="3" t="str">
        <f>"BRASIL"</f>
        <v>BRASIL</v>
      </c>
      <c r="D3451" s="4" t="str">
        <f>"AM042"</f>
        <v>AM042</v>
      </c>
    </row>
    <row r="3452" spans="1:4" x14ac:dyDescent="0.3">
      <c r="A3452" s="2" t="str">
        <f>"NHANDEARA"</f>
        <v>NHANDEARA</v>
      </c>
      <c r="B3452" s="3" t="str">
        <f>"SP"</f>
        <v>SP</v>
      </c>
      <c r="C3452" s="3" t="str">
        <f>"BRASIL"</f>
        <v>BRASIL</v>
      </c>
      <c r="D3452" s="4" t="str">
        <f>"SP366"</f>
        <v>SP366</v>
      </c>
    </row>
    <row r="3453" spans="1:4" x14ac:dyDescent="0.3">
      <c r="A3453" s="2" t="str">
        <f>"NICOLAU VERGUEIRO"</f>
        <v>NICOLAU VERGUEIRO</v>
      </c>
      <c r="B3453" s="3" t="str">
        <f>"RS"</f>
        <v>RS</v>
      </c>
      <c r="C3453" s="3" t="str">
        <f>"BRASIL"</f>
        <v>BRASIL</v>
      </c>
      <c r="D3453" s="4" t="str">
        <f>"RS269"</f>
        <v>RS269</v>
      </c>
    </row>
    <row r="3454" spans="1:4" x14ac:dyDescent="0.3">
      <c r="A3454" s="2" t="str">
        <f>"NICOSIA"</f>
        <v>NICOSIA</v>
      </c>
      <c r="B3454" s="3" t="str">
        <f t="shared" ref="B3454:B3459" si="135">"EX"</f>
        <v>EX</v>
      </c>
      <c r="C3454" s="3" t="str">
        <f>"CHIPE"</f>
        <v>CHIPE</v>
      </c>
      <c r="D3454" s="4" t="str">
        <f>"NICOS"</f>
        <v>NICOS</v>
      </c>
    </row>
    <row r="3455" spans="1:4" x14ac:dyDescent="0.3">
      <c r="A3455" s="2" t="str">
        <f>"NICOSIA"</f>
        <v>NICOSIA</v>
      </c>
      <c r="B3455" s="3" t="str">
        <f t="shared" si="135"/>
        <v>EX</v>
      </c>
      <c r="C3455" s="3" t="str">
        <f>"CHIPRE"</f>
        <v>CHIPRE</v>
      </c>
      <c r="D3455" s="4" t="str">
        <f>"NICO"</f>
        <v>NICO</v>
      </c>
    </row>
    <row r="3456" spans="1:4" x14ac:dyDescent="0.3">
      <c r="A3456" s="2" t="str">
        <f>"NICOSIA"</f>
        <v>NICOSIA</v>
      </c>
      <c r="B3456" s="3" t="str">
        <f t="shared" si="135"/>
        <v>EX</v>
      </c>
      <c r="C3456" s="3" t="str">
        <f>"CYPRUS"</f>
        <v>CYPRUS</v>
      </c>
      <c r="D3456" s="4" t="str">
        <f>"NICO2"</f>
        <v>NICO2</v>
      </c>
    </row>
    <row r="3457" spans="1:4" x14ac:dyDescent="0.3">
      <c r="A3457" s="2" t="str">
        <f>"NIEDERKASSEL"</f>
        <v>NIEDERKASSEL</v>
      </c>
      <c r="B3457" s="3" t="str">
        <f t="shared" si="135"/>
        <v>EX</v>
      </c>
      <c r="C3457" s="3" t="str">
        <f>"ALEMANHA"</f>
        <v>ALEMANHA</v>
      </c>
      <c r="D3457" s="4" t="str">
        <f>"NIEDE"</f>
        <v>NIEDE</v>
      </c>
    </row>
    <row r="3458" spans="1:4" x14ac:dyDescent="0.3">
      <c r="A3458" s="2" t="str">
        <f>"NIEDERNHAUSEN"</f>
        <v>NIEDERNHAUSEN</v>
      </c>
      <c r="B3458" s="3" t="str">
        <f t="shared" si="135"/>
        <v>EX</v>
      </c>
      <c r="C3458" s="3" t="str">
        <f>"ALEMANHA"</f>
        <v>ALEMANHA</v>
      </c>
      <c r="D3458" s="4" t="str">
        <f>"NHAU"</f>
        <v>NHAU</v>
      </c>
    </row>
    <row r="3459" spans="1:4" x14ac:dyDescent="0.3">
      <c r="A3459" s="2" t="str">
        <f>"NIEDERWANGEN B. BERN"</f>
        <v>NIEDERWANGEN B. BERN</v>
      </c>
      <c r="B3459" s="3" t="str">
        <f t="shared" si="135"/>
        <v>EX</v>
      </c>
      <c r="C3459" s="3" t="str">
        <f>"SUÍÇA"</f>
        <v>SUÍÇA</v>
      </c>
      <c r="D3459" s="4" t="str">
        <f>"NBBS"</f>
        <v>NBBS</v>
      </c>
    </row>
    <row r="3460" spans="1:4" x14ac:dyDescent="0.3">
      <c r="A3460" s="2" t="str">
        <f>"NIEDERWANGEN B. BERN"</f>
        <v>NIEDERWANGEN B. BERN</v>
      </c>
      <c r="B3460" s="3" t="str">
        <f>"SWI"</f>
        <v>SWI</v>
      </c>
      <c r="C3460" s="3" t="str">
        <f>"SUÍÇA"</f>
        <v>SUÍÇA</v>
      </c>
      <c r="D3460" s="4" t="str">
        <f>"NBB"</f>
        <v>NBB</v>
      </c>
    </row>
    <row r="3461" spans="1:4" x14ac:dyDescent="0.3">
      <c r="A3461" s="2" t="str">
        <f>"NILO PECANHA"</f>
        <v>NILO PECANHA</v>
      </c>
      <c r="B3461" s="3" t="str">
        <f>"BA"</f>
        <v>BA</v>
      </c>
      <c r="C3461" s="3" t="str">
        <f>"BRASIL"</f>
        <v>BRASIL</v>
      </c>
      <c r="D3461" s="4" t="str">
        <f>"BA273"</f>
        <v>BA273</v>
      </c>
    </row>
    <row r="3462" spans="1:4" x14ac:dyDescent="0.3">
      <c r="A3462" s="2" t="str">
        <f>"NILOPOLIS"</f>
        <v>NILOPOLIS</v>
      </c>
      <c r="B3462" s="3" t="str">
        <f>"RJ"</f>
        <v>RJ</v>
      </c>
      <c r="C3462" s="3" t="str">
        <f>"BRASIL"</f>
        <v>BRASIL</v>
      </c>
      <c r="D3462" s="4" t="str">
        <f>"RJ047"</f>
        <v>RJ047</v>
      </c>
    </row>
    <row r="3463" spans="1:4" x14ac:dyDescent="0.3">
      <c r="A3463" s="2" t="str">
        <f>"NINA RODRIGUES"</f>
        <v>NINA RODRIGUES</v>
      </c>
      <c r="B3463" s="3" t="str">
        <f>"MA"</f>
        <v>MA</v>
      </c>
      <c r="C3463" s="3" t="str">
        <f>"BRASIL"</f>
        <v>BRASIL</v>
      </c>
      <c r="D3463" s="4" t="str">
        <f>"MA124"</f>
        <v>MA124</v>
      </c>
    </row>
    <row r="3464" spans="1:4" x14ac:dyDescent="0.3">
      <c r="A3464" s="2" t="str">
        <f>"NINGBO"</f>
        <v>NINGBO</v>
      </c>
      <c r="B3464" s="3" t="str">
        <f>"EX"</f>
        <v>EX</v>
      </c>
      <c r="C3464" s="3" t="str">
        <f>"CHINA"</f>
        <v>CHINA</v>
      </c>
      <c r="D3464" s="4" t="str">
        <f>"NINGB"</f>
        <v>NINGB</v>
      </c>
    </row>
    <row r="3465" spans="1:4" x14ac:dyDescent="0.3">
      <c r="A3465" s="2" t="str">
        <f>"NINHEIRA"</f>
        <v>NINHEIRA</v>
      </c>
      <c r="B3465" s="3" t="str">
        <f>"MG"</f>
        <v>MG</v>
      </c>
      <c r="C3465" s="3" t="str">
        <f t="shared" ref="C3465:C3496" si="136">"BRASIL"</f>
        <v>BRASIL</v>
      </c>
      <c r="D3465" s="4" t="str">
        <f>"MG517"</f>
        <v>MG517</v>
      </c>
    </row>
    <row r="3466" spans="1:4" x14ac:dyDescent="0.3">
      <c r="A3466" s="2" t="str">
        <f>"NIOAQUE"</f>
        <v>NIOAQUE</v>
      </c>
      <c r="B3466" s="3" t="str">
        <f>"MS"</f>
        <v>MS</v>
      </c>
      <c r="C3466" s="3" t="str">
        <f t="shared" si="136"/>
        <v>BRASIL</v>
      </c>
      <c r="D3466" s="4" t="str">
        <f>"MS054"</f>
        <v>MS054</v>
      </c>
    </row>
    <row r="3467" spans="1:4" x14ac:dyDescent="0.3">
      <c r="A3467" s="2" t="str">
        <f>"NIPOA"</f>
        <v>NIPOA</v>
      </c>
      <c r="B3467" s="3" t="str">
        <f>"SP"</f>
        <v>SP</v>
      </c>
      <c r="C3467" s="3" t="str">
        <f t="shared" si="136"/>
        <v>BRASIL</v>
      </c>
      <c r="D3467" s="4" t="str">
        <f>"SP367"</f>
        <v>SP367</v>
      </c>
    </row>
    <row r="3468" spans="1:4" x14ac:dyDescent="0.3">
      <c r="A3468" s="2" t="str">
        <f>"NIQUELANDIA"</f>
        <v>NIQUELANDIA</v>
      </c>
      <c r="B3468" s="3" t="str">
        <f>"GO"</f>
        <v>GO</v>
      </c>
      <c r="C3468" s="3" t="str">
        <f t="shared" si="136"/>
        <v>BRASIL</v>
      </c>
      <c r="D3468" s="4" t="str">
        <f>"GO158"</f>
        <v>GO158</v>
      </c>
    </row>
    <row r="3469" spans="1:4" x14ac:dyDescent="0.3">
      <c r="A3469" s="2" t="str">
        <f>"NISIA FLORESTA"</f>
        <v>NISIA FLORESTA</v>
      </c>
      <c r="B3469" s="3" t="str">
        <f>"RN"</f>
        <v>RN</v>
      </c>
      <c r="C3469" s="3" t="str">
        <f t="shared" si="136"/>
        <v>BRASIL</v>
      </c>
      <c r="D3469" s="4" t="str">
        <f>"RN090"</f>
        <v>RN090</v>
      </c>
    </row>
    <row r="3470" spans="1:4" x14ac:dyDescent="0.3">
      <c r="A3470" s="2" t="str">
        <f>"NITEROI"</f>
        <v>NITEROI</v>
      </c>
      <c r="B3470" s="3" t="str">
        <f>"RJ"</f>
        <v>RJ</v>
      </c>
      <c r="C3470" s="3" t="str">
        <f t="shared" si="136"/>
        <v>BRASIL</v>
      </c>
      <c r="D3470" s="4" t="str">
        <f>"RJ048"</f>
        <v>RJ048</v>
      </c>
    </row>
    <row r="3471" spans="1:4" x14ac:dyDescent="0.3">
      <c r="A3471" s="2" t="str">
        <f>"NOBRES"</f>
        <v>NOBRES</v>
      </c>
      <c r="B3471" s="3" t="str">
        <f>"MT"</f>
        <v>MT</v>
      </c>
      <c r="C3471" s="3" t="str">
        <f t="shared" si="136"/>
        <v>BRASIL</v>
      </c>
      <c r="D3471" s="4" t="str">
        <f>"MT069"</f>
        <v>MT069</v>
      </c>
    </row>
    <row r="3472" spans="1:4" x14ac:dyDescent="0.3">
      <c r="A3472" s="2" t="str">
        <f>"NONOAI"</f>
        <v>NONOAI</v>
      </c>
      <c r="B3472" s="3" t="str">
        <f>"RS"</f>
        <v>RS</v>
      </c>
      <c r="C3472" s="3" t="str">
        <f t="shared" si="136"/>
        <v>BRASIL</v>
      </c>
      <c r="D3472" s="4" t="str">
        <f>"RS270"</f>
        <v>RS270</v>
      </c>
    </row>
    <row r="3473" spans="1:4" x14ac:dyDescent="0.3">
      <c r="A3473" s="2" t="str">
        <f>"NORDESTINA"</f>
        <v>NORDESTINA</v>
      </c>
      <c r="B3473" s="3" t="str">
        <f>"BA"</f>
        <v>BA</v>
      </c>
      <c r="C3473" s="3" t="str">
        <f t="shared" si="136"/>
        <v>BRASIL</v>
      </c>
      <c r="D3473" s="4" t="str">
        <f>"BA274"</f>
        <v>BA274</v>
      </c>
    </row>
    <row r="3474" spans="1:4" x14ac:dyDescent="0.3">
      <c r="A3474" s="2" t="str">
        <f>"NORMANDIA"</f>
        <v>NORMANDIA</v>
      </c>
      <c r="B3474" s="3" t="str">
        <f>"RR"</f>
        <v>RR</v>
      </c>
      <c r="C3474" s="3" t="str">
        <f t="shared" si="136"/>
        <v>BRASIL</v>
      </c>
      <c r="D3474" s="4" t="str">
        <f>"RR010"</f>
        <v>RR010</v>
      </c>
    </row>
    <row r="3475" spans="1:4" x14ac:dyDescent="0.3">
      <c r="A3475" s="2" t="str">
        <f>"NORTELANDIA"</f>
        <v>NORTELANDIA</v>
      </c>
      <c r="B3475" s="3" t="str">
        <f>"MT"</f>
        <v>MT</v>
      </c>
      <c r="C3475" s="3" t="str">
        <f t="shared" si="136"/>
        <v>BRASIL</v>
      </c>
      <c r="D3475" s="4" t="str">
        <f>"MT070"</f>
        <v>MT070</v>
      </c>
    </row>
    <row r="3476" spans="1:4" x14ac:dyDescent="0.3">
      <c r="A3476" s="2" t="str">
        <f>"NOSSA SENHORA APARECIDA"</f>
        <v>NOSSA SENHORA APARECIDA</v>
      </c>
      <c r="B3476" s="3" t="str">
        <f>"SE"</f>
        <v>SE</v>
      </c>
      <c r="C3476" s="3" t="str">
        <f t="shared" si="136"/>
        <v>BRASIL</v>
      </c>
      <c r="D3476" s="4" t="str">
        <f>"SE043"</f>
        <v>SE043</v>
      </c>
    </row>
    <row r="3477" spans="1:4" x14ac:dyDescent="0.3">
      <c r="A3477" s="2" t="str">
        <f>"NOSSA SENHORA DA GLORIA"</f>
        <v>NOSSA SENHORA DA GLORIA</v>
      </c>
      <c r="B3477" s="3" t="str">
        <f>"SE"</f>
        <v>SE</v>
      </c>
      <c r="C3477" s="3" t="str">
        <f t="shared" si="136"/>
        <v>BRASIL</v>
      </c>
      <c r="D3477" s="4" t="str">
        <f>"SE044"</f>
        <v>SE044</v>
      </c>
    </row>
    <row r="3478" spans="1:4" x14ac:dyDescent="0.3">
      <c r="A3478" s="2" t="str">
        <f>"NOSSA SENHORA DAS DORES"</f>
        <v>NOSSA SENHORA DAS DORES</v>
      </c>
      <c r="B3478" s="3" t="str">
        <f>"SE"</f>
        <v>SE</v>
      </c>
      <c r="C3478" s="3" t="str">
        <f t="shared" si="136"/>
        <v>BRASIL</v>
      </c>
      <c r="D3478" s="4" t="str">
        <f>"SE045"</f>
        <v>SE045</v>
      </c>
    </row>
    <row r="3479" spans="1:4" x14ac:dyDescent="0.3">
      <c r="A3479" s="2" t="str">
        <f>"NOSSA SENHORA DAS GRACAS"</f>
        <v>NOSSA SENHORA DAS GRACAS</v>
      </c>
      <c r="B3479" s="3" t="str">
        <f>"PR"</f>
        <v>PR</v>
      </c>
      <c r="C3479" s="3" t="str">
        <f t="shared" si="136"/>
        <v>BRASIL</v>
      </c>
      <c r="D3479" s="4" t="str">
        <f>"PR227"</f>
        <v>PR227</v>
      </c>
    </row>
    <row r="3480" spans="1:4" x14ac:dyDescent="0.3">
      <c r="A3480" s="2" t="str">
        <f>"NOSSA SENHORA DE LOURDES"</f>
        <v>NOSSA SENHORA DE LOURDES</v>
      </c>
      <c r="B3480" s="3" t="str">
        <f>"SE"</f>
        <v>SE</v>
      </c>
      <c r="C3480" s="3" t="str">
        <f t="shared" si="136"/>
        <v>BRASIL</v>
      </c>
      <c r="D3480" s="4" t="str">
        <f>"SE046"</f>
        <v>SE046</v>
      </c>
    </row>
    <row r="3481" spans="1:4" x14ac:dyDescent="0.3">
      <c r="A3481" s="2" t="str">
        <f>"NOSSA SENHORA DE NAZARE"</f>
        <v>NOSSA SENHORA DE NAZARE</v>
      </c>
      <c r="B3481" s="3" t="str">
        <f>"PI"</f>
        <v>PI</v>
      </c>
      <c r="C3481" s="3" t="str">
        <f t="shared" si="136"/>
        <v>BRASIL</v>
      </c>
      <c r="D3481" s="4" t="str">
        <f>"PI137"</f>
        <v>PI137</v>
      </c>
    </row>
    <row r="3482" spans="1:4" x14ac:dyDescent="0.3">
      <c r="A3482" s="2" t="str">
        <f>"NOSSA SENHORA DO LIVRAMEN"</f>
        <v>NOSSA SENHORA DO LIVRAMEN</v>
      </c>
      <c r="B3482" s="3" t="str">
        <f>"MT"</f>
        <v>MT</v>
      </c>
      <c r="C3482" s="3" t="str">
        <f t="shared" si="136"/>
        <v>BRASIL</v>
      </c>
      <c r="D3482" s="4" t="str">
        <f>"MT071"</f>
        <v>MT071</v>
      </c>
    </row>
    <row r="3483" spans="1:4" x14ac:dyDescent="0.3">
      <c r="A3483" s="2" t="str">
        <f>"NOSSA SENHORA DO SOCORRO"</f>
        <v>NOSSA SENHORA DO SOCORRO</v>
      </c>
      <c r="B3483" s="3" t="str">
        <f>"SE"</f>
        <v>SE</v>
      </c>
      <c r="C3483" s="3" t="str">
        <f t="shared" si="136"/>
        <v>BRASIL</v>
      </c>
      <c r="D3483" s="4" t="str">
        <f>"SE047"</f>
        <v>SE047</v>
      </c>
    </row>
    <row r="3484" spans="1:4" x14ac:dyDescent="0.3">
      <c r="A3484" s="2" t="str">
        <f>"NOSSA SENHORA DOS REMEDIO"</f>
        <v>NOSSA SENHORA DOS REMEDIO</v>
      </c>
      <c r="B3484" s="3" t="str">
        <f>"PI"</f>
        <v>PI</v>
      </c>
      <c r="C3484" s="3" t="str">
        <f t="shared" si="136"/>
        <v>BRASIL</v>
      </c>
      <c r="D3484" s="4" t="str">
        <f>"PI138"</f>
        <v>PI138</v>
      </c>
    </row>
    <row r="3485" spans="1:4" x14ac:dyDescent="0.3">
      <c r="A3485" s="2" t="str">
        <f>"NOVA ALIANCA"</f>
        <v>NOVA ALIANCA</v>
      </c>
      <c r="B3485" s="3" t="str">
        <f>"SP"</f>
        <v>SP</v>
      </c>
      <c r="C3485" s="3" t="str">
        <f t="shared" si="136"/>
        <v>BRASIL</v>
      </c>
      <c r="D3485" s="4" t="str">
        <f>"SP368"</f>
        <v>SP368</v>
      </c>
    </row>
    <row r="3486" spans="1:4" x14ac:dyDescent="0.3">
      <c r="A3486" s="2" t="str">
        <f>"NOVA ALIANCA DO IVAI"</f>
        <v>NOVA ALIANCA DO IVAI</v>
      </c>
      <c r="B3486" s="3" t="str">
        <f>"PR"</f>
        <v>PR</v>
      </c>
      <c r="C3486" s="3" t="str">
        <f t="shared" si="136"/>
        <v>BRASIL</v>
      </c>
      <c r="D3486" s="4" t="str">
        <f>"PR228"</f>
        <v>PR228</v>
      </c>
    </row>
    <row r="3487" spans="1:4" x14ac:dyDescent="0.3">
      <c r="A3487" s="2" t="str">
        <f>"NOVA ALVORADA"</f>
        <v>NOVA ALVORADA</v>
      </c>
      <c r="B3487" s="3" t="str">
        <f>"RS"</f>
        <v>RS</v>
      </c>
      <c r="C3487" s="3" t="str">
        <f t="shared" si="136"/>
        <v>BRASIL</v>
      </c>
      <c r="D3487" s="4" t="str">
        <f>"RS271"</f>
        <v>RS271</v>
      </c>
    </row>
    <row r="3488" spans="1:4" x14ac:dyDescent="0.3">
      <c r="A3488" s="2" t="str">
        <f>"NOVA ALVORADA DO SUL"</f>
        <v>NOVA ALVORADA DO SUL</v>
      </c>
      <c r="B3488" s="3" t="str">
        <f>"MS"</f>
        <v>MS</v>
      </c>
      <c r="C3488" s="3" t="str">
        <f t="shared" si="136"/>
        <v>BRASIL</v>
      </c>
      <c r="D3488" s="4" t="str">
        <f>"MS055"</f>
        <v>MS055</v>
      </c>
    </row>
    <row r="3489" spans="1:4" x14ac:dyDescent="0.3">
      <c r="A3489" s="2" t="str">
        <f>"NOVA AMERICA"</f>
        <v>NOVA AMERICA</v>
      </c>
      <c r="B3489" s="3" t="str">
        <f>"GO"</f>
        <v>GO</v>
      </c>
      <c r="C3489" s="3" t="str">
        <f t="shared" si="136"/>
        <v>BRASIL</v>
      </c>
      <c r="D3489" s="4" t="str">
        <f>"GO159"</f>
        <v>GO159</v>
      </c>
    </row>
    <row r="3490" spans="1:4" x14ac:dyDescent="0.3">
      <c r="A3490" s="2" t="str">
        <f>"NOVA AMERICA DA COLINA"</f>
        <v>NOVA AMERICA DA COLINA</v>
      </c>
      <c r="B3490" s="3" t="str">
        <f>"PR"</f>
        <v>PR</v>
      </c>
      <c r="C3490" s="3" t="str">
        <f t="shared" si="136"/>
        <v>BRASIL</v>
      </c>
      <c r="D3490" s="4" t="str">
        <f>"PR229"</f>
        <v>PR229</v>
      </c>
    </row>
    <row r="3491" spans="1:4" x14ac:dyDescent="0.3">
      <c r="A3491" s="2" t="str">
        <f>"NOVA ANDRADINA"</f>
        <v>NOVA ANDRADINA</v>
      </c>
      <c r="B3491" s="3" t="str">
        <f>"MS"</f>
        <v>MS</v>
      </c>
      <c r="C3491" s="3" t="str">
        <f t="shared" si="136"/>
        <v>BRASIL</v>
      </c>
      <c r="D3491" s="4" t="str">
        <f>"MS056"</f>
        <v>MS056</v>
      </c>
    </row>
    <row r="3492" spans="1:4" x14ac:dyDescent="0.3">
      <c r="A3492" s="2" t="str">
        <f>"NOVA ARACA"</f>
        <v>NOVA ARACA</v>
      </c>
      <c r="B3492" s="3" t="str">
        <f>"RS"</f>
        <v>RS</v>
      </c>
      <c r="C3492" s="3" t="str">
        <f t="shared" si="136"/>
        <v>BRASIL</v>
      </c>
      <c r="D3492" s="4" t="str">
        <f>"RS272"</f>
        <v>RS272</v>
      </c>
    </row>
    <row r="3493" spans="1:4" x14ac:dyDescent="0.3">
      <c r="A3493" s="2" t="str">
        <f>"NOVA AURORA"</f>
        <v>NOVA AURORA</v>
      </c>
      <c r="B3493" s="3" t="str">
        <f>"GO"</f>
        <v>GO</v>
      </c>
      <c r="C3493" s="3" t="str">
        <f t="shared" si="136"/>
        <v>BRASIL</v>
      </c>
      <c r="D3493" s="4" t="str">
        <f>"GO160"</f>
        <v>GO160</v>
      </c>
    </row>
    <row r="3494" spans="1:4" x14ac:dyDescent="0.3">
      <c r="A3494" s="2" t="str">
        <f>"NOVA AURORA"</f>
        <v>NOVA AURORA</v>
      </c>
      <c r="B3494" s="3" t="str">
        <f>"PR"</f>
        <v>PR</v>
      </c>
      <c r="C3494" s="3" t="str">
        <f t="shared" si="136"/>
        <v>BRASIL</v>
      </c>
      <c r="D3494" s="4" t="str">
        <f>"PR230"</f>
        <v>PR230</v>
      </c>
    </row>
    <row r="3495" spans="1:4" x14ac:dyDescent="0.3">
      <c r="A3495" s="2" t="str">
        <f>"NOVA BANDEIRANTES"</f>
        <v>NOVA BANDEIRANTES</v>
      </c>
      <c r="B3495" s="3" t="str">
        <f>"MT"</f>
        <v>MT</v>
      </c>
      <c r="C3495" s="3" t="str">
        <f t="shared" si="136"/>
        <v>BRASIL</v>
      </c>
      <c r="D3495" s="4" t="str">
        <f>"MT072"</f>
        <v>MT072</v>
      </c>
    </row>
    <row r="3496" spans="1:4" x14ac:dyDescent="0.3">
      <c r="A3496" s="2" t="str">
        <f>"NOVA BASSANO"</f>
        <v>NOVA BASSANO</v>
      </c>
      <c r="B3496" s="3" t="str">
        <f>"RS"</f>
        <v>RS</v>
      </c>
      <c r="C3496" s="3" t="str">
        <f t="shared" si="136"/>
        <v>BRASIL</v>
      </c>
      <c r="D3496" s="4" t="str">
        <f>"RS273"</f>
        <v>RS273</v>
      </c>
    </row>
    <row r="3497" spans="1:4" x14ac:dyDescent="0.3">
      <c r="A3497" s="2" t="str">
        <f>"NOVA BELEM"</f>
        <v>NOVA BELEM</v>
      </c>
      <c r="B3497" s="3" t="str">
        <f>"MG"</f>
        <v>MG</v>
      </c>
      <c r="C3497" s="3" t="str">
        <f t="shared" ref="C3497:C3528" si="137">"BRASIL"</f>
        <v>BRASIL</v>
      </c>
      <c r="D3497" s="4" t="str">
        <f>"MG518"</f>
        <v>MG518</v>
      </c>
    </row>
    <row r="3498" spans="1:4" x14ac:dyDescent="0.3">
      <c r="A3498" s="2" t="str">
        <f>"NOVA BOA VISTA"</f>
        <v>NOVA BOA VISTA</v>
      </c>
      <c r="B3498" s="3" t="str">
        <f>"RS"</f>
        <v>RS</v>
      </c>
      <c r="C3498" s="3" t="str">
        <f t="shared" si="137"/>
        <v>BRASIL</v>
      </c>
      <c r="D3498" s="4" t="str">
        <f>"RS274"</f>
        <v>RS274</v>
      </c>
    </row>
    <row r="3499" spans="1:4" x14ac:dyDescent="0.3">
      <c r="A3499" s="2" t="str">
        <f>"NOVA BRASILANDIA"</f>
        <v>NOVA BRASILANDIA</v>
      </c>
      <c r="B3499" s="3" t="str">
        <f>"MT"</f>
        <v>MT</v>
      </c>
      <c r="C3499" s="3" t="str">
        <f t="shared" si="137"/>
        <v>BRASIL</v>
      </c>
      <c r="D3499" s="4" t="str">
        <f>"MT076"</f>
        <v>MT076</v>
      </c>
    </row>
    <row r="3500" spans="1:4" x14ac:dyDescent="0.3">
      <c r="A3500" s="2" t="str">
        <f>"NOVA BRASILANDIA D'OESTE"</f>
        <v>NOVA BRASILANDIA D'OESTE</v>
      </c>
      <c r="B3500" s="3" t="str">
        <f>"RO"</f>
        <v>RO</v>
      </c>
      <c r="C3500" s="3" t="str">
        <f t="shared" si="137"/>
        <v>BRASIL</v>
      </c>
      <c r="D3500" s="4" t="str">
        <f>"RO014"</f>
        <v>RO014</v>
      </c>
    </row>
    <row r="3501" spans="1:4" x14ac:dyDescent="0.3">
      <c r="A3501" s="2" t="str">
        <f>"NOVA BRESCIA"</f>
        <v>NOVA BRESCIA</v>
      </c>
      <c r="B3501" s="3" t="str">
        <f>"RS"</f>
        <v>RS</v>
      </c>
      <c r="C3501" s="3" t="str">
        <f t="shared" si="137"/>
        <v>BRASIL</v>
      </c>
      <c r="D3501" s="4" t="str">
        <f>"RS275"</f>
        <v>RS275</v>
      </c>
    </row>
    <row r="3502" spans="1:4" x14ac:dyDescent="0.3">
      <c r="A3502" s="2" t="str">
        <f>"NOVA CAMPINA"</f>
        <v>NOVA CAMPINA</v>
      </c>
      <c r="B3502" s="3" t="str">
        <f>"SP"</f>
        <v>SP</v>
      </c>
      <c r="C3502" s="3" t="str">
        <f t="shared" si="137"/>
        <v>BRASIL</v>
      </c>
      <c r="D3502" s="4" t="str">
        <f>"SP369"</f>
        <v>SP369</v>
      </c>
    </row>
    <row r="3503" spans="1:4" x14ac:dyDescent="0.3">
      <c r="A3503" s="2" t="str">
        <f>"NOVA CANAA"</f>
        <v>NOVA CANAA</v>
      </c>
      <c r="B3503" s="3" t="str">
        <f>"BA"</f>
        <v>BA</v>
      </c>
      <c r="C3503" s="3" t="str">
        <f t="shared" si="137"/>
        <v>BRASIL</v>
      </c>
      <c r="D3503" s="4" t="str">
        <f>"BA275"</f>
        <v>BA275</v>
      </c>
    </row>
    <row r="3504" spans="1:4" x14ac:dyDescent="0.3">
      <c r="A3504" s="2" t="str">
        <f>"NOVA CANAA DO NORTE"</f>
        <v>NOVA CANAA DO NORTE</v>
      </c>
      <c r="B3504" s="3" t="str">
        <f>"MT"</f>
        <v>MT</v>
      </c>
      <c r="C3504" s="3" t="str">
        <f t="shared" si="137"/>
        <v>BRASIL</v>
      </c>
      <c r="D3504" s="4" t="str">
        <f>"MT077"</f>
        <v>MT077</v>
      </c>
    </row>
    <row r="3505" spans="1:4" x14ac:dyDescent="0.3">
      <c r="A3505" s="2" t="str">
        <f>"NOVA CANAA PAULISTA"</f>
        <v>NOVA CANAA PAULISTA</v>
      </c>
      <c r="B3505" s="3" t="str">
        <f>"SP"</f>
        <v>SP</v>
      </c>
      <c r="C3505" s="3" t="str">
        <f t="shared" si="137"/>
        <v>BRASIL</v>
      </c>
      <c r="D3505" s="4" t="str">
        <f>"SP370"</f>
        <v>SP370</v>
      </c>
    </row>
    <row r="3506" spans="1:4" x14ac:dyDescent="0.3">
      <c r="A3506" s="2" t="str">
        <f>"NOVA CANDELARIA"</f>
        <v>NOVA CANDELARIA</v>
      </c>
      <c r="B3506" s="3" t="str">
        <f>"RS"</f>
        <v>RS</v>
      </c>
      <c r="C3506" s="3" t="str">
        <f t="shared" si="137"/>
        <v>BRASIL</v>
      </c>
      <c r="D3506" s="4" t="str">
        <f>"RS276"</f>
        <v>RS276</v>
      </c>
    </row>
    <row r="3507" spans="1:4" x14ac:dyDescent="0.3">
      <c r="A3507" s="2" t="str">
        <f>"NOVA CANTU"</f>
        <v>NOVA CANTU</v>
      </c>
      <c r="B3507" s="3" t="str">
        <f>"PR"</f>
        <v>PR</v>
      </c>
      <c r="C3507" s="3" t="str">
        <f t="shared" si="137"/>
        <v>BRASIL</v>
      </c>
      <c r="D3507" s="4" t="str">
        <f>"PR231"</f>
        <v>PR231</v>
      </c>
    </row>
    <row r="3508" spans="1:4" x14ac:dyDescent="0.3">
      <c r="A3508" s="2" t="str">
        <f>"NOVA CASTILHO"</f>
        <v>NOVA CASTILHO</v>
      </c>
      <c r="B3508" s="3" t="str">
        <f>"SP"</f>
        <v>SP</v>
      </c>
      <c r="C3508" s="3" t="str">
        <f t="shared" si="137"/>
        <v>BRASIL</v>
      </c>
      <c r="D3508" s="4" t="str">
        <f>"SP371"</f>
        <v>SP371</v>
      </c>
    </row>
    <row r="3509" spans="1:4" x14ac:dyDescent="0.3">
      <c r="A3509" s="2" t="str">
        <f>"NOVA COLINAS"</f>
        <v>NOVA COLINAS</v>
      </c>
      <c r="B3509" s="3" t="str">
        <f>"MA"</f>
        <v>MA</v>
      </c>
      <c r="C3509" s="3" t="str">
        <f t="shared" si="137"/>
        <v>BRASIL</v>
      </c>
      <c r="D3509" s="4" t="str">
        <f>"MA125"</f>
        <v>MA125</v>
      </c>
    </row>
    <row r="3510" spans="1:4" x14ac:dyDescent="0.3">
      <c r="A3510" s="2" t="str">
        <f>"NOVA CRIXAS"</f>
        <v>NOVA CRIXAS</v>
      </c>
      <c r="B3510" s="3" t="str">
        <f>"GO"</f>
        <v>GO</v>
      </c>
      <c r="C3510" s="3" t="str">
        <f t="shared" si="137"/>
        <v>BRASIL</v>
      </c>
      <c r="D3510" s="4" t="str">
        <f>"GO161"</f>
        <v>GO161</v>
      </c>
    </row>
    <row r="3511" spans="1:4" x14ac:dyDescent="0.3">
      <c r="A3511" s="2" t="str">
        <f>"NOVA CRUZ"</f>
        <v>NOVA CRUZ</v>
      </c>
      <c r="B3511" s="3" t="str">
        <f>"RN"</f>
        <v>RN</v>
      </c>
      <c r="C3511" s="3" t="str">
        <f t="shared" si="137"/>
        <v>BRASIL</v>
      </c>
      <c r="D3511" s="4" t="str">
        <f>"RN091"</f>
        <v>RN091</v>
      </c>
    </row>
    <row r="3512" spans="1:4" x14ac:dyDescent="0.3">
      <c r="A3512" s="2" t="str">
        <f>"NOVA ERA"</f>
        <v>NOVA ERA</v>
      </c>
      <c r="B3512" s="3" t="str">
        <f>"MG"</f>
        <v>MG</v>
      </c>
      <c r="C3512" s="3" t="str">
        <f t="shared" si="137"/>
        <v>BRASIL</v>
      </c>
      <c r="D3512" s="4" t="str">
        <f>"MG519"</f>
        <v>MG519</v>
      </c>
    </row>
    <row r="3513" spans="1:4" x14ac:dyDescent="0.3">
      <c r="A3513" s="2" t="str">
        <f>"NOVA ERECHIM"</f>
        <v>NOVA ERECHIM</v>
      </c>
      <c r="B3513" s="3" t="str">
        <f>"SC"</f>
        <v>SC</v>
      </c>
      <c r="C3513" s="3" t="str">
        <f t="shared" si="137"/>
        <v>BRASIL</v>
      </c>
      <c r="D3513" s="4" t="str">
        <f>"SC170"</f>
        <v>SC170</v>
      </c>
    </row>
    <row r="3514" spans="1:4" x14ac:dyDescent="0.3">
      <c r="A3514" s="2" t="str">
        <f>"NOVA ESPERANCA"</f>
        <v>NOVA ESPERANCA</v>
      </c>
      <c r="B3514" s="3" t="str">
        <f>"PR"</f>
        <v>PR</v>
      </c>
      <c r="C3514" s="3" t="str">
        <f t="shared" si="137"/>
        <v>BRASIL</v>
      </c>
      <c r="D3514" s="4" t="str">
        <f>"PR232"</f>
        <v>PR232</v>
      </c>
    </row>
    <row r="3515" spans="1:4" x14ac:dyDescent="0.3">
      <c r="A3515" s="2" t="str">
        <f>"NOVA ESPERANCA DO PIRIA"</f>
        <v>NOVA ESPERANCA DO PIRIA</v>
      </c>
      <c r="B3515" s="3" t="str">
        <f>"PA"</f>
        <v>PA</v>
      </c>
      <c r="C3515" s="3" t="str">
        <f t="shared" si="137"/>
        <v>BRASIL</v>
      </c>
      <c r="D3515" s="4" t="str">
        <f>"PA076"</f>
        <v>PA076</v>
      </c>
    </row>
    <row r="3516" spans="1:4" x14ac:dyDescent="0.3">
      <c r="A3516" s="2" t="str">
        <f>"NOVA ESPERANCA DO SUDOEST"</f>
        <v>NOVA ESPERANCA DO SUDOEST</v>
      </c>
      <c r="B3516" s="3" t="str">
        <f>"PR"</f>
        <v>PR</v>
      </c>
      <c r="C3516" s="3" t="str">
        <f t="shared" si="137"/>
        <v>BRASIL</v>
      </c>
      <c r="D3516" s="4" t="str">
        <f>"PR233"</f>
        <v>PR233</v>
      </c>
    </row>
    <row r="3517" spans="1:4" x14ac:dyDescent="0.3">
      <c r="A3517" s="2" t="str">
        <f>"NOVA ESPERANCA DO SUL"</f>
        <v>NOVA ESPERANCA DO SUL</v>
      </c>
      <c r="B3517" s="3" t="str">
        <f>"RS"</f>
        <v>RS</v>
      </c>
      <c r="C3517" s="3" t="str">
        <f t="shared" si="137"/>
        <v>BRASIL</v>
      </c>
      <c r="D3517" s="4" t="str">
        <f>"RS277"</f>
        <v>RS277</v>
      </c>
    </row>
    <row r="3518" spans="1:4" x14ac:dyDescent="0.3">
      <c r="A3518" s="2" t="str">
        <f>"NOVA EUROPA"</f>
        <v>NOVA EUROPA</v>
      </c>
      <c r="B3518" s="3" t="str">
        <f>"SP"</f>
        <v>SP</v>
      </c>
      <c r="C3518" s="3" t="str">
        <f t="shared" si="137"/>
        <v>BRASIL</v>
      </c>
      <c r="D3518" s="4" t="str">
        <f>"SP372"</f>
        <v>SP372</v>
      </c>
    </row>
    <row r="3519" spans="1:4" x14ac:dyDescent="0.3">
      <c r="A3519" s="2" t="str">
        <f>"NOVA FATIMA"</f>
        <v>NOVA FATIMA</v>
      </c>
      <c r="B3519" s="3" t="str">
        <f>"BA"</f>
        <v>BA</v>
      </c>
      <c r="C3519" s="3" t="str">
        <f t="shared" si="137"/>
        <v>BRASIL</v>
      </c>
      <c r="D3519" s="4" t="str">
        <f>"BA276"</f>
        <v>BA276</v>
      </c>
    </row>
    <row r="3520" spans="1:4" x14ac:dyDescent="0.3">
      <c r="A3520" s="2" t="str">
        <f>"NOVA FATIMA"</f>
        <v>NOVA FATIMA</v>
      </c>
      <c r="B3520" s="3" t="str">
        <f>"PR"</f>
        <v>PR</v>
      </c>
      <c r="C3520" s="3" t="str">
        <f t="shared" si="137"/>
        <v>BRASIL</v>
      </c>
      <c r="D3520" s="4" t="str">
        <f>"PR234"</f>
        <v>PR234</v>
      </c>
    </row>
    <row r="3521" spans="1:4" x14ac:dyDescent="0.3">
      <c r="A3521" s="2" t="str">
        <f>"NOVA FLORESTA"</f>
        <v>NOVA FLORESTA</v>
      </c>
      <c r="B3521" s="3" t="str">
        <f>"PB"</f>
        <v>PB</v>
      </c>
      <c r="C3521" s="3" t="str">
        <f t="shared" si="137"/>
        <v>BRASIL</v>
      </c>
      <c r="D3521" s="4" t="str">
        <f>"PB128"</f>
        <v>PB128</v>
      </c>
    </row>
    <row r="3522" spans="1:4" x14ac:dyDescent="0.3">
      <c r="A3522" s="2" t="str">
        <f>"NOVA FRIBURGO"</f>
        <v>NOVA FRIBURGO</v>
      </c>
      <c r="B3522" s="3" t="str">
        <f>"RJ"</f>
        <v>RJ</v>
      </c>
      <c r="C3522" s="3" t="str">
        <f t="shared" si="137"/>
        <v>BRASIL</v>
      </c>
      <c r="D3522" s="4" t="str">
        <f>"RJ049"</f>
        <v>RJ049</v>
      </c>
    </row>
    <row r="3523" spans="1:4" x14ac:dyDescent="0.3">
      <c r="A3523" s="2" t="str">
        <f>"NOVA GLORIA"</f>
        <v>NOVA GLORIA</v>
      </c>
      <c r="B3523" s="3" t="str">
        <f>"GO"</f>
        <v>GO</v>
      </c>
      <c r="C3523" s="3" t="str">
        <f t="shared" si="137"/>
        <v>BRASIL</v>
      </c>
      <c r="D3523" s="4" t="str">
        <f>"GO162"</f>
        <v>GO162</v>
      </c>
    </row>
    <row r="3524" spans="1:4" x14ac:dyDescent="0.3">
      <c r="A3524" s="2" t="str">
        <f>"NOVA GRANADA"</f>
        <v>NOVA GRANADA</v>
      </c>
      <c r="B3524" s="3" t="str">
        <f>"SP"</f>
        <v>SP</v>
      </c>
      <c r="C3524" s="3" t="str">
        <f t="shared" si="137"/>
        <v>BRASIL</v>
      </c>
      <c r="D3524" s="4" t="str">
        <f>"SP373"</f>
        <v>SP373</v>
      </c>
    </row>
    <row r="3525" spans="1:4" x14ac:dyDescent="0.3">
      <c r="A3525" s="2" t="str">
        <f>"NOVA GUARITA"</f>
        <v>NOVA GUARITA</v>
      </c>
      <c r="B3525" s="3" t="str">
        <f>"MT"</f>
        <v>MT</v>
      </c>
      <c r="C3525" s="3" t="str">
        <f t="shared" si="137"/>
        <v>BRASIL</v>
      </c>
      <c r="D3525" s="4" t="str">
        <f>"MT138"</f>
        <v>MT138</v>
      </c>
    </row>
    <row r="3526" spans="1:4" x14ac:dyDescent="0.3">
      <c r="A3526" s="2" t="str">
        <f>"NOVA GUATAPORANGA"</f>
        <v>NOVA GUATAPORANGA</v>
      </c>
      <c r="B3526" s="3" t="str">
        <f>"SP"</f>
        <v>SP</v>
      </c>
      <c r="C3526" s="3" t="str">
        <f t="shared" si="137"/>
        <v>BRASIL</v>
      </c>
      <c r="D3526" s="4" t="str">
        <f>"SP374"</f>
        <v>SP374</v>
      </c>
    </row>
    <row r="3527" spans="1:4" x14ac:dyDescent="0.3">
      <c r="A3527" s="2" t="str">
        <f>"NOVA HARTZ"</f>
        <v>NOVA HARTZ</v>
      </c>
      <c r="B3527" s="3" t="str">
        <f>"RS"</f>
        <v>RS</v>
      </c>
      <c r="C3527" s="3" t="str">
        <f t="shared" si="137"/>
        <v>BRASIL</v>
      </c>
      <c r="D3527" s="4" t="str">
        <f>"RS278"</f>
        <v>RS278</v>
      </c>
    </row>
    <row r="3528" spans="1:4" x14ac:dyDescent="0.3">
      <c r="A3528" s="2" t="str">
        <f>"NOVA IBIA"</f>
        <v>NOVA IBIA</v>
      </c>
      <c r="B3528" s="3" t="str">
        <f>"BA"</f>
        <v>BA</v>
      </c>
      <c r="C3528" s="3" t="str">
        <f t="shared" si="137"/>
        <v>BRASIL</v>
      </c>
      <c r="D3528" s="4" t="str">
        <f>"BA277"</f>
        <v>BA277</v>
      </c>
    </row>
    <row r="3529" spans="1:4" x14ac:dyDescent="0.3">
      <c r="A3529" s="2" t="str">
        <f>"NOVA IGUACU"</f>
        <v>NOVA IGUACU</v>
      </c>
      <c r="B3529" s="3" t="str">
        <f>"RJ"</f>
        <v>RJ</v>
      </c>
      <c r="C3529" s="3" t="str">
        <f t="shared" ref="C3529:C3560" si="138">"BRASIL"</f>
        <v>BRASIL</v>
      </c>
      <c r="D3529" s="4" t="str">
        <f>"RJ050"</f>
        <v>RJ050</v>
      </c>
    </row>
    <row r="3530" spans="1:4" x14ac:dyDescent="0.3">
      <c r="A3530" s="2" t="str">
        <f>"NOVA IGUACU DE GOIAS"</f>
        <v>NOVA IGUACU DE GOIAS</v>
      </c>
      <c r="B3530" s="3" t="str">
        <f>"GO"</f>
        <v>GO</v>
      </c>
      <c r="C3530" s="3" t="str">
        <f t="shared" si="138"/>
        <v>BRASIL</v>
      </c>
      <c r="D3530" s="4" t="str">
        <f>"GO163"</f>
        <v>GO163</v>
      </c>
    </row>
    <row r="3531" spans="1:4" x14ac:dyDescent="0.3">
      <c r="A3531" s="2" t="str">
        <f>"NOVA INDEPENDENCIA"</f>
        <v>NOVA INDEPENDENCIA</v>
      </c>
      <c r="B3531" s="3" t="str">
        <f>"SP"</f>
        <v>SP</v>
      </c>
      <c r="C3531" s="3" t="str">
        <f t="shared" si="138"/>
        <v>BRASIL</v>
      </c>
      <c r="D3531" s="4" t="str">
        <f>"SP375"</f>
        <v>SP375</v>
      </c>
    </row>
    <row r="3532" spans="1:4" x14ac:dyDescent="0.3">
      <c r="A3532" s="2" t="str">
        <f>"NOVA IORQUE"</f>
        <v>NOVA IORQUE</v>
      </c>
      <c r="B3532" s="3" t="str">
        <f>"MA"</f>
        <v>MA</v>
      </c>
      <c r="C3532" s="3" t="str">
        <f t="shared" si="138"/>
        <v>BRASIL</v>
      </c>
      <c r="D3532" s="4" t="str">
        <f>"MA126"</f>
        <v>MA126</v>
      </c>
    </row>
    <row r="3533" spans="1:4" x14ac:dyDescent="0.3">
      <c r="A3533" s="2" t="str">
        <f>"NOVA IPIXUNA"</f>
        <v>NOVA IPIXUNA</v>
      </c>
      <c r="B3533" s="3" t="str">
        <f>"PA"</f>
        <v>PA</v>
      </c>
      <c r="C3533" s="3" t="str">
        <f t="shared" si="138"/>
        <v>BRASIL</v>
      </c>
      <c r="D3533" s="4" t="str">
        <f>"PA077"</f>
        <v>PA077</v>
      </c>
    </row>
    <row r="3534" spans="1:4" x14ac:dyDescent="0.3">
      <c r="A3534" s="2" t="str">
        <f>"NOVA ITABERABA"</f>
        <v>NOVA ITABERABA</v>
      </c>
      <c r="B3534" s="3" t="str">
        <f>"SC"</f>
        <v>SC</v>
      </c>
      <c r="C3534" s="3" t="str">
        <f t="shared" si="138"/>
        <v>BRASIL</v>
      </c>
      <c r="D3534" s="4" t="str">
        <f>"SC171"</f>
        <v>SC171</v>
      </c>
    </row>
    <row r="3535" spans="1:4" x14ac:dyDescent="0.3">
      <c r="A3535" s="2" t="str">
        <f>"NOVA ITARANA"</f>
        <v>NOVA ITARANA</v>
      </c>
      <c r="B3535" s="3" t="str">
        <f>"BA"</f>
        <v>BA</v>
      </c>
      <c r="C3535" s="3" t="str">
        <f t="shared" si="138"/>
        <v>BRASIL</v>
      </c>
      <c r="D3535" s="4" t="str">
        <f>"BA278"</f>
        <v>BA278</v>
      </c>
    </row>
    <row r="3536" spans="1:4" x14ac:dyDescent="0.3">
      <c r="A3536" s="2" t="str">
        <f>"NOVA LACERDA"</f>
        <v>NOVA LACERDA</v>
      </c>
      <c r="B3536" s="3" t="str">
        <f>"MT"</f>
        <v>MT</v>
      </c>
      <c r="C3536" s="3" t="str">
        <f t="shared" si="138"/>
        <v>BRASIL</v>
      </c>
      <c r="D3536" s="4" t="str">
        <f>"MT074"</f>
        <v>MT074</v>
      </c>
    </row>
    <row r="3537" spans="1:4" x14ac:dyDescent="0.3">
      <c r="A3537" s="2" t="str">
        <f>"NOVA LARANJEIRAS"</f>
        <v>NOVA LARANJEIRAS</v>
      </c>
      <c r="B3537" s="3" t="str">
        <f>"PR"</f>
        <v>PR</v>
      </c>
      <c r="C3537" s="3" t="str">
        <f t="shared" si="138"/>
        <v>BRASIL</v>
      </c>
      <c r="D3537" s="4" t="str">
        <f>"PR235"</f>
        <v>PR235</v>
      </c>
    </row>
    <row r="3538" spans="1:4" x14ac:dyDescent="0.3">
      <c r="A3538" s="2" t="str">
        <f>"NOVA LIMA"</f>
        <v>NOVA LIMA</v>
      </c>
      <c r="B3538" s="3" t="str">
        <f>"MG"</f>
        <v>MG</v>
      </c>
      <c r="C3538" s="3" t="str">
        <f t="shared" si="138"/>
        <v>BRASIL</v>
      </c>
      <c r="D3538" s="4" t="str">
        <f>"MG520"</f>
        <v>MG520</v>
      </c>
    </row>
    <row r="3539" spans="1:4" x14ac:dyDescent="0.3">
      <c r="A3539" s="2" t="str">
        <f>"NOVA LONDRINA"</f>
        <v>NOVA LONDRINA</v>
      </c>
      <c r="B3539" s="3" t="str">
        <f>"PR"</f>
        <v>PR</v>
      </c>
      <c r="C3539" s="3" t="str">
        <f t="shared" si="138"/>
        <v>BRASIL</v>
      </c>
      <c r="D3539" s="4" t="str">
        <f>"PR236"</f>
        <v>PR236</v>
      </c>
    </row>
    <row r="3540" spans="1:4" x14ac:dyDescent="0.3">
      <c r="A3540" s="2" t="str">
        <f>"NOVA LUZITANIA"</f>
        <v>NOVA LUZITANIA</v>
      </c>
      <c r="B3540" s="3" t="str">
        <f>"SP"</f>
        <v>SP</v>
      </c>
      <c r="C3540" s="3" t="str">
        <f t="shared" si="138"/>
        <v>BRASIL</v>
      </c>
      <c r="D3540" s="4" t="str">
        <f>"SP377"</f>
        <v>SP377</v>
      </c>
    </row>
    <row r="3541" spans="1:4" x14ac:dyDescent="0.3">
      <c r="A3541" s="2" t="str">
        <f>"NOVA MAMORE"</f>
        <v>NOVA MAMORE</v>
      </c>
      <c r="B3541" s="3" t="str">
        <f>"RO"</f>
        <v>RO</v>
      </c>
      <c r="C3541" s="3" t="str">
        <f t="shared" si="138"/>
        <v>BRASIL</v>
      </c>
      <c r="D3541" s="4" t="str">
        <f>"RO024"</f>
        <v>RO024</v>
      </c>
    </row>
    <row r="3542" spans="1:4" x14ac:dyDescent="0.3">
      <c r="A3542" s="2" t="str">
        <f>"NOVA MARILANDIA"</f>
        <v>NOVA MARILANDIA</v>
      </c>
      <c r="B3542" s="3" t="str">
        <f>"MT"</f>
        <v>MT</v>
      </c>
      <c r="C3542" s="3" t="str">
        <f t="shared" si="138"/>
        <v>BRASIL</v>
      </c>
      <c r="D3542" s="4" t="str">
        <f>"MT139"</f>
        <v>MT139</v>
      </c>
    </row>
    <row r="3543" spans="1:4" x14ac:dyDescent="0.3">
      <c r="A3543" s="2" t="str">
        <f>"NOVA MARINGA"</f>
        <v>NOVA MARINGA</v>
      </c>
      <c r="B3543" s="3" t="str">
        <f>"MT"</f>
        <v>MT</v>
      </c>
      <c r="C3543" s="3" t="str">
        <f t="shared" si="138"/>
        <v>BRASIL</v>
      </c>
      <c r="D3543" s="4" t="str">
        <f>"MT140"</f>
        <v>MT140</v>
      </c>
    </row>
    <row r="3544" spans="1:4" x14ac:dyDescent="0.3">
      <c r="A3544" s="2" t="str">
        <f>"NOVA MODICA"</f>
        <v>NOVA MODICA</v>
      </c>
      <c r="B3544" s="3" t="str">
        <f>"MG"</f>
        <v>MG</v>
      </c>
      <c r="C3544" s="3" t="str">
        <f t="shared" si="138"/>
        <v>BRASIL</v>
      </c>
      <c r="D3544" s="4" t="str">
        <f>"MG521"</f>
        <v>MG521</v>
      </c>
    </row>
    <row r="3545" spans="1:4" x14ac:dyDescent="0.3">
      <c r="A3545" s="2" t="str">
        <f>"NOVA MONTE VERDE"</f>
        <v>NOVA MONTE VERDE</v>
      </c>
      <c r="B3545" s="3" t="str">
        <f>"MT"</f>
        <v>MT</v>
      </c>
      <c r="C3545" s="3" t="str">
        <f t="shared" si="138"/>
        <v>BRASIL</v>
      </c>
      <c r="D3545" s="4" t="str">
        <f>"MT141"</f>
        <v>MT141</v>
      </c>
    </row>
    <row r="3546" spans="1:4" x14ac:dyDescent="0.3">
      <c r="A3546" s="2" t="str">
        <f>"NOVA MUTUM"</f>
        <v>NOVA MUTUM</v>
      </c>
      <c r="B3546" s="3" t="str">
        <f>"MT"</f>
        <v>MT</v>
      </c>
      <c r="C3546" s="3" t="str">
        <f t="shared" si="138"/>
        <v>BRASIL</v>
      </c>
      <c r="D3546" s="4" t="str">
        <f>"MT078"</f>
        <v>MT078</v>
      </c>
    </row>
    <row r="3547" spans="1:4" x14ac:dyDescent="0.3">
      <c r="A3547" s="2" t="str">
        <f>"NOVA NAZARE"</f>
        <v>NOVA NAZARE</v>
      </c>
      <c r="B3547" s="3" t="str">
        <f>"MT"</f>
        <v>MT</v>
      </c>
      <c r="C3547" s="3" t="str">
        <f t="shared" si="138"/>
        <v>BRASIL</v>
      </c>
      <c r="D3547" s="4" t="str">
        <f>"MT073"</f>
        <v>MT073</v>
      </c>
    </row>
    <row r="3548" spans="1:4" x14ac:dyDescent="0.3">
      <c r="A3548" s="2" t="str">
        <f>"NOVA ODESSA"</f>
        <v>NOVA ODESSA</v>
      </c>
      <c r="B3548" s="3" t="str">
        <f>"SP"</f>
        <v>SP</v>
      </c>
      <c r="C3548" s="3" t="str">
        <f t="shared" si="138"/>
        <v>BRASIL</v>
      </c>
      <c r="D3548" s="4" t="str">
        <f>"SP378"</f>
        <v>SP378</v>
      </c>
    </row>
    <row r="3549" spans="1:4" x14ac:dyDescent="0.3">
      <c r="A3549" s="2" t="str">
        <f>"NOVA OLIMPIA"</f>
        <v>NOVA OLIMPIA</v>
      </c>
      <c r="B3549" s="3" t="str">
        <f>"MT"</f>
        <v>MT</v>
      </c>
      <c r="C3549" s="3" t="str">
        <f t="shared" si="138"/>
        <v>BRASIL</v>
      </c>
      <c r="D3549" s="4" t="str">
        <f>"MT079"</f>
        <v>MT079</v>
      </c>
    </row>
    <row r="3550" spans="1:4" x14ac:dyDescent="0.3">
      <c r="A3550" s="2" t="str">
        <f>"NOVA OLIMPIA"</f>
        <v>NOVA OLIMPIA</v>
      </c>
      <c r="B3550" s="3" t="str">
        <f>"PR"</f>
        <v>PR</v>
      </c>
      <c r="C3550" s="3" t="str">
        <f t="shared" si="138"/>
        <v>BRASIL</v>
      </c>
      <c r="D3550" s="4" t="str">
        <f>"PR237"</f>
        <v>PR237</v>
      </c>
    </row>
    <row r="3551" spans="1:4" x14ac:dyDescent="0.3">
      <c r="A3551" s="2" t="str">
        <f>"NOVA OLINDA"</f>
        <v>NOVA OLINDA</v>
      </c>
      <c r="B3551" s="3" t="str">
        <f>"CE"</f>
        <v>CE</v>
      </c>
      <c r="C3551" s="3" t="str">
        <f t="shared" si="138"/>
        <v>BRASIL</v>
      </c>
      <c r="D3551" s="4" t="str">
        <f>"CE122"</f>
        <v>CE122</v>
      </c>
    </row>
    <row r="3552" spans="1:4" x14ac:dyDescent="0.3">
      <c r="A3552" s="2" t="str">
        <f>"NOVA OLINDA"</f>
        <v>NOVA OLINDA</v>
      </c>
      <c r="B3552" s="3" t="str">
        <f>"PB"</f>
        <v>PB</v>
      </c>
      <c r="C3552" s="3" t="str">
        <f t="shared" si="138"/>
        <v>BRASIL</v>
      </c>
      <c r="D3552" s="4" t="str">
        <f>"PB129"</f>
        <v>PB129</v>
      </c>
    </row>
    <row r="3553" spans="1:4" x14ac:dyDescent="0.3">
      <c r="A3553" s="2" t="str">
        <f>"NOVA OLINDA"</f>
        <v>NOVA OLINDA</v>
      </c>
      <c r="B3553" s="3" t="str">
        <f>"TO"</f>
        <v>TO</v>
      </c>
      <c r="C3553" s="3" t="str">
        <f t="shared" si="138"/>
        <v>BRASIL</v>
      </c>
      <c r="D3553" s="4" t="str">
        <f>"TO083"</f>
        <v>TO083</v>
      </c>
    </row>
    <row r="3554" spans="1:4" x14ac:dyDescent="0.3">
      <c r="A3554" s="2" t="str">
        <f>"NOVA OLINDA DO MARANHAO"</f>
        <v>NOVA OLINDA DO MARANHAO</v>
      </c>
      <c r="B3554" s="3" t="str">
        <f>"MA"</f>
        <v>MA</v>
      </c>
      <c r="C3554" s="3" t="str">
        <f t="shared" si="138"/>
        <v>BRASIL</v>
      </c>
      <c r="D3554" s="4" t="str">
        <f>"MA127"</f>
        <v>MA127</v>
      </c>
    </row>
    <row r="3555" spans="1:4" x14ac:dyDescent="0.3">
      <c r="A3555" s="2" t="str">
        <f>"NOVA OLINDA DO NORTE"</f>
        <v>NOVA OLINDA DO NORTE</v>
      </c>
      <c r="B3555" s="3" t="str">
        <f>"AM"</f>
        <v>AM</v>
      </c>
      <c r="C3555" s="3" t="str">
        <f t="shared" si="138"/>
        <v>BRASIL</v>
      </c>
      <c r="D3555" s="4" t="str">
        <f>"AM043"</f>
        <v>AM043</v>
      </c>
    </row>
    <row r="3556" spans="1:4" x14ac:dyDescent="0.3">
      <c r="A3556" s="2" t="str">
        <f>"NOVA PADUA"</f>
        <v>NOVA PADUA</v>
      </c>
      <c r="B3556" s="3" t="str">
        <f>"RS"</f>
        <v>RS</v>
      </c>
      <c r="C3556" s="3" t="str">
        <f t="shared" si="138"/>
        <v>BRASIL</v>
      </c>
      <c r="D3556" s="4" t="str">
        <f>"RS279"</f>
        <v>RS279</v>
      </c>
    </row>
    <row r="3557" spans="1:4" x14ac:dyDescent="0.3">
      <c r="A3557" s="2" t="str">
        <f>"NOVA PALMA"</f>
        <v>NOVA PALMA</v>
      </c>
      <c r="B3557" s="3" t="str">
        <f>"RS"</f>
        <v>RS</v>
      </c>
      <c r="C3557" s="3" t="str">
        <f t="shared" si="138"/>
        <v>BRASIL</v>
      </c>
      <c r="D3557" s="4" t="str">
        <f>"RS280"</f>
        <v>RS280</v>
      </c>
    </row>
    <row r="3558" spans="1:4" x14ac:dyDescent="0.3">
      <c r="A3558" s="2" t="str">
        <f>"NOVA PALMEIRA"</f>
        <v>NOVA PALMEIRA</v>
      </c>
      <c r="B3558" s="3" t="str">
        <f>"PB"</f>
        <v>PB</v>
      </c>
      <c r="C3558" s="3" t="str">
        <f t="shared" si="138"/>
        <v>BRASIL</v>
      </c>
      <c r="D3558" s="4" t="str">
        <f>"PB130"</f>
        <v>PB130</v>
      </c>
    </row>
    <row r="3559" spans="1:4" x14ac:dyDescent="0.3">
      <c r="A3559" s="2" t="str">
        <f>"NOVA PETROPOLIS"</f>
        <v>NOVA PETROPOLIS</v>
      </c>
      <c r="B3559" s="3" t="str">
        <f>"RS"</f>
        <v>RS</v>
      </c>
      <c r="C3559" s="3" t="str">
        <f t="shared" si="138"/>
        <v>BRASIL</v>
      </c>
      <c r="D3559" s="4" t="str">
        <f>"RS281"</f>
        <v>RS281</v>
      </c>
    </row>
    <row r="3560" spans="1:4" x14ac:dyDescent="0.3">
      <c r="A3560" s="2" t="str">
        <f>"NOVA PONTE"</f>
        <v>NOVA PONTE</v>
      </c>
      <c r="B3560" s="3" t="str">
        <f>"MG"</f>
        <v>MG</v>
      </c>
      <c r="C3560" s="3" t="str">
        <f t="shared" si="138"/>
        <v>BRASIL</v>
      </c>
      <c r="D3560" s="4" t="str">
        <f>"MG522"</f>
        <v>MG522</v>
      </c>
    </row>
    <row r="3561" spans="1:4" x14ac:dyDescent="0.3">
      <c r="A3561" s="2" t="str">
        <f>"NOVA PORTEIRINHA"</f>
        <v>NOVA PORTEIRINHA</v>
      </c>
      <c r="B3561" s="3" t="str">
        <f>"MG"</f>
        <v>MG</v>
      </c>
      <c r="C3561" s="3" t="str">
        <f t="shared" ref="C3561:C3592" si="139">"BRASIL"</f>
        <v>BRASIL</v>
      </c>
      <c r="D3561" s="4" t="str">
        <f>"MG523"</f>
        <v>MG523</v>
      </c>
    </row>
    <row r="3562" spans="1:4" x14ac:dyDescent="0.3">
      <c r="A3562" s="2" t="str">
        <f>"NOVA PRATA"</f>
        <v>NOVA PRATA</v>
      </c>
      <c r="B3562" s="3" t="str">
        <f>"RS"</f>
        <v>RS</v>
      </c>
      <c r="C3562" s="3" t="str">
        <f t="shared" si="139"/>
        <v>BRASIL</v>
      </c>
      <c r="D3562" s="4" t="str">
        <f>"RS282"</f>
        <v>RS282</v>
      </c>
    </row>
    <row r="3563" spans="1:4" x14ac:dyDescent="0.3">
      <c r="A3563" s="2" t="str">
        <f>"NOVA PRATA DO IGUACU"</f>
        <v>NOVA PRATA DO IGUACU</v>
      </c>
      <c r="B3563" s="3" t="str">
        <f>"PR"</f>
        <v>PR</v>
      </c>
      <c r="C3563" s="3" t="str">
        <f t="shared" si="139"/>
        <v>BRASIL</v>
      </c>
      <c r="D3563" s="4" t="str">
        <f>"PR240"</f>
        <v>PR240</v>
      </c>
    </row>
    <row r="3564" spans="1:4" x14ac:dyDescent="0.3">
      <c r="A3564" s="2" t="str">
        <f>"NOVA RAMADA"</f>
        <v>NOVA RAMADA</v>
      </c>
      <c r="B3564" s="3" t="str">
        <f>"RS"</f>
        <v>RS</v>
      </c>
      <c r="C3564" s="3" t="str">
        <f t="shared" si="139"/>
        <v>BRASIL</v>
      </c>
      <c r="D3564" s="4" t="str">
        <f>"RS283"</f>
        <v>RS283</v>
      </c>
    </row>
    <row r="3565" spans="1:4" x14ac:dyDescent="0.3">
      <c r="A3565" s="2" t="str">
        <f>"NOVA REDENCAO"</f>
        <v>NOVA REDENCAO</v>
      </c>
      <c r="B3565" s="3" t="str">
        <f>"BA"</f>
        <v>BA</v>
      </c>
      <c r="C3565" s="3" t="str">
        <f t="shared" si="139"/>
        <v>BRASIL</v>
      </c>
      <c r="D3565" s="4" t="str">
        <f>"BA279"</f>
        <v>BA279</v>
      </c>
    </row>
    <row r="3566" spans="1:4" x14ac:dyDescent="0.3">
      <c r="A3566" s="2" t="str">
        <f>"NOVA RESENDE"</f>
        <v>NOVA RESENDE</v>
      </c>
      <c r="B3566" s="3" t="str">
        <f>"MG"</f>
        <v>MG</v>
      </c>
      <c r="C3566" s="3" t="str">
        <f t="shared" si="139"/>
        <v>BRASIL</v>
      </c>
      <c r="D3566" s="4" t="str">
        <f>"MG524"</f>
        <v>MG524</v>
      </c>
    </row>
    <row r="3567" spans="1:4" x14ac:dyDescent="0.3">
      <c r="A3567" s="2" t="str">
        <f>"NOVA ROMA"</f>
        <v>NOVA ROMA</v>
      </c>
      <c r="B3567" s="3" t="str">
        <f>"GO"</f>
        <v>GO</v>
      </c>
      <c r="C3567" s="3" t="str">
        <f t="shared" si="139"/>
        <v>BRASIL</v>
      </c>
      <c r="D3567" s="4" t="str">
        <f>"GO164"</f>
        <v>GO164</v>
      </c>
    </row>
    <row r="3568" spans="1:4" x14ac:dyDescent="0.3">
      <c r="A3568" s="2" t="str">
        <f>"NOVA ROMA DO SUL"</f>
        <v>NOVA ROMA DO SUL</v>
      </c>
      <c r="B3568" s="3" t="str">
        <f>"RS"</f>
        <v>RS</v>
      </c>
      <c r="C3568" s="3" t="str">
        <f t="shared" si="139"/>
        <v>BRASIL</v>
      </c>
      <c r="D3568" s="4" t="str">
        <f>"RS284"</f>
        <v>RS284</v>
      </c>
    </row>
    <row r="3569" spans="1:4" x14ac:dyDescent="0.3">
      <c r="A3569" s="2" t="str">
        <f>"NOVA ROSALANDIA"</f>
        <v>NOVA ROSALANDIA</v>
      </c>
      <c r="B3569" s="3" t="str">
        <f>"TO"</f>
        <v>TO</v>
      </c>
      <c r="C3569" s="3" t="str">
        <f t="shared" si="139"/>
        <v>BRASIL</v>
      </c>
      <c r="D3569" s="4" t="str">
        <f>"TO084"</f>
        <v>TO084</v>
      </c>
    </row>
    <row r="3570" spans="1:4" x14ac:dyDescent="0.3">
      <c r="A3570" s="2" t="str">
        <f>"NOVA RUSSAS"</f>
        <v>NOVA RUSSAS</v>
      </c>
      <c r="B3570" s="3" t="str">
        <f>"CE"</f>
        <v>CE</v>
      </c>
      <c r="C3570" s="3" t="str">
        <f t="shared" si="139"/>
        <v>BRASIL</v>
      </c>
      <c r="D3570" s="4" t="str">
        <f>"CE123"</f>
        <v>CE123</v>
      </c>
    </row>
    <row r="3571" spans="1:4" x14ac:dyDescent="0.3">
      <c r="A3571" s="2" t="str">
        <f>"NOVA SANTA BARBARA"</f>
        <v>NOVA SANTA BARBARA</v>
      </c>
      <c r="B3571" s="3" t="str">
        <f>"PR"</f>
        <v>PR</v>
      </c>
      <c r="C3571" s="3" t="str">
        <f t="shared" si="139"/>
        <v>BRASIL</v>
      </c>
      <c r="D3571" s="4" t="str">
        <f>"PR238"</f>
        <v>PR238</v>
      </c>
    </row>
    <row r="3572" spans="1:4" x14ac:dyDescent="0.3">
      <c r="A3572" s="2" t="str">
        <f>"NOVA SANTA HELENA"</f>
        <v>NOVA SANTA HELENA</v>
      </c>
      <c r="B3572" s="3" t="str">
        <f>"MT"</f>
        <v>MT</v>
      </c>
      <c r="C3572" s="3" t="str">
        <f t="shared" si="139"/>
        <v>BRASIL</v>
      </c>
      <c r="D3572" s="4" t="str">
        <f>"MT075"</f>
        <v>MT075</v>
      </c>
    </row>
    <row r="3573" spans="1:4" x14ac:dyDescent="0.3">
      <c r="A3573" s="2" t="str">
        <f>"NOVA SANTA RITA"</f>
        <v>NOVA SANTA RITA</v>
      </c>
      <c r="B3573" s="3" t="str">
        <f>"PI"</f>
        <v>PI</v>
      </c>
      <c r="C3573" s="3" t="str">
        <f t="shared" si="139"/>
        <v>BRASIL</v>
      </c>
      <c r="D3573" s="4" t="str">
        <f>"PI158"</f>
        <v>PI158</v>
      </c>
    </row>
    <row r="3574" spans="1:4" x14ac:dyDescent="0.3">
      <c r="A3574" s="2" t="str">
        <f>"NOVA SANTA RITA"</f>
        <v>NOVA SANTA RITA</v>
      </c>
      <c r="B3574" s="3" t="str">
        <f>"RS"</f>
        <v>RS</v>
      </c>
      <c r="C3574" s="3" t="str">
        <f t="shared" si="139"/>
        <v>BRASIL</v>
      </c>
      <c r="D3574" s="4" t="str">
        <f>"RS285"</f>
        <v>RS285</v>
      </c>
    </row>
    <row r="3575" spans="1:4" x14ac:dyDescent="0.3">
      <c r="A3575" s="2" t="str">
        <f>"NOVA SANTA ROSA"</f>
        <v>NOVA SANTA ROSA</v>
      </c>
      <c r="B3575" s="3" t="str">
        <f>"PR"</f>
        <v>PR</v>
      </c>
      <c r="C3575" s="3" t="str">
        <f t="shared" si="139"/>
        <v>BRASIL</v>
      </c>
      <c r="D3575" s="4" t="str">
        <f>"PR239"</f>
        <v>PR239</v>
      </c>
    </row>
    <row r="3576" spans="1:4" x14ac:dyDescent="0.3">
      <c r="A3576" s="2" t="str">
        <f>"NOVA SERRANA"</f>
        <v>NOVA SERRANA</v>
      </c>
      <c r="B3576" s="3" t="str">
        <f>"MG"</f>
        <v>MG</v>
      </c>
      <c r="C3576" s="3" t="str">
        <f t="shared" si="139"/>
        <v>BRASIL</v>
      </c>
      <c r="D3576" s="4" t="str">
        <f>"MG525"</f>
        <v>MG525</v>
      </c>
    </row>
    <row r="3577" spans="1:4" x14ac:dyDescent="0.3">
      <c r="A3577" s="2" t="str">
        <f>"NOVA SOURE"</f>
        <v>NOVA SOURE</v>
      </c>
      <c r="B3577" s="3" t="str">
        <f>"BA"</f>
        <v>BA</v>
      </c>
      <c r="C3577" s="3" t="str">
        <f t="shared" si="139"/>
        <v>BRASIL</v>
      </c>
      <c r="D3577" s="4" t="str">
        <f>"BA280"</f>
        <v>BA280</v>
      </c>
    </row>
    <row r="3578" spans="1:4" x14ac:dyDescent="0.3">
      <c r="A3578" s="2" t="str">
        <f>"NOVA TEBAS"</f>
        <v>NOVA TEBAS</v>
      </c>
      <c r="B3578" s="3" t="str">
        <f>"PR"</f>
        <v>PR</v>
      </c>
      <c r="C3578" s="3" t="str">
        <f t="shared" si="139"/>
        <v>BRASIL</v>
      </c>
      <c r="D3578" s="4" t="str">
        <f>"PR241"</f>
        <v>PR241</v>
      </c>
    </row>
    <row r="3579" spans="1:4" x14ac:dyDescent="0.3">
      <c r="A3579" s="2" t="str">
        <f>"NOVA TIMBOTEUA"</f>
        <v>NOVA TIMBOTEUA</v>
      </c>
      <c r="B3579" s="3" t="str">
        <f>"PA"</f>
        <v>PA</v>
      </c>
      <c r="C3579" s="3" t="str">
        <f t="shared" si="139"/>
        <v>BRASIL</v>
      </c>
      <c r="D3579" s="4" t="str">
        <f>"PA078"</f>
        <v>PA078</v>
      </c>
    </row>
    <row r="3580" spans="1:4" x14ac:dyDescent="0.3">
      <c r="A3580" s="2" t="str">
        <f>"NOVA TRENTO"</f>
        <v>NOVA TRENTO</v>
      </c>
      <c r="B3580" s="3" t="str">
        <f>"SC"</f>
        <v>SC</v>
      </c>
      <c r="C3580" s="3" t="str">
        <f t="shared" si="139"/>
        <v>BRASIL</v>
      </c>
      <c r="D3580" s="4" t="str">
        <f>"SC172"</f>
        <v>SC172</v>
      </c>
    </row>
    <row r="3581" spans="1:4" x14ac:dyDescent="0.3">
      <c r="A3581" s="2" t="str">
        <f>"NOVA UBIRATA"</f>
        <v>NOVA UBIRATA</v>
      </c>
      <c r="B3581" s="3" t="str">
        <f>"MT"</f>
        <v>MT</v>
      </c>
      <c r="C3581" s="3" t="str">
        <f t="shared" si="139"/>
        <v>BRASIL</v>
      </c>
      <c r="D3581" s="4" t="str">
        <f>"MT080"</f>
        <v>MT080</v>
      </c>
    </row>
    <row r="3582" spans="1:4" x14ac:dyDescent="0.3">
      <c r="A3582" s="2" t="str">
        <f>"NOVA UNIAO"</f>
        <v>NOVA UNIAO</v>
      </c>
      <c r="B3582" s="3" t="str">
        <f>"MG"</f>
        <v>MG</v>
      </c>
      <c r="C3582" s="3" t="str">
        <f t="shared" si="139"/>
        <v>BRASIL</v>
      </c>
      <c r="D3582" s="4" t="str">
        <f>"MG418"</f>
        <v>MG418</v>
      </c>
    </row>
    <row r="3583" spans="1:4" x14ac:dyDescent="0.3">
      <c r="A3583" s="2" t="str">
        <f>"NOVA UNIAO"</f>
        <v>NOVA UNIAO</v>
      </c>
      <c r="B3583" s="3" t="str">
        <f>"RO"</f>
        <v>RO</v>
      </c>
      <c r="C3583" s="3" t="str">
        <f t="shared" si="139"/>
        <v>BRASIL</v>
      </c>
      <c r="D3583" s="4" t="str">
        <f>"RO041"</f>
        <v>RO041</v>
      </c>
    </row>
    <row r="3584" spans="1:4" x14ac:dyDescent="0.3">
      <c r="A3584" s="2" t="str">
        <f>"NOVA VENECIA"</f>
        <v>NOVA VENECIA</v>
      </c>
      <c r="B3584" s="3" t="str">
        <f>"ES"</f>
        <v>ES</v>
      </c>
      <c r="C3584" s="3" t="str">
        <f t="shared" si="139"/>
        <v>BRASIL</v>
      </c>
      <c r="D3584" s="4" t="str">
        <f>"ES053"</f>
        <v>ES053</v>
      </c>
    </row>
    <row r="3585" spans="1:4" x14ac:dyDescent="0.3">
      <c r="A3585" s="2" t="str">
        <f>"NOVA VENEZA"</f>
        <v>NOVA VENEZA</v>
      </c>
      <c r="B3585" s="3" t="str">
        <f>"GO"</f>
        <v>GO</v>
      </c>
      <c r="C3585" s="3" t="str">
        <f t="shared" si="139"/>
        <v>BRASIL</v>
      </c>
      <c r="D3585" s="4" t="str">
        <f>"GO165"</f>
        <v>GO165</v>
      </c>
    </row>
    <row r="3586" spans="1:4" x14ac:dyDescent="0.3">
      <c r="A3586" s="2" t="str">
        <f>"NOVA VENEZA"</f>
        <v>NOVA VENEZA</v>
      </c>
      <c r="B3586" s="3" t="str">
        <f>"SC"</f>
        <v>SC</v>
      </c>
      <c r="C3586" s="3" t="str">
        <f t="shared" si="139"/>
        <v>BRASIL</v>
      </c>
      <c r="D3586" s="4" t="str">
        <f>"SC173"</f>
        <v>SC173</v>
      </c>
    </row>
    <row r="3587" spans="1:4" x14ac:dyDescent="0.3">
      <c r="A3587" s="2" t="str">
        <f>"NOVA VICOSA"</f>
        <v>NOVA VICOSA</v>
      </c>
      <c r="B3587" s="3" t="str">
        <f>"BA"</f>
        <v>BA</v>
      </c>
      <c r="C3587" s="3" t="str">
        <f t="shared" si="139"/>
        <v>BRASIL</v>
      </c>
      <c r="D3587" s="4" t="str">
        <f>"BA281"</f>
        <v>BA281</v>
      </c>
    </row>
    <row r="3588" spans="1:4" x14ac:dyDescent="0.3">
      <c r="A3588" s="2" t="str">
        <f>"NOVA XAVANTINA"</f>
        <v>NOVA XAVANTINA</v>
      </c>
      <c r="B3588" s="3" t="str">
        <f>"MT"</f>
        <v>MT</v>
      </c>
      <c r="C3588" s="3" t="str">
        <f t="shared" si="139"/>
        <v>BRASIL</v>
      </c>
      <c r="D3588" s="4" t="str">
        <f>"MT081"</f>
        <v>MT081</v>
      </c>
    </row>
    <row r="3589" spans="1:4" x14ac:dyDescent="0.3">
      <c r="A3589" s="2" t="str">
        <f>"NOVAIS"</f>
        <v>NOVAIS</v>
      </c>
      <c r="B3589" s="3" t="str">
        <f>"SP"</f>
        <v>SP</v>
      </c>
      <c r="C3589" s="3" t="str">
        <f t="shared" si="139"/>
        <v>BRASIL</v>
      </c>
      <c r="D3589" s="4" t="str">
        <f>"SP376"</f>
        <v>SP376</v>
      </c>
    </row>
    <row r="3590" spans="1:4" x14ac:dyDescent="0.3">
      <c r="A3590" s="2" t="str">
        <f>"NOVO ACORDO"</f>
        <v>NOVO ACORDO</v>
      </c>
      <c r="B3590" s="3" t="str">
        <f>"TO"</f>
        <v>TO</v>
      </c>
      <c r="C3590" s="3" t="str">
        <f t="shared" si="139"/>
        <v>BRASIL</v>
      </c>
      <c r="D3590" s="4" t="str">
        <f>"TO085"</f>
        <v>TO085</v>
      </c>
    </row>
    <row r="3591" spans="1:4" x14ac:dyDescent="0.3">
      <c r="A3591" s="2" t="str">
        <f>"NOVO AIRAO"</f>
        <v>NOVO AIRAO</v>
      </c>
      <c r="B3591" s="3" t="str">
        <f>"AM"</f>
        <v>AM</v>
      </c>
      <c r="C3591" s="3" t="str">
        <f t="shared" si="139"/>
        <v>BRASIL</v>
      </c>
      <c r="D3591" s="4" t="str">
        <f>"AM044"</f>
        <v>AM044</v>
      </c>
    </row>
    <row r="3592" spans="1:4" x14ac:dyDescent="0.3">
      <c r="A3592" s="2" t="str">
        <f>"NOVO ALEGRE"</f>
        <v>NOVO ALEGRE</v>
      </c>
      <c r="B3592" s="3" t="str">
        <f>"TO"</f>
        <v>TO</v>
      </c>
      <c r="C3592" s="3" t="str">
        <f t="shared" si="139"/>
        <v>BRASIL</v>
      </c>
      <c r="D3592" s="4" t="str">
        <f>"TO086"</f>
        <v>TO086</v>
      </c>
    </row>
    <row r="3593" spans="1:4" x14ac:dyDescent="0.3">
      <c r="A3593" s="2" t="str">
        <f>"NOVO ARIPUANA"</f>
        <v>NOVO ARIPUANA</v>
      </c>
      <c r="B3593" s="3" t="str">
        <f>"AM"</f>
        <v>AM</v>
      </c>
      <c r="C3593" s="3" t="str">
        <f t="shared" ref="C3593:C3624" si="140">"BRASIL"</f>
        <v>BRASIL</v>
      </c>
      <c r="D3593" s="4" t="str">
        <f>"AM045"</f>
        <v>AM045</v>
      </c>
    </row>
    <row r="3594" spans="1:4" x14ac:dyDescent="0.3">
      <c r="A3594" s="2" t="str">
        <f>"NOVO BARREIRO"</f>
        <v>NOVO BARREIRO</v>
      </c>
      <c r="B3594" s="3" t="str">
        <f>"RS"</f>
        <v>RS</v>
      </c>
      <c r="C3594" s="3" t="str">
        <f t="shared" si="140"/>
        <v>BRASIL</v>
      </c>
      <c r="D3594" s="4" t="str">
        <f>"RS291"</f>
        <v>RS291</v>
      </c>
    </row>
    <row r="3595" spans="1:4" x14ac:dyDescent="0.3">
      <c r="A3595" s="2" t="str">
        <f>"NOVO BRASIL"</f>
        <v>NOVO BRASIL</v>
      </c>
      <c r="B3595" s="3" t="str">
        <f>"GO"</f>
        <v>GO</v>
      </c>
      <c r="C3595" s="3" t="str">
        <f t="shared" si="140"/>
        <v>BRASIL</v>
      </c>
      <c r="D3595" s="4" t="str">
        <f>"GO166"</f>
        <v>GO166</v>
      </c>
    </row>
    <row r="3596" spans="1:4" x14ac:dyDescent="0.3">
      <c r="A3596" s="2" t="str">
        <f>"NOVO CABRAIS"</f>
        <v>NOVO CABRAIS</v>
      </c>
      <c r="B3596" s="3" t="str">
        <f>"RS"</f>
        <v>RS</v>
      </c>
      <c r="C3596" s="3" t="str">
        <f t="shared" si="140"/>
        <v>BRASIL</v>
      </c>
      <c r="D3596" s="4" t="str">
        <f>"RS286"</f>
        <v>RS286</v>
      </c>
    </row>
    <row r="3597" spans="1:4" x14ac:dyDescent="0.3">
      <c r="A3597" s="2" t="str">
        <f>"NOVO CRUZEIRO"</f>
        <v>NOVO CRUZEIRO</v>
      </c>
      <c r="B3597" s="3" t="str">
        <f>"MG"</f>
        <v>MG</v>
      </c>
      <c r="C3597" s="3" t="str">
        <f t="shared" si="140"/>
        <v>BRASIL</v>
      </c>
      <c r="D3597" s="4" t="str">
        <f>"MG526"</f>
        <v>MG526</v>
      </c>
    </row>
    <row r="3598" spans="1:4" x14ac:dyDescent="0.3">
      <c r="A3598" s="2" t="str">
        <f>"NOVO GAMA"</f>
        <v>NOVO GAMA</v>
      </c>
      <c r="B3598" s="3" t="str">
        <f>"GO"</f>
        <v>GO</v>
      </c>
      <c r="C3598" s="3" t="str">
        <f t="shared" si="140"/>
        <v>BRASIL</v>
      </c>
      <c r="D3598" s="4" t="str">
        <f>"GO167"</f>
        <v>GO167</v>
      </c>
    </row>
    <row r="3599" spans="1:4" x14ac:dyDescent="0.3">
      <c r="A3599" s="2" t="str">
        <f>"NOVO HAMBURGO"</f>
        <v>NOVO HAMBURGO</v>
      </c>
      <c r="B3599" s="3" t="str">
        <f>"RS"</f>
        <v>RS</v>
      </c>
      <c r="C3599" s="3" t="str">
        <f t="shared" si="140"/>
        <v>BRASIL</v>
      </c>
      <c r="D3599" s="4" t="str">
        <f>"RS287"</f>
        <v>RS287</v>
      </c>
    </row>
    <row r="3600" spans="1:4" x14ac:dyDescent="0.3">
      <c r="A3600" s="2" t="str">
        <f>"NOVO HORIZONTE"</f>
        <v>NOVO HORIZONTE</v>
      </c>
      <c r="B3600" s="3" t="str">
        <f>"BA"</f>
        <v>BA</v>
      </c>
      <c r="C3600" s="3" t="str">
        <f t="shared" si="140"/>
        <v>BRASIL</v>
      </c>
      <c r="D3600" s="4" t="str">
        <f>"BA282"</f>
        <v>BA282</v>
      </c>
    </row>
    <row r="3601" spans="1:4" x14ac:dyDescent="0.3">
      <c r="A3601" s="2" t="str">
        <f>"NOVO HORIZONTE"</f>
        <v>NOVO HORIZONTE</v>
      </c>
      <c r="B3601" s="3" t="str">
        <f>"SC"</f>
        <v>SC</v>
      </c>
      <c r="C3601" s="3" t="str">
        <f t="shared" si="140"/>
        <v>BRASIL</v>
      </c>
      <c r="D3601" s="4" t="str">
        <f>"SC174"</f>
        <v>SC174</v>
      </c>
    </row>
    <row r="3602" spans="1:4" x14ac:dyDescent="0.3">
      <c r="A3602" s="2" t="str">
        <f>"NOVO HORIZONTE"</f>
        <v>NOVO HORIZONTE</v>
      </c>
      <c r="B3602" s="3" t="str">
        <f>"SP"</f>
        <v>SP</v>
      </c>
      <c r="C3602" s="3" t="str">
        <f t="shared" si="140"/>
        <v>BRASIL</v>
      </c>
      <c r="D3602" s="4" t="str">
        <f>"SP379"</f>
        <v>SP379</v>
      </c>
    </row>
    <row r="3603" spans="1:4" x14ac:dyDescent="0.3">
      <c r="A3603" s="2" t="str">
        <f>"NOVO HORIZONTE DO NORTE"</f>
        <v>NOVO HORIZONTE DO NORTE</v>
      </c>
      <c r="B3603" s="3" t="str">
        <f>"MT"</f>
        <v>MT</v>
      </c>
      <c r="C3603" s="3" t="str">
        <f t="shared" si="140"/>
        <v>BRASIL</v>
      </c>
      <c r="D3603" s="4" t="str">
        <f>"MT083"</f>
        <v>MT083</v>
      </c>
    </row>
    <row r="3604" spans="1:4" x14ac:dyDescent="0.3">
      <c r="A3604" s="2" t="str">
        <f>"NOVO HORIZONTE DO OESTE"</f>
        <v>NOVO HORIZONTE DO OESTE</v>
      </c>
      <c r="B3604" s="3" t="str">
        <f>"RO"</f>
        <v>RO</v>
      </c>
      <c r="C3604" s="3" t="str">
        <f t="shared" si="140"/>
        <v>BRASIL</v>
      </c>
      <c r="D3604" s="4" t="str">
        <f>"RO029"</f>
        <v>RO029</v>
      </c>
    </row>
    <row r="3605" spans="1:4" x14ac:dyDescent="0.3">
      <c r="A3605" s="2" t="str">
        <f>"NOVO HORIZONTE DO SUL"</f>
        <v>NOVO HORIZONTE DO SUL</v>
      </c>
      <c r="B3605" s="3" t="str">
        <f>"MS"</f>
        <v>MS</v>
      </c>
      <c r="C3605" s="3" t="str">
        <f t="shared" si="140"/>
        <v>BRASIL</v>
      </c>
      <c r="D3605" s="4" t="str">
        <f>"MS057"</f>
        <v>MS057</v>
      </c>
    </row>
    <row r="3606" spans="1:4" x14ac:dyDescent="0.3">
      <c r="A3606" s="2" t="str">
        <f>"NOVO ITACOLOMI"</f>
        <v>NOVO ITACOLOMI</v>
      </c>
      <c r="B3606" s="3" t="str">
        <f>"PR"</f>
        <v>PR</v>
      </c>
      <c r="C3606" s="3" t="str">
        <f t="shared" si="140"/>
        <v>BRASIL</v>
      </c>
      <c r="D3606" s="4" t="str">
        <f>"PR242"</f>
        <v>PR242</v>
      </c>
    </row>
    <row r="3607" spans="1:4" x14ac:dyDescent="0.3">
      <c r="A3607" s="2" t="str">
        <f>"NOVO JARDIM"</f>
        <v>NOVO JARDIM</v>
      </c>
      <c r="B3607" s="3" t="str">
        <f>"TO"</f>
        <v>TO</v>
      </c>
      <c r="C3607" s="3" t="str">
        <f t="shared" si="140"/>
        <v>BRASIL</v>
      </c>
      <c r="D3607" s="4" t="str">
        <f>"TO087"</f>
        <v>TO087</v>
      </c>
    </row>
    <row r="3608" spans="1:4" x14ac:dyDescent="0.3">
      <c r="A3608" s="2" t="str">
        <f>"NOVO LINO"</f>
        <v>NOVO LINO</v>
      </c>
      <c r="B3608" s="3" t="str">
        <f>"AL"</f>
        <v>AL</v>
      </c>
      <c r="C3608" s="3" t="str">
        <f t="shared" si="140"/>
        <v>BRASIL</v>
      </c>
      <c r="D3608" s="4" t="str">
        <f>"AL060"</f>
        <v>AL060</v>
      </c>
    </row>
    <row r="3609" spans="1:4" x14ac:dyDescent="0.3">
      <c r="A3609" s="2" t="str">
        <f>"NOVO MACHADO"</f>
        <v>NOVO MACHADO</v>
      </c>
      <c r="B3609" s="3" t="str">
        <f>"RS"</f>
        <v>RS</v>
      </c>
      <c r="C3609" s="3" t="str">
        <f t="shared" si="140"/>
        <v>BRASIL</v>
      </c>
      <c r="D3609" s="4" t="str">
        <f>"RS288"</f>
        <v>RS288</v>
      </c>
    </row>
    <row r="3610" spans="1:4" x14ac:dyDescent="0.3">
      <c r="A3610" s="2" t="str">
        <f>"NOVO MUNDO"</f>
        <v>NOVO MUNDO</v>
      </c>
      <c r="B3610" s="3" t="str">
        <f>"MT"</f>
        <v>MT</v>
      </c>
      <c r="C3610" s="3" t="str">
        <f t="shared" si="140"/>
        <v>BRASIL</v>
      </c>
      <c r="D3610" s="4" t="str">
        <f>"MT082"</f>
        <v>MT082</v>
      </c>
    </row>
    <row r="3611" spans="1:4" x14ac:dyDescent="0.3">
      <c r="A3611" s="2" t="str">
        <f>"NOVO ORIENTE"</f>
        <v>NOVO ORIENTE</v>
      </c>
      <c r="B3611" s="3" t="str">
        <f>"CE"</f>
        <v>CE</v>
      </c>
      <c r="C3611" s="3" t="str">
        <f t="shared" si="140"/>
        <v>BRASIL</v>
      </c>
      <c r="D3611" s="4" t="str">
        <f>"CE124"</f>
        <v>CE124</v>
      </c>
    </row>
    <row r="3612" spans="1:4" x14ac:dyDescent="0.3">
      <c r="A3612" s="2" t="str">
        <f>"NOVO ORIENTE DE MINAS"</f>
        <v>NOVO ORIENTE DE MINAS</v>
      </c>
      <c r="B3612" s="3" t="str">
        <f>"MG"</f>
        <v>MG</v>
      </c>
      <c r="C3612" s="3" t="str">
        <f t="shared" si="140"/>
        <v>BRASIL</v>
      </c>
      <c r="D3612" s="4" t="str">
        <f>"MG527"</f>
        <v>MG527</v>
      </c>
    </row>
    <row r="3613" spans="1:4" x14ac:dyDescent="0.3">
      <c r="A3613" s="2" t="str">
        <f>"NOVO ORIENTE DO PIAUI"</f>
        <v>NOVO ORIENTE DO PIAUI</v>
      </c>
      <c r="B3613" s="3" t="str">
        <f>"PI"</f>
        <v>PI</v>
      </c>
      <c r="C3613" s="3" t="str">
        <f t="shared" si="140"/>
        <v>BRASIL</v>
      </c>
      <c r="D3613" s="4" t="str">
        <f>"PI139"</f>
        <v>PI139</v>
      </c>
    </row>
    <row r="3614" spans="1:4" x14ac:dyDescent="0.3">
      <c r="A3614" s="2" t="str">
        <f>"NOVO PLANALTO"</f>
        <v>NOVO PLANALTO</v>
      </c>
      <c r="B3614" s="3" t="str">
        <f>"GO"</f>
        <v>GO</v>
      </c>
      <c r="C3614" s="3" t="str">
        <f t="shared" si="140"/>
        <v>BRASIL</v>
      </c>
      <c r="D3614" s="4" t="str">
        <f>"GO168"</f>
        <v>GO168</v>
      </c>
    </row>
    <row r="3615" spans="1:4" x14ac:dyDescent="0.3">
      <c r="A3615" s="2" t="str">
        <f>"NOVO PROGRESSO"</f>
        <v>NOVO PROGRESSO</v>
      </c>
      <c r="B3615" s="3" t="str">
        <f>"PA"</f>
        <v>PA</v>
      </c>
      <c r="C3615" s="3" t="str">
        <f t="shared" si="140"/>
        <v>BRASIL</v>
      </c>
      <c r="D3615" s="4" t="str">
        <f>"PA079"</f>
        <v>PA079</v>
      </c>
    </row>
    <row r="3616" spans="1:4" x14ac:dyDescent="0.3">
      <c r="A3616" s="2" t="str">
        <f>"NOVO REPARTIMENTO"</f>
        <v>NOVO REPARTIMENTO</v>
      </c>
      <c r="B3616" s="3" t="str">
        <f>"PA"</f>
        <v>PA</v>
      </c>
      <c r="C3616" s="3" t="str">
        <f t="shared" si="140"/>
        <v>BRASIL</v>
      </c>
      <c r="D3616" s="4" t="str">
        <f>"PA080"</f>
        <v>PA080</v>
      </c>
    </row>
    <row r="3617" spans="1:4" x14ac:dyDescent="0.3">
      <c r="A3617" s="2" t="str">
        <f>"NOVO SANTO ANTONIO"</f>
        <v>NOVO SANTO ANTONIO</v>
      </c>
      <c r="B3617" s="3" t="str">
        <f>"MT"</f>
        <v>MT</v>
      </c>
      <c r="C3617" s="3" t="str">
        <f t="shared" si="140"/>
        <v>BRASIL</v>
      </c>
      <c r="D3617" s="4" t="str">
        <f>"MT087"</f>
        <v>MT087</v>
      </c>
    </row>
    <row r="3618" spans="1:4" x14ac:dyDescent="0.3">
      <c r="A3618" s="2" t="str">
        <f>"NOVO SANTO ANTONIO"</f>
        <v>NOVO SANTO ANTONIO</v>
      </c>
      <c r="B3618" s="3" t="str">
        <f>"PI"</f>
        <v>PI</v>
      </c>
      <c r="C3618" s="3" t="str">
        <f t="shared" si="140"/>
        <v>BRASIL</v>
      </c>
      <c r="D3618" s="4" t="str">
        <f>"PI140"</f>
        <v>PI140</v>
      </c>
    </row>
    <row r="3619" spans="1:4" x14ac:dyDescent="0.3">
      <c r="A3619" s="2" t="str">
        <f>"NOVO SAO JOAQUIM"</f>
        <v>NOVO SAO JOAQUIM</v>
      </c>
      <c r="B3619" s="3" t="str">
        <f>"MT"</f>
        <v>MT</v>
      </c>
      <c r="C3619" s="3" t="str">
        <f t="shared" si="140"/>
        <v>BRASIL</v>
      </c>
      <c r="D3619" s="4" t="str">
        <f>"MT084"</f>
        <v>MT084</v>
      </c>
    </row>
    <row r="3620" spans="1:4" x14ac:dyDescent="0.3">
      <c r="A3620" s="2" t="str">
        <f>"NOVO TIRADENTES"</f>
        <v>NOVO TIRADENTES</v>
      </c>
      <c r="B3620" s="3" t="str">
        <f>"RS"</f>
        <v>RS</v>
      </c>
      <c r="C3620" s="3" t="str">
        <f t="shared" si="140"/>
        <v>BRASIL</v>
      </c>
      <c r="D3620" s="4" t="str">
        <f>"RS289"</f>
        <v>RS289</v>
      </c>
    </row>
    <row r="3621" spans="1:4" x14ac:dyDescent="0.3">
      <c r="A3621" s="2" t="str">
        <f>"NOVO TRIUNFO"</f>
        <v>NOVO TRIUNFO</v>
      </c>
      <c r="B3621" s="3" t="str">
        <f>"BA"</f>
        <v>BA</v>
      </c>
      <c r="C3621" s="3" t="str">
        <f t="shared" si="140"/>
        <v>BRASIL</v>
      </c>
      <c r="D3621" s="4" t="str">
        <f>"BA283"</f>
        <v>BA283</v>
      </c>
    </row>
    <row r="3622" spans="1:4" x14ac:dyDescent="0.3">
      <c r="A3622" s="2" t="str">
        <f>"NOVO XINGU"</f>
        <v>NOVO XINGU</v>
      </c>
      <c r="B3622" s="3" t="str">
        <f>"RS"</f>
        <v>RS</v>
      </c>
      <c r="C3622" s="3" t="str">
        <f t="shared" si="140"/>
        <v>BRASIL</v>
      </c>
      <c r="D3622" s="4" t="str">
        <f>"RS290"</f>
        <v>RS290</v>
      </c>
    </row>
    <row r="3623" spans="1:4" x14ac:dyDescent="0.3">
      <c r="A3623" s="2" t="str">
        <f>"NOVORIZONTE"</f>
        <v>NOVORIZONTE</v>
      </c>
      <c r="B3623" s="3" t="str">
        <f>"MG"</f>
        <v>MG</v>
      </c>
      <c r="C3623" s="3" t="str">
        <f t="shared" si="140"/>
        <v>BRASIL</v>
      </c>
      <c r="D3623" s="4" t="str">
        <f>"MG528"</f>
        <v>MG528</v>
      </c>
    </row>
    <row r="3624" spans="1:4" x14ac:dyDescent="0.3">
      <c r="A3624" s="2" t="str">
        <f>"NUPORANGA"</f>
        <v>NUPORANGA</v>
      </c>
      <c r="B3624" s="3" t="str">
        <f>"SP"</f>
        <v>SP</v>
      </c>
      <c r="C3624" s="3" t="str">
        <f t="shared" si="140"/>
        <v>BRASIL</v>
      </c>
      <c r="D3624" s="4" t="str">
        <f>"SP380"</f>
        <v>SP380</v>
      </c>
    </row>
    <row r="3625" spans="1:4" x14ac:dyDescent="0.3">
      <c r="A3625" s="2" t="str">
        <f>"OBERALLGAU"</f>
        <v>OBERALLGAU</v>
      </c>
      <c r="B3625" s="3" t="str">
        <f>"EX"</f>
        <v>EX</v>
      </c>
      <c r="C3625" s="3" t="str">
        <f>"ALEMANHA"</f>
        <v>ALEMANHA</v>
      </c>
      <c r="D3625" s="4" t="str">
        <f>"OBL"</f>
        <v>OBL</v>
      </c>
    </row>
    <row r="3626" spans="1:4" x14ac:dyDescent="0.3">
      <c r="A3626" s="2" t="str">
        <f>"OBERBOIHINGEN - GERMANY"</f>
        <v>OBERBOIHINGEN - GERMANY</v>
      </c>
      <c r="B3626" s="3" t="str">
        <f>"GER"</f>
        <v>GER</v>
      </c>
      <c r="C3626" s="3" t="str">
        <f>"ALEMANHA"</f>
        <v>ALEMANHA</v>
      </c>
      <c r="D3626" s="4" t="str">
        <f>"OBERB"</f>
        <v>OBERB</v>
      </c>
    </row>
    <row r="3627" spans="1:4" x14ac:dyDescent="0.3">
      <c r="A3627" s="2" t="str">
        <f>"OBERGLATT"</f>
        <v>OBERGLATT</v>
      </c>
      <c r="B3627" s="3" t="str">
        <f>"SWI"</f>
        <v>SWI</v>
      </c>
      <c r="C3627" s="3" t="str">
        <f>"SUÍÇA"</f>
        <v>SUÍÇA</v>
      </c>
      <c r="D3627" s="4" t="str">
        <f>"OBERG"</f>
        <v>OBERG</v>
      </c>
    </row>
    <row r="3628" spans="1:4" x14ac:dyDescent="0.3">
      <c r="A3628" s="2" t="str">
        <f>"OBERGLATT SWITZERLAND"</f>
        <v>OBERGLATT SWITZERLAND</v>
      </c>
      <c r="B3628" s="3" t="str">
        <f>"EX"</f>
        <v>EX</v>
      </c>
      <c r="C3628" s="3" t="str">
        <f>"SUICA"</f>
        <v>SUICA</v>
      </c>
      <c r="D3628" s="4" t="str">
        <f>"OBE"</f>
        <v>OBE</v>
      </c>
    </row>
    <row r="3629" spans="1:4" x14ac:dyDescent="0.3">
      <c r="A3629" s="2" t="str">
        <f>"OBERKIRCH"</f>
        <v>OBERKIRCH</v>
      </c>
      <c r="B3629" s="3" t="str">
        <f>"EX"</f>
        <v>EX</v>
      </c>
      <c r="C3629" s="3" t="str">
        <f>"ALEMANHA"</f>
        <v>ALEMANHA</v>
      </c>
      <c r="D3629" s="4" t="str">
        <f>"OBERK"</f>
        <v>OBERK</v>
      </c>
    </row>
    <row r="3630" spans="1:4" x14ac:dyDescent="0.3">
      <c r="A3630" s="2" t="str">
        <f>"OBERKIRCH"</f>
        <v>OBERKIRCH</v>
      </c>
      <c r="B3630" s="3" t="str">
        <f>"GER"</f>
        <v>GER</v>
      </c>
      <c r="C3630" s="3" t="str">
        <f>"ALEMANHA"</f>
        <v>ALEMANHA</v>
      </c>
      <c r="D3630" s="4" t="str">
        <f>"OBER"</f>
        <v>OBER</v>
      </c>
    </row>
    <row r="3631" spans="1:4" x14ac:dyDescent="0.3">
      <c r="A3631" s="2" t="str">
        <f>"OBIDOS"</f>
        <v>OBIDOS</v>
      </c>
      <c r="B3631" s="3" t="str">
        <f>"PA"</f>
        <v>PA</v>
      </c>
      <c r="C3631" s="3" t="str">
        <f>"BRASIL"</f>
        <v>BRASIL</v>
      </c>
      <c r="D3631" s="4" t="str">
        <f>"PA081"</f>
        <v>PA081</v>
      </c>
    </row>
    <row r="3632" spans="1:4" x14ac:dyDescent="0.3">
      <c r="A3632" s="2" t="str">
        <f>"OCARA"</f>
        <v>OCARA</v>
      </c>
      <c r="B3632" s="3" t="str">
        <f>"CE"</f>
        <v>CE</v>
      </c>
      <c r="C3632" s="3" t="str">
        <f>"BRASIL"</f>
        <v>BRASIL</v>
      </c>
      <c r="D3632" s="4" t="str">
        <f>"CE125"</f>
        <v>CE125</v>
      </c>
    </row>
    <row r="3633" spans="1:4" x14ac:dyDescent="0.3">
      <c r="A3633" s="2" t="str">
        <f>"OCAUCU"</f>
        <v>OCAUCU</v>
      </c>
      <c r="B3633" s="3" t="str">
        <f>"SP"</f>
        <v>SP</v>
      </c>
      <c r="C3633" s="3" t="str">
        <f>"BRASIL"</f>
        <v>BRASIL</v>
      </c>
      <c r="D3633" s="4" t="str">
        <f>"SP381"</f>
        <v>SP381</v>
      </c>
    </row>
    <row r="3634" spans="1:4" x14ac:dyDescent="0.3">
      <c r="A3634" s="2" t="str">
        <f>"OEIRAS"</f>
        <v>OEIRAS</v>
      </c>
      <c r="B3634" s="3" t="str">
        <f>"PI"</f>
        <v>PI</v>
      </c>
      <c r="C3634" s="3" t="str">
        <f>"BRASIL"</f>
        <v>BRASIL</v>
      </c>
      <c r="D3634" s="4" t="str">
        <f>"PI141"</f>
        <v>PI141</v>
      </c>
    </row>
    <row r="3635" spans="1:4" x14ac:dyDescent="0.3">
      <c r="A3635" s="2" t="str">
        <f>"OEIRAS DO PARA"</f>
        <v>OEIRAS DO PARA</v>
      </c>
      <c r="B3635" s="3" t="str">
        <f>"PA"</f>
        <v>PA</v>
      </c>
      <c r="C3635" s="3" t="str">
        <f>"BRASIL"</f>
        <v>BRASIL</v>
      </c>
      <c r="D3635" s="4" t="str">
        <f>"PA082"</f>
        <v>PA082</v>
      </c>
    </row>
    <row r="3636" spans="1:4" x14ac:dyDescent="0.3">
      <c r="A3636" s="2" t="str">
        <f>"OHIO"</f>
        <v>OHIO</v>
      </c>
      <c r="B3636" s="3" t="str">
        <f>"EUA"</f>
        <v>EUA</v>
      </c>
      <c r="C3636" s="3" t="str">
        <f>"ESTADOS UNIDOS"</f>
        <v>ESTADOS UNIDOS</v>
      </c>
      <c r="D3636" s="4" t="str">
        <f>"OH"</f>
        <v>OH</v>
      </c>
    </row>
    <row r="3637" spans="1:4" x14ac:dyDescent="0.3">
      <c r="A3637" s="2" t="str">
        <f>"OHIO"</f>
        <v>OHIO</v>
      </c>
      <c r="B3637" s="3" t="str">
        <f>"ex"</f>
        <v>ex</v>
      </c>
      <c r="C3637" s="3" t="str">
        <f>"ESTADOS UNIDOS"</f>
        <v>ESTADOS UNIDOS</v>
      </c>
      <c r="D3637" s="4" t="str">
        <f>"OHIO"</f>
        <v>OHIO</v>
      </c>
    </row>
    <row r="3638" spans="1:4" x14ac:dyDescent="0.3">
      <c r="A3638" s="2" t="str">
        <f>"OIAPOQUE"</f>
        <v>OIAPOQUE</v>
      </c>
      <c r="B3638" s="3" t="str">
        <f>"AP"</f>
        <v>AP</v>
      </c>
      <c r="C3638" s="3" t="str">
        <f>"BRASIL"</f>
        <v>BRASIL</v>
      </c>
      <c r="D3638" s="4" t="str">
        <f>"AP011"</f>
        <v>AP011</v>
      </c>
    </row>
    <row r="3639" spans="1:4" x14ac:dyDescent="0.3">
      <c r="A3639" s="2" t="str">
        <f>"OKLAHOMA"</f>
        <v>OKLAHOMA</v>
      </c>
      <c r="B3639" s="3" t="str">
        <f>"EX"</f>
        <v>EX</v>
      </c>
      <c r="C3639" s="3" t="str">
        <f>"ESTADOS UNIDOS"</f>
        <v>ESTADOS UNIDOS</v>
      </c>
      <c r="D3639" s="4" t="str">
        <f>"OKLAH"</f>
        <v>OKLAH</v>
      </c>
    </row>
    <row r="3640" spans="1:4" x14ac:dyDescent="0.3">
      <c r="A3640" s="2" t="str">
        <f>"OKLAHOMA CITY"</f>
        <v>OKLAHOMA CITY</v>
      </c>
      <c r="B3640" s="3" t="str">
        <f>"OKLA"</f>
        <v>OKLA</v>
      </c>
      <c r="C3640" s="3" t="str">
        <f>"ESTADOS UNIDOS"</f>
        <v>ESTADOS UNIDOS</v>
      </c>
      <c r="D3640" s="4" t="str">
        <f>"OKLA"</f>
        <v>OKLA</v>
      </c>
    </row>
    <row r="3641" spans="1:4" x14ac:dyDescent="0.3">
      <c r="A3641" s="2" t="str">
        <f>"OLARIA"</f>
        <v>OLARIA</v>
      </c>
      <c r="B3641" s="3" t="str">
        <f>"MG"</f>
        <v>MG</v>
      </c>
      <c r="C3641" s="3" t="str">
        <f>"BRASIL"</f>
        <v>BRASIL</v>
      </c>
      <c r="D3641" s="4" t="str">
        <f>"MG529"</f>
        <v>MG529</v>
      </c>
    </row>
    <row r="3642" spans="1:4" x14ac:dyDescent="0.3">
      <c r="A3642" s="2" t="str">
        <f>"OLEO"</f>
        <v>OLEO</v>
      </c>
      <c r="B3642" s="3" t="str">
        <f>"SP"</f>
        <v>SP</v>
      </c>
      <c r="C3642" s="3" t="str">
        <f>"BRASIL"</f>
        <v>BRASIL</v>
      </c>
      <c r="D3642" s="4" t="str">
        <f>"SP382"</f>
        <v>SP382</v>
      </c>
    </row>
    <row r="3643" spans="1:4" x14ac:dyDescent="0.3">
      <c r="A3643" s="2" t="str">
        <f>"OLGIATE OLONA"</f>
        <v>OLGIATE OLONA</v>
      </c>
      <c r="B3643" s="3" t="str">
        <f>"EX"</f>
        <v>EX</v>
      </c>
      <c r="C3643" s="3" t="str">
        <f>"ITALIA"</f>
        <v>ITALIA</v>
      </c>
      <c r="D3643" s="4" t="str">
        <f>"OLGIA"</f>
        <v>OLGIA</v>
      </c>
    </row>
    <row r="3644" spans="1:4" x14ac:dyDescent="0.3">
      <c r="A3644" s="2" t="str">
        <f>"OLHO D'AGUA"</f>
        <v>OLHO D'AGUA</v>
      </c>
      <c r="B3644" s="3" t="str">
        <f>"PB"</f>
        <v>PB</v>
      </c>
      <c r="C3644" s="3" t="str">
        <f t="shared" ref="C3644:C3664" si="141">"BRASIL"</f>
        <v>BRASIL</v>
      </c>
      <c r="D3644" s="4" t="str">
        <f>"PB131"</f>
        <v>PB131</v>
      </c>
    </row>
    <row r="3645" spans="1:4" x14ac:dyDescent="0.3">
      <c r="A3645" s="2" t="str">
        <f>"OLHO D'AGUA DAS CUNHAS"</f>
        <v>OLHO D'AGUA DAS CUNHAS</v>
      </c>
      <c r="B3645" s="3" t="str">
        <f>"MA"</f>
        <v>MA</v>
      </c>
      <c r="C3645" s="3" t="str">
        <f t="shared" si="141"/>
        <v>BRASIL</v>
      </c>
      <c r="D3645" s="4" t="str">
        <f>"MA128"</f>
        <v>MA128</v>
      </c>
    </row>
    <row r="3646" spans="1:4" x14ac:dyDescent="0.3">
      <c r="A3646" s="2" t="str">
        <f>"OLHO D'AGUA DAS FLORES"</f>
        <v>OLHO D'AGUA DAS FLORES</v>
      </c>
      <c r="B3646" s="3" t="str">
        <f>"AL"</f>
        <v>AL</v>
      </c>
      <c r="C3646" s="3" t="str">
        <f t="shared" si="141"/>
        <v>BRASIL</v>
      </c>
      <c r="D3646" s="4" t="str">
        <f>"AL061"</f>
        <v>AL061</v>
      </c>
    </row>
    <row r="3647" spans="1:4" x14ac:dyDescent="0.3">
      <c r="A3647" s="2" t="str">
        <f>"OLHO D'AGUA DO CASADO"</f>
        <v>OLHO D'AGUA DO CASADO</v>
      </c>
      <c r="B3647" s="3" t="str">
        <f>"AL"</f>
        <v>AL</v>
      </c>
      <c r="C3647" s="3" t="str">
        <f t="shared" si="141"/>
        <v>BRASIL</v>
      </c>
      <c r="D3647" s="4" t="str">
        <f>"AL062"</f>
        <v>AL062</v>
      </c>
    </row>
    <row r="3648" spans="1:4" x14ac:dyDescent="0.3">
      <c r="A3648" s="2" t="str">
        <f>"OLHO D'AGUA DO PIAUI"</f>
        <v>OLHO D'AGUA DO PIAUI</v>
      </c>
      <c r="B3648" s="3" t="str">
        <f>"PI"</f>
        <v>PI</v>
      </c>
      <c r="C3648" s="3" t="str">
        <f t="shared" si="141"/>
        <v>BRASIL</v>
      </c>
      <c r="D3648" s="4" t="str">
        <f>"PI142"</f>
        <v>PI142</v>
      </c>
    </row>
    <row r="3649" spans="1:4" x14ac:dyDescent="0.3">
      <c r="A3649" s="2" t="str">
        <f>"OLHO D'AGUA GRANDE"</f>
        <v>OLHO D'AGUA GRANDE</v>
      </c>
      <c r="B3649" s="3" t="str">
        <f>"AL"</f>
        <v>AL</v>
      </c>
      <c r="C3649" s="3" t="str">
        <f t="shared" si="141"/>
        <v>BRASIL</v>
      </c>
      <c r="D3649" s="4" t="str">
        <f>"AL063"</f>
        <v>AL063</v>
      </c>
    </row>
    <row r="3650" spans="1:4" x14ac:dyDescent="0.3">
      <c r="A3650" s="2" t="str">
        <f>"OLHO-D'AGUA DO BORGES"</f>
        <v>OLHO-D'AGUA DO BORGES</v>
      </c>
      <c r="B3650" s="3" t="str">
        <f>"RN"</f>
        <v>RN</v>
      </c>
      <c r="C3650" s="3" t="str">
        <f t="shared" si="141"/>
        <v>BRASIL</v>
      </c>
      <c r="D3650" s="4" t="str">
        <f>"RN092"</f>
        <v>RN092</v>
      </c>
    </row>
    <row r="3651" spans="1:4" x14ac:dyDescent="0.3">
      <c r="A3651" s="2" t="str">
        <f>"OLHOS-D'AGUA"</f>
        <v>OLHOS-D'AGUA</v>
      </c>
      <c r="B3651" s="3" t="str">
        <f>"MG"</f>
        <v>MG</v>
      </c>
      <c r="C3651" s="3" t="str">
        <f t="shared" si="141"/>
        <v>BRASIL</v>
      </c>
      <c r="D3651" s="4" t="str">
        <f>"MG530"</f>
        <v>MG530</v>
      </c>
    </row>
    <row r="3652" spans="1:4" x14ac:dyDescent="0.3">
      <c r="A3652" s="2" t="str">
        <f>"OLIMPIA"</f>
        <v>OLIMPIA</v>
      </c>
      <c r="B3652" s="3" t="str">
        <f>"SP"</f>
        <v>SP</v>
      </c>
      <c r="C3652" s="3" t="str">
        <f t="shared" si="141"/>
        <v>BRASIL</v>
      </c>
      <c r="D3652" s="4" t="str">
        <f>"SP383"</f>
        <v>SP383</v>
      </c>
    </row>
    <row r="3653" spans="1:4" x14ac:dyDescent="0.3">
      <c r="A3653" s="2" t="str">
        <f>"OLIMPIO NORONHA"</f>
        <v>OLIMPIO NORONHA</v>
      </c>
      <c r="B3653" s="3" t="str">
        <f>"MG"</f>
        <v>MG</v>
      </c>
      <c r="C3653" s="3" t="str">
        <f t="shared" si="141"/>
        <v>BRASIL</v>
      </c>
      <c r="D3653" s="4" t="str">
        <f>"MG531"</f>
        <v>MG531</v>
      </c>
    </row>
    <row r="3654" spans="1:4" x14ac:dyDescent="0.3">
      <c r="A3654" s="2" t="str">
        <f>"OLINDA"</f>
        <v>OLINDA</v>
      </c>
      <c r="B3654" s="3" t="str">
        <f>"PE"</f>
        <v>PE</v>
      </c>
      <c r="C3654" s="3" t="str">
        <f t="shared" si="141"/>
        <v>BRASIL</v>
      </c>
      <c r="D3654" s="4" t="str">
        <f>"PE111"</f>
        <v>PE111</v>
      </c>
    </row>
    <row r="3655" spans="1:4" x14ac:dyDescent="0.3">
      <c r="A3655" s="2" t="str">
        <f>"OLINDA NOVA DO MARANHAO"</f>
        <v>OLINDA NOVA DO MARANHAO</v>
      </c>
      <c r="B3655" s="3" t="str">
        <f>"MA"</f>
        <v>MA</v>
      </c>
      <c r="C3655" s="3" t="str">
        <f t="shared" si="141"/>
        <v>BRASIL</v>
      </c>
      <c r="D3655" s="4" t="str">
        <f>"MA129"</f>
        <v>MA129</v>
      </c>
    </row>
    <row r="3656" spans="1:4" x14ac:dyDescent="0.3">
      <c r="A3656" s="2" t="str">
        <f>"OLINDINA"</f>
        <v>OLINDINA</v>
      </c>
      <c r="B3656" s="3" t="str">
        <f>"BA"</f>
        <v>BA</v>
      </c>
      <c r="C3656" s="3" t="str">
        <f t="shared" si="141"/>
        <v>BRASIL</v>
      </c>
      <c r="D3656" s="4" t="str">
        <f>"BA284"</f>
        <v>BA284</v>
      </c>
    </row>
    <row r="3657" spans="1:4" x14ac:dyDescent="0.3">
      <c r="A3657" s="2" t="str">
        <f>"OLIVEDOS"</f>
        <v>OLIVEDOS</v>
      </c>
      <c r="B3657" s="3" t="str">
        <f>"PB"</f>
        <v>PB</v>
      </c>
      <c r="C3657" s="3" t="str">
        <f t="shared" si="141"/>
        <v>BRASIL</v>
      </c>
      <c r="D3657" s="4" t="str">
        <f>"PB132"</f>
        <v>PB132</v>
      </c>
    </row>
    <row r="3658" spans="1:4" x14ac:dyDescent="0.3">
      <c r="A3658" s="2" t="str">
        <f>"OLIVEIRA"</f>
        <v>OLIVEIRA</v>
      </c>
      <c r="B3658" s="3" t="str">
        <f>"MG"</f>
        <v>MG</v>
      </c>
      <c r="C3658" s="3" t="str">
        <f t="shared" si="141"/>
        <v>BRASIL</v>
      </c>
      <c r="D3658" s="4" t="str">
        <f>"MG532"</f>
        <v>MG532</v>
      </c>
    </row>
    <row r="3659" spans="1:4" x14ac:dyDescent="0.3">
      <c r="A3659" s="2" t="str">
        <f>"OLIVEIRA DE FATIMA"</f>
        <v>OLIVEIRA DE FATIMA</v>
      </c>
      <c r="B3659" s="3" t="str">
        <f>"TO"</f>
        <v>TO</v>
      </c>
      <c r="C3659" s="3" t="str">
        <f t="shared" si="141"/>
        <v>BRASIL</v>
      </c>
      <c r="D3659" s="4" t="str">
        <f>"TO088"</f>
        <v>TO088</v>
      </c>
    </row>
    <row r="3660" spans="1:4" x14ac:dyDescent="0.3">
      <c r="A3660" s="2" t="str">
        <f>"OLIVEIRA DOS BREJINHOS"</f>
        <v>OLIVEIRA DOS BREJINHOS</v>
      </c>
      <c r="B3660" s="3" t="str">
        <f>"BA"</f>
        <v>BA</v>
      </c>
      <c r="C3660" s="3" t="str">
        <f t="shared" si="141"/>
        <v>BRASIL</v>
      </c>
      <c r="D3660" s="4" t="str">
        <f>"BA285"</f>
        <v>BA285</v>
      </c>
    </row>
    <row r="3661" spans="1:4" x14ac:dyDescent="0.3">
      <c r="A3661" s="2" t="str">
        <f>"OLIVEIRA FORTES"</f>
        <v>OLIVEIRA FORTES</v>
      </c>
      <c r="B3661" s="3" t="str">
        <f>"MG"</f>
        <v>MG</v>
      </c>
      <c r="C3661" s="3" t="str">
        <f t="shared" si="141"/>
        <v>BRASIL</v>
      </c>
      <c r="D3661" s="4" t="str">
        <f>"MG533"</f>
        <v>MG533</v>
      </c>
    </row>
    <row r="3662" spans="1:4" x14ac:dyDescent="0.3">
      <c r="A3662" s="2" t="str">
        <f>"OLIVENCA"</f>
        <v>OLIVENCA</v>
      </c>
      <c r="B3662" s="3" t="str">
        <f>"AL"</f>
        <v>AL</v>
      </c>
      <c r="C3662" s="3" t="str">
        <f t="shared" si="141"/>
        <v>BRASIL</v>
      </c>
      <c r="D3662" s="4" t="str">
        <f>"AL064"</f>
        <v>AL064</v>
      </c>
    </row>
    <row r="3663" spans="1:4" x14ac:dyDescent="0.3">
      <c r="A3663" s="2" t="str">
        <f>"ONCA DE PITANGUI"</f>
        <v>ONCA DE PITANGUI</v>
      </c>
      <c r="B3663" s="3" t="str">
        <f>"MG"</f>
        <v>MG</v>
      </c>
      <c r="C3663" s="3" t="str">
        <f t="shared" si="141"/>
        <v>BRASIL</v>
      </c>
      <c r="D3663" s="4" t="str">
        <f>"MG534"</f>
        <v>MG534</v>
      </c>
    </row>
    <row r="3664" spans="1:4" x14ac:dyDescent="0.3">
      <c r="A3664" s="2" t="str">
        <f>"ONDA VERDE"</f>
        <v>ONDA VERDE</v>
      </c>
      <c r="B3664" s="3" t="str">
        <f>"SP"</f>
        <v>SP</v>
      </c>
      <c r="C3664" s="3" t="str">
        <f t="shared" si="141"/>
        <v>BRASIL</v>
      </c>
      <c r="D3664" s="4" t="str">
        <f>"SP384"</f>
        <v>SP384</v>
      </c>
    </row>
    <row r="3665" spans="1:4" x14ac:dyDescent="0.3">
      <c r="A3665" s="2" t="str">
        <f>"ONTARIO"</f>
        <v>ONTARIO</v>
      </c>
      <c r="B3665" s="3" t="str">
        <f>"EX"</f>
        <v>EX</v>
      </c>
      <c r="C3665" s="3" t="str">
        <f>"CANADA"</f>
        <v>CANADA</v>
      </c>
      <c r="D3665" s="4" t="str">
        <f>"ONT"</f>
        <v>ONT</v>
      </c>
    </row>
    <row r="3666" spans="1:4" x14ac:dyDescent="0.3">
      <c r="A3666" s="2" t="str">
        <f>"ORATORIOS"</f>
        <v>ORATORIOS</v>
      </c>
      <c r="B3666" s="3" t="str">
        <f>"MG"</f>
        <v>MG</v>
      </c>
      <c r="C3666" s="3" t="str">
        <f t="shared" ref="C3666:C3672" si="142">"BRASIL"</f>
        <v>BRASIL</v>
      </c>
      <c r="D3666" s="4" t="str">
        <f>"MG535"</f>
        <v>MG535</v>
      </c>
    </row>
    <row r="3667" spans="1:4" x14ac:dyDescent="0.3">
      <c r="A3667" s="2" t="str">
        <f>"ORIENTE"</f>
        <v>ORIENTE</v>
      </c>
      <c r="B3667" s="3" t="str">
        <f>"SP"</f>
        <v>SP</v>
      </c>
      <c r="C3667" s="3" t="str">
        <f t="shared" si="142"/>
        <v>BRASIL</v>
      </c>
      <c r="D3667" s="4" t="str">
        <f>"SP385"</f>
        <v>SP385</v>
      </c>
    </row>
    <row r="3668" spans="1:4" x14ac:dyDescent="0.3">
      <c r="A3668" s="2" t="str">
        <f>"ORINDIUVA"</f>
        <v>ORINDIUVA</v>
      </c>
      <c r="B3668" s="3" t="str">
        <f>"SP"</f>
        <v>SP</v>
      </c>
      <c r="C3668" s="3" t="str">
        <f t="shared" si="142"/>
        <v>BRASIL</v>
      </c>
      <c r="D3668" s="4" t="str">
        <f>"SP386"</f>
        <v>SP386</v>
      </c>
    </row>
    <row r="3669" spans="1:4" x14ac:dyDescent="0.3">
      <c r="A3669" s="2" t="str">
        <f>"ORIXIMINA"</f>
        <v>ORIXIMINA</v>
      </c>
      <c r="B3669" s="3" t="str">
        <f>"PA"</f>
        <v>PA</v>
      </c>
      <c r="C3669" s="3" t="str">
        <f t="shared" si="142"/>
        <v>BRASIL</v>
      </c>
      <c r="D3669" s="4" t="str">
        <f>"PA083"</f>
        <v>PA083</v>
      </c>
    </row>
    <row r="3670" spans="1:4" x14ac:dyDescent="0.3">
      <c r="A3670" s="2" t="str">
        <f>"ORIZANIA"</f>
        <v>ORIZANIA</v>
      </c>
      <c r="B3670" s="3" t="str">
        <f>"MG"</f>
        <v>MG</v>
      </c>
      <c r="C3670" s="3" t="str">
        <f t="shared" si="142"/>
        <v>BRASIL</v>
      </c>
      <c r="D3670" s="4" t="str">
        <f>"MG536"</f>
        <v>MG536</v>
      </c>
    </row>
    <row r="3671" spans="1:4" x14ac:dyDescent="0.3">
      <c r="A3671" s="2" t="str">
        <f>"ORIZONA"</f>
        <v>ORIZONA</v>
      </c>
      <c r="B3671" s="3" t="str">
        <f>"GO"</f>
        <v>GO</v>
      </c>
      <c r="C3671" s="3" t="str">
        <f t="shared" si="142"/>
        <v>BRASIL</v>
      </c>
      <c r="D3671" s="4" t="str">
        <f>"GO169"</f>
        <v>GO169</v>
      </c>
    </row>
    <row r="3672" spans="1:4" x14ac:dyDescent="0.3">
      <c r="A3672" s="2" t="str">
        <f>"ORLANDIA"</f>
        <v>ORLANDIA</v>
      </c>
      <c r="B3672" s="3" t="str">
        <f>"SP"</f>
        <v>SP</v>
      </c>
      <c r="C3672" s="3" t="str">
        <f t="shared" si="142"/>
        <v>BRASIL</v>
      </c>
      <c r="D3672" s="4" t="str">
        <f>"SP387"</f>
        <v>SP387</v>
      </c>
    </row>
    <row r="3673" spans="1:4" x14ac:dyDescent="0.3">
      <c r="A3673" s="2" t="str">
        <f>"ORLEANS"</f>
        <v>ORLEANS</v>
      </c>
      <c r="B3673" s="3" t="str">
        <f>"EX"</f>
        <v>EX</v>
      </c>
      <c r="C3673" s="3" t="str">
        <f>"ESTADOS UNIDOS"</f>
        <v>ESTADOS UNIDOS</v>
      </c>
      <c r="D3673" s="4" t="str">
        <f>"ORLE"</f>
        <v>ORLE</v>
      </c>
    </row>
    <row r="3674" spans="1:4" x14ac:dyDescent="0.3">
      <c r="A3674" s="2" t="str">
        <f>"ORLEANS"</f>
        <v>ORLEANS</v>
      </c>
      <c r="B3674" s="3" t="str">
        <f>"SC"</f>
        <v>SC</v>
      </c>
      <c r="C3674" s="3" t="str">
        <f t="shared" ref="C3674:C3680" si="143">"BRASIL"</f>
        <v>BRASIL</v>
      </c>
      <c r="D3674" s="4" t="str">
        <f>"SC175"</f>
        <v>SC175</v>
      </c>
    </row>
    <row r="3675" spans="1:4" x14ac:dyDescent="0.3">
      <c r="A3675" s="2" t="str">
        <f>"OROBO"</f>
        <v>OROBO</v>
      </c>
      <c r="B3675" s="3" t="str">
        <f>"PE"</f>
        <v>PE</v>
      </c>
      <c r="C3675" s="3" t="str">
        <f t="shared" si="143"/>
        <v>BRASIL</v>
      </c>
      <c r="D3675" s="4" t="str">
        <f>"PE112"</f>
        <v>PE112</v>
      </c>
    </row>
    <row r="3676" spans="1:4" x14ac:dyDescent="0.3">
      <c r="A3676" s="2" t="str">
        <f>"OROCO"</f>
        <v>OROCO</v>
      </c>
      <c r="B3676" s="3" t="str">
        <f>"PE"</f>
        <v>PE</v>
      </c>
      <c r="C3676" s="3" t="str">
        <f t="shared" si="143"/>
        <v>BRASIL</v>
      </c>
      <c r="D3676" s="4" t="str">
        <f>"PE113"</f>
        <v>PE113</v>
      </c>
    </row>
    <row r="3677" spans="1:4" x14ac:dyDescent="0.3">
      <c r="A3677" s="2" t="str">
        <f>"OROS"</f>
        <v>OROS</v>
      </c>
      <c r="B3677" s="3" t="str">
        <f>"CE"</f>
        <v>CE</v>
      </c>
      <c r="C3677" s="3" t="str">
        <f t="shared" si="143"/>
        <v>BRASIL</v>
      </c>
      <c r="D3677" s="4" t="str">
        <f>"CE126"</f>
        <v>CE126</v>
      </c>
    </row>
    <row r="3678" spans="1:4" x14ac:dyDescent="0.3">
      <c r="A3678" s="2" t="str">
        <f>"ORTIGUEIRA"</f>
        <v>ORTIGUEIRA</v>
      </c>
      <c r="B3678" s="3" t="str">
        <f>"PR"</f>
        <v>PR</v>
      </c>
      <c r="C3678" s="3" t="str">
        <f t="shared" si="143"/>
        <v>BRASIL</v>
      </c>
      <c r="D3678" s="4" t="str">
        <f>"PR243"</f>
        <v>PR243</v>
      </c>
    </row>
    <row r="3679" spans="1:4" x14ac:dyDescent="0.3">
      <c r="A3679" s="2" t="str">
        <f>"OSASCO"</f>
        <v>OSASCO</v>
      </c>
      <c r="B3679" s="3" t="str">
        <f>"SP"</f>
        <v>SP</v>
      </c>
      <c r="C3679" s="3" t="str">
        <f t="shared" si="143"/>
        <v>BRASIL</v>
      </c>
      <c r="D3679" s="4" t="str">
        <f>"SP388"</f>
        <v>SP388</v>
      </c>
    </row>
    <row r="3680" spans="1:4" x14ac:dyDescent="0.3">
      <c r="A3680" s="2" t="str">
        <f>"OSCAR BRESSANE"</f>
        <v>OSCAR BRESSANE</v>
      </c>
      <c r="B3680" s="3" t="str">
        <f>"SP"</f>
        <v>SP</v>
      </c>
      <c r="C3680" s="3" t="str">
        <f t="shared" si="143"/>
        <v>BRASIL</v>
      </c>
      <c r="D3680" s="4" t="str">
        <f>"SP389"</f>
        <v>SP389</v>
      </c>
    </row>
    <row r="3681" spans="1:4" x14ac:dyDescent="0.3">
      <c r="A3681" s="2" t="str">
        <f>"OSNABRUECK"</f>
        <v>OSNABRUECK</v>
      </c>
      <c r="B3681" s="3" t="str">
        <f>"ex"</f>
        <v>ex</v>
      </c>
      <c r="C3681" s="3" t="str">
        <f>"ALEMANHA"</f>
        <v>ALEMANHA</v>
      </c>
      <c r="D3681" s="4" t="str">
        <f>"OSNAB"</f>
        <v>OSNAB</v>
      </c>
    </row>
    <row r="3682" spans="1:4" x14ac:dyDescent="0.3">
      <c r="A3682" s="2" t="str">
        <f>"OSORIO"</f>
        <v>OSORIO</v>
      </c>
      <c r="B3682" s="3" t="str">
        <f>"RS"</f>
        <v>RS</v>
      </c>
      <c r="C3682" s="3" t="str">
        <f t="shared" ref="C3682:C3713" si="144">"BRASIL"</f>
        <v>BRASIL</v>
      </c>
      <c r="D3682" s="4" t="str">
        <f>"RS292"</f>
        <v>RS292</v>
      </c>
    </row>
    <row r="3683" spans="1:4" x14ac:dyDescent="0.3">
      <c r="A3683" s="2" t="str">
        <f>"OSVALDO CRUZ"</f>
        <v>OSVALDO CRUZ</v>
      </c>
      <c r="B3683" s="3" t="str">
        <f>"SP"</f>
        <v>SP</v>
      </c>
      <c r="C3683" s="3" t="str">
        <f t="shared" si="144"/>
        <v>BRASIL</v>
      </c>
      <c r="D3683" s="4" t="str">
        <f>"SP390"</f>
        <v>SP390</v>
      </c>
    </row>
    <row r="3684" spans="1:4" x14ac:dyDescent="0.3">
      <c r="A3684" s="2" t="str">
        <f>"OTACILIO COSTA"</f>
        <v>OTACILIO COSTA</v>
      </c>
      <c r="B3684" s="3" t="str">
        <f>"SC"</f>
        <v>SC</v>
      </c>
      <c r="C3684" s="3" t="str">
        <f t="shared" si="144"/>
        <v>BRASIL</v>
      </c>
      <c r="D3684" s="4" t="str">
        <f>"SC176"</f>
        <v>SC176</v>
      </c>
    </row>
    <row r="3685" spans="1:4" x14ac:dyDescent="0.3">
      <c r="A3685" s="2" t="str">
        <f>"OUREM"</f>
        <v>OUREM</v>
      </c>
      <c r="B3685" s="3" t="str">
        <f>"PA"</f>
        <v>PA</v>
      </c>
      <c r="C3685" s="3" t="str">
        <f t="shared" si="144"/>
        <v>BRASIL</v>
      </c>
      <c r="D3685" s="4" t="str">
        <f>"PA084"</f>
        <v>PA084</v>
      </c>
    </row>
    <row r="3686" spans="1:4" x14ac:dyDescent="0.3">
      <c r="A3686" s="2" t="str">
        <f>"OURICANGAS"</f>
        <v>OURICANGAS</v>
      </c>
      <c r="B3686" s="3" t="str">
        <f>"BA"</f>
        <v>BA</v>
      </c>
      <c r="C3686" s="3" t="str">
        <f t="shared" si="144"/>
        <v>BRASIL</v>
      </c>
      <c r="D3686" s="4" t="str">
        <f>"BA286"</f>
        <v>BA286</v>
      </c>
    </row>
    <row r="3687" spans="1:4" x14ac:dyDescent="0.3">
      <c r="A3687" s="2" t="str">
        <f>"OURICURI"</f>
        <v>OURICURI</v>
      </c>
      <c r="B3687" s="3" t="str">
        <f>"PE"</f>
        <v>PE</v>
      </c>
      <c r="C3687" s="3" t="str">
        <f t="shared" si="144"/>
        <v>BRASIL</v>
      </c>
      <c r="D3687" s="4" t="str">
        <f>"PE114"</f>
        <v>PE114</v>
      </c>
    </row>
    <row r="3688" spans="1:4" x14ac:dyDescent="0.3">
      <c r="A3688" s="2" t="str">
        <f>"OURILANDIA DO NORTE"</f>
        <v>OURILANDIA DO NORTE</v>
      </c>
      <c r="B3688" s="3" t="str">
        <f>"PA"</f>
        <v>PA</v>
      </c>
      <c r="C3688" s="3" t="str">
        <f t="shared" si="144"/>
        <v>BRASIL</v>
      </c>
      <c r="D3688" s="4" t="str">
        <f>"PA085"</f>
        <v>PA085</v>
      </c>
    </row>
    <row r="3689" spans="1:4" x14ac:dyDescent="0.3">
      <c r="A3689" s="2" t="str">
        <f>"OURINHOS"</f>
        <v>OURINHOS</v>
      </c>
      <c r="B3689" s="3" t="str">
        <f>"SP"</f>
        <v>SP</v>
      </c>
      <c r="C3689" s="3" t="str">
        <f t="shared" si="144"/>
        <v>BRASIL</v>
      </c>
      <c r="D3689" s="4" t="str">
        <f>"SP391"</f>
        <v>SP391</v>
      </c>
    </row>
    <row r="3690" spans="1:4" x14ac:dyDescent="0.3">
      <c r="A3690" s="2" t="str">
        <f>"OURIZONA"</f>
        <v>OURIZONA</v>
      </c>
      <c r="B3690" s="3" t="str">
        <f>"PR"</f>
        <v>PR</v>
      </c>
      <c r="C3690" s="3" t="str">
        <f t="shared" si="144"/>
        <v>BRASIL</v>
      </c>
      <c r="D3690" s="4" t="str">
        <f>"PR244"</f>
        <v>PR244</v>
      </c>
    </row>
    <row r="3691" spans="1:4" x14ac:dyDescent="0.3">
      <c r="A3691" s="2" t="str">
        <f>"OURO"</f>
        <v>OURO</v>
      </c>
      <c r="B3691" s="3" t="str">
        <f>"SC"</f>
        <v>SC</v>
      </c>
      <c r="C3691" s="3" t="str">
        <f t="shared" si="144"/>
        <v>BRASIL</v>
      </c>
      <c r="D3691" s="4" t="str">
        <f>"SC177"</f>
        <v>SC177</v>
      </c>
    </row>
    <row r="3692" spans="1:4" x14ac:dyDescent="0.3">
      <c r="A3692" s="2" t="str">
        <f>"OURO BRANCO"</f>
        <v>OURO BRANCO</v>
      </c>
      <c r="B3692" s="3" t="str">
        <f>"AL"</f>
        <v>AL</v>
      </c>
      <c r="C3692" s="3" t="str">
        <f t="shared" si="144"/>
        <v>BRASIL</v>
      </c>
      <c r="D3692" s="4" t="str">
        <f>"AL065"</f>
        <v>AL065</v>
      </c>
    </row>
    <row r="3693" spans="1:4" x14ac:dyDescent="0.3">
      <c r="A3693" s="2" t="str">
        <f>"OURO BRANCO"</f>
        <v>OURO BRANCO</v>
      </c>
      <c r="B3693" s="3" t="str">
        <f>"MG"</f>
        <v>MG</v>
      </c>
      <c r="C3693" s="3" t="str">
        <f t="shared" si="144"/>
        <v>BRASIL</v>
      </c>
      <c r="D3693" s="4" t="str">
        <f>"MG537"</f>
        <v>MG537</v>
      </c>
    </row>
    <row r="3694" spans="1:4" x14ac:dyDescent="0.3">
      <c r="A3694" s="2" t="str">
        <f>"OURO BRANCO"</f>
        <v>OURO BRANCO</v>
      </c>
      <c r="B3694" s="3" t="str">
        <f>"RN"</f>
        <v>RN</v>
      </c>
      <c r="C3694" s="3" t="str">
        <f t="shared" si="144"/>
        <v>BRASIL</v>
      </c>
      <c r="D3694" s="4" t="str">
        <f>"RN093"</f>
        <v>RN093</v>
      </c>
    </row>
    <row r="3695" spans="1:4" x14ac:dyDescent="0.3">
      <c r="A3695" s="2" t="str">
        <f>"OURO FINO"</f>
        <v>OURO FINO</v>
      </c>
      <c r="B3695" s="3" t="str">
        <f>"MG"</f>
        <v>MG</v>
      </c>
      <c r="C3695" s="3" t="str">
        <f t="shared" si="144"/>
        <v>BRASIL</v>
      </c>
      <c r="D3695" s="4" t="str">
        <f>"MG538"</f>
        <v>MG538</v>
      </c>
    </row>
    <row r="3696" spans="1:4" x14ac:dyDescent="0.3">
      <c r="A3696" s="2" t="str">
        <f>"OURO PRETO"</f>
        <v>OURO PRETO</v>
      </c>
      <c r="B3696" s="3" t="str">
        <f>"MG"</f>
        <v>MG</v>
      </c>
      <c r="C3696" s="3" t="str">
        <f t="shared" si="144"/>
        <v>BRASIL</v>
      </c>
      <c r="D3696" s="4" t="str">
        <f>"MG539"</f>
        <v>MG539</v>
      </c>
    </row>
    <row r="3697" spans="1:4" x14ac:dyDescent="0.3">
      <c r="A3697" s="2" t="str">
        <f>"OURO PRETO DO OESTE"</f>
        <v>OURO PRETO DO OESTE</v>
      </c>
      <c r="B3697" s="3" t="str">
        <f>"RO"</f>
        <v>RO</v>
      </c>
      <c r="C3697" s="3" t="str">
        <f t="shared" si="144"/>
        <v>BRASIL</v>
      </c>
      <c r="D3697" s="4" t="str">
        <f>"RO015"</f>
        <v>RO015</v>
      </c>
    </row>
    <row r="3698" spans="1:4" x14ac:dyDescent="0.3">
      <c r="A3698" s="2" t="str">
        <f>"OURO VELHO"</f>
        <v>OURO VELHO</v>
      </c>
      <c r="B3698" s="3" t="str">
        <f>"PB"</f>
        <v>PB</v>
      </c>
      <c r="C3698" s="3" t="str">
        <f t="shared" si="144"/>
        <v>BRASIL</v>
      </c>
      <c r="D3698" s="4" t="str">
        <f>"PB133"</f>
        <v>PB133</v>
      </c>
    </row>
    <row r="3699" spans="1:4" x14ac:dyDescent="0.3">
      <c r="A3699" s="2" t="str">
        <f>"OURO VERDE"</f>
        <v>OURO VERDE</v>
      </c>
      <c r="B3699" s="3" t="str">
        <f>"SC"</f>
        <v>SC</v>
      </c>
      <c r="C3699" s="3" t="str">
        <f t="shared" si="144"/>
        <v>BRASIL</v>
      </c>
      <c r="D3699" s="4" t="str">
        <f>"SC178"</f>
        <v>SC178</v>
      </c>
    </row>
    <row r="3700" spans="1:4" x14ac:dyDescent="0.3">
      <c r="A3700" s="2" t="str">
        <f>"OURO VERDE"</f>
        <v>OURO VERDE</v>
      </c>
      <c r="B3700" s="3" t="str">
        <f>"SP"</f>
        <v>SP</v>
      </c>
      <c r="C3700" s="3" t="str">
        <f t="shared" si="144"/>
        <v>BRASIL</v>
      </c>
      <c r="D3700" s="4" t="str">
        <f>"SP393"</f>
        <v>SP393</v>
      </c>
    </row>
    <row r="3701" spans="1:4" x14ac:dyDescent="0.3">
      <c r="A3701" s="2" t="str">
        <f>"OURO VERDE DE GOIAS"</f>
        <v>OURO VERDE DE GOIAS</v>
      </c>
      <c r="B3701" s="3" t="str">
        <f>"GO"</f>
        <v>GO</v>
      </c>
      <c r="C3701" s="3" t="str">
        <f t="shared" si="144"/>
        <v>BRASIL</v>
      </c>
      <c r="D3701" s="4" t="str">
        <f>"GO170"</f>
        <v>GO170</v>
      </c>
    </row>
    <row r="3702" spans="1:4" x14ac:dyDescent="0.3">
      <c r="A3702" s="2" t="str">
        <f>"OURO VERDE DE MINAS"</f>
        <v>OURO VERDE DE MINAS</v>
      </c>
      <c r="B3702" s="3" t="str">
        <f>"MG"</f>
        <v>MG</v>
      </c>
      <c r="C3702" s="3" t="str">
        <f t="shared" si="144"/>
        <v>BRASIL</v>
      </c>
      <c r="D3702" s="4" t="str">
        <f>"MG540"</f>
        <v>MG540</v>
      </c>
    </row>
    <row r="3703" spans="1:4" x14ac:dyDescent="0.3">
      <c r="A3703" s="2" t="str">
        <f>"OURO VERDE DO OESTE"</f>
        <v>OURO VERDE DO OESTE</v>
      </c>
      <c r="B3703" s="3" t="str">
        <f>"PR"</f>
        <v>PR</v>
      </c>
      <c r="C3703" s="3" t="str">
        <f t="shared" si="144"/>
        <v>BRASIL</v>
      </c>
      <c r="D3703" s="4" t="str">
        <f>"PR245"</f>
        <v>PR245</v>
      </c>
    </row>
    <row r="3704" spans="1:4" x14ac:dyDescent="0.3">
      <c r="A3704" s="2" t="str">
        <f>"OUROESTE"</f>
        <v>OUROESTE</v>
      </c>
      <c r="B3704" s="3" t="str">
        <f>"SP"</f>
        <v>SP</v>
      </c>
      <c r="C3704" s="3" t="str">
        <f t="shared" si="144"/>
        <v>BRASIL</v>
      </c>
      <c r="D3704" s="4" t="str">
        <f>"SP392"</f>
        <v>SP392</v>
      </c>
    </row>
    <row r="3705" spans="1:4" x14ac:dyDescent="0.3">
      <c r="A3705" s="2" t="str">
        <f>"OUROLANDIA"</f>
        <v>OUROLANDIA</v>
      </c>
      <c r="B3705" s="3" t="str">
        <f>"BA"</f>
        <v>BA</v>
      </c>
      <c r="C3705" s="3" t="str">
        <f t="shared" si="144"/>
        <v>BRASIL</v>
      </c>
      <c r="D3705" s="4" t="str">
        <f>"BA287"</f>
        <v>BA287</v>
      </c>
    </row>
    <row r="3706" spans="1:4" x14ac:dyDescent="0.3">
      <c r="A3706" s="2" t="str">
        <f>"OUVIDOR"</f>
        <v>OUVIDOR</v>
      </c>
      <c r="B3706" s="3" t="str">
        <f>"GO"</f>
        <v>GO</v>
      </c>
      <c r="C3706" s="3" t="str">
        <f t="shared" si="144"/>
        <v>BRASIL</v>
      </c>
      <c r="D3706" s="4" t="str">
        <f>"GO171"</f>
        <v>GO171</v>
      </c>
    </row>
    <row r="3707" spans="1:4" x14ac:dyDescent="0.3">
      <c r="A3707" s="2" t="str">
        <f>"PACAEMBU"</f>
        <v>PACAEMBU</v>
      </c>
      <c r="B3707" s="3" t="str">
        <f>"SP"</f>
        <v>SP</v>
      </c>
      <c r="C3707" s="3" t="str">
        <f t="shared" si="144"/>
        <v>BRASIL</v>
      </c>
      <c r="D3707" s="4" t="str">
        <f>"SP394"</f>
        <v>SP394</v>
      </c>
    </row>
    <row r="3708" spans="1:4" x14ac:dyDescent="0.3">
      <c r="A3708" s="2" t="str">
        <f>"PACAJA"</f>
        <v>PACAJA</v>
      </c>
      <c r="B3708" s="3" t="str">
        <f>"PA"</f>
        <v>PA</v>
      </c>
      <c r="C3708" s="3" t="str">
        <f t="shared" si="144"/>
        <v>BRASIL</v>
      </c>
      <c r="D3708" s="4" t="str">
        <f>"PA086"</f>
        <v>PA086</v>
      </c>
    </row>
    <row r="3709" spans="1:4" x14ac:dyDescent="0.3">
      <c r="A3709" s="2" t="str">
        <f>"PACAJUS"</f>
        <v>PACAJUS</v>
      </c>
      <c r="B3709" s="3" t="str">
        <f>"CE"</f>
        <v>CE</v>
      </c>
      <c r="C3709" s="3" t="str">
        <f t="shared" si="144"/>
        <v>BRASIL</v>
      </c>
      <c r="D3709" s="4" t="str">
        <f>"CE127"</f>
        <v>CE127</v>
      </c>
    </row>
    <row r="3710" spans="1:4" x14ac:dyDescent="0.3">
      <c r="A3710" s="2" t="str">
        <f>"PACARAIMA"</f>
        <v>PACARAIMA</v>
      </c>
      <c r="B3710" s="3" t="str">
        <f>"RR"</f>
        <v>RR</v>
      </c>
      <c r="C3710" s="3" t="str">
        <f t="shared" si="144"/>
        <v>BRASIL</v>
      </c>
      <c r="D3710" s="4" t="str">
        <f>"RR011"</f>
        <v>RR011</v>
      </c>
    </row>
    <row r="3711" spans="1:4" x14ac:dyDescent="0.3">
      <c r="A3711" s="2" t="str">
        <f>"PACATUBA"</f>
        <v>PACATUBA</v>
      </c>
      <c r="B3711" s="3" t="str">
        <f>"CE"</f>
        <v>CE</v>
      </c>
      <c r="C3711" s="3" t="str">
        <f t="shared" si="144"/>
        <v>BRASIL</v>
      </c>
      <c r="D3711" s="4" t="str">
        <f>"CE128"</f>
        <v>CE128</v>
      </c>
    </row>
    <row r="3712" spans="1:4" x14ac:dyDescent="0.3">
      <c r="A3712" s="2" t="str">
        <f>"PACATUBA"</f>
        <v>PACATUBA</v>
      </c>
      <c r="B3712" s="3" t="str">
        <f>"SE"</f>
        <v>SE</v>
      </c>
      <c r="C3712" s="3" t="str">
        <f t="shared" si="144"/>
        <v>BRASIL</v>
      </c>
      <c r="D3712" s="4" t="str">
        <f>"SE048"</f>
        <v>SE048</v>
      </c>
    </row>
    <row r="3713" spans="1:4" x14ac:dyDescent="0.3">
      <c r="A3713" s="2" t="str">
        <f>"PACO DO LUMIAR"</f>
        <v>PACO DO LUMIAR</v>
      </c>
      <c r="B3713" s="3" t="str">
        <f>"MA"</f>
        <v>MA</v>
      </c>
      <c r="C3713" s="3" t="str">
        <f t="shared" si="144"/>
        <v>BRASIL</v>
      </c>
      <c r="D3713" s="4" t="str">
        <f>"MA130"</f>
        <v>MA130</v>
      </c>
    </row>
    <row r="3714" spans="1:4" x14ac:dyDescent="0.3">
      <c r="A3714" s="2" t="str">
        <f>"PACOTI"</f>
        <v>PACOTI</v>
      </c>
      <c r="B3714" s="3" t="str">
        <f>"CE"</f>
        <v>CE</v>
      </c>
      <c r="C3714" s="3" t="str">
        <f t="shared" ref="C3714:C3741" si="145">"BRASIL"</f>
        <v>BRASIL</v>
      </c>
      <c r="D3714" s="4" t="str">
        <f>"CE129"</f>
        <v>CE129</v>
      </c>
    </row>
    <row r="3715" spans="1:4" x14ac:dyDescent="0.3">
      <c r="A3715" s="2" t="str">
        <f>"PACUJA"</f>
        <v>PACUJA</v>
      </c>
      <c r="B3715" s="3" t="str">
        <f>"CE"</f>
        <v>CE</v>
      </c>
      <c r="C3715" s="3" t="str">
        <f t="shared" si="145"/>
        <v>BRASIL</v>
      </c>
      <c r="D3715" s="4" t="str">
        <f>"CE130"</f>
        <v>CE130</v>
      </c>
    </row>
    <row r="3716" spans="1:4" x14ac:dyDescent="0.3">
      <c r="A3716" s="2" t="str">
        <f>"PADRE BERNARDO"</f>
        <v>PADRE BERNARDO</v>
      </c>
      <c r="B3716" s="3" t="str">
        <f>"GO"</f>
        <v>GO</v>
      </c>
      <c r="C3716" s="3" t="str">
        <f t="shared" si="145"/>
        <v>BRASIL</v>
      </c>
      <c r="D3716" s="4" t="str">
        <f>"GO172"</f>
        <v>GO172</v>
      </c>
    </row>
    <row r="3717" spans="1:4" x14ac:dyDescent="0.3">
      <c r="A3717" s="2" t="str">
        <f>"PADRE CARVALHO"</f>
        <v>PADRE CARVALHO</v>
      </c>
      <c r="B3717" s="3" t="str">
        <f>"MG"</f>
        <v>MG</v>
      </c>
      <c r="C3717" s="3" t="str">
        <f t="shared" si="145"/>
        <v>BRASIL</v>
      </c>
      <c r="D3717" s="4" t="str">
        <f>"MG541"</f>
        <v>MG541</v>
      </c>
    </row>
    <row r="3718" spans="1:4" x14ac:dyDescent="0.3">
      <c r="A3718" s="2" t="str">
        <f>"PADRE MARCOS"</f>
        <v>PADRE MARCOS</v>
      </c>
      <c r="B3718" s="3" t="str">
        <f>"PI"</f>
        <v>PI</v>
      </c>
      <c r="C3718" s="3" t="str">
        <f t="shared" si="145"/>
        <v>BRASIL</v>
      </c>
      <c r="D3718" s="4" t="str">
        <f>"PI143"</f>
        <v>PI143</v>
      </c>
    </row>
    <row r="3719" spans="1:4" x14ac:dyDescent="0.3">
      <c r="A3719" s="2" t="str">
        <f>"PADRE PARAISO"</f>
        <v>PADRE PARAISO</v>
      </c>
      <c r="B3719" s="3" t="str">
        <f>"MG"</f>
        <v>MG</v>
      </c>
      <c r="C3719" s="3" t="str">
        <f t="shared" si="145"/>
        <v>BRASIL</v>
      </c>
      <c r="D3719" s="4" t="str">
        <f>"MG542"</f>
        <v>MG542</v>
      </c>
    </row>
    <row r="3720" spans="1:4" x14ac:dyDescent="0.3">
      <c r="A3720" s="2" t="str">
        <f>"PAES LANDIM"</f>
        <v>PAES LANDIM</v>
      </c>
      <c r="B3720" s="3" t="str">
        <f>"PI"</f>
        <v>PI</v>
      </c>
      <c r="C3720" s="3" t="str">
        <f t="shared" si="145"/>
        <v>BRASIL</v>
      </c>
      <c r="D3720" s="4" t="str">
        <f>"PI144"</f>
        <v>PI144</v>
      </c>
    </row>
    <row r="3721" spans="1:4" x14ac:dyDescent="0.3">
      <c r="A3721" s="2" t="str">
        <f>"PAI PEDRO"</f>
        <v>PAI PEDRO</v>
      </c>
      <c r="B3721" s="3" t="str">
        <f>"MG"</f>
        <v>MG</v>
      </c>
      <c r="C3721" s="3" t="str">
        <f t="shared" si="145"/>
        <v>BRASIL</v>
      </c>
      <c r="D3721" s="4" t="str">
        <f>"MG545"</f>
        <v>MG545</v>
      </c>
    </row>
    <row r="3722" spans="1:4" x14ac:dyDescent="0.3">
      <c r="A3722" s="2" t="str">
        <f>"PAIAL"</f>
        <v>PAIAL</v>
      </c>
      <c r="B3722" s="3" t="str">
        <f>"SC"</f>
        <v>SC</v>
      </c>
      <c r="C3722" s="3" t="str">
        <f t="shared" si="145"/>
        <v>BRASIL</v>
      </c>
      <c r="D3722" s="4" t="str">
        <f>"SC179"</f>
        <v>SC179</v>
      </c>
    </row>
    <row r="3723" spans="1:4" x14ac:dyDescent="0.3">
      <c r="A3723" s="2" t="str">
        <f>"PAICANDU"</f>
        <v>PAICANDU</v>
      </c>
      <c r="B3723" s="3" t="str">
        <f>"PR"</f>
        <v>PR</v>
      </c>
      <c r="C3723" s="3" t="str">
        <f t="shared" si="145"/>
        <v>BRASIL</v>
      </c>
      <c r="D3723" s="4" t="str">
        <f>"PR246"</f>
        <v>PR246</v>
      </c>
    </row>
    <row r="3724" spans="1:4" x14ac:dyDescent="0.3">
      <c r="A3724" s="2" t="str">
        <f>"PAIM FILHO"</f>
        <v>PAIM FILHO</v>
      </c>
      <c r="B3724" s="3" t="str">
        <f>"RS"</f>
        <v>RS</v>
      </c>
      <c r="C3724" s="3" t="str">
        <f t="shared" si="145"/>
        <v>BRASIL</v>
      </c>
      <c r="D3724" s="4" t="str">
        <f>"RS293"</f>
        <v>RS293</v>
      </c>
    </row>
    <row r="3725" spans="1:4" x14ac:dyDescent="0.3">
      <c r="A3725" s="2" t="str">
        <f>"PAINEIRAS"</f>
        <v>PAINEIRAS</v>
      </c>
      <c r="B3725" s="3" t="str">
        <f>"MG"</f>
        <v>MG</v>
      </c>
      <c r="C3725" s="3" t="str">
        <f t="shared" si="145"/>
        <v>BRASIL</v>
      </c>
      <c r="D3725" s="4" t="str">
        <f>"MG543"</f>
        <v>MG543</v>
      </c>
    </row>
    <row r="3726" spans="1:4" x14ac:dyDescent="0.3">
      <c r="A3726" s="2" t="str">
        <f>"PAINEL"</f>
        <v>PAINEL</v>
      </c>
      <c r="B3726" s="3" t="str">
        <f>"SC"</f>
        <v>SC</v>
      </c>
      <c r="C3726" s="3" t="str">
        <f t="shared" si="145"/>
        <v>BRASIL</v>
      </c>
      <c r="D3726" s="4" t="str">
        <f>"SC180"</f>
        <v>SC180</v>
      </c>
    </row>
    <row r="3727" spans="1:4" x14ac:dyDescent="0.3">
      <c r="A3727" s="2" t="str">
        <f>"PAINS"</f>
        <v>PAINS</v>
      </c>
      <c r="B3727" s="3" t="str">
        <f>"MG"</f>
        <v>MG</v>
      </c>
      <c r="C3727" s="3" t="str">
        <f t="shared" si="145"/>
        <v>BRASIL</v>
      </c>
      <c r="D3727" s="4" t="str">
        <f>"MG544"</f>
        <v>MG544</v>
      </c>
    </row>
    <row r="3728" spans="1:4" x14ac:dyDescent="0.3">
      <c r="A3728" s="2" t="str">
        <f>"PAIVA"</f>
        <v>PAIVA</v>
      </c>
      <c r="B3728" s="3" t="str">
        <f>"MG"</f>
        <v>MG</v>
      </c>
      <c r="C3728" s="3" t="str">
        <f t="shared" si="145"/>
        <v>BRASIL</v>
      </c>
      <c r="D3728" s="4" t="str">
        <f>"MG546"</f>
        <v>MG546</v>
      </c>
    </row>
    <row r="3729" spans="1:4" x14ac:dyDescent="0.3">
      <c r="A3729" s="2" t="str">
        <f>"PAJEU DO PIAUI"</f>
        <v>PAJEU DO PIAUI</v>
      </c>
      <c r="B3729" s="3" t="str">
        <f>"PI"</f>
        <v>PI</v>
      </c>
      <c r="C3729" s="3" t="str">
        <f t="shared" si="145"/>
        <v>BRASIL</v>
      </c>
      <c r="D3729" s="4" t="str">
        <f>"PI145"</f>
        <v>PI145</v>
      </c>
    </row>
    <row r="3730" spans="1:4" x14ac:dyDescent="0.3">
      <c r="A3730" s="2" t="str">
        <f>"PALESTINA"</f>
        <v>PALESTINA</v>
      </c>
      <c r="B3730" s="3" t="str">
        <f>"AL"</f>
        <v>AL</v>
      </c>
      <c r="C3730" s="3" t="str">
        <f t="shared" si="145"/>
        <v>BRASIL</v>
      </c>
      <c r="D3730" s="4" t="str">
        <f>"AL066"</f>
        <v>AL066</v>
      </c>
    </row>
    <row r="3731" spans="1:4" x14ac:dyDescent="0.3">
      <c r="A3731" s="2" t="str">
        <f>"PALESTINA"</f>
        <v>PALESTINA</v>
      </c>
      <c r="B3731" s="3" t="str">
        <f>"SP"</f>
        <v>SP</v>
      </c>
      <c r="C3731" s="3" t="str">
        <f t="shared" si="145"/>
        <v>BRASIL</v>
      </c>
      <c r="D3731" s="4" t="str">
        <f>"SP395"</f>
        <v>SP395</v>
      </c>
    </row>
    <row r="3732" spans="1:4" x14ac:dyDescent="0.3">
      <c r="A3732" s="2" t="str">
        <f>"PALESTINA DE GOIAS"</f>
        <v>PALESTINA DE GOIAS</v>
      </c>
      <c r="B3732" s="3" t="str">
        <f>"GO"</f>
        <v>GO</v>
      </c>
      <c r="C3732" s="3" t="str">
        <f t="shared" si="145"/>
        <v>BRASIL</v>
      </c>
      <c r="D3732" s="4" t="str">
        <f>"GO173"</f>
        <v>GO173</v>
      </c>
    </row>
    <row r="3733" spans="1:4" x14ac:dyDescent="0.3">
      <c r="A3733" s="2" t="str">
        <f>"PALESTINA DO PARA"</f>
        <v>PALESTINA DO PARA</v>
      </c>
      <c r="B3733" s="3" t="str">
        <f>"PA"</f>
        <v>PA</v>
      </c>
      <c r="C3733" s="3" t="str">
        <f t="shared" si="145"/>
        <v>BRASIL</v>
      </c>
      <c r="D3733" s="4" t="str">
        <f>"PA087"</f>
        <v>PA087</v>
      </c>
    </row>
    <row r="3734" spans="1:4" x14ac:dyDescent="0.3">
      <c r="A3734" s="2" t="str">
        <f>"PALHANO"</f>
        <v>PALHANO</v>
      </c>
      <c r="B3734" s="3" t="str">
        <f>"CE"</f>
        <v>CE</v>
      </c>
      <c r="C3734" s="3" t="str">
        <f t="shared" si="145"/>
        <v>BRASIL</v>
      </c>
      <c r="D3734" s="4" t="str">
        <f>"CE131"</f>
        <v>CE131</v>
      </c>
    </row>
    <row r="3735" spans="1:4" x14ac:dyDescent="0.3">
      <c r="A3735" s="2" t="str">
        <f>"PALHOCA"</f>
        <v>PALHOCA</v>
      </c>
      <c r="B3735" s="3" t="str">
        <f>"SC"</f>
        <v>SC</v>
      </c>
      <c r="C3735" s="3" t="str">
        <f t="shared" si="145"/>
        <v>BRASIL</v>
      </c>
      <c r="D3735" s="4" t="str">
        <f>"SC181"</f>
        <v>SC181</v>
      </c>
    </row>
    <row r="3736" spans="1:4" x14ac:dyDescent="0.3">
      <c r="A3736" s="2" t="str">
        <f>"PALMA"</f>
        <v>PALMA</v>
      </c>
      <c r="B3736" s="3" t="str">
        <f>"MG"</f>
        <v>MG</v>
      </c>
      <c r="C3736" s="3" t="str">
        <f t="shared" si="145"/>
        <v>BRASIL</v>
      </c>
      <c r="D3736" s="4" t="str">
        <f>"MG547"</f>
        <v>MG547</v>
      </c>
    </row>
    <row r="3737" spans="1:4" x14ac:dyDescent="0.3">
      <c r="A3737" s="2" t="str">
        <f>"PALMA SOLA"</f>
        <v>PALMA SOLA</v>
      </c>
      <c r="B3737" s="3" t="str">
        <f>"SC"</f>
        <v>SC</v>
      </c>
      <c r="C3737" s="3" t="str">
        <f t="shared" si="145"/>
        <v>BRASIL</v>
      </c>
      <c r="D3737" s="4" t="str">
        <f>"SC182"</f>
        <v>SC182</v>
      </c>
    </row>
    <row r="3738" spans="1:4" x14ac:dyDescent="0.3">
      <c r="A3738" s="2" t="str">
        <f>"PALMACIA"</f>
        <v>PALMACIA</v>
      </c>
      <c r="B3738" s="3" t="str">
        <f>"CE"</f>
        <v>CE</v>
      </c>
      <c r="C3738" s="3" t="str">
        <f t="shared" si="145"/>
        <v>BRASIL</v>
      </c>
      <c r="D3738" s="4" t="str">
        <f>"CE132"</f>
        <v>CE132</v>
      </c>
    </row>
    <row r="3739" spans="1:4" x14ac:dyDescent="0.3">
      <c r="A3739" s="2" t="str">
        <f>"PALMARES"</f>
        <v>PALMARES</v>
      </c>
      <c r="B3739" s="3" t="str">
        <f>"PE"</f>
        <v>PE</v>
      </c>
      <c r="C3739" s="3" t="str">
        <f t="shared" si="145"/>
        <v>BRASIL</v>
      </c>
      <c r="D3739" s="4" t="str">
        <f>"PE115"</f>
        <v>PE115</v>
      </c>
    </row>
    <row r="3740" spans="1:4" x14ac:dyDescent="0.3">
      <c r="A3740" s="2" t="str">
        <f>"PALMARES DO SUL"</f>
        <v>PALMARES DO SUL</v>
      </c>
      <c r="B3740" s="3" t="str">
        <f>"RS"</f>
        <v>RS</v>
      </c>
      <c r="C3740" s="3" t="str">
        <f t="shared" si="145"/>
        <v>BRASIL</v>
      </c>
      <c r="D3740" s="4" t="str">
        <f>"RS294"</f>
        <v>RS294</v>
      </c>
    </row>
    <row r="3741" spans="1:4" x14ac:dyDescent="0.3">
      <c r="A3741" s="2" t="str">
        <f>"PALMARES PAULISTA"</f>
        <v>PALMARES PAULISTA</v>
      </c>
      <c r="B3741" s="3" t="str">
        <f>"SP"</f>
        <v>SP</v>
      </c>
      <c r="C3741" s="3" t="str">
        <f t="shared" si="145"/>
        <v>BRASIL</v>
      </c>
      <c r="D3741" s="4" t="str">
        <f>"SP396"</f>
        <v>SP396</v>
      </c>
    </row>
    <row r="3742" spans="1:4" x14ac:dyDescent="0.3">
      <c r="A3742" s="2" t="str">
        <f>"PALMAS"</f>
        <v>PALMAS</v>
      </c>
      <c r="B3742" s="3" t="str">
        <f>"PR"</f>
        <v>PR</v>
      </c>
      <c r="C3742" s="3" t="str">
        <f>"Brasil"</f>
        <v>Brasil</v>
      </c>
      <c r="D3742" s="4" t="str">
        <f>"PAL"</f>
        <v>PAL</v>
      </c>
    </row>
    <row r="3743" spans="1:4" x14ac:dyDescent="0.3">
      <c r="A3743" s="2" t="str">
        <f>"PALMAS"</f>
        <v>PALMAS</v>
      </c>
      <c r="B3743" s="3" t="str">
        <f>"TO"</f>
        <v>TO</v>
      </c>
      <c r="C3743" s="3" t="str">
        <f t="shared" ref="C3743:C3774" si="146">"BRASIL"</f>
        <v>BRASIL</v>
      </c>
      <c r="D3743" s="4" t="str">
        <f>"TO133"</f>
        <v>TO133</v>
      </c>
    </row>
    <row r="3744" spans="1:4" x14ac:dyDescent="0.3">
      <c r="A3744" s="2" t="str">
        <f>"PALMAS DE MONTE ALTO"</f>
        <v>PALMAS DE MONTE ALTO</v>
      </c>
      <c r="B3744" s="3" t="str">
        <f>"BA"</f>
        <v>BA</v>
      </c>
      <c r="C3744" s="3" t="str">
        <f t="shared" si="146"/>
        <v>BRASIL</v>
      </c>
      <c r="D3744" s="4" t="str">
        <f>"BA288"</f>
        <v>BA288</v>
      </c>
    </row>
    <row r="3745" spans="1:4" x14ac:dyDescent="0.3">
      <c r="A3745" s="2" t="str">
        <f>"PALMEIRA"</f>
        <v>PALMEIRA</v>
      </c>
      <c r="B3745" s="3" t="str">
        <f>"PR"</f>
        <v>PR</v>
      </c>
      <c r="C3745" s="3" t="str">
        <f t="shared" si="146"/>
        <v>BRASIL</v>
      </c>
      <c r="D3745" s="4" t="str">
        <f>"PR248"</f>
        <v>PR248</v>
      </c>
    </row>
    <row r="3746" spans="1:4" x14ac:dyDescent="0.3">
      <c r="A3746" s="2" t="str">
        <f>"PALMEIRA"</f>
        <v>PALMEIRA</v>
      </c>
      <c r="B3746" s="3" t="str">
        <f>"SC"</f>
        <v>SC</v>
      </c>
      <c r="C3746" s="3" t="str">
        <f t="shared" si="146"/>
        <v>BRASIL</v>
      </c>
      <c r="D3746" s="4" t="str">
        <f>"SC183"</f>
        <v>SC183</v>
      </c>
    </row>
    <row r="3747" spans="1:4" x14ac:dyDescent="0.3">
      <c r="A3747" s="2" t="str">
        <f>"PALMEIRA D'OESTE"</f>
        <v>PALMEIRA D'OESTE</v>
      </c>
      <c r="B3747" s="3" t="str">
        <f>"SP"</f>
        <v>SP</v>
      </c>
      <c r="C3747" s="3" t="str">
        <f t="shared" si="146"/>
        <v>BRASIL</v>
      </c>
      <c r="D3747" s="4" t="str">
        <f>"SP397"</f>
        <v>SP397</v>
      </c>
    </row>
    <row r="3748" spans="1:4" x14ac:dyDescent="0.3">
      <c r="A3748" s="2" t="str">
        <f>"PALMEIRA DAS MISSÕES"</f>
        <v>PALMEIRA DAS MISSÕES</v>
      </c>
      <c r="B3748" s="3" t="str">
        <f>"RS"</f>
        <v>RS</v>
      </c>
      <c r="C3748" s="3" t="str">
        <f t="shared" si="146"/>
        <v>BRASIL</v>
      </c>
      <c r="D3748" s="4" t="str">
        <f>"RS295"</f>
        <v>RS295</v>
      </c>
    </row>
    <row r="3749" spans="1:4" x14ac:dyDescent="0.3">
      <c r="A3749" s="2" t="str">
        <f>"PALMEIRA DO PIAUI"</f>
        <v>PALMEIRA DO PIAUI</v>
      </c>
      <c r="B3749" s="3" t="str">
        <f>"PI"</f>
        <v>PI</v>
      </c>
      <c r="C3749" s="3" t="str">
        <f t="shared" si="146"/>
        <v>BRASIL</v>
      </c>
      <c r="D3749" s="4" t="str">
        <f>"PI146"</f>
        <v>PI146</v>
      </c>
    </row>
    <row r="3750" spans="1:4" x14ac:dyDescent="0.3">
      <c r="A3750" s="2" t="str">
        <f>"PALMEIRA DOS INDIOS"</f>
        <v>PALMEIRA DOS INDIOS</v>
      </c>
      <c r="B3750" s="3" t="str">
        <f>"AL"</f>
        <v>AL</v>
      </c>
      <c r="C3750" s="3" t="str">
        <f t="shared" si="146"/>
        <v>BRASIL</v>
      </c>
      <c r="D3750" s="4" t="str">
        <f>"AL067"</f>
        <v>AL067</v>
      </c>
    </row>
    <row r="3751" spans="1:4" x14ac:dyDescent="0.3">
      <c r="A3751" s="2" t="str">
        <f>"PALMEIRAIS"</f>
        <v>PALMEIRAIS</v>
      </c>
      <c r="B3751" s="3" t="str">
        <f>"PI"</f>
        <v>PI</v>
      </c>
      <c r="C3751" s="3" t="str">
        <f t="shared" si="146"/>
        <v>BRASIL</v>
      </c>
      <c r="D3751" s="4" t="str">
        <f>"PI147"</f>
        <v>PI147</v>
      </c>
    </row>
    <row r="3752" spans="1:4" x14ac:dyDescent="0.3">
      <c r="A3752" s="2" t="str">
        <f>"PALMEIRANDIA"</f>
        <v>PALMEIRANDIA</v>
      </c>
      <c r="B3752" s="3" t="str">
        <f>"MA"</f>
        <v>MA</v>
      </c>
      <c r="C3752" s="3" t="str">
        <f t="shared" si="146"/>
        <v>BRASIL</v>
      </c>
      <c r="D3752" s="4" t="str">
        <f>"MA131"</f>
        <v>MA131</v>
      </c>
    </row>
    <row r="3753" spans="1:4" x14ac:dyDescent="0.3">
      <c r="A3753" s="2" t="str">
        <f>"PALMEIRANTE"</f>
        <v>PALMEIRANTE</v>
      </c>
      <c r="B3753" s="3" t="str">
        <f>"TO"</f>
        <v>TO</v>
      </c>
      <c r="C3753" s="3" t="str">
        <f t="shared" si="146"/>
        <v>BRASIL</v>
      </c>
      <c r="D3753" s="4" t="str">
        <f>"TO089"</f>
        <v>TO089</v>
      </c>
    </row>
    <row r="3754" spans="1:4" x14ac:dyDescent="0.3">
      <c r="A3754" s="2" t="str">
        <f>"PALMEIRAS"</f>
        <v>PALMEIRAS</v>
      </c>
      <c r="B3754" s="3" t="str">
        <f>"BA"</f>
        <v>BA</v>
      </c>
      <c r="C3754" s="3" t="str">
        <f t="shared" si="146"/>
        <v>BRASIL</v>
      </c>
      <c r="D3754" s="4" t="str">
        <f>"BA289"</f>
        <v>BA289</v>
      </c>
    </row>
    <row r="3755" spans="1:4" x14ac:dyDescent="0.3">
      <c r="A3755" s="2" t="str">
        <f>"PALMEIRAS DE GOIAS"</f>
        <v>PALMEIRAS DE GOIAS</v>
      </c>
      <c r="B3755" s="3" t="str">
        <f>"GO"</f>
        <v>GO</v>
      </c>
      <c r="C3755" s="3" t="str">
        <f t="shared" si="146"/>
        <v>BRASIL</v>
      </c>
      <c r="D3755" s="4" t="str">
        <f>"GO174"</f>
        <v>GO174</v>
      </c>
    </row>
    <row r="3756" spans="1:4" x14ac:dyDescent="0.3">
      <c r="A3756" s="2" t="str">
        <f>"PALMEIRAS DO TOCANTINS"</f>
        <v>PALMEIRAS DO TOCANTINS</v>
      </c>
      <c r="B3756" s="3" t="str">
        <f>"TO"</f>
        <v>TO</v>
      </c>
      <c r="C3756" s="3" t="str">
        <f t="shared" si="146"/>
        <v>BRASIL</v>
      </c>
      <c r="D3756" s="4" t="str">
        <f>"TO079"</f>
        <v>TO079</v>
      </c>
    </row>
    <row r="3757" spans="1:4" x14ac:dyDescent="0.3">
      <c r="A3757" s="2" t="str">
        <f>"PALMEIRINA"</f>
        <v>PALMEIRINA</v>
      </c>
      <c r="B3757" s="3" t="str">
        <f>"PE"</f>
        <v>PE</v>
      </c>
      <c r="C3757" s="3" t="str">
        <f t="shared" si="146"/>
        <v>BRASIL</v>
      </c>
      <c r="D3757" s="4" t="str">
        <f>"PE116"</f>
        <v>PE116</v>
      </c>
    </row>
    <row r="3758" spans="1:4" x14ac:dyDescent="0.3">
      <c r="A3758" s="2" t="str">
        <f>"PALMEIROPOLIS"</f>
        <v>PALMEIROPOLIS</v>
      </c>
      <c r="B3758" s="3" t="str">
        <f>"TO"</f>
        <v>TO</v>
      </c>
      <c r="C3758" s="3" t="str">
        <f t="shared" si="146"/>
        <v>BRASIL</v>
      </c>
      <c r="D3758" s="4" t="str">
        <f>"TO090"</f>
        <v>TO090</v>
      </c>
    </row>
    <row r="3759" spans="1:4" x14ac:dyDescent="0.3">
      <c r="A3759" s="2" t="str">
        <f>"PALMELO"</f>
        <v>PALMELO</v>
      </c>
      <c r="B3759" s="3" t="str">
        <f>"GO"</f>
        <v>GO</v>
      </c>
      <c r="C3759" s="3" t="str">
        <f t="shared" si="146"/>
        <v>BRASIL</v>
      </c>
      <c r="D3759" s="4" t="str">
        <f>"GO175"</f>
        <v>GO175</v>
      </c>
    </row>
    <row r="3760" spans="1:4" x14ac:dyDescent="0.3">
      <c r="A3760" s="2" t="str">
        <f>"PALMINOPOLIS"</f>
        <v>PALMINOPOLIS</v>
      </c>
      <c r="B3760" s="3" t="str">
        <f>"GO"</f>
        <v>GO</v>
      </c>
      <c r="C3760" s="3" t="str">
        <f t="shared" si="146"/>
        <v>BRASIL</v>
      </c>
      <c r="D3760" s="4" t="str">
        <f>"GO176"</f>
        <v>GO176</v>
      </c>
    </row>
    <row r="3761" spans="1:4" x14ac:dyDescent="0.3">
      <c r="A3761" s="2" t="str">
        <f>"PALMITAL"</f>
        <v>PALMITAL</v>
      </c>
      <c r="B3761" s="3" t="str">
        <f>"PR"</f>
        <v>PR</v>
      </c>
      <c r="C3761" s="3" t="str">
        <f t="shared" si="146"/>
        <v>BRASIL</v>
      </c>
      <c r="D3761" s="4" t="str">
        <f>"PR249"</f>
        <v>PR249</v>
      </c>
    </row>
    <row r="3762" spans="1:4" x14ac:dyDescent="0.3">
      <c r="A3762" s="2" t="str">
        <f>"PALMITAL"</f>
        <v>PALMITAL</v>
      </c>
      <c r="B3762" s="3" t="str">
        <f>"SP"</f>
        <v>SP</v>
      </c>
      <c r="C3762" s="3" t="str">
        <f t="shared" si="146"/>
        <v>BRASIL</v>
      </c>
      <c r="D3762" s="4" t="str">
        <f>"SP398"</f>
        <v>SP398</v>
      </c>
    </row>
    <row r="3763" spans="1:4" x14ac:dyDescent="0.3">
      <c r="A3763" s="2" t="str">
        <f>"PALMITINHO"</f>
        <v>PALMITINHO</v>
      </c>
      <c r="B3763" s="3" t="str">
        <f>"RS"</f>
        <v>RS</v>
      </c>
      <c r="C3763" s="3" t="str">
        <f t="shared" si="146"/>
        <v>BRASIL</v>
      </c>
      <c r="D3763" s="4" t="str">
        <f>"RS296"</f>
        <v>RS296</v>
      </c>
    </row>
    <row r="3764" spans="1:4" x14ac:dyDescent="0.3">
      <c r="A3764" s="2" t="str">
        <f>"PALMITOS"</f>
        <v>PALMITOS</v>
      </c>
      <c r="B3764" s="3" t="str">
        <f>"SC"</f>
        <v>SC</v>
      </c>
      <c r="C3764" s="3" t="str">
        <f t="shared" si="146"/>
        <v>BRASIL</v>
      </c>
      <c r="D3764" s="4" t="str">
        <f>"SC184"</f>
        <v>SC184</v>
      </c>
    </row>
    <row r="3765" spans="1:4" x14ac:dyDescent="0.3">
      <c r="A3765" s="2" t="str">
        <f>"PALMOPOLIS"</f>
        <v>PALMOPOLIS</v>
      </c>
      <c r="B3765" s="3" t="str">
        <f>"MG"</f>
        <v>MG</v>
      </c>
      <c r="C3765" s="3" t="str">
        <f t="shared" si="146"/>
        <v>BRASIL</v>
      </c>
      <c r="D3765" s="4" t="str">
        <f>"MG548"</f>
        <v>MG548</v>
      </c>
    </row>
    <row r="3766" spans="1:4" x14ac:dyDescent="0.3">
      <c r="A3766" s="2" t="str">
        <f>"PALOTINA"</f>
        <v>PALOTINA</v>
      </c>
      <c r="B3766" s="3" t="str">
        <f>"PR"</f>
        <v>PR</v>
      </c>
      <c r="C3766" s="3" t="str">
        <f t="shared" si="146"/>
        <v>BRASIL</v>
      </c>
      <c r="D3766" s="4" t="str">
        <f>"PR250"</f>
        <v>PR250</v>
      </c>
    </row>
    <row r="3767" spans="1:4" x14ac:dyDescent="0.3">
      <c r="A3767" s="2" t="str">
        <f>"PANAMA"</f>
        <v>PANAMA</v>
      </c>
      <c r="B3767" s="3" t="str">
        <f>"GO"</f>
        <v>GO</v>
      </c>
      <c r="C3767" s="3" t="str">
        <f t="shared" si="146"/>
        <v>BRASIL</v>
      </c>
      <c r="D3767" s="4" t="str">
        <f>"GO177"</f>
        <v>GO177</v>
      </c>
    </row>
    <row r="3768" spans="1:4" x14ac:dyDescent="0.3">
      <c r="A3768" s="2" t="str">
        <f>"PANAMBI"</f>
        <v>PANAMBI</v>
      </c>
      <c r="B3768" s="3" t="str">
        <f>"RS"</f>
        <v>RS</v>
      </c>
      <c r="C3768" s="3" t="str">
        <f t="shared" si="146"/>
        <v>BRASIL</v>
      </c>
      <c r="D3768" s="4" t="str">
        <f>"RS297"</f>
        <v>RS297</v>
      </c>
    </row>
    <row r="3769" spans="1:4" x14ac:dyDescent="0.3">
      <c r="A3769" s="2" t="str">
        <f>"PANCAS"</f>
        <v>PANCAS</v>
      </c>
      <c r="B3769" s="3" t="str">
        <f>"ES"</f>
        <v>ES</v>
      </c>
      <c r="C3769" s="3" t="str">
        <f t="shared" si="146"/>
        <v>BRASIL</v>
      </c>
      <c r="D3769" s="4" t="str">
        <f>"ES054"</f>
        <v>ES054</v>
      </c>
    </row>
    <row r="3770" spans="1:4" x14ac:dyDescent="0.3">
      <c r="A3770" s="2" t="str">
        <f>"PANELAS"</f>
        <v>PANELAS</v>
      </c>
      <c r="B3770" s="3" t="str">
        <f>"PE"</f>
        <v>PE</v>
      </c>
      <c r="C3770" s="3" t="str">
        <f t="shared" si="146"/>
        <v>BRASIL</v>
      </c>
      <c r="D3770" s="4" t="str">
        <f>"PE117"</f>
        <v>PE117</v>
      </c>
    </row>
    <row r="3771" spans="1:4" x14ac:dyDescent="0.3">
      <c r="A3771" s="2" t="str">
        <f>"PANORAMA"</f>
        <v>PANORAMA</v>
      </c>
      <c r="B3771" s="3" t="str">
        <f>"SP"</f>
        <v>SP</v>
      </c>
      <c r="C3771" s="3" t="str">
        <f t="shared" si="146"/>
        <v>BRASIL</v>
      </c>
      <c r="D3771" s="4" t="str">
        <f>"SP399"</f>
        <v>SP399</v>
      </c>
    </row>
    <row r="3772" spans="1:4" x14ac:dyDescent="0.3">
      <c r="A3772" s="2" t="str">
        <f>"PANTANO GRANDE"</f>
        <v>PANTANO GRANDE</v>
      </c>
      <c r="B3772" s="3" t="str">
        <f>"RS"</f>
        <v>RS</v>
      </c>
      <c r="C3772" s="3" t="str">
        <f t="shared" si="146"/>
        <v>BRASIL</v>
      </c>
      <c r="D3772" s="4" t="str">
        <f>"RS298"</f>
        <v>RS298</v>
      </c>
    </row>
    <row r="3773" spans="1:4" x14ac:dyDescent="0.3">
      <c r="A3773" s="2" t="str">
        <f>"PAO DE ACUCAR"</f>
        <v>PAO DE ACUCAR</v>
      </c>
      <c r="B3773" s="3" t="str">
        <f>"AL"</f>
        <v>AL</v>
      </c>
      <c r="C3773" s="3" t="str">
        <f t="shared" si="146"/>
        <v>BRASIL</v>
      </c>
      <c r="D3773" s="4" t="str">
        <f>"AL068"</f>
        <v>AL068</v>
      </c>
    </row>
    <row r="3774" spans="1:4" x14ac:dyDescent="0.3">
      <c r="A3774" s="2" t="str">
        <f>"PAPAGAIOS"</f>
        <v>PAPAGAIOS</v>
      </c>
      <c r="B3774" s="3" t="str">
        <f>"MG"</f>
        <v>MG</v>
      </c>
      <c r="C3774" s="3" t="str">
        <f t="shared" si="146"/>
        <v>BRASIL</v>
      </c>
      <c r="D3774" s="4" t="str">
        <f>"MG549"</f>
        <v>MG549</v>
      </c>
    </row>
    <row r="3775" spans="1:4" x14ac:dyDescent="0.3">
      <c r="A3775" s="2" t="str">
        <f>"PAPANDUVA"</f>
        <v>PAPANDUVA</v>
      </c>
      <c r="B3775" s="3" t="str">
        <f>"SC"</f>
        <v>SC</v>
      </c>
      <c r="C3775" s="3" t="str">
        <f t="shared" ref="C3775:C3806" si="147">"BRASIL"</f>
        <v>BRASIL</v>
      </c>
      <c r="D3775" s="4" t="str">
        <f>"SC185"</f>
        <v>SC185</v>
      </c>
    </row>
    <row r="3776" spans="1:4" x14ac:dyDescent="0.3">
      <c r="A3776" s="2" t="str">
        <f>"PAQUETA"</f>
        <v>PAQUETA</v>
      </c>
      <c r="B3776" s="3" t="str">
        <f>"PI"</f>
        <v>PI</v>
      </c>
      <c r="C3776" s="3" t="str">
        <f t="shared" si="147"/>
        <v>BRASIL</v>
      </c>
      <c r="D3776" s="4" t="str">
        <f>"PI148"</f>
        <v>PI148</v>
      </c>
    </row>
    <row r="3777" spans="1:4" x14ac:dyDescent="0.3">
      <c r="A3777" s="2" t="str">
        <f>"PARA DE MINAS"</f>
        <v>PARA DE MINAS</v>
      </c>
      <c r="B3777" s="3" t="str">
        <f>"MG"</f>
        <v>MG</v>
      </c>
      <c r="C3777" s="3" t="str">
        <f t="shared" si="147"/>
        <v>BRASIL</v>
      </c>
      <c r="D3777" s="4" t="str">
        <f>"MG551"</f>
        <v>MG551</v>
      </c>
    </row>
    <row r="3778" spans="1:4" x14ac:dyDescent="0.3">
      <c r="A3778" s="2" t="str">
        <f>"PARACAMBI"</f>
        <v>PARACAMBI</v>
      </c>
      <c r="B3778" s="3" t="str">
        <f>"RJ"</f>
        <v>RJ</v>
      </c>
      <c r="C3778" s="3" t="str">
        <f t="shared" si="147"/>
        <v>BRASIL</v>
      </c>
      <c r="D3778" s="4" t="str">
        <f>"RJ051"</f>
        <v>RJ051</v>
      </c>
    </row>
    <row r="3779" spans="1:4" x14ac:dyDescent="0.3">
      <c r="A3779" s="2" t="str">
        <f>"PARACATU"</f>
        <v>PARACATU</v>
      </c>
      <c r="B3779" s="3" t="str">
        <f>"MG"</f>
        <v>MG</v>
      </c>
      <c r="C3779" s="3" t="str">
        <f t="shared" si="147"/>
        <v>BRASIL</v>
      </c>
      <c r="D3779" s="4" t="str">
        <f>"MG550"</f>
        <v>MG550</v>
      </c>
    </row>
    <row r="3780" spans="1:4" x14ac:dyDescent="0.3">
      <c r="A3780" s="2" t="str">
        <f>"PARACURU"</f>
        <v>PARACURU</v>
      </c>
      <c r="B3780" s="3" t="str">
        <f>"CE"</f>
        <v>CE</v>
      </c>
      <c r="C3780" s="3" t="str">
        <f t="shared" si="147"/>
        <v>BRASIL</v>
      </c>
      <c r="D3780" s="4" t="str">
        <f>"CE133"</f>
        <v>CE133</v>
      </c>
    </row>
    <row r="3781" spans="1:4" x14ac:dyDescent="0.3">
      <c r="A3781" s="2" t="str">
        <f>"PARAGOMINAS"</f>
        <v>PARAGOMINAS</v>
      </c>
      <c r="B3781" s="3" t="str">
        <f>"PA"</f>
        <v>PA</v>
      </c>
      <c r="C3781" s="3" t="str">
        <f t="shared" si="147"/>
        <v>BRASIL</v>
      </c>
      <c r="D3781" s="4" t="str">
        <f>"PA088"</f>
        <v>PA088</v>
      </c>
    </row>
    <row r="3782" spans="1:4" x14ac:dyDescent="0.3">
      <c r="A3782" s="2" t="str">
        <f>"PARAGUACU"</f>
        <v>PARAGUACU</v>
      </c>
      <c r="B3782" s="3" t="str">
        <f>"MG"</f>
        <v>MG</v>
      </c>
      <c r="C3782" s="3" t="str">
        <f t="shared" si="147"/>
        <v>BRASIL</v>
      </c>
      <c r="D3782" s="4" t="str">
        <f>"MG552"</f>
        <v>MG552</v>
      </c>
    </row>
    <row r="3783" spans="1:4" x14ac:dyDescent="0.3">
      <c r="A3783" s="2" t="str">
        <f>"PARAGUACU PAULISTA"</f>
        <v>PARAGUACU PAULISTA</v>
      </c>
      <c r="B3783" s="3" t="str">
        <f>"SP"</f>
        <v>SP</v>
      </c>
      <c r="C3783" s="3" t="str">
        <f t="shared" si="147"/>
        <v>BRASIL</v>
      </c>
      <c r="D3783" s="4" t="str">
        <f>"SP400"</f>
        <v>SP400</v>
      </c>
    </row>
    <row r="3784" spans="1:4" x14ac:dyDescent="0.3">
      <c r="A3784" s="2" t="str">
        <f>"PARAI"</f>
        <v>PARAI</v>
      </c>
      <c r="B3784" s="3" t="str">
        <f>"RS"</f>
        <v>RS</v>
      </c>
      <c r="C3784" s="3" t="str">
        <f t="shared" si="147"/>
        <v>BRASIL</v>
      </c>
      <c r="D3784" s="4" t="str">
        <f>"RS299"</f>
        <v>RS299</v>
      </c>
    </row>
    <row r="3785" spans="1:4" x14ac:dyDescent="0.3">
      <c r="A3785" s="2" t="str">
        <f>"PARAIBA DO SUL"</f>
        <v>PARAIBA DO SUL</v>
      </c>
      <c r="B3785" s="3" t="str">
        <f>"RJ"</f>
        <v>RJ</v>
      </c>
      <c r="C3785" s="3" t="str">
        <f t="shared" si="147"/>
        <v>BRASIL</v>
      </c>
      <c r="D3785" s="4" t="str">
        <f>"RJ052"</f>
        <v>RJ052</v>
      </c>
    </row>
    <row r="3786" spans="1:4" x14ac:dyDescent="0.3">
      <c r="A3786" s="2" t="str">
        <f>"PARAIBANO"</f>
        <v>PARAIBANO</v>
      </c>
      <c r="B3786" s="3" t="str">
        <f>"MA"</f>
        <v>MA</v>
      </c>
      <c r="C3786" s="3" t="str">
        <f t="shared" si="147"/>
        <v>BRASIL</v>
      </c>
      <c r="D3786" s="4" t="str">
        <f>"MA132"</f>
        <v>MA132</v>
      </c>
    </row>
    <row r="3787" spans="1:4" x14ac:dyDescent="0.3">
      <c r="A3787" s="2" t="str">
        <f>"PARAIBUNA"</f>
        <v>PARAIBUNA</v>
      </c>
      <c r="B3787" s="3" t="str">
        <f>"SP"</f>
        <v>SP</v>
      </c>
      <c r="C3787" s="3" t="str">
        <f t="shared" si="147"/>
        <v>BRASIL</v>
      </c>
      <c r="D3787" s="4" t="str">
        <f>"SP401"</f>
        <v>SP401</v>
      </c>
    </row>
    <row r="3788" spans="1:4" x14ac:dyDescent="0.3">
      <c r="A3788" s="2" t="str">
        <f>"PARAIPABA"</f>
        <v>PARAIPABA</v>
      </c>
      <c r="B3788" s="3" t="str">
        <f>"CE"</f>
        <v>CE</v>
      </c>
      <c r="C3788" s="3" t="str">
        <f t="shared" si="147"/>
        <v>BRASIL</v>
      </c>
      <c r="D3788" s="4" t="str">
        <f>"CE134"</f>
        <v>CE134</v>
      </c>
    </row>
    <row r="3789" spans="1:4" x14ac:dyDescent="0.3">
      <c r="A3789" s="2" t="str">
        <f>"PARAISO"</f>
        <v>PARAISO</v>
      </c>
      <c r="B3789" s="3" t="str">
        <f>"SC"</f>
        <v>SC</v>
      </c>
      <c r="C3789" s="3" t="str">
        <f t="shared" si="147"/>
        <v>BRASIL</v>
      </c>
      <c r="D3789" s="4" t="str">
        <f>"SC186"</f>
        <v>SC186</v>
      </c>
    </row>
    <row r="3790" spans="1:4" x14ac:dyDescent="0.3">
      <c r="A3790" s="2" t="str">
        <f>"PARAISO"</f>
        <v>PARAISO</v>
      </c>
      <c r="B3790" s="3" t="str">
        <f>"SP"</f>
        <v>SP</v>
      </c>
      <c r="C3790" s="3" t="str">
        <f t="shared" si="147"/>
        <v>BRASIL</v>
      </c>
      <c r="D3790" s="4" t="str">
        <f>"SP402"</f>
        <v>SP402</v>
      </c>
    </row>
    <row r="3791" spans="1:4" x14ac:dyDescent="0.3">
      <c r="A3791" s="2" t="str">
        <f>"PARAISO DO NORTE"</f>
        <v>PARAISO DO NORTE</v>
      </c>
      <c r="B3791" s="3" t="str">
        <f>"PR"</f>
        <v>PR</v>
      </c>
      <c r="C3791" s="3" t="str">
        <f t="shared" si="147"/>
        <v>BRASIL</v>
      </c>
      <c r="D3791" s="4" t="str">
        <f>"PR251"</f>
        <v>PR251</v>
      </c>
    </row>
    <row r="3792" spans="1:4" x14ac:dyDescent="0.3">
      <c r="A3792" s="2" t="str">
        <f>"PARAISO DO SUL"</f>
        <v>PARAISO DO SUL</v>
      </c>
      <c r="B3792" s="3" t="str">
        <f>"RS"</f>
        <v>RS</v>
      </c>
      <c r="C3792" s="3" t="str">
        <f t="shared" si="147"/>
        <v>BRASIL</v>
      </c>
      <c r="D3792" s="4" t="str">
        <f>"RS300"</f>
        <v>RS300</v>
      </c>
    </row>
    <row r="3793" spans="1:4" x14ac:dyDescent="0.3">
      <c r="A3793" s="2" t="str">
        <f>"PARAISO DO TOCANTINS"</f>
        <v>PARAISO DO TOCANTINS</v>
      </c>
      <c r="B3793" s="3" t="str">
        <f>"TO"</f>
        <v>TO</v>
      </c>
      <c r="C3793" s="3" t="str">
        <f t="shared" si="147"/>
        <v>BRASIL</v>
      </c>
      <c r="D3793" s="4" t="str">
        <f>"TO091"</f>
        <v>TO091</v>
      </c>
    </row>
    <row r="3794" spans="1:4" x14ac:dyDescent="0.3">
      <c r="A3794" s="2" t="str">
        <f>"PARAISOPOLIS"</f>
        <v>PARAISOPOLIS</v>
      </c>
      <c r="B3794" s="3" t="str">
        <f>"MG"</f>
        <v>MG</v>
      </c>
      <c r="C3794" s="3" t="str">
        <f t="shared" si="147"/>
        <v>BRASIL</v>
      </c>
      <c r="D3794" s="4" t="str">
        <f>"MG553"</f>
        <v>MG553</v>
      </c>
    </row>
    <row r="3795" spans="1:4" x14ac:dyDescent="0.3">
      <c r="A3795" s="2" t="str">
        <f>"PARAMBU"</f>
        <v>PARAMBU</v>
      </c>
      <c r="B3795" s="3" t="str">
        <f>"CE"</f>
        <v>CE</v>
      </c>
      <c r="C3795" s="3" t="str">
        <f t="shared" si="147"/>
        <v>BRASIL</v>
      </c>
      <c r="D3795" s="4" t="str">
        <f>"CE135"</f>
        <v>CE135</v>
      </c>
    </row>
    <row r="3796" spans="1:4" x14ac:dyDescent="0.3">
      <c r="A3796" s="2" t="str">
        <f>"PARAMIRIM"</f>
        <v>PARAMIRIM</v>
      </c>
      <c r="B3796" s="3" t="str">
        <f>"BA"</f>
        <v>BA</v>
      </c>
      <c r="C3796" s="3" t="str">
        <f t="shared" si="147"/>
        <v>BRASIL</v>
      </c>
      <c r="D3796" s="4" t="str">
        <f>"BA290"</f>
        <v>BA290</v>
      </c>
    </row>
    <row r="3797" spans="1:4" x14ac:dyDescent="0.3">
      <c r="A3797" s="2" t="str">
        <f>"PARAMOTI"</f>
        <v>PARAMOTI</v>
      </c>
      <c r="B3797" s="3" t="str">
        <f>"CE"</f>
        <v>CE</v>
      </c>
      <c r="C3797" s="3" t="str">
        <f t="shared" si="147"/>
        <v>BRASIL</v>
      </c>
      <c r="D3797" s="4" t="str">
        <f>"CE136"</f>
        <v>CE136</v>
      </c>
    </row>
    <row r="3798" spans="1:4" x14ac:dyDescent="0.3">
      <c r="A3798" s="2" t="str">
        <f>"PARANA"</f>
        <v>PARANA</v>
      </c>
      <c r="B3798" s="3" t="str">
        <f>"RN"</f>
        <v>RN</v>
      </c>
      <c r="C3798" s="3" t="str">
        <f t="shared" si="147"/>
        <v>BRASIL</v>
      </c>
      <c r="D3798" s="4" t="str">
        <f>"RN094"</f>
        <v>RN094</v>
      </c>
    </row>
    <row r="3799" spans="1:4" x14ac:dyDescent="0.3">
      <c r="A3799" s="2" t="str">
        <f>"PARANA"</f>
        <v>PARANA</v>
      </c>
      <c r="B3799" s="3" t="str">
        <f>"TO"</f>
        <v>TO</v>
      </c>
      <c r="C3799" s="3" t="str">
        <f t="shared" si="147"/>
        <v>BRASIL</v>
      </c>
      <c r="D3799" s="4" t="str">
        <f>"TO092"</f>
        <v>TO092</v>
      </c>
    </row>
    <row r="3800" spans="1:4" x14ac:dyDescent="0.3">
      <c r="A3800" s="2" t="str">
        <f>"PARANACITY"</f>
        <v>PARANACITY</v>
      </c>
      <c r="B3800" s="3" t="str">
        <f>"PR"</f>
        <v>PR</v>
      </c>
      <c r="C3800" s="3" t="str">
        <f t="shared" si="147"/>
        <v>BRASIL</v>
      </c>
      <c r="D3800" s="4" t="str">
        <f>"PR252"</f>
        <v>PR252</v>
      </c>
    </row>
    <row r="3801" spans="1:4" x14ac:dyDescent="0.3">
      <c r="A3801" s="2" t="str">
        <f>"PARANAGUA"</f>
        <v>PARANAGUA</v>
      </c>
      <c r="B3801" s="3" t="str">
        <f>"PR"</f>
        <v>PR</v>
      </c>
      <c r="C3801" s="3" t="str">
        <f t="shared" si="147"/>
        <v>BRASIL</v>
      </c>
      <c r="D3801" s="4" t="str">
        <f>"PR253"</f>
        <v>PR253</v>
      </c>
    </row>
    <row r="3802" spans="1:4" x14ac:dyDescent="0.3">
      <c r="A3802" s="2" t="str">
        <f>"PARANAIBA"</f>
        <v>PARANAIBA</v>
      </c>
      <c r="B3802" s="3" t="str">
        <f>"MS"</f>
        <v>MS</v>
      </c>
      <c r="C3802" s="3" t="str">
        <f t="shared" si="147"/>
        <v>BRASIL</v>
      </c>
      <c r="D3802" s="4" t="str">
        <f>"MS058"</f>
        <v>MS058</v>
      </c>
    </row>
    <row r="3803" spans="1:4" x14ac:dyDescent="0.3">
      <c r="A3803" s="2" t="str">
        <f>"PARANAIGUARA"</f>
        <v>PARANAIGUARA</v>
      </c>
      <c r="B3803" s="3" t="str">
        <f>"GO"</f>
        <v>GO</v>
      </c>
      <c r="C3803" s="3" t="str">
        <f t="shared" si="147"/>
        <v>BRASIL</v>
      </c>
      <c r="D3803" s="4" t="str">
        <f>"GO178"</f>
        <v>GO178</v>
      </c>
    </row>
    <row r="3804" spans="1:4" x14ac:dyDescent="0.3">
      <c r="A3804" s="2" t="str">
        <f>"PARANAITA"</f>
        <v>PARANAITA</v>
      </c>
      <c r="B3804" s="3" t="str">
        <f>"MT"</f>
        <v>MT</v>
      </c>
      <c r="C3804" s="3" t="str">
        <f t="shared" si="147"/>
        <v>BRASIL</v>
      </c>
      <c r="D3804" s="4" t="str">
        <f>"MT085"</f>
        <v>MT085</v>
      </c>
    </row>
    <row r="3805" spans="1:4" x14ac:dyDescent="0.3">
      <c r="A3805" s="2" t="str">
        <f>"PARANAPANEMA"</f>
        <v>PARANAPANEMA</v>
      </c>
      <c r="B3805" s="3" t="str">
        <f>"SP"</f>
        <v>SP</v>
      </c>
      <c r="C3805" s="3" t="str">
        <f t="shared" si="147"/>
        <v>BRASIL</v>
      </c>
      <c r="D3805" s="4" t="str">
        <f>"SP403"</f>
        <v>SP403</v>
      </c>
    </row>
    <row r="3806" spans="1:4" x14ac:dyDescent="0.3">
      <c r="A3806" s="2" t="str">
        <f>"PARANAPOEMA"</f>
        <v>PARANAPOEMA</v>
      </c>
      <c r="B3806" s="3" t="str">
        <f>"PR"</f>
        <v>PR</v>
      </c>
      <c r="C3806" s="3" t="str">
        <f t="shared" si="147"/>
        <v>BRASIL</v>
      </c>
      <c r="D3806" s="4" t="str">
        <f>"PR254"</f>
        <v>PR254</v>
      </c>
    </row>
    <row r="3807" spans="1:4" x14ac:dyDescent="0.3">
      <c r="A3807" s="2" t="str">
        <f>"PARANAPUA"</f>
        <v>PARANAPUA</v>
      </c>
      <c r="B3807" s="3" t="str">
        <f>"SP"</f>
        <v>SP</v>
      </c>
      <c r="C3807" s="3" t="str">
        <f t="shared" ref="C3807:C3836" si="148">"BRASIL"</f>
        <v>BRASIL</v>
      </c>
      <c r="D3807" s="4" t="str">
        <f>"SP404"</f>
        <v>SP404</v>
      </c>
    </row>
    <row r="3808" spans="1:4" x14ac:dyDescent="0.3">
      <c r="A3808" s="2" t="str">
        <f>"PARANATAMA"</f>
        <v>PARANATAMA</v>
      </c>
      <c r="B3808" s="3" t="str">
        <f>"PE"</f>
        <v>PE</v>
      </c>
      <c r="C3808" s="3" t="str">
        <f t="shared" si="148"/>
        <v>BRASIL</v>
      </c>
      <c r="D3808" s="4" t="str">
        <f>"PE118"</f>
        <v>PE118</v>
      </c>
    </row>
    <row r="3809" spans="1:4" x14ac:dyDescent="0.3">
      <c r="A3809" s="2" t="str">
        <f>"PARANATINGA"</f>
        <v>PARANATINGA</v>
      </c>
      <c r="B3809" s="3" t="str">
        <f>"MT"</f>
        <v>MT</v>
      </c>
      <c r="C3809" s="3" t="str">
        <f t="shared" si="148"/>
        <v>BRASIL</v>
      </c>
      <c r="D3809" s="4" t="str">
        <f>"MT086"</f>
        <v>MT086</v>
      </c>
    </row>
    <row r="3810" spans="1:4" x14ac:dyDescent="0.3">
      <c r="A3810" s="2" t="str">
        <f>"PARANAVAI"</f>
        <v>PARANAVAI</v>
      </c>
      <c r="B3810" s="3" t="str">
        <f>"PR"</f>
        <v>PR</v>
      </c>
      <c r="C3810" s="3" t="str">
        <f t="shared" si="148"/>
        <v>BRASIL</v>
      </c>
      <c r="D3810" s="4" t="str">
        <f>"PR255"</f>
        <v>PR255</v>
      </c>
    </row>
    <row r="3811" spans="1:4" x14ac:dyDescent="0.3">
      <c r="A3811" s="2" t="str">
        <f>"PARANHOS"</f>
        <v>PARANHOS</v>
      </c>
      <c r="B3811" s="3" t="str">
        <f>"MS"</f>
        <v>MS</v>
      </c>
      <c r="C3811" s="3" t="str">
        <f t="shared" si="148"/>
        <v>BRASIL</v>
      </c>
      <c r="D3811" s="4" t="str">
        <f>"MS059"</f>
        <v>MS059</v>
      </c>
    </row>
    <row r="3812" spans="1:4" x14ac:dyDescent="0.3">
      <c r="A3812" s="2" t="str">
        <f>"PARAOPEBA"</f>
        <v>PARAOPEBA</v>
      </c>
      <c r="B3812" s="3" t="str">
        <f>"MG"</f>
        <v>MG</v>
      </c>
      <c r="C3812" s="3" t="str">
        <f t="shared" si="148"/>
        <v>BRASIL</v>
      </c>
      <c r="D3812" s="4" t="str">
        <f>"MG554"</f>
        <v>MG554</v>
      </c>
    </row>
    <row r="3813" spans="1:4" x14ac:dyDescent="0.3">
      <c r="A3813" s="2" t="str">
        <f>"PARAPUA"</f>
        <v>PARAPUA</v>
      </c>
      <c r="B3813" s="3" t="str">
        <f>"SP"</f>
        <v>SP</v>
      </c>
      <c r="C3813" s="3" t="str">
        <f t="shared" si="148"/>
        <v>BRASIL</v>
      </c>
      <c r="D3813" s="4" t="str">
        <f>"SP405"</f>
        <v>SP405</v>
      </c>
    </row>
    <row r="3814" spans="1:4" x14ac:dyDescent="0.3">
      <c r="A3814" s="2" t="str">
        <f>"PARARI"</f>
        <v>PARARI</v>
      </c>
      <c r="B3814" s="3" t="str">
        <f>"PB"</f>
        <v>PB</v>
      </c>
      <c r="C3814" s="3" t="str">
        <f t="shared" si="148"/>
        <v>BRASIL</v>
      </c>
      <c r="D3814" s="4" t="str">
        <f>"PB134"</f>
        <v>PB134</v>
      </c>
    </row>
    <row r="3815" spans="1:4" x14ac:dyDescent="0.3">
      <c r="A3815" s="2" t="str">
        <f>"PARATI"</f>
        <v>PARATI</v>
      </c>
      <c r="B3815" s="3" t="str">
        <f>"RJ"</f>
        <v>RJ</v>
      </c>
      <c r="C3815" s="3" t="str">
        <f t="shared" si="148"/>
        <v>BRASIL</v>
      </c>
      <c r="D3815" s="4" t="str">
        <f>"RJ053"</f>
        <v>RJ053</v>
      </c>
    </row>
    <row r="3816" spans="1:4" x14ac:dyDescent="0.3">
      <c r="A3816" s="2" t="str">
        <f>"PARATINGA"</f>
        <v>PARATINGA</v>
      </c>
      <c r="B3816" s="3" t="str">
        <f>"BA"</f>
        <v>BA</v>
      </c>
      <c r="C3816" s="3" t="str">
        <f t="shared" si="148"/>
        <v>BRASIL</v>
      </c>
      <c r="D3816" s="4" t="str">
        <f>"BA291"</f>
        <v>BA291</v>
      </c>
    </row>
    <row r="3817" spans="1:4" x14ac:dyDescent="0.3">
      <c r="A3817" s="2" t="str">
        <f>"PARAU"</f>
        <v>PARAU</v>
      </c>
      <c r="B3817" s="3" t="str">
        <f>"RN"</f>
        <v>RN</v>
      </c>
      <c r="C3817" s="3" t="str">
        <f t="shared" si="148"/>
        <v>BRASIL</v>
      </c>
      <c r="D3817" s="4" t="str">
        <f>"RN095"</f>
        <v>RN095</v>
      </c>
    </row>
    <row r="3818" spans="1:4" x14ac:dyDescent="0.3">
      <c r="A3818" s="2" t="str">
        <f>"PARAUAPEBAS"</f>
        <v>PARAUAPEBAS</v>
      </c>
      <c r="B3818" s="3" t="str">
        <f>"PA"</f>
        <v>PA</v>
      </c>
      <c r="C3818" s="3" t="str">
        <f t="shared" si="148"/>
        <v>BRASIL</v>
      </c>
      <c r="D3818" s="4" t="str">
        <f>"PA089"</f>
        <v>PA089</v>
      </c>
    </row>
    <row r="3819" spans="1:4" x14ac:dyDescent="0.3">
      <c r="A3819" s="2" t="str">
        <f>"PARAUNA"</f>
        <v>PARAUNA</v>
      </c>
      <c r="B3819" s="3" t="str">
        <f>"GO"</f>
        <v>GO</v>
      </c>
      <c r="C3819" s="3" t="str">
        <f t="shared" si="148"/>
        <v>BRASIL</v>
      </c>
      <c r="D3819" s="4" t="str">
        <f>"GO179"</f>
        <v>GO179</v>
      </c>
    </row>
    <row r="3820" spans="1:4" x14ac:dyDescent="0.3">
      <c r="A3820" s="2" t="str">
        <f>"PARAZINHO"</f>
        <v>PARAZINHO</v>
      </c>
      <c r="B3820" s="3" t="str">
        <f>"RN"</f>
        <v>RN</v>
      </c>
      <c r="C3820" s="3" t="str">
        <f t="shared" si="148"/>
        <v>BRASIL</v>
      </c>
      <c r="D3820" s="4" t="str">
        <f>"RN096"</f>
        <v>RN096</v>
      </c>
    </row>
    <row r="3821" spans="1:4" x14ac:dyDescent="0.3">
      <c r="A3821" s="2" t="str">
        <f>"PARDINHO"</f>
        <v>PARDINHO</v>
      </c>
      <c r="B3821" s="3" t="str">
        <f>"SP"</f>
        <v>SP</v>
      </c>
      <c r="C3821" s="3" t="str">
        <f t="shared" si="148"/>
        <v>BRASIL</v>
      </c>
      <c r="D3821" s="4" t="str">
        <f>"SP406"</f>
        <v>SP406</v>
      </c>
    </row>
    <row r="3822" spans="1:4" x14ac:dyDescent="0.3">
      <c r="A3822" s="2" t="str">
        <f>"PARECI NOVO"</f>
        <v>PARECI NOVO</v>
      </c>
      <c r="B3822" s="3" t="str">
        <f>"RS"</f>
        <v>RS</v>
      </c>
      <c r="C3822" s="3" t="str">
        <f t="shared" si="148"/>
        <v>BRASIL</v>
      </c>
      <c r="D3822" s="4" t="str">
        <f>"RS301"</f>
        <v>RS301</v>
      </c>
    </row>
    <row r="3823" spans="1:4" x14ac:dyDescent="0.3">
      <c r="A3823" s="2" t="str">
        <f>"PARECIS"</f>
        <v>PARECIS</v>
      </c>
      <c r="B3823" s="3" t="str">
        <f>"RO"</f>
        <v>RO</v>
      </c>
      <c r="C3823" s="3" t="str">
        <f t="shared" si="148"/>
        <v>BRASIL</v>
      </c>
      <c r="D3823" s="4" t="str">
        <f>"RO042"</f>
        <v>RO042</v>
      </c>
    </row>
    <row r="3824" spans="1:4" x14ac:dyDescent="0.3">
      <c r="A3824" s="2" t="str">
        <f>"PARELHAS"</f>
        <v>PARELHAS</v>
      </c>
      <c r="B3824" s="3" t="str">
        <f>"RN"</f>
        <v>RN</v>
      </c>
      <c r="C3824" s="3" t="str">
        <f t="shared" si="148"/>
        <v>BRASIL</v>
      </c>
      <c r="D3824" s="4" t="str">
        <f>"RN097"</f>
        <v>RN097</v>
      </c>
    </row>
    <row r="3825" spans="1:4" x14ac:dyDescent="0.3">
      <c r="A3825" s="2" t="str">
        <f>"PARICONHA"</f>
        <v>PARICONHA</v>
      </c>
      <c r="B3825" s="3" t="str">
        <f>"AL"</f>
        <v>AL</v>
      </c>
      <c r="C3825" s="3" t="str">
        <f t="shared" si="148"/>
        <v>BRASIL</v>
      </c>
      <c r="D3825" s="4" t="str">
        <f>"AL069"</f>
        <v>AL069</v>
      </c>
    </row>
    <row r="3826" spans="1:4" x14ac:dyDescent="0.3">
      <c r="A3826" s="2" t="str">
        <f>"PARINTINS"</f>
        <v>PARINTINS</v>
      </c>
      <c r="B3826" s="3" t="str">
        <f>"AM"</f>
        <v>AM</v>
      </c>
      <c r="C3826" s="3" t="str">
        <f t="shared" si="148"/>
        <v>BRASIL</v>
      </c>
      <c r="D3826" s="4" t="str">
        <f>"AM046"</f>
        <v>AM046</v>
      </c>
    </row>
    <row r="3827" spans="1:4" x14ac:dyDescent="0.3">
      <c r="A3827" s="2" t="str">
        <f>"PARIPIRANGA"</f>
        <v>PARIPIRANGA</v>
      </c>
      <c r="B3827" s="3" t="str">
        <f>"BA"</f>
        <v>BA</v>
      </c>
      <c r="C3827" s="3" t="str">
        <f t="shared" si="148"/>
        <v>BRASIL</v>
      </c>
      <c r="D3827" s="4" t="str">
        <f>"BA292"</f>
        <v>BA292</v>
      </c>
    </row>
    <row r="3828" spans="1:4" x14ac:dyDescent="0.3">
      <c r="A3828" s="2" t="str">
        <f>"PARIPUEIRA"</f>
        <v>PARIPUEIRA</v>
      </c>
      <c r="B3828" s="3" t="str">
        <f>"AL"</f>
        <v>AL</v>
      </c>
      <c r="C3828" s="3" t="str">
        <f t="shared" si="148"/>
        <v>BRASIL</v>
      </c>
      <c r="D3828" s="4" t="str">
        <f>"AL070"</f>
        <v>AL070</v>
      </c>
    </row>
    <row r="3829" spans="1:4" x14ac:dyDescent="0.3">
      <c r="A3829" s="2" t="str">
        <f>"PARIQUERA-ACU"</f>
        <v>PARIQUERA-ACU</v>
      </c>
      <c r="B3829" s="3" t="str">
        <f>"SP"</f>
        <v>SP</v>
      </c>
      <c r="C3829" s="3" t="str">
        <f t="shared" si="148"/>
        <v>BRASIL</v>
      </c>
      <c r="D3829" s="4" t="str">
        <f>"SP407"</f>
        <v>SP407</v>
      </c>
    </row>
    <row r="3830" spans="1:4" x14ac:dyDescent="0.3">
      <c r="A3830" s="2" t="str">
        <f>"PARISI"</f>
        <v>PARISI</v>
      </c>
      <c r="B3830" s="3" t="str">
        <f>"SP"</f>
        <v>SP</v>
      </c>
      <c r="C3830" s="3" t="str">
        <f t="shared" si="148"/>
        <v>BRASIL</v>
      </c>
      <c r="D3830" s="4" t="str">
        <f>"SP408"</f>
        <v>SP408</v>
      </c>
    </row>
    <row r="3831" spans="1:4" x14ac:dyDescent="0.3">
      <c r="A3831" s="2" t="str">
        <f>"PARNAGUA"</f>
        <v>PARNAGUA</v>
      </c>
      <c r="B3831" s="3" t="str">
        <f>"PI"</f>
        <v>PI</v>
      </c>
      <c r="C3831" s="3" t="str">
        <f t="shared" si="148"/>
        <v>BRASIL</v>
      </c>
      <c r="D3831" s="4" t="str">
        <f>"PI149"</f>
        <v>PI149</v>
      </c>
    </row>
    <row r="3832" spans="1:4" x14ac:dyDescent="0.3">
      <c r="A3832" s="2" t="str">
        <f>"PARNAIBA"</f>
        <v>PARNAIBA</v>
      </c>
      <c r="B3832" s="3" t="str">
        <f>"PI"</f>
        <v>PI</v>
      </c>
      <c r="C3832" s="3" t="str">
        <f t="shared" si="148"/>
        <v>BRASIL</v>
      </c>
      <c r="D3832" s="4" t="str">
        <f>"PI150"</f>
        <v>PI150</v>
      </c>
    </row>
    <row r="3833" spans="1:4" x14ac:dyDescent="0.3">
      <c r="A3833" s="2" t="str">
        <f>"PARNAMIRIM"</f>
        <v>PARNAMIRIM</v>
      </c>
      <c r="B3833" s="3" t="str">
        <f>"PE"</f>
        <v>PE</v>
      </c>
      <c r="C3833" s="3" t="str">
        <f t="shared" si="148"/>
        <v>BRASIL</v>
      </c>
      <c r="D3833" s="4" t="str">
        <f>"PE119"</f>
        <v>PE119</v>
      </c>
    </row>
    <row r="3834" spans="1:4" x14ac:dyDescent="0.3">
      <c r="A3834" s="2" t="str">
        <f>"PARNAMIRIM"</f>
        <v>PARNAMIRIM</v>
      </c>
      <c r="B3834" s="3" t="str">
        <f>"RN"</f>
        <v>RN</v>
      </c>
      <c r="C3834" s="3" t="str">
        <f t="shared" si="148"/>
        <v>BRASIL</v>
      </c>
      <c r="D3834" s="4" t="str">
        <f>"RN036"</f>
        <v>RN036</v>
      </c>
    </row>
    <row r="3835" spans="1:4" x14ac:dyDescent="0.3">
      <c r="A3835" s="2" t="str">
        <f>"PARNARAMA"</f>
        <v>PARNARAMA</v>
      </c>
      <c r="B3835" s="3" t="str">
        <f>"MA"</f>
        <v>MA</v>
      </c>
      <c r="C3835" s="3" t="str">
        <f t="shared" si="148"/>
        <v>BRASIL</v>
      </c>
      <c r="D3835" s="4" t="str">
        <f>"MA133"</f>
        <v>MA133</v>
      </c>
    </row>
    <row r="3836" spans="1:4" x14ac:dyDescent="0.3">
      <c r="A3836" s="2" t="str">
        <f>"PAROBE"</f>
        <v>PAROBE</v>
      </c>
      <c r="B3836" s="3" t="str">
        <f>"RS"</f>
        <v>RS</v>
      </c>
      <c r="C3836" s="3" t="str">
        <f t="shared" si="148"/>
        <v>BRASIL</v>
      </c>
      <c r="D3836" s="4" t="str">
        <f>"RS302"</f>
        <v>RS302</v>
      </c>
    </row>
    <row r="3837" spans="1:4" x14ac:dyDescent="0.3">
      <c r="A3837" s="2" t="str">
        <f>"PASO DE LOS LIBRES"</f>
        <v>PASO DE LOS LIBRES</v>
      </c>
      <c r="B3837" s="3" t="str">
        <f>"EX"</f>
        <v>EX</v>
      </c>
      <c r="C3837" s="3" t="str">
        <f>"ARGENTINA"</f>
        <v>ARGENTINA</v>
      </c>
      <c r="D3837" s="4" t="str">
        <f>"PAS"</f>
        <v>PAS</v>
      </c>
    </row>
    <row r="3838" spans="1:4" x14ac:dyDescent="0.3">
      <c r="A3838" s="2" t="str">
        <f>"PASSA E FICA"</f>
        <v>PASSA E FICA</v>
      </c>
      <c r="B3838" s="3" t="str">
        <f>"RN"</f>
        <v>RN</v>
      </c>
      <c r="C3838" s="3" t="str">
        <f t="shared" ref="C3838:C3869" si="149">"BRASIL"</f>
        <v>BRASIL</v>
      </c>
      <c r="D3838" s="4" t="str">
        <f>"RN099"</f>
        <v>RN099</v>
      </c>
    </row>
    <row r="3839" spans="1:4" x14ac:dyDescent="0.3">
      <c r="A3839" s="2" t="str">
        <f>"PASSA QUATRO"</f>
        <v>PASSA QUATRO</v>
      </c>
      <c r="B3839" s="3" t="str">
        <f>"MG"</f>
        <v>MG</v>
      </c>
      <c r="C3839" s="3" t="str">
        <f t="shared" si="149"/>
        <v>BRASIL</v>
      </c>
      <c r="D3839" s="4" t="str">
        <f>"MG556"</f>
        <v>MG556</v>
      </c>
    </row>
    <row r="3840" spans="1:4" x14ac:dyDescent="0.3">
      <c r="A3840" s="2" t="str">
        <f>"PASSA SETE"</f>
        <v>PASSA SETE</v>
      </c>
      <c r="B3840" s="3" t="str">
        <f>"RS"</f>
        <v>RS</v>
      </c>
      <c r="C3840" s="3" t="str">
        <f t="shared" si="149"/>
        <v>BRASIL</v>
      </c>
      <c r="D3840" s="4" t="str">
        <f>"RS303"</f>
        <v>RS303</v>
      </c>
    </row>
    <row r="3841" spans="1:4" x14ac:dyDescent="0.3">
      <c r="A3841" s="2" t="str">
        <f>"PASSA TEMPO"</f>
        <v>PASSA TEMPO</v>
      </c>
      <c r="B3841" s="3" t="str">
        <f>"MG"</f>
        <v>MG</v>
      </c>
      <c r="C3841" s="3" t="str">
        <f t="shared" si="149"/>
        <v>BRASIL</v>
      </c>
      <c r="D3841" s="4" t="str">
        <f>"MG557"</f>
        <v>MG557</v>
      </c>
    </row>
    <row r="3842" spans="1:4" x14ac:dyDescent="0.3">
      <c r="A3842" s="2" t="str">
        <f>"PASSA-VINTE"</f>
        <v>PASSA-VINTE</v>
      </c>
      <c r="B3842" s="3" t="str">
        <f>"MG"</f>
        <v>MG</v>
      </c>
      <c r="C3842" s="3" t="str">
        <f t="shared" si="149"/>
        <v>BRASIL</v>
      </c>
      <c r="D3842" s="4" t="str">
        <f>"MG558"</f>
        <v>MG558</v>
      </c>
    </row>
    <row r="3843" spans="1:4" x14ac:dyDescent="0.3">
      <c r="A3843" s="2" t="str">
        <f>"PASSABEM"</f>
        <v>PASSABEM</v>
      </c>
      <c r="B3843" s="3" t="str">
        <f>"MG"</f>
        <v>MG</v>
      </c>
      <c r="C3843" s="3" t="str">
        <f t="shared" si="149"/>
        <v>BRASIL</v>
      </c>
      <c r="D3843" s="4" t="str">
        <f>"MG555"</f>
        <v>MG555</v>
      </c>
    </row>
    <row r="3844" spans="1:4" x14ac:dyDescent="0.3">
      <c r="A3844" s="2" t="str">
        <f>"PASSAGEM"</f>
        <v>PASSAGEM</v>
      </c>
      <c r="B3844" s="3" t="str">
        <f>"PB"</f>
        <v>PB</v>
      </c>
      <c r="C3844" s="3" t="str">
        <f t="shared" si="149"/>
        <v>BRASIL</v>
      </c>
      <c r="D3844" s="4" t="str">
        <f>"PB135"</f>
        <v>PB135</v>
      </c>
    </row>
    <row r="3845" spans="1:4" x14ac:dyDescent="0.3">
      <c r="A3845" s="2" t="str">
        <f>"PASSAGEM"</f>
        <v>PASSAGEM</v>
      </c>
      <c r="B3845" s="3" t="str">
        <f>"RN"</f>
        <v>RN</v>
      </c>
      <c r="C3845" s="3" t="str">
        <f t="shared" si="149"/>
        <v>BRASIL</v>
      </c>
      <c r="D3845" s="4" t="str">
        <f>"RN100"</f>
        <v>RN100</v>
      </c>
    </row>
    <row r="3846" spans="1:4" x14ac:dyDescent="0.3">
      <c r="A3846" s="2" t="str">
        <f>"PASSAGEM FRANCA"</f>
        <v>PASSAGEM FRANCA</v>
      </c>
      <c r="B3846" s="3" t="str">
        <f>"MA"</f>
        <v>MA</v>
      </c>
      <c r="C3846" s="3" t="str">
        <f t="shared" si="149"/>
        <v>BRASIL</v>
      </c>
      <c r="D3846" s="4" t="str">
        <f>"MA134"</f>
        <v>MA134</v>
      </c>
    </row>
    <row r="3847" spans="1:4" x14ac:dyDescent="0.3">
      <c r="A3847" s="2" t="str">
        <f>"PASSAGEM FRANCA DO PIAUI"</f>
        <v>PASSAGEM FRANCA DO PIAUI</v>
      </c>
      <c r="B3847" s="3" t="str">
        <f>"PI"</f>
        <v>PI</v>
      </c>
      <c r="C3847" s="3" t="str">
        <f t="shared" si="149"/>
        <v>BRASIL</v>
      </c>
      <c r="D3847" s="4" t="str">
        <f>"PI151"</f>
        <v>PI151</v>
      </c>
    </row>
    <row r="3848" spans="1:4" x14ac:dyDescent="0.3">
      <c r="A3848" s="2" t="str">
        <f>"PASSIRA"</f>
        <v>PASSIRA</v>
      </c>
      <c r="B3848" s="3" t="str">
        <f>"PE"</f>
        <v>PE</v>
      </c>
      <c r="C3848" s="3" t="str">
        <f t="shared" si="149"/>
        <v>BRASIL</v>
      </c>
      <c r="D3848" s="4" t="str">
        <f>"PE120"</f>
        <v>PE120</v>
      </c>
    </row>
    <row r="3849" spans="1:4" x14ac:dyDescent="0.3">
      <c r="A3849" s="2" t="str">
        <f>"PASSO DE CAMARAGIBE"</f>
        <v>PASSO DE CAMARAGIBE</v>
      </c>
      <c r="B3849" s="3" t="str">
        <f>"AL"</f>
        <v>AL</v>
      </c>
      <c r="C3849" s="3" t="str">
        <f t="shared" si="149"/>
        <v>BRASIL</v>
      </c>
      <c r="D3849" s="4" t="str">
        <f>"AL071"</f>
        <v>AL071</v>
      </c>
    </row>
    <row r="3850" spans="1:4" x14ac:dyDescent="0.3">
      <c r="A3850" s="2" t="str">
        <f>"PASSO DE TORRES"</f>
        <v>PASSO DE TORRES</v>
      </c>
      <c r="B3850" s="3" t="str">
        <f>"SC"</f>
        <v>SC</v>
      </c>
      <c r="C3850" s="3" t="str">
        <f t="shared" si="149"/>
        <v>BRASIL</v>
      </c>
      <c r="D3850" s="4" t="str">
        <f>"SC187"</f>
        <v>SC187</v>
      </c>
    </row>
    <row r="3851" spans="1:4" x14ac:dyDescent="0.3">
      <c r="A3851" s="2" t="str">
        <f>"PASSO DO SOBRADO"</f>
        <v>PASSO DO SOBRADO</v>
      </c>
      <c r="B3851" s="3" t="str">
        <f>"RS"</f>
        <v>RS</v>
      </c>
      <c r="C3851" s="3" t="str">
        <f t="shared" si="149"/>
        <v>BRASIL</v>
      </c>
      <c r="D3851" s="4" t="str">
        <f>"RS304"</f>
        <v>RS304</v>
      </c>
    </row>
    <row r="3852" spans="1:4" x14ac:dyDescent="0.3">
      <c r="A3852" s="2" t="str">
        <f>"PASSO FUNDO"</f>
        <v>PASSO FUNDO</v>
      </c>
      <c r="B3852" s="3" t="str">
        <f>"RS"</f>
        <v>RS</v>
      </c>
      <c r="C3852" s="3" t="str">
        <f t="shared" si="149"/>
        <v>BRASIL</v>
      </c>
      <c r="D3852" s="4" t="str">
        <f>"RS305"</f>
        <v>RS305</v>
      </c>
    </row>
    <row r="3853" spans="1:4" x14ac:dyDescent="0.3">
      <c r="A3853" s="2" t="str">
        <f>"PASSOS"</f>
        <v>PASSOS</v>
      </c>
      <c r="B3853" s="3" t="str">
        <f>"MG"</f>
        <v>MG</v>
      </c>
      <c r="C3853" s="3" t="str">
        <f t="shared" si="149"/>
        <v>BRASIL</v>
      </c>
      <c r="D3853" s="4" t="str">
        <f>"MG559"</f>
        <v>MG559</v>
      </c>
    </row>
    <row r="3854" spans="1:4" x14ac:dyDescent="0.3">
      <c r="A3854" s="2" t="str">
        <f>"PASSOS MAIA"</f>
        <v>PASSOS MAIA</v>
      </c>
      <c r="B3854" s="3" t="str">
        <f>"SC"</f>
        <v>SC</v>
      </c>
      <c r="C3854" s="3" t="str">
        <f t="shared" si="149"/>
        <v>BRASIL</v>
      </c>
      <c r="D3854" s="4" t="str">
        <f>"SC188"</f>
        <v>SC188</v>
      </c>
    </row>
    <row r="3855" spans="1:4" x14ac:dyDescent="0.3">
      <c r="A3855" s="2" t="str">
        <f>"PASTOS BONS"</f>
        <v>PASTOS BONS</v>
      </c>
      <c r="B3855" s="3" t="str">
        <f>"MA"</f>
        <v>MA</v>
      </c>
      <c r="C3855" s="3" t="str">
        <f t="shared" si="149"/>
        <v>BRASIL</v>
      </c>
      <c r="D3855" s="4" t="str">
        <f>"MA135"</f>
        <v>MA135</v>
      </c>
    </row>
    <row r="3856" spans="1:4" x14ac:dyDescent="0.3">
      <c r="A3856" s="2" t="str">
        <f>"PATIS"</f>
        <v>PATIS</v>
      </c>
      <c r="B3856" s="3" t="str">
        <f>"MG"</f>
        <v>MG</v>
      </c>
      <c r="C3856" s="3" t="str">
        <f t="shared" si="149"/>
        <v>BRASIL</v>
      </c>
      <c r="D3856" s="4" t="str">
        <f>"MG560"</f>
        <v>MG560</v>
      </c>
    </row>
    <row r="3857" spans="1:4" x14ac:dyDescent="0.3">
      <c r="A3857" s="2" t="str">
        <f>"PATO BRAGADO"</f>
        <v>PATO BRAGADO</v>
      </c>
      <c r="B3857" s="3" t="str">
        <f>"PR"</f>
        <v>PR</v>
      </c>
      <c r="C3857" s="3" t="str">
        <f t="shared" si="149"/>
        <v>BRASIL</v>
      </c>
      <c r="D3857" s="4" t="str">
        <f>"PR256"</f>
        <v>PR256</v>
      </c>
    </row>
    <row r="3858" spans="1:4" x14ac:dyDescent="0.3">
      <c r="A3858" s="2" t="str">
        <f>"PATO BRANCO"</f>
        <v>PATO BRANCO</v>
      </c>
      <c r="B3858" s="3" t="str">
        <f>"PR"</f>
        <v>PR</v>
      </c>
      <c r="C3858" s="3" t="str">
        <f t="shared" si="149"/>
        <v>BRASIL</v>
      </c>
      <c r="D3858" s="4" t="str">
        <f>"PR257"</f>
        <v>PR257</v>
      </c>
    </row>
    <row r="3859" spans="1:4" x14ac:dyDescent="0.3">
      <c r="A3859" s="2" t="str">
        <f>"PATOS"</f>
        <v>PATOS</v>
      </c>
      <c r="B3859" s="3" t="str">
        <f>"PB"</f>
        <v>PB</v>
      </c>
      <c r="C3859" s="3" t="str">
        <f t="shared" si="149"/>
        <v>BRASIL</v>
      </c>
      <c r="D3859" s="4" t="str">
        <f>"PB136"</f>
        <v>PB136</v>
      </c>
    </row>
    <row r="3860" spans="1:4" x14ac:dyDescent="0.3">
      <c r="A3860" s="2" t="str">
        <f>"PATOS DE MINAS"</f>
        <v>PATOS DE MINAS</v>
      </c>
      <c r="B3860" s="3" t="str">
        <f>"MG"</f>
        <v>MG</v>
      </c>
      <c r="C3860" s="3" t="str">
        <f t="shared" si="149"/>
        <v>BRASIL</v>
      </c>
      <c r="D3860" s="4" t="str">
        <f>"MG561"</f>
        <v>MG561</v>
      </c>
    </row>
    <row r="3861" spans="1:4" x14ac:dyDescent="0.3">
      <c r="A3861" s="2" t="str">
        <f>"PATOS DO PIAUI"</f>
        <v>PATOS DO PIAUI</v>
      </c>
      <c r="B3861" s="3" t="str">
        <f>"PI"</f>
        <v>PI</v>
      </c>
      <c r="C3861" s="3" t="str">
        <f t="shared" si="149"/>
        <v>BRASIL</v>
      </c>
      <c r="D3861" s="4" t="str">
        <f>"PI152"</f>
        <v>PI152</v>
      </c>
    </row>
    <row r="3862" spans="1:4" x14ac:dyDescent="0.3">
      <c r="A3862" s="2" t="str">
        <f>"PATROCINIO"</f>
        <v>PATROCINIO</v>
      </c>
      <c r="B3862" s="3" t="str">
        <f>"MG"</f>
        <v>MG</v>
      </c>
      <c r="C3862" s="3" t="str">
        <f t="shared" si="149"/>
        <v>BRASIL</v>
      </c>
      <c r="D3862" s="4" t="str">
        <f>"MG562"</f>
        <v>MG562</v>
      </c>
    </row>
    <row r="3863" spans="1:4" x14ac:dyDescent="0.3">
      <c r="A3863" s="2" t="str">
        <f>"PATROCINIO DO MURIAE"</f>
        <v>PATROCINIO DO MURIAE</v>
      </c>
      <c r="B3863" s="3" t="str">
        <f>"MG"</f>
        <v>MG</v>
      </c>
      <c r="C3863" s="3" t="str">
        <f t="shared" si="149"/>
        <v>BRASIL</v>
      </c>
      <c r="D3863" s="4" t="str">
        <f>"MG563"</f>
        <v>MG563</v>
      </c>
    </row>
    <row r="3864" spans="1:4" x14ac:dyDescent="0.3">
      <c r="A3864" s="2" t="str">
        <f>"PATROCINIO PAULISTA"</f>
        <v>PATROCINIO PAULISTA</v>
      </c>
      <c r="B3864" s="3" t="str">
        <f>"SP"</f>
        <v>SP</v>
      </c>
      <c r="C3864" s="3" t="str">
        <f t="shared" si="149"/>
        <v>BRASIL</v>
      </c>
      <c r="D3864" s="4" t="str">
        <f>"SP409"</f>
        <v>SP409</v>
      </c>
    </row>
    <row r="3865" spans="1:4" x14ac:dyDescent="0.3">
      <c r="A3865" s="2" t="str">
        <f>"PATU"</f>
        <v>PATU</v>
      </c>
      <c r="B3865" s="3" t="str">
        <f>"RN"</f>
        <v>RN</v>
      </c>
      <c r="C3865" s="3" t="str">
        <f t="shared" si="149"/>
        <v>BRASIL</v>
      </c>
      <c r="D3865" s="4" t="str">
        <f>"RN101"</f>
        <v>RN101</v>
      </c>
    </row>
    <row r="3866" spans="1:4" x14ac:dyDescent="0.3">
      <c r="A3866" s="2" t="str">
        <f>"PATY DO ALFERES"</f>
        <v>PATY DO ALFERES</v>
      </c>
      <c r="B3866" s="3" t="str">
        <f>"RJ"</f>
        <v>RJ</v>
      </c>
      <c r="C3866" s="3" t="str">
        <f t="shared" si="149"/>
        <v>BRASIL</v>
      </c>
      <c r="D3866" s="4" t="str">
        <f>"RJ054"</f>
        <v>RJ054</v>
      </c>
    </row>
    <row r="3867" spans="1:4" x14ac:dyDescent="0.3">
      <c r="A3867" s="2" t="str">
        <f>"PAU BRASIL"</f>
        <v>PAU BRASIL</v>
      </c>
      <c r="B3867" s="3" t="str">
        <f>"BA"</f>
        <v>BA</v>
      </c>
      <c r="C3867" s="3" t="str">
        <f t="shared" si="149"/>
        <v>BRASIL</v>
      </c>
      <c r="D3867" s="4" t="str">
        <f>"BA293"</f>
        <v>BA293</v>
      </c>
    </row>
    <row r="3868" spans="1:4" x14ac:dyDescent="0.3">
      <c r="A3868" s="2" t="str">
        <f>"PAU D'ARCO"</f>
        <v>PAU D'ARCO</v>
      </c>
      <c r="B3868" s="3" t="str">
        <f>"PA"</f>
        <v>PA</v>
      </c>
      <c r="C3868" s="3" t="str">
        <f t="shared" si="149"/>
        <v>BRASIL</v>
      </c>
      <c r="D3868" s="4" t="str">
        <f>"PA090"</f>
        <v>PA090</v>
      </c>
    </row>
    <row r="3869" spans="1:4" x14ac:dyDescent="0.3">
      <c r="A3869" s="2" t="str">
        <f>"PAU D'ARCO"</f>
        <v>PAU D'ARCO</v>
      </c>
      <c r="B3869" s="3" t="str">
        <f>"TO"</f>
        <v>TO</v>
      </c>
      <c r="C3869" s="3" t="str">
        <f t="shared" si="149"/>
        <v>BRASIL</v>
      </c>
      <c r="D3869" s="4" t="str">
        <f>"TO093"</f>
        <v>TO093</v>
      </c>
    </row>
    <row r="3870" spans="1:4" x14ac:dyDescent="0.3">
      <c r="A3870" s="2" t="str">
        <f>"PAU D'ARCO DO PIAUI"</f>
        <v>PAU D'ARCO DO PIAUI</v>
      </c>
      <c r="B3870" s="3" t="str">
        <f>"PI"</f>
        <v>PI</v>
      </c>
      <c r="C3870" s="3" t="str">
        <f t="shared" ref="C3870:C3901" si="150">"BRASIL"</f>
        <v>BRASIL</v>
      </c>
      <c r="D3870" s="4" t="str">
        <f>"PI153"</f>
        <v>PI153</v>
      </c>
    </row>
    <row r="3871" spans="1:4" x14ac:dyDescent="0.3">
      <c r="A3871" s="2" t="str">
        <f>"PAU DOS FERROS"</f>
        <v>PAU DOS FERROS</v>
      </c>
      <c r="B3871" s="3" t="str">
        <f>"RN"</f>
        <v>RN</v>
      </c>
      <c r="C3871" s="3" t="str">
        <f t="shared" si="150"/>
        <v>BRASIL</v>
      </c>
      <c r="D3871" s="4" t="str">
        <f>"RN103"</f>
        <v>RN103</v>
      </c>
    </row>
    <row r="3872" spans="1:4" x14ac:dyDescent="0.3">
      <c r="A3872" s="2" t="str">
        <f>"PAUDALHO"</f>
        <v>PAUDALHO</v>
      </c>
      <c r="B3872" s="3" t="str">
        <f>"PE"</f>
        <v>PE</v>
      </c>
      <c r="C3872" s="3" t="str">
        <f t="shared" si="150"/>
        <v>BRASIL</v>
      </c>
      <c r="D3872" s="4" t="str">
        <f>"PE121"</f>
        <v>PE121</v>
      </c>
    </row>
    <row r="3873" spans="1:4" x14ac:dyDescent="0.3">
      <c r="A3873" s="2" t="str">
        <f>"PAUINI"</f>
        <v>PAUINI</v>
      </c>
      <c r="B3873" s="3" t="str">
        <f>"AM"</f>
        <v>AM</v>
      </c>
      <c r="C3873" s="3" t="str">
        <f t="shared" si="150"/>
        <v>BRASIL</v>
      </c>
      <c r="D3873" s="4" t="str">
        <f>"AM047"</f>
        <v>AM047</v>
      </c>
    </row>
    <row r="3874" spans="1:4" x14ac:dyDescent="0.3">
      <c r="A3874" s="2" t="str">
        <f>"PAULA CANDIDO"</f>
        <v>PAULA CANDIDO</v>
      </c>
      <c r="B3874" s="3" t="str">
        <f>"MG"</f>
        <v>MG</v>
      </c>
      <c r="C3874" s="3" t="str">
        <f t="shared" si="150"/>
        <v>BRASIL</v>
      </c>
      <c r="D3874" s="4" t="str">
        <f>"MG564"</f>
        <v>MG564</v>
      </c>
    </row>
    <row r="3875" spans="1:4" x14ac:dyDescent="0.3">
      <c r="A3875" s="2" t="str">
        <f>"PAULA FREITAS"</f>
        <v>PAULA FREITAS</v>
      </c>
      <c r="B3875" s="3" t="str">
        <f>"PR"</f>
        <v>PR</v>
      </c>
      <c r="C3875" s="3" t="str">
        <f t="shared" si="150"/>
        <v>BRASIL</v>
      </c>
      <c r="D3875" s="4" t="str">
        <f>"PR258"</f>
        <v>PR258</v>
      </c>
    </row>
    <row r="3876" spans="1:4" x14ac:dyDescent="0.3">
      <c r="A3876" s="2" t="str">
        <f>"PAULICEIA"</f>
        <v>PAULICEIA</v>
      </c>
      <c r="B3876" s="3" t="str">
        <f>"SP"</f>
        <v>SP</v>
      </c>
      <c r="C3876" s="3" t="str">
        <f t="shared" si="150"/>
        <v>BRASIL</v>
      </c>
      <c r="D3876" s="4" t="str">
        <f>"SP410"</f>
        <v>SP410</v>
      </c>
    </row>
    <row r="3877" spans="1:4" x14ac:dyDescent="0.3">
      <c r="A3877" s="2" t="str">
        <f>"PAULINIA"</f>
        <v>PAULINIA</v>
      </c>
      <c r="B3877" s="3" t="str">
        <f>"SP"</f>
        <v>SP</v>
      </c>
      <c r="C3877" s="3" t="str">
        <f t="shared" si="150"/>
        <v>BRASIL</v>
      </c>
      <c r="D3877" s="4" t="str">
        <f>"SP411"</f>
        <v>SP411</v>
      </c>
    </row>
    <row r="3878" spans="1:4" x14ac:dyDescent="0.3">
      <c r="A3878" s="2" t="str">
        <f>"PAULINO NEVES"</f>
        <v>PAULINO NEVES</v>
      </c>
      <c r="B3878" s="3" t="str">
        <f>"MA"</f>
        <v>MA</v>
      </c>
      <c r="C3878" s="3" t="str">
        <f t="shared" si="150"/>
        <v>BRASIL</v>
      </c>
      <c r="D3878" s="4" t="str">
        <f>"MA136"</f>
        <v>MA136</v>
      </c>
    </row>
    <row r="3879" spans="1:4" x14ac:dyDescent="0.3">
      <c r="A3879" s="2" t="str">
        <f>"PAULISTA"</f>
        <v>PAULISTA</v>
      </c>
      <c r="B3879" s="3" t="str">
        <f>"PB"</f>
        <v>PB</v>
      </c>
      <c r="C3879" s="3" t="str">
        <f t="shared" si="150"/>
        <v>BRASIL</v>
      </c>
      <c r="D3879" s="4" t="str">
        <f>"PB137"</f>
        <v>PB137</v>
      </c>
    </row>
    <row r="3880" spans="1:4" x14ac:dyDescent="0.3">
      <c r="A3880" s="2" t="str">
        <f>"PAULISTA"</f>
        <v>PAULISTA</v>
      </c>
      <c r="B3880" s="3" t="str">
        <f>"PE"</f>
        <v>PE</v>
      </c>
      <c r="C3880" s="3" t="str">
        <f t="shared" si="150"/>
        <v>BRASIL</v>
      </c>
      <c r="D3880" s="4" t="str">
        <f>"PE122"</f>
        <v>PE122</v>
      </c>
    </row>
    <row r="3881" spans="1:4" x14ac:dyDescent="0.3">
      <c r="A3881" s="2" t="str">
        <f>"PAULISTANA"</f>
        <v>PAULISTANA</v>
      </c>
      <c r="B3881" s="3" t="str">
        <f>"PI"</f>
        <v>PI</v>
      </c>
      <c r="C3881" s="3" t="str">
        <f t="shared" si="150"/>
        <v>BRASIL</v>
      </c>
      <c r="D3881" s="4" t="str">
        <f>"PI154"</f>
        <v>PI154</v>
      </c>
    </row>
    <row r="3882" spans="1:4" x14ac:dyDescent="0.3">
      <c r="A3882" s="2" t="str">
        <f>"PAULISTANIA"</f>
        <v>PAULISTANIA</v>
      </c>
      <c r="B3882" s="3" t="str">
        <f>"SP"</f>
        <v>SP</v>
      </c>
      <c r="C3882" s="3" t="str">
        <f t="shared" si="150"/>
        <v>BRASIL</v>
      </c>
      <c r="D3882" s="4" t="str">
        <f>"SP412"</f>
        <v>SP412</v>
      </c>
    </row>
    <row r="3883" spans="1:4" x14ac:dyDescent="0.3">
      <c r="A3883" s="2" t="str">
        <f>"PAULISTAS"</f>
        <v>PAULISTAS</v>
      </c>
      <c r="B3883" s="3" t="str">
        <f>"MG"</f>
        <v>MG</v>
      </c>
      <c r="C3883" s="3" t="str">
        <f t="shared" si="150"/>
        <v>BRASIL</v>
      </c>
      <c r="D3883" s="4" t="str">
        <f>"MG565"</f>
        <v>MG565</v>
      </c>
    </row>
    <row r="3884" spans="1:4" x14ac:dyDescent="0.3">
      <c r="A3884" s="2" t="str">
        <f>"PAULO AFONSO"</f>
        <v>PAULO AFONSO</v>
      </c>
      <c r="B3884" s="3" t="str">
        <f>"BA"</f>
        <v>BA</v>
      </c>
      <c r="C3884" s="3" t="str">
        <f t="shared" si="150"/>
        <v>BRASIL</v>
      </c>
      <c r="D3884" s="4" t="str">
        <f>"BA294"</f>
        <v>BA294</v>
      </c>
    </row>
    <row r="3885" spans="1:4" x14ac:dyDescent="0.3">
      <c r="A3885" s="2" t="str">
        <f>"PAULO BENTO"</f>
        <v>PAULO BENTO</v>
      </c>
      <c r="B3885" s="3" t="str">
        <f>"RS"</f>
        <v>RS</v>
      </c>
      <c r="C3885" s="3" t="str">
        <f t="shared" si="150"/>
        <v>BRASIL</v>
      </c>
      <c r="D3885" s="4" t="str">
        <f>"RS306"</f>
        <v>RS306</v>
      </c>
    </row>
    <row r="3886" spans="1:4" x14ac:dyDescent="0.3">
      <c r="A3886" s="2" t="str">
        <f>"PAULO DE FARIA"</f>
        <v>PAULO DE FARIA</v>
      </c>
      <c r="B3886" s="3" t="str">
        <f>"SP"</f>
        <v>SP</v>
      </c>
      <c r="C3886" s="3" t="str">
        <f t="shared" si="150"/>
        <v>BRASIL</v>
      </c>
      <c r="D3886" s="4" t="str">
        <f>"SP413"</f>
        <v>SP413</v>
      </c>
    </row>
    <row r="3887" spans="1:4" x14ac:dyDescent="0.3">
      <c r="A3887" s="2" t="str">
        <f>"PAULO FRONTIN"</f>
        <v>PAULO FRONTIN</v>
      </c>
      <c r="B3887" s="3" t="str">
        <f>"PR"</f>
        <v>PR</v>
      </c>
      <c r="C3887" s="3" t="str">
        <f t="shared" si="150"/>
        <v>BRASIL</v>
      </c>
      <c r="D3887" s="4" t="str">
        <f>"PR259"</f>
        <v>PR259</v>
      </c>
    </row>
    <row r="3888" spans="1:4" x14ac:dyDescent="0.3">
      <c r="A3888" s="2" t="str">
        <f>"PAULO JACINTO"</f>
        <v>PAULO JACINTO</v>
      </c>
      <c r="B3888" s="3" t="str">
        <f>"AL"</f>
        <v>AL</v>
      </c>
      <c r="C3888" s="3" t="str">
        <f t="shared" si="150"/>
        <v>BRASIL</v>
      </c>
      <c r="D3888" s="4" t="str">
        <f>"AL072"</f>
        <v>AL072</v>
      </c>
    </row>
    <row r="3889" spans="1:4" x14ac:dyDescent="0.3">
      <c r="A3889" s="2" t="str">
        <f>"PAULO LOPES"</f>
        <v>PAULO LOPES</v>
      </c>
      <c r="B3889" s="3" t="str">
        <f>"SC"</f>
        <v>SC</v>
      </c>
      <c r="C3889" s="3" t="str">
        <f t="shared" si="150"/>
        <v>BRASIL</v>
      </c>
      <c r="D3889" s="4" t="str">
        <f>"SC189"</f>
        <v>SC189</v>
      </c>
    </row>
    <row r="3890" spans="1:4" x14ac:dyDescent="0.3">
      <c r="A3890" s="2" t="str">
        <f>"PAULO RAMOS"</f>
        <v>PAULO RAMOS</v>
      </c>
      <c r="B3890" s="3" t="str">
        <f>"MA"</f>
        <v>MA</v>
      </c>
      <c r="C3890" s="3" t="str">
        <f t="shared" si="150"/>
        <v>BRASIL</v>
      </c>
      <c r="D3890" s="4" t="str">
        <f>"MA137"</f>
        <v>MA137</v>
      </c>
    </row>
    <row r="3891" spans="1:4" x14ac:dyDescent="0.3">
      <c r="A3891" s="2" t="str">
        <f>"PAVAO"</f>
        <v>PAVAO</v>
      </c>
      <c r="B3891" s="3" t="str">
        <f>"MG"</f>
        <v>MG</v>
      </c>
      <c r="C3891" s="3" t="str">
        <f t="shared" si="150"/>
        <v>BRASIL</v>
      </c>
      <c r="D3891" s="4" t="str">
        <f>"MG566"</f>
        <v>MG566</v>
      </c>
    </row>
    <row r="3892" spans="1:4" x14ac:dyDescent="0.3">
      <c r="A3892" s="2" t="str">
        <f>"PAVERAMA"</f>
        <v>PAVERAMA</v>
      </c>
      <c r="B3892" s="3" t="str">
        <f>"RS"</f>
        <v>RS</v>
      </c>
      <c r="C3892" s="3" t="str">
        <f t="shared" si="150"/>
        <v>BRASIL</v>
      </c>
      <c r="D3892" s="4" t="str">
        <f>"RS307"</f>
        <v>RS307</v>
      </c>
    </row>
    <row r="3893" spans="1:4" x14ac:dyDescent="0.3">
      <c r="A3893" s="2" t="str">
        <f>"PAVUSSU"</f>
        <v>PAVUSSU</v>
      </c>
      <c r="B3893" s="3" t="str">
        <f>"PI"</f>
        <v>PI</v>
      </c>
      <c r="C3893" s="3" t="str">
        <f t="shared" si="150"/>
        <v>BRASIL</v>
      </c>
      <c r="D3893" s="4" t="str">
        <f>"PI155"</f>
        <v>PI155</v>
      </c>
    </row>
    <row r="3894" spans="1:4" x14ac:dyDescent="0.3">
      <c r="A3894" s="2" t="str">
        <f>"PE DE SERRA"</f>
        <v>PE DE SERRA</v>
      </c>
      <c r="B3894" s="3" t="str">
        <f>"BA"</f>
        <v>BA</v>
      </c>
      <c r="C3894" s="3" t="str">
        <f t="shared" si="150"/>
        <v>BRASIL</v>
      </c>
      <c r="D3894" s="4" t="str">
        <f>"BA295"</f>
        <v>BA295</v>
      </c>
    </row>
    <row r="3895" spans="1:4" x14ac:dyDescent="0.3">
      <c r="A3895" s="2" t="str">
        <f>"PEABIRU"</f>
        <v>PEABIRU</v>
      </c>
      <c r="B3895" s="3" t="str">
        <f>"PR"</f>
        <v>PR</v>
      </c>
      <c r="C3895" s="3" t="str">
        <f t="shared" si="150"/>
        <v>BRASIL</v>
      </c>
      <c r="D3895" s="4" t="str">
        <f>"PR260"</f>
        <v>PR260</v>
      </c>
    </row>
    <row r="3896" spans="1:4" x14ac:dyDescent="0.3">
      <c r="A3896" s="2" t="str">
        <f>"PECANHA"</f>
        <v>PECANHA</v>
      </c>
      <c r="B3896" s="3" t="str">
        <f>"MG"</f>
        <v>MG</v>
      </c>
      <c r="C3896" s="3" t="str">
        <f t="shared" si="150"/>
        <v>BRASIL</v>
      </c>
      <c r="D3896" s="4" t="str">
        <f>"MG567"</f>
        <v>MG567</v>
      </c>
    </row>
    <row r="3897" spans="1:4" x14ac:dyDescent="0.3">
      <c r="A3897" s="2" t="str">
        <f>"PEDERNEIRAS"</f>
        <v>PEDERNEIRAS</v>
      </c>
      <c r="B3897" s="3" t="str">
        <f>"SP"</f>
        <v>SP</v>
      </c>
      <c r="C3897" s="3" t="str">
        <f t="shared" si="150"/>
        <v>BRASIL</v>
      </c>
      <c r="D3897" s="4" t="str">
        <f>"SP414"</f>
        <v>SP414</v>
      </c>
    </row>
    <row r="3898" spans="1:4" x14ac:dyDescent="0.3">
      <c r="A3898" s="2" t="str">
        <f>"PEDRA"</f>
        <v>PEDRA</v>
      </c>
      <c r="B3898" s="3" t="str">
        <f>"PE"</f>
        <v>PE</v>
      </c>
      <c r="C3898" s="3" t="str">
        <f t="shared" si="150"/>
        <v>BRASIL</v>
      </c>
      <c r="D3898" s="4" t="str">
        <f>"PE123"</f>
        <v>PE123</v>
      </c>
    </row>
    <row r="3899" spans="1:4" x14ac:dyDescent="0.3">
      <c r="A3899" s="2" t="str">
        <f>"PEDRA AZUL"</f>
        <v>PEDRA AZUL</v>
      </c>
      <c r="B3899" s="3" t="str">
        <f>"MG"</f>
        <v>MG</v>
      </c>
      <c r="C3899" s="3" t="str">
        <f t="shared" si="150"/>
        <v>BRASIL</v>
      </c>
      <c r="D3899" s="4" t="str">
        <f>"MG568"</f>
        <v>MG568</v>
      </c>
    </row>
    <row r="3900" spans="1:4" x14ac:dyDescent="0.3">
      <c r="A3900" s="2" t="str">
        <f>"PEDRA BELA"</f>
        <v>PEDRA BELA</v>
      </c>
      <c r="B3900" s="3" t="str">
        <f>"SP"</f>
        <v>SP</v>
      </c>
      <c r="C3900" s="3" t="str">
        <f t="shared" si="150"/>
        <v>BRASIL</v>
      </c>
      <c r="D3900" s="4" t="str">
        <f>"SP415"</f>
        <v>SP415</v>
      </c>
    </row>
    <row r="3901" spans="1:4" x14ac:dyDescent="0.3">
      <c r="A3901" s="2" t="str">
        <f>"PEDRA BONITA"</f>
        <v>PEDRA BONITA</v>
      </c>
      <c r="B3901" s="3" t="str">
        <f>"MG"</f>
        <v>MG</v>
      </c>
      <c r="C3901" s="3" t="str">
        <f t="shared" si="150"/>
        <v>BRASIL</v>
      </c>
      <c r="D3901" s="4" t="str">
        <f>"MG569"</f>
        <v>MG569</v>
      </c>
    </row>
    <row r="3902" spans="1:4" x14ac:dyDescent="0.3">
      <c r="A3902" s="2" t="str">
        <f>"PEDRA BRANCA"</f>
        <v>PEDRA BRANCA</v>
      </c>
      <c r="B3902" s="3" t="str">
        <f>"CE"</f>
        <v>CE</v>
      </c>
      <c r="C3902" s="3" t="str">
        <f t="shared" ref="C3902:C3933" si="151">"BRASIL"</f>
        <v>BRASIL</v>
      </c>
      <c r="D3902" s="4" t="str">
        <f>"CE137"</f>
        <v>CE137</v>
      </c>
    </row>
    <row r="3903" spans="1:4" x14ac:dyDescent="0.3">
      <c r="A3903" s="2" t="str">
        <f>"PEDRA BRANCA"</f>
        <v>PEDRA BRANCA</v>
      </c>
      <c r="B3903" s="3" t="str">
        <f>"PB"</f>
        <v>PB</v>
      </c>
      <c r="C3903" s="3" t="str">
        <f t="shared" si="151"/>
        <v>BRASIL</v>
      </c>
      <c r="D3903" s="4" t="str">
        <f>"PB138"</f>
        <v>PB138</v>
      </c>
    </row>
    <row r="3904" spans="1:4" x14ac:dyDescent="0.3">
      <c r="A3904" s="2" t="str">
        <f>"PEDRA BRANCA DO AMAPARI"</f>
        <v>PEDRA BRANCA DO AMAPARI</v>
      </c>
      <c r="B3904" s="3" t="str">
        <f>"AP"</f>
        <v>AP</v>
      </c>
      <c r="C3904" s="3" t="str">
        <f t="shared" si="151"/>
        <v>BRASIL</v>
      </c>
      <c r="D3904" s="4" t="str">
        <f>"AP003"</f>
        <v>AP003</v>
      </c>
    </row>
    <row r="3905" spans="1:4" x14ac:dyDescent="0.3">
      <c r="A3905" s="2" t="str">
        <f>"PEDRA DO ANTA"</f>
        <v>PEDRA DO ANTA</v>
      </c>
      <c r="B3905" s="3" t="str">
        <f>"MG"</f>
        <v>MG</v>
      </c>
      <c r="C3905" s="3" t="str">
        <f t="shared" si="151"/>
        <v>BRASIL</v>
      </c>
      <c r="D3905" s="4" t="str">
        <f>"MG570"</f>
        <v>MG570</v>
      </c>
    </row>
    <row r="3906" spans="1:4" x14ac:dyDescent="0.3">
      <c r="A3906" s="2" t="str">
        <f>"PEDRA DO INDAIA"</f>
        <v>PEDRA DO INDAIA</v>
      </c>
      <c r="B3906" s="3" t="str">
        <f>"MG"</f>
        <v>MG</v>
      </c>
      <c r="C3906" s="3" t="str">
        <f t="shared" si="151"/>
        <v>BRASIL</v>
      </c>
      <c r="D3906" s="4" t="str">
        <f>"MG571"</f>
        <v>MG571</v>
      </c>
    </row>
    <row r="3907" spans="1:4" x14ac:dyDescent="0.3">
      <c r="A3907" s="2" t="str">
        <f>"PEDRA DOURADA"</f>
        <v>PEDRA DOURADA</v>
      </c>
      <c r="B3907" s="3" t="str">
        <f>"MG"</f>
        <v>MG</v>
      </c>
      <c r="C3907" s="3" t="str">
        <f t="shared" si="151"/>
        <v>BRASIL</v>
      </c>
      <c r="D3907" s="4" t="str">
        <f>"MG572"</f>
        <v>MG572</v>
      </c>
    </row>
    <row r="3908" spans="1:4" x14ac:dyDescent="0.3">
      <c r="A3908" s="2" t="str">
        <f>"PEDRA GRANDE"</f>
        <v>PEDRA GRANDE</v>
      </c>
      <c r="B3908" s="3" t="str">
        <f>"RN"</f>
        <v>RN</v>
      </c>
      <c r="C3908" s="3" t="str">
        <f t="shared" si="151"/>
        <v>BRASIL</v>
      </c>
      <c r="D3908" s="4" t="str">
        <f>"RN104"</f>
        <v>RN104</v>
      </c>
    </row>
    <row r="3909" spans="1:4" x14ac:dyDescent="0.3">
      <c r="A3909" s="2" t="str">
        <f>"PEDRA LAVRADA"</f>
        <v>PEDRA LAVRADA</v>
      </c>
      <c r="B3909" s="3" t="str">
        <f>"PB"</f>
        <v>PB</v>
      </c>
      <c r="C3909" s="3" t="str">
        <f t="shared" si="151"/>
        <v>BRASIL</v>
      </c>
      <c r="D3909" s="4" t="str">
        <f>"PB139"</f>
        <v>PB139</v>
      </c>
    </row>
    <row r="3910" spans="1:4" x14ac:dyDescent="0.3">
      <c r="A3910" s="2" t="str">
        <f>"PEDRA MOLE"</f>
        <v>PEDRA MOLE</v>
      </c>
      <c r="B3910" s="3" t="str">
        <f>"SE"</f>
        <v>SE</v>
      </c>
      <c r="C3910" s="3" t="str">
        <f t="shared" si="151"/>
        <v>BRASIL</v>
      </c>
      <c r="D3910" s="4" t="str">
        <f>"SE049"</f>
        <v>SE049</v>
      </c>
    </row>
    <row r="3911" spans="1:4" x14ac:dyDescent="0.3">
      <c r="A3911" s="2" t="str">
        <f>"PEDRA PRETA"</f>
        <v>PEDRA PRETA</v>
      </c>
      <c r="B3911" s="3" t="str">
        <f>"MT"</f>
        <v>MT</v>
      </c>
      <c r="C3911" s="3" t="str">
        <f t="shared" si="151"/>
        <v>BRASIL</v>
      </c>
      <c r="D3911" s="4" t="str">
        <f>"MT088"</f>
        <v>MT088</v>
      </c>
    </row>
    <row r="3912" spans="1:4" x14ac:dyDescent="0.3">
      <c r="A3912" s="2" t="str">
        <f>"PEDRA PRETA"</f>
        <v>PEDRA PRETA</v>
      </c>
      <c r="B3912" s="3" t="str">
        <f>"RN"</f>
        <v>RN</v>
      </c>
      <c r="C3912" s="3" t="str">
        <f t="shared" si="151"/>
        <v>BRASIL</v>
      </c>
      <c r="D3912" s="4" t="str">
        <f>"RN105"</f>
        <v>RN105</v>
      </c>
    </row>
    <row r="3913" spans="1:4" x14ac:dyDescent="0.3">
      <c r="A3913" s="2" t="str">
        <f>"PEDRALVA"</f>
        <v>PEDRALVA</v>
      </c>
      <c r="B3913" s="3" t="str">
        <f>"MG"</f>
        <v>MG</v>
      </c>
      <c r="C3913" s="3" t="str">
        <f t="shared" si="151"/>
        <v>BRASIL</v>
      </c>
      <c r="D3913" s="4" t="str">
        <f>"MG573"</f>
        <v>MG573</v>
      </c>
    </row>
    <row r="3914" spans="1:4" x14ac:dyDescent="0.3">
      <c r="A3914" s="2" t="str">
        <f>"PEDRANOPOLIS"</f>
        <v>PEDRANOPOLIS</v>
      </c>
      <c r="B3914" s="3" t="str">
        <f>"SP"</f>
        <v>SP</v>
      </c>
      <c r="C3914" s="3" t="str">
        <f t="shared" si="151"/>
        <v>BRASIL</v>
      </c>
      <c r="D3914" s="4" t="str">
        <f>"SP416"</f>
        <v>SP416</v>
      </c>
    </row>
    <row r="3915" spans="1:4" x14ac:dyDescent="0.3">
      <c r="A3915" s="2" t="str">
        <f>"PEDRAO"</f>
        <v>PEDRAO</v>
      </c>
      <c r="B3915" s="3" t="str">
        <f>"BA"</f>
        <v>BA</v>
      </c>
      <c r="C3915" s="3" t="str">
        <f t="shared" si="151"/>
        <v>BRASIL</v>
      </c>
      <c r="D3915" s="4" t="str">
        <f>"BA296"</f>
        <v>BA296</v>
      </c>
    </row>
    <row r="3916" spans="1:4" x14ac:dyDescent="0.3">
      <c r="A3916" s="2" t="str">
        <f>"PEDRAS ALTAS"</f>
        <v>PEDRAS ALTAS</v>
      </c>
      <c r="B3916" s="3" t="str">
        <f>"RS"</f>
        <v>RS</v>
      </c>
      <c r="C3916" s="3" t="str">
        <f t="shared" si="151"/>
        <v>BRASIL</v>
      </c>
      <c r="D3916" s="4" t="str">
        <f>"RS308"</f>
        <v>RS308</v>
      </c>
    </row>
    <row r="3917" spans="1:4" x14ac:dyDescent="0.3">
      <c r="A3917" s="2" t="str">
        <f>"PEDRAS DE FOGO"</f>
        <v>PEDRAS DE FOGO</v>
      </c>
      <c r="B3917" s="3" t="str">
        <f>"PB"</f>
        <v>PB</v>
      </c>
      <c r="C3917" s="3" t="str">
        <f t="shared" si="151"/>
        <v>BRASIL</v>
      </c>
      <c r="D3917" s="4" t="str">
        <f>"PB140"</f>
        <v>PB140</v>
      </c>
    </row>
    <row r="3918" spans="1:4" x14ac:dyDescent="0.3">
      <c r="A3918" s="2" t="str">
        <f>"PEDRAS DE MARIA DA CRUZ"</f>
        <v>PEDRAS DE MARIA DA CRUZ</v>
      </c>
      <c r="B3918" s="3" t="str">
        <f>"MG"</f>
        <v>MG</v>
      </c>
      <c r="C3918" s="3" t="str">
        <f t="shared" si="151"/>
        <v>BRASIL</v>
      </c>
      <c r="D3918" s="4" t="str">
        <f>"MG574"</f>
        <v>MG574</v>
      </c>
    </row>
    <row r="3919" spans="1:4" x14ac:dyDescent="0.3">
      <c r="A3919" s="2" t="str">
        <f>"PEDRAS GRANDES"</f>
        <v>PEDRAS GRANDES</v>
      </c>
      <c r="B3919" s="3" t="str">
        <f>"SC"</f>
        <v>SC</v>
      </c>
      <c r="C3919" s="3" t="str">
        <f t="shared" si="151"/>
        <v>BRASIL</v>
      </c>
      <c r="D3919" s="4" t="str">
        <f>"SC190"</f>
        <v>SC190</v>
      </c>
    </row>
    <row r="3920" spans="1:4" x14ac:dyDescent="0.3">
      <c r="A3920" s="2" t="str">
        <f>"PEDREGULHO"</f>
        <v>PEDREGULHO</v>
      </c>
      <c r="B3920" s="3" t="str">
        <f>"SP"</f>
        <v>SP</v>
      </c>
      <c r="C3920" s="3" t="str">
        <f t="shared" si="151"/>
        <v>BRASIL</v>
      </c>
      <c r="D3920" s="4" t="str">
        <f>"SP417"</f>
        <v>SP417</v>
      </c>
    </row>
    <row r="3921" spans="1:4" x14ac:dyDescent="0.3">
      <c r="A3921" s="2" t="str">
        <f>"PEDREIRA"</f>
        <v>PEDREIRA</v>
      </c>
      <c r="B3921" s="3" t="str">
        <f>"SP"</f>
        <v>SP</v>
      </c>
      <c r="C3921" s="3" t="str">
        <f t="shared" si="151"/>
        <v>BRASIL</v>
      </c>
      <c r="D3921" s="4" t="str">
        <f>"SP418"</f>
        <v>SP418</v>
      </c>
    </row>
    <row r="3922" spans="1:4" x14ac:dyDescent="0.3">
      <c r="A3922" s="2" t="str">
        <f>"PEDREIRAS"</f>
        <v>PEDREIRAS</v>
      </c>
      <c r="B3922" s="3" t="str">
        <f>"MA"</f>
        <v>MA</v>
      </c>
      <c r="C3922" s="3" t="str">
        <f t="shared" si="151"/>
        <v>BRASIL</v>
      </c>
      <c r="D3922" s="4" t="str">
        <f>"MA138"</f>
        <v>MA138</v>
      </c>
    </row>
    <row r="3923" spans="1:4" x14ac:dyDescent="0.3">
      <c r="A3923" s="2" t="str">
        <f>"PEDRINHAS"</f>
        <v>PEDRINHAS</v>
      </c>
      <c r="B3923" s="3" t="str">
        <f>"SE"</f>
        <v>SE</v>
      </c>
      <c r="C3923" s="3" t="str">
        <f t="shared" si="151"/>
        <v>BRASIL</v>
      </c>
      <c r="D3923" s="4" t="str">
        <f>"SE050"</f>
        <v>SE050</v>
      </c>
    </row>
    <row r="3924" spans="1:4" x14ac:dyDescent="0.3">
      <c r="A3924" s="2" t="str">
        <f>"PEDRINHAS PAULISTA"</f>
        <v>PEDRINHAS PAULISTA</v>
      </c>
      <c r="B3924" s="3" t="str">
        <f>"SP"</f>
        <v>SP</v>
      </c>
      <c r="C3924" s="3" t="str">
        <f t="shared" si="151"/>
        <v>BRASIL</v>
      </c>
      <c r="D3924" s="4" t="str">
        <f>"SP419"</f>
        <v>SP419</v>
      </c>
    </row>
    <row r="3925" spans="1:4" x14ac:dyDescent="0.3">
      <c r="A3925" s="2" t="str">
        <f>"PEDRINOPOLIS"</f>
        <v>PEDRINOPOLIS</v>
      </c>
      <c r="B3925" s="3" t="str">
        <f>"MG"</f>
        <v>MG</v>
      </c>
      <c r="C3925" s="3" t="str">
        <f t="shared" si="151"/>
        <v>BRASIL</v>
      </c>
      <c r="D3925" s="4" t="str">
        <f>"MG575"</f>
        <v>MG575</v>
      </c>
    </row>
    <row r="3926" spans="1:4" x14ac:dyDescent="0.3">
      <c r="A3926" s="2" t="str">
        <f>"PEDRO AFONSO"</f>
        <v>PEDRO AFONSO</v>
      </c>
      <c r="B3926" s="3" t="str">
        <f>"TO"</f>
        <v>TO</v>
      </c>
      <c r="C3926" s="3" t="str">
        <f t="shared" si="151"/>
        <v>BRASIL</v>
      </c>
      <c r="D3926" s="4" t="str">
        <f>"TO094"</f>
        <v>TO094</v>
      </c>
    </row>
    <row r="3927" spans="1:4" x14ac:dyDescent="0.3">
      <c r="A3927" s="2" t="str">
        <f>"PEDRO ALEXANDRE"</f>
        <v>PEDRO ALEXANDRE</v>
      </c>
      <c r="B3927" s="3" t="str">
        <f>"BA"</f>
        <v>BA</v>
      </c>
      <c r="C3927" s="3" t="str">
        <f t="shared" si="151"/>
        <v>BRASIL</v>
      </c>
      <c r="D3927" s="4" t="str">
        <f>"BA297"</f>
        <v>BA297</v>
      </c>
    </row>
    <row r="3928" spans="1:4" x14ac:dyDescent="0.3">
      <c r="A3928" s="2" t="str">
        <f>"PEDRO AVELINO"</f>
        <v>PEDRO AVELINO</v>
      </c>
      <c r="B3928" s="3" t="str">
        <f>"RN"</f>
        <v>RN</v>
      </c>
      <c r="C3928" s="3" t="str">
        <f t="shared" si="151"/>
        <v>BRASIL</v>
      </c>
      <c r="D3928" s="4" t="str">
        <f>"RN106"</f>
        <v>RN106</v>
      </c>
    </row>
    <row r="3929" spans="1:4" x14ac:dyDescent="0.3">
      <c r="A3929" s="2" t="str">
        <f>"PEDRO CANARIO"</f>
        <v>PEDRO CANARIO</v>
      </c>
      <c r="B3929" s="3" t="str">
        <f>"ES"</f>
        <v>ES</v>
      </c>
      <c r="C3929" s="3" t="str">
        <f t="shared" si="151"/>
        <v>BRASIL</v>
      </c>
      <c r="D3929" s="4" t="str">
        <f>"ES055"</f>
        <v>ES055</v>
      </c>
    </row>
    <row r="3930" spans="1:4" x14ac:dyDescent="0.3">
      <c r="A3930" s="2" t="str">
        <f>"PEDRO DE TOLEDO"</f>
        <v>PEDRO DE TOLEDO</v>
      </c>
      <c r="B3930" s="3" t="str">
        <f>"SP"</f>
        <v>SP</v>
      </c>
      <c r="C3930" s="3" t="str">
        <f t="shared" si="151"/>
        <v>BRASIL</v>
      </c>
      <c r="D3930" s="4" t="str">
        <f>"SP420"</f>
        <v>SP420</v>
      </c>
    </row>
    <row r="3931" spans="1:4" x14ac:dyDescent="0.3">
      <c r="A3931" s="2" t="str">
        <f>"PEDRO DO ROSARIO"</f>
        <v>PEDRO DO ROSARIO</v>
      </c>
      <c r="B3931" s="3" t="str">
        <f>"MA"</f>
        <v>MA</v>
      </c>
      <c r="C3931" s="3" t="str">
        <f t="shared" si="151"/>
        <v>BRASIL</v>
      </c>
      <c r="D3931" s="4" t="str">
        <f>"MA139"</f>
        <v>MA139</v>
      </c>
    </row>
    <row r="3932" spans="1:4" x14ac:dyDescent="0.3">
      <c r="A3932" s="2" t="str">
        <f>"PEDRO GOMES"</f>
        <v>PEDRO GOMES</v>
      </c>
      <c r="B3932" s="3" t="str">
        <f>"MS"</f>
        <v>MS</v>
      </c>
      <c r="C3932" s="3" t="str">
        <f t="shared" si="151"/>
        <v>BRASIL</v>
      </c>
      <c r="D3932" s="4" t="str">
        <f>"MS060"</f>
        <v>MS060</v>
      </c>
    </row>
    <row r="3933" spans="1:4" x14ac:dyDescent="0.3">
      <c r="A3933" s="2" t="str">
        <f>"PEDRO II"</f>
        <v>PEDRO II</v>
      </c>
      <c r="B3933" s="3" t="str">
        <f>"PI"</f>
        <v>PI</v>
      </c>
      <c r="C3933" s="3" t="str">
        <f t="shared" si="151"/>
        <v>BRASIL</v>
      </c>
      <c r="D3933" s="4" t="str">
        <f>"PI156"</f>
        <v>PI156</v>
      </c>
    </row>
    <row r="3934" spans="1:4" x14ac:dyDescent="0.3">
      <c r="A3934" s="2" t="str">
        <f>"PEDRO LAURENTINO"</f>
        <v>PEDRO LAURENTINO</v>
      </c>
      <c r="B3934" s="3" t="str">
        <f>"PI"</f>
        <v>PI</v>
      </c>
      <c r="C3934" s="3" t="str">
        <f t="shared" ref="C3934:C3950" si="152">"BRASIL"</f>
        <v>BRASIL</v>
      </c>
      <c r="D3934" s="4" t="str">
        <f>"PI157"</f>
        <v>PI157</v>
      </c>
    </row>
    <row r="3935" spans="1:4" x14ac:dyDescent="0.3">
      <c r="A3935" s="2" t="str">
        <f>"PEDRO LEOPOLDO"</f>
        <v>PEDRO LEOPOLDO</v>
      </c>
      <c r="B3935" s="3" t="str">
        <f>"MG"</f>
        <v>MG</v>
      </c>
      <c r="C3935" s="3" t="str">
        <f t="shared" si="152"/>
        <v>BRASIL</v>
      </c>
      <c r="D3935" s="4" t="str">
        <f>"MG576"</f>
        <v>MG576</v>
      </c>
    </row>
    <row r="3936" spans="1:4" x14ac:dyDescent="0.3">
      <c r="A3936" s="2" t="str">
        <f>"PEDRO OSORIO"</f>
        <v>PEDRO OSORIO</v>
      </c>
      <c r="B3936" s="3" t="str">
        <f>"RS"</f>
        <v>RS</v>
      </c>
      <c r="C3936" s="3" t="str">
        <f t="shared" si="152"/>
        <v>BRASIL</v>
      </c>
      <c r="D3936" s="4" t="str">
        <f>"RS309"</f>
        <v>RS309</v>
      </c>
    </row>
    <row r="3937" spans="1:4" x14ac:dyDescent="0.3">
      <c r="A3937" s="2" t="str">
        <f>"PEDRO REGIS"</f>
        <v>PEDRO REGIS</v>
      </c>
      <c r="B3937" s="3" t="str">
        <f>"PB"</f>
        <v>PB</v>
      </c>
      <c r="C3937" s="3" t="str">
        <f t="shared" si="152"/>
        <v>BRASIL</v>
      </c>
      <c r="D3937" s="4" t="str">
        <f>"PB158"</f>
        <v>PB158</v>
      </c>
    </row>
    <row r="3938" spans="1:4" x14ac:dyDescent="0.3">
      <c r="A3938" s="2" t="str">
        <f>"PEDRO TEIXEIRA"</f>
        <v>PEDRO TEIXEIRA</v>
      </c>
      <c r="B3938" s="3" t="str">
        <f>"MG"</f>
        <v>MG</v>
      </c>
      <c r="C3938" s="3" t="str">
        <f t="shared" si="152"/>
        <v>BRASIL</v>
      </c>
      <c r="D3938" s="4" t="str">
        <f>"MG577"</f>
        <v>MG577</v>
      </c>
    </row>
    <row r="3939" spans="1:4" x14ac:dyDescent="0.3">
      <c r="A3939" s="2" t="str">
        <f>"PEDRO VELHO"</f>
        <v>PEDRO VELHO</v>
      </c>
      <c r="B3939" s="3" t="str">
        <f>"RN"</f>
        <v>RN</v>
      </c>
      <c r="C3939" s="3" t="str">
        <f t="shared" si="152"/>
        <v>BRASIL</v>
      </c>
      <c r="D3939" s="4" t="str">
        <f>"RN107"</f>
        <v>RN107</v>
      </c>
    </row>
    <row r="3940" spans="1:4" x14ac:dyDescent="0.3">
      <c r="A3940" s="2" t="str">
        <f>"PEIXE"</f>
        <v>PEIXE</v>
      </c>
      <c r="B3940" s="3" t="str">
        <f>"TO"</f>
        <v>TO</v>
      </c>
      <c r="C3940" s="3" t="str">
        <f t="shared" si="152"/>
        <v>BRASIL</v>
      </c>
      <c r="D3940" s="4" t="str">
        <f>"TO095"</f>
        <v>TO095</v>
      </c>
    </row>
    <row r="3941" spans="1:4" x14ac:dyDescent="0.3">
      <c r="A3941" s="2" t="str">
        <f>"PEIXE-BOI"</f>
        <v>PEIXE-BOI</v>
      </c>
      <c r="B3941" s="3" t="str">
        <f>"PA"</f>
        <v>PA</v>
      </c>
      <c r="C3941" s="3" t="str">
        <f t="shared" si="152"/>
        <v>BRASIL</v>
      </c>
      <c r="D3941" s="4" t="str">
        <f>"PA091"</f>
        <v>PA091</v>
      </c>
    </row>
    <row r="3942" spans="1:4" x14ac:dyDescent="0.3">
      <c r="A3942" s="2" t="str">
        <f>"PEIXOTO DE AZEVEDO"</f>
        <v>PEIXOTO DE AZEVEDO</v>
      </c>
      <c r="B3942" s="3" t="str">
        <f>"MT"</f>
        <v>MT</v>
      </c>
      <c r="C3942" s="3" t="str">
        <f t="shared" si="152"/>
        <v>BRASIL</v>
      </c>
      <c r="D3942" s="4" t="str">
        <f>"MT089"</f>
        <v>MT089</v>
      </c>
    </row>
    <row r="3943" spans="1:4" x14ac:dyDescent="0.3">
      <c r="A3943" s="2" t="str">
        <f>"PEJUCARA"</f>
        <v>PEJUCARA</v>
      </c>
      <c r="B3943" s="3" t="str">
        <f>"RS"</f>
        <v>RS</v>
      </c>
      <c r="C3943" s="3" t="str">
        <f t="shared" si="152"/>
        <v>BRASIL</v>
      </c>
      <c r="D3943" s="4" t="str">
        <f>"RS310"</f>
        <v>RS310</v>
      </c>
    </row>
    <row r="3944" spans="1:4" x14ac:dyDescent="0.3">
      <c r="A3944" s="2" t="str">
        <f>"PELOTAS"</f>
        <v>PELOTAS</v>
      </c>
      <c r="B3944" s="3" t="str">
        <f>"RS"</f>
        <v>RS</v>
      </c>
      <c r="C3944" s="3" t="str">
        <f t="shared" si="152"/>
        <v>BRASIL</v>
      </c>
      <c r="D3944" s="4" t="str">
        <f>"RS311"</f>
        <v>RS311</v>
      </c>
    </row>
    <row r="3945" spans="1:4" x14ac:dyDescent="0.3">
      <c r="A3945" s="2" t="str">
        <f>"PENAFORTE"</f>
        <v>PENAFORTE</v>
      </c>
      <c r="B3945" s="3" t="str">
        <f>"CE"</f>
        <v>CE</v>
      </c>
      <c r="C3945" s="3" t="str">
        <f t="shared" si="152"/>
        <v>BRASIL</v>
      </c>
      <c r="D3945" s="4" t="str">
        <f>"CE138"</f>
        <v>CE138</v>
      </c>
    </row>
    <row r="3946" spans="1:4" x14ac:dyDescent="0.3">
      <c r="A3946" s="2" t="str">
        <f>"PENALVA"</f>
        <v>PENALVA</v>
      </c>
      <c r="B3946" s="3" t="str">
        <f>"MA"</f>
        <v>MA</v>
      </c>
      <c r="C3946" s="3" t="str">
        <f t="shared" si="152"/>
        <v>BRASIL</v>
      </c>
      <c r="D3946" s="4" t="str">
        <f>"MA140"</f>
        <v>MA140</v>
      </c>
    </row>
    <row r="3947" spans="1:4" x14ac:dyDescent="0.3">
      <c r="A3947" s="2" t="str">
        <f>"PENAPOLIS"</f>
        <v>PENAPOLIS</v>
      </c>
      <c r="B3947" s="3" t="str">
        <f>"SP"</f>
        <v>SP</v>
      </c>
      <c r="C3947" s="3" t="str">
        <f t="shared" si="152"/>
        <v>BRASIL</v>
      </c>
      <c r="D3947" s="4" t="str">
        <f>"SP421"</f>
        <v>SP421</v>
      </c>
    </row>
    <row r="3948" spans="1:4" x14ac:dyDescent="0.3">
      <c r="A3948" s="2" t="str">
        <f>"PENDENCIAS"</f>
        <v>PENDENCIAS</v>
      </c>
      <c r="B3948" s="3" t="str">
        <f>"RN"</f>
        <v>RN</v>
      </c>
      <c r="C3948" s="3" t="str">
        <f t="shared" si="152"/>
        <v>BRASIL</v>
      </c>
      <c r="D3948" s="4" t="str">
        <f>"RN108"</f>
        <v>RN108</v>
      </c>
    </row>
    <row r="3949" spans="1:4" x14ac:dyDescent="0.3">
      <c r="A3949" s="2" t="str">
        <f>"PENEDO"</f>
        <v>PENEDO</v>
      </c>
      <c r="B3949" s="3" t="str">
        <f>"AL"</f>
        <v>AL</v>
      </c>
      <c r="C3949" s="3" t="str">
        <f t="shared" si="152"/>
        <v>BRASIL</v>
      </c>
      <c r="D3949" s="4" t="str">
        <f>"AL073"</f>
        <v>AL073</v>
      </c>
    </row>
    <row r="3950" spans="1:4" x14ac:dyDescent="0.3">
      <c r="A3950" s="2" t="str">
        <f>"PENHA"</f>
        <v>PENHA</v>
      </c>
      <c r="B3950" s="3" t="str">
        <f>"SC"</f>
        <v>SC</v>
      </c>
      <c r="C3950" s="3" t="str">
        <f t="shared" si="152"/>
        <v>BRASIL</v>
      </c>
      <c r="D3950" s="4" t="str">
        <f>"SC191"</f>
        <v>SC191</v>
      </c>
    </row>
    <row r="3951" spans="1:4" x14ac:dyDescent="0.3">
      <c r="A3951" s="2" t="str">
        <f>"PENIG"</f>
        <v>PENIG</v>
      </c>
      <c r="B3951" s="3" t="str">
        <f>"EX"</f>
        <v>EX</v>
      </c>
      <c r="C3951" s="3" t="str">
        <f>"ALEMANHA"</f>
        <v>ALEMANHA</v>
      </c>
      <c r="D3951" s="4" t="str">
        <f>"PENIG"</f>
        <v>PENIG</v>
      </c>
    </row>
    <row r="3952" spans="1:4" x14ac:dyDescent="0.3">
      <c r="A3952" s="2" t="str">
        <f>"Pensilvânia"</f>
        <v>Pensilvânia</v>
      </c>
      <c r="B3952" s="3" t="str">
        <f>"EUA"</f>
        <v>EUA</v>
      </c>
      <c r="C3952" s="3" t="str">
        <f>"ESTADOS UNIDOS"</f>
        <v>ESTADOS UNIDOS</v>
      </c>
      <c r="D3952" s="4" t="str">
        <f>"PA"</f>
        <v>PA</v>
      </c>
    </row>
    <row r="3953" spans="1:4" x14ac:dyDescent="0.3">
      <c r="A3953" s="2" t="str">
        <f>"PENTECOSTE"</f>
        <v>PENTECOSTE</v>
      </c>
      <c r="B3953" s="3" t="str">
        <f>"CE"</f>
        <v>CE</v>
      </c>
      <c r="C3953" s="3" t="str">
        <f t="shared" ref="C3953:C3978" si="153">"BRASIL"</f>
        <v>BRASIL</v>
      </c>
      <c r="D3953" s="4" t="str">
        <f>"CE139"</f>
        <v>CE139</v>
      </c>
    </row>
    <row r="3954" spans="1:4" x14ac:dyDescent="0.3">
      <c r="A3954" s="2" t="str">
        <f>"PEQUERI"</f>
        <v>PEQUERI</v>
      </c>
      <c r="B3954" s="3" t="str">
        <f>"MG"</f>
        <v>MG</v>
      </c>
      <c r="C3954" s="3" t="str">
        <f t="shared" si="153"/>
        <v>BRASIL</v>
      </c>
      <c r="D3954" s="4" t="str">
        <f>"MG578"</f>
        <v>MG578</v>
      </c>
    </row>
    <row r="3955" spans="1:4" x14ac:dyDescent="0.3">
      <c r="A3955" s="2" t="str">
        <f>"PEQUI"</f>
        <v>PEQUI</v>
      </c>
      <c r="B3955" s="3" t="str">
        <f>"MG"</f>
        <v>MG</v>
      </c>
      <c r="C3955" s="3" t="str">
        <f t="shared" si="153"/>
        <v>BRASIL</v>
      </c>
      <c r="D3955" s="4" t="str">
        <f>"MG579"</f>
        <v>MG579</v>
      </c>
    </row>
    <row r="3956" spans="1:4" x14ac:dyDescent="0.3">
      <c r="A3956" s="2" t="str">
        <f>"PEQUIZEIRO"</f>
        <v>PEQUIZEIRO</v>
      </c>
      <c r="B3956" s="3" t="str">
        <f>"TO"</f>
        <v>TO</v>
      </c>
      <c r="C3956" s="3" t="str">
        <f t="shared" si="153"/>
        <v>BRASIL</v>
      </c>
      <c r="D3956" s="4" t="str">
        <f>"TO096"</f>
        <v>TO096</v>
      </c>
    </row>
    <row r="3957" spans="1:4" x14ac:dyDescent="0.3">
      <c r="A3957" s="2" t="str">
        <f>"PERDIGAO"</f>
        <v>PERDIGAO</v>
      </c>
      <c r="B3957" s="3" t="str">
        <f>"MG"</f>
        <v>MG</v>
      </c>
      <c r="C3957" s="3" t="str">
        <f t="shared" si="153"/>
        <v>BRASIL</v>
      </c>
      <c r="D3957" s="4" t="str">
        <f>"MG580"</f>
        <v>MG580</v>
      </c>
    </row>
    <row r="3958" spans="1:4" x14ac:dyDescent="0.3">
      <c r="A3958" s="2" t="str">
        <f>"PERDIZES"</f>
        <v>PERDIZES</v>
      </c>
      <c r="B3958" s="3" t="str">
        <f>"MG"</f>
        <v>MG</v>
      </c>
      <c r="C3958" s="3" t="str">
        <f t="shared" si="153"/>
        <v>BRASIL</v>
      </c>
      <c r="D3958" s="4" t="str">
        <f>"MG581"</f>
        <v>MG581</v>
      </c>
    </row>
    <row r="3959" spans="1:4" x14ac:dyDescent="0.3">
      <c r="A3959" s="2" t="str">
        <f>"PERDÕES"</f>
        <v>PERDÕES</v>
      </c>
      <c r="B3959" s="3" t="str">
        <f>"MG"</f>
        <v>MG</v>
      </c>
      <c r="C3959" s="3" t="str">
        <f t="shared" si="153"/>
        <v>BRASIL</v>
      </c>
      <c r="D3959" s="4" t="str">
        <f>"MG582"</f>
        <v>MG582</v>
      </c>
    </row>
    <row r="3960" spans="1:4" x14ac:dyDescent="0.3">
      <c r="A3960" s="2" t="str">
        <f>"PEREIRA BARRETO"</f>
        <v>PEREIRA BARRETO</v>
      </c>
      <c r="B3960" s="3" t="str">
        <f>"SP"</f>
        <v>SP</v>
      </c>
      <c r="C3960" s="3" t="str">
        <f t="shared" si="153"/>
        <v>BRASIL</v>
      </c>
      <c r="D3960" s="4" t="str">
        <f>"SP422"</f>
        <v>SP422</v>
      </c>
    </row>
    <row r="3961" spans="1:4" x14ac:dyDescent="0.3">
      <c r="A3961" s="2" t="str">
        <f>"PEREIRAS"</f>
        <v>PEREIRAS</v>
      </c>
      <c r="B3961" s="3" t="str">
        <f>"SP"</f>
        <v>SP</v>
      </c>
      <c r="C3961" s="3" t="str">
        <f t="shared" si="153"/>
        <v>BRASIL</v>
      </c>
      <c r="D3961" s="4" t="str">
        <f>"SP423"</f>
        <v>SP423</v>
      </c>
    </row>
    <row r="3962" spans="1:4" x14ac:dyDescent="0.3">
      <c r="A3962" s="2" t="str">
        <f>"PEREIRO"</f>
        <v>PEREIRO</v>
      </c>
      <c r="B3962" s="3" t="str">
        <f>"CE"</f>
        <v>CE</v>
      </c>
      <c r="C3962" s="3" t="str">
        <f t="shared" si="153"/>
        <v>BRASIL</v>
      </c>
      <c r="D3962" s="4" t="str">
        <f>"CE140"</f>
        <v>CE140</v>
      </c>
    </row>
    <row r="3963" spans="1:4" x14ac:dyDescent="0.3">
      <c r="A3963" s="2" t="str">
        <f>"PERI MIRIM"</f>
        <v>PERI MIRIM</v>
      </c>
      <c r="B3963" s="3" t="str">
        <f>"MA"</f>
        <v>MA</v>
      </c>
      <c r="C3963" s="3" t="str">
        <f t="shared" si="153"/>
        <v>BRASIL</v>
      </c>
      <c r="D3963" s="4" t="str">
        <f>"MA141"</f>
        <v>MA141</v>
      </c>
    </row>
    <row r="3964" spans="1:4" x14ac:dyDescent="0.3">
      <c r="A3964" s="2" t="str">
        <f>"PERIQUITO"</f>
        <v>PERIQUITO</v>
      </c>
      <c r="B3964" s="3" t="str">
        <f>"MG"</f>
        <v>MG</v>
      </c>
      <c r="C3964" s="3" t="str">
        <f t="shared" si="153"/>
        <v>BRASIL</v>
      </c>
      <c r="D3964" s="4" t="str">
        <f>"MG583"</f>
        <v>MG583</v>
      </c>
    </row>
    <row r="3965" spans="1:4" x14ac:dyDescent="0.3">
      <c r="A3965" s="2" t="str">
        <f>"PERITIBA"</f>
        <v>PERITIBA</v>
      </c>
      <c r="B3965" s="3" t="str">
        <f>"SC"</f>
        <v>SC</v>
      </c>
      <c r="C3965" s="3" t="str">
        <f t="shared" si="153"/>
        <v>BRASIL</v>
      </c>
      <c r="D3965" s="4" t="str">
        <f>"SC192"</f>
        <v>SC192</v>
      </c>
    </row>
    <row r="3966" spans="1:4" x14ac:dyDescent="0.3">
      <c r="A3966" s="2" t="str">
        <f>"PERITORO"</f>
        <v>PERITORO</v>
      </c>
      <c r="B3966" s="3" t="str">
        <f>"MA"</f>
        <v>MA</v>
      </c>
      <c r="C3966" s="3" t="str">
        <f t="shared" si="153"/>
        <v>BRASIL</v>
      </c>
      <c r="D3966" s="4" t="str">
        <f>"MA142"</f>
        <v>MA142</v>
      </c>
    </row>
    <row r="3967" spans="1:4" x14ac:dyDescent="0.3">
      <c r="A3967" s="2" t="str">
        <f>"PEROBAL"</f>
        <v>PEROBAL</v>
      </c>
      <c r="B3967" s="3" t="str">
        <f>"PR"</f>
        <v>PR</v>
      </c>
      <c r="C3967" s="3" t="str">
        <f t="shared" si="153"/>
        <v>BRASIL</v>
      </c>
      <c r="D3967" s="4" t="str">
        <f>"PR261"</f>
        <v>PR261</v>
      </c>
    </row>
    <row r="3968" spans="1:4" x14ac:dyDescent="0.3">
      <c r="A3968" s="2" t="str">
        <f>"PEROLA"</f>
        <v>PEROLA</v>
      </c>
      <c r="B3968" s="3" t="str">
        <f>"PR"</f>
        <v>PR</v>
      </c>
      <c r="C3968" s="3" t="str">
        <f t="shared" si="153"/>
        <v>BRASIL</v>
      </c>
      <c r="D3968" s="4" t="str">
        <f>"PR262"</f>
        <v>PR262</v>
      </c>
    </row>
    <row r="3969" spans="1:4" x14ac:dyDescent="0.3">
      <c r="A3969" s="2" t="str">
        <f>"PEROLA D'OESTE"</f>
        <v>PEROLA D'OESTE</v>
      </c>
      <c r="B3969" s="3" t="str">
        <f>"PR"</f>
        <v>PR</v>
      </c>
      <c r="C3969" s="3" t="str">
        <f t="shared" si="153"/>
        <v>BRASIL</v>
      </c>
      <c r="D3969" s="4" t="str">
        <f>"PR263"</f>
        <v>PR263</v>
      </c>
    </row>
    <row r="3970" spans="1:4" x14ac:dyDescent="0.3">
      <c r="A3970" s="2" t="str">
        <f>"PEROLANDIA"</f>
        <v>PEROLANDIA</v>
      </c>
      <c r="B3970" s="3" t="str">
        <f>"GO"</f>
        <v>GO</v>
      </c>
      <c r="C3970" s="3" t="str">
        <f t="shared" si="153"/>
        <v>BRASIL</v>
      </c>
      <c r="D3970" s="4" t="str">
        <f>"GO180"</f>
        <v>GO180</v>
      </c>
    </row>
    <row r="3971" spans="1:4" x14ac:dyDescent="0.3">
      <c r="A3971" s="2" t="str">
        <f>"PERUIBE"</f>
        <v>PERUIBE</v>
      </c>
      <c r="B3971" s="3" t="str">
        <f>"SP"</f>
        <v>SP</v>
      </c>
      <c r="C3971" s="3" t="str">
        <f t="shared" si="153"/>
        <v>BRASIL</v>
      </c>
      <c r="D3971" s="4" t="str">
        <f>"SP424"</f>
        <v>SP424</v>
      </c>
    </row>
    <row r="3972" spans="1:4" x14ac:dyDescent="0.3">
      <c r="A3972" s="2" t="str">
        <f>"PESCADOR"</f>
        <v>PESCADOR</v>
      </c>
      <c r="B3972" s="3" t="str">
        <f>"MG"</f>
        <v>MG</v>
      </c>
      <c r="C3972" s="3" t="str">
        <f t="shared" si="153"/>
        <v>BRASIL</v>
      </c>
      <c r="D3972" s="4" t="str">
        <f>"MG584"</f>
        <v>MG584</v>
      </c>
    </row>
    <row r="3973" spans="1:4" x14ac:dyDescent="0.3">
      <c r="A3973" s="2" t="str">
        <f>"PESQUEIRA"</f>
        <v>PESQUEIRA</v>
      </c>
      <c r="B3973" s="3" t="str">
        <f>"PE"</f>
        <v>PE</v>
      </c>
      <c r="C3973" s="3" t="str">
        <f t="shared" si="153"/>
        <v>BRASIL</v>
      </c>
      <c r="D3973" s="4" t="str">
        <f>"PE124"</f>
        <v>PE124</v>
      </c>
    </row>
    <row r="3974" spans="1:4" x14ac:dyDescent="0.3">
      <c r="A3974" s="2" t="str">
        <f>"PETROLANDIA"</f>
        <v>PETROLANDIA</v>
      </c>
      <c r="B3974" s="3" t="str">
        <f>"PE"</f>
        <v>PE</v>
      </c>
      <c r="C3974" s="3" t="str">
        <f t="shared" si="153"/>
        <v>BRASIL</v>
      </c>
      <c r="D3974" s="4" t="str">
        <f>"PE125"</f>
        <v>PE125</v>
      </c>
    </row>
    <row r="3975" spans="1:4" x14ac:dyDescent="0.3">
      <c r="A3975" s="2" t="str">
        <f>"PETROLANDIA"</f>
        <v>PETROLANDIA</v>
      </c>
      <c r="B3975" s="3" t="str">
        <f>"SC"</f>
        <v>SC</v>
      </c>
      <c r="C3975" s="3" t="str">
        <f t="shared" si="153"/>
        <v>BRASIL</v>
      </c>
      <c r="D3975" s="4" t="str">
        <f>"SC193"</f>
        <v>SC193</v>
      </c>
    </row>
    <row r="3976" spans="1:4" x14ac:dyDescent="0.3">
      <c r="A3976" s="2" t="str">
        <f>"PETROLINA"</f>
        <v>PETROLINA</v>
      </c>
      <c r="B3976" s="3" t="str">
        <f>"PE"</f>
        <v>PE</v>
      </c>
      <c r="C3976" s="3" t="str">
        <f t="shared" si="153"/>
        <v>BRASIL</v>
      </c>
      <c r="D3976" s="4" t="str">
        <f>"PE126"</f>
        <v>PE126</v>
      </c>
    </row>
    <row r="3977" spans="1:4" x14ac:dyDescent="0.3">
      <c r="A3977" s="2" t="str">
        <f>"PETROLINA DE GOIAS"</f>
        <v>PETROLINA DE GOIAS</v>
      </c>
      <c r="B3977" s="3" t="str">
        <f>"GO"</f>
        <v>GO</v>
      </c>
      <c r="C3977" s="3" t="str">
        <f t="shared" si="153"/>
        <v>BRASIL</v>
      </c>
      <c r="D3977" s="4" t="str">
        <f>"GO181"</f>
        <v>GO181</v>
      </c>
    </row>
    <row r="3978" spans="1:4" x14ac:dyDescent="0.3">
      <c r="A3978" s="2" t="str">
        <f>"PETROPOLIS"</f>
        <v>PETROPOLIS</v>
      </c>
      <c r="B3978" s="3" t="str">
        <f>"RJ"</f>
        <v>RJ</v>
      </c>
      <c r="C3978" s="3" t="str">
        <f t="shared" si="153"/>
        <v>BRASIL</v>
      </c>
      <c r="D3978" s="4" t="str">
        <f>"RJ055"</f>
        <v>RJ055</v>
      </c>
    </row>
    <row r="3979" spans="1:4" x14ac:dyDescent="0.3">
      <c r="A3979" s="2" t="str">
        <f>"PHILLIPSBURG"</f>
        <v>PHILLIPSBURG</v>
      </c>
      <c r="B3979" s="3" t="str">
        <f>"EX"</f>
        <v>EX</v>
      </c>
      <c r="C3979" s="3" t="str">
        <f>"ESTADOS UNIDOS"</f>
        <v>ESTADOS UNIDOS</v>
      </c>
      <c r="D3979" s="4" t="str">
        <f>"PHILL"</f>
        <v>PHILL</v>
      </c>
    </row>
    <row r="3980" spans="1:4" x14ac:dyDescent="0.3">
      <c r="A3980" s="2" t="str">
        <f>"PIACABUCU"</f>
        <v>PIACABUCU</v>
      </c>
      <c r="B3980" s="3" t="str">
        <f>"AL"</f>
        <v>AL</v>
      </c>
      <c r="C3980" s="3" t="str">
        <f t="shared" ref="C3980:C4011" si="154">"BRASIL"</f>
        <v>BRASIL</v>
      </c>
      <c r="D3980" s="4" t="str">
        <f>"AL074"</f>
        <v>AL074</v>
      </c>
    </row>
    <row r="3981" spans="1:4" x14ac:dyDescent="0.3">
      <c r="A3981" s="2" t="str">
        <f>"PIACATU"</f>
        <v>PIACATU</v>
      </c>
      <c r="B3981" s="3" t="str">
        <f>"SP"</f>
        <v>SP</v>
      </c>
      <c r="C3981" s="3" t="str">
        <f t="shared" si="154"/>
        <v>BRASIL</v>
      </c>
      <c r="D3981" s="4" t="str">
        <f>"SP425"</f>
        <v>SP425</v>
      </c>
    </row>
    <row r="3982" spans="1:4" x14ac:dyDescent="0.3">
      <c r="A3982" s="2" t="str">
        <f>"PIANCO"</f>
        <v>PIANCO</v>
      </c>
      <c r="B3982" s="3" t="str">
        <f>"PB"</f>
        <v>PB</v>
      </c>
      <c r="C3982" s="3" t="str">
        <f t="shared" si="154"/>
        <v>BRASIL</v>
      </c>
      <c r="D3982" s="4" t="str">
        <f>"PB141"</f>
        <v>PB141</v>
      </c>
    </row>
    <row r="3983" spans="1:4" x14ac:dyDescent="0.3">
      <c r="A3983" s="2" t="str">
        <f>"PIATA"</f>
        <v>PIATA</v>
      </c>
      <c r="B3983" s="3" t="str">
        <f>"BA"</f>
        <v>BA</v>
      </c>
      <c r="C3983" s="3" t="str">
        <f t="shared" si="154"/>
        <v>BRASIL</v>
      </c>
      <c r="D3983" s="4" t="str">
        <f>"BA298"</f>
        <v>BA298</v>
      </c>
    </row>
    <row r="3984" spans="1:4" x14ac:dyDescent="0.3">
      <c r="A3984" s="2" t="str">
        <f>"PIAU"</f>
        <v>PIAU</v>
      </c>
      <c r="B3984" s="3" t="str">
        <f>"MG"</f>
        <v>MG</v>
      </c>
      <c r="C3984" s="3" t="str">
        <f t="shared" si="154"/>
        <v>BRASIL</v>
      </c>
      <c r="D3984" s="4" t="str">
        <f>"MG585"</f>
        <v>MG585</v>
      </c>
    </row>
    <row r="3985" spans="1:4" x14ac:dyDescent="0.3">
      <c r="A3985" s="2" t="str">
        <f>"PICADA CAFE"</f>
        <v>PICADA CAFE</v>
      </c>
      <c r="B3985" s="3" t="str">
        <f>"RS"</f>
        <v>RS</v>
      </c>
      <c r="C3985" s="3" t="str">
        <f t="shared" si="154"/>
        <v>BRASIL</v>
      </c>
      <c r="D3985" s="4" t="str">
        <f>"RS312"</f>
        <v>RS312</v>
      </c>
    </row>
    <row r="3986" spans="1:4" x14ac:dyDescent="0.3">
      <c r="A3986" s="2" t="str">
        <f>"PICARRA"</f>
        <v>PICARRA</v>
      </c>
      <c r="B3986" s="3" t="str">
        <f>"PA"</f>
        <v>PA</v>
      </c>
      <c r="C3986" s="3" t="str">
        <f t="shared" si="154"/>
        <v>BRASIL</v>
      </c>
      <c r="D3986" s="4" t="str">
        <f>"PA092"</f>
        <v>PA092</v>
      </c>
    </row>
    <row r="3987" spans="1:4" x14ac:dyDescent="0.3">
      <c r="A3987" s="2" t="str">
        <f>"PICOS"</f>
        <v>PICOS</v>
      </c>
      <c r="B3987" s="3" t="str">
        <f>"PI"</f>
        <v>PI</v>
      </c>
      <c r="C3987" s="3" t="str">
        <f t="shared" si="154"/>
        <v>BRASIL</v>
      </c>
      <c r="D3987" s="4" t="str">
        <f>"PI159"</f>
        <v>PI159</v>
      </c>
    </row>
    <row r="3988" spans="1:4" x14ac:dyDescent="0.3">
      <c r="A3988" s="2" t="str">
        <f>"PICUI"</f>
        <v>PICUI</v>
      </c>
      <c r="B3988" s="3" t="str">
        <f>"PB"</f>
        <v>PB</v>
      </c>
      <c r="C3988" s="3" t="str">
        <f t="shared" si="154"/>
        <v>BRASIL</v>
      </c>
      <c r="D3988" s="4" t="str">
        <f>"PB142"</f>
        <v>PB142</v>
      </c>
    </row>
    <row r="3989" spans="1:4" x14ac:dyDescent="0.3">
      <c r="A3989" s="2" t="str">
        <f>"PIEDADE"</f>
        <v>PIEDADE</v>
      </c>
      <c r="B3989" s="3" t="str">
        <f>"SP"</f>
        <v>SP</v>
      </c>
      <c r="C3989" s="3" t="str">
        <f t="shared" si="154"/>
        <v>BRASIL</v>
      </c>
      <c r="D3989" s="4" t="str">
        <f>"SP426"</f>
        <v>SP426</v>
      </c>
    </row>
    <row r="3990" spans="1:4" x14ac:dyDescent="0.3">
      <c r="A3990" s="2" t="str">
        <f>"PIEDADE DE CARATINGA"</f>
        <v>PIEDADE DE CARATINGA</v>
      </c>
      <c r="B3990" s="3" t="str">
        <f>"MG"</f>
        <v>MG</v>
      </c>
      <c r="C3990" s="3" t="str">
        <f t="shared" si="154"/>
        <v>BRASIL</v>
      </c>
      <c r="D3990" s="4" t="str">
        <f>"MG586"</f>
        <v>MG586</v>
      </c>
    </row>
    <row r="3991" spans="1:4" x14ac:dyDescent="0.3">
      <c r="A3991" s="2" t="str">
        <f>"PIEDADE DE PONTE NOVA"</f>
        <v>PIEDADE DE PONTE NOVA</v>
      </c>
      <c r="B3991" s="3" t="str">
        <f>"MG"</f>
        <v>MG</v>
      </c>
      <c r="C3991" s="3" t="str">
        <f t="shared" si="154"/>
        <v>BRASIL</v>
      </c>
      <c r="D3991" s="4" t="str">
        <f>"MG587"</f>
        <v>MG587</v>
      </c>
    </row>
    <row r="3992" spans="1:4" x14ac:dyDescent="0.3">
      <c r="A3992" s="2" t="str">
        <f>"PIEDADE DO RIO GRANDE"</f>
        <v>PIEDADE DO RIO GRANDE</v>
      </c>
      <c r="B3992" s="3" t="str">
        <f>"MG"</f>
        <v>MG</v>
      </c>
      <c r="C3992" s="3" t="str">
        <f t="shared" si="154"/>
        <v>BRASIL</v>
      </c>
      <c r="D3992" s="4" t="str">
        <f>"MG588"</f>
        <v>MG588</v>
      </c>
    </row>
    <row r="3993" spans="1:4" x14ac:dyDescent="0.3">
      <c r="A3993" s="2" t="str">
        <f>"PIEDADE DOS GERAIS"</f>
        <v>PIEDADE DOS GERAIS</v>
      </c>
      <c r="B3993" s="3" t="str">
        <f>"MG"</f>
        <v>MG</v>
      </c>
      <c r="C3993" s="3" t="str">
        <f t="shared" si="154"/>
        <v>BRASIL</v>
      </c>
      <c r="D3993" s="4" t="str">
        <f>"MG589"</f>
        <v>MG589</v>
      </c>
    </row>
    <row r="3994" spans="1:4" x14ac:dyDescent="0.3">
      <c r="A3994" s="2" t="str">
        <f>"PIÊN"</f>
        <v>PIÊN</v>
      </c>
      <c r="B3994" s="3" t="str">
        <f>"PR"</f>
        <v>PR</v>
      </c>
      <c r="C3994" s="3" t="str">
        <f t="shared" si="154"/>
        <v>BRASIL</v>
      </c>
      <c r="D3994" s="4" t="str">
        <f>"PIÊ"</f>
        <v>PIÊ</v>
      </c>
    </row>
    <row r="3995" spans="1:4" x14ac:dyDescent="0.3">
      <c r="A3995" s="2" t="str">
        <f>"PILAO ARCADO"</f>
        <v>PILAO ARCADO</v>
      </c>
      <c r="B3995" s="3" t="str">
        <f>"BA"</f>
        <v>BA</v>
      </c>
      <c r="C3995" s="3" t="str">
        <f t="shared" si="154"/>
        <v>BRASIL</v>
      </c>
      <c r="D3995" s="4" t="str">
        <f>"BA299"</f>
        <v>BA299</v>
      </c>
    </row>
    <row r="3996" spans="1:4" x14ac:dyDescent="0.3">
      <c r="A3996" s="2" t="str">
        <f>"PILAR"</f>
        <v>PILAR</v>
      </c>
      <c r="B3996" s="3" t="str">
        <f>"AL"</f>
        <v>AL</v>
      </c>
      <c r="C3996" s="3" t="str">
        <f t="shared" si="154"/>
        <v>BRASIL</v>
      </c>
      <c r="D3996" s="4" t="str">
        <f>"AL075"</f>
        <v>AL075</v>
      </c>
    </row>
    <row r="3997" spans="1:4" x14ac:dyDescent="0.3">
      <c r="A3997" s="2" t="str">
        <f>"PILAR"</f>
        <v>PILAR</v>
      </c>
      <c r="B3997" s="3" t="str">
        <f>"PB"</f>
        <v>PB</v>
      </c>
      <c r="C3997" s="3" t="str">
        <f t="shared" si="154"/>
        <v>BRASIL</v>
      </c>
      <c r="D3997" s="4" t="str">
        <f>"PB143"</f>
        <v>PB143</v>
      </c>
    </row>
    <row r="3998" spans="1:4" x14ac:dyDescent="0.3">
      <c r="A3998" s="2" t="str">
        <f>"PILAR DE GOIAS"</f>
        <v>PILAR DE GOIAS</v>
      </c>
      <c r="B3998" s="3" t="str">
        <f>"GO"</f>
        <v>GO</v>
      </c>
      <c r="C3998" s="3" t="str">
        <f t="shared" si="154"/>
        <v>BRASIL</v>
      </c>
      <c r="D3998" s="4" t="str">
        <f>"GO182"</f>
        <v>GO182</v>
      </c>
    </row>
    <row r="3999" spans="1:4" x14ac:dyDescent="0.3">
      <c r="A3999" s="2" t="str">
        <f>"PILAR DO SUL"</f>
        <v>PILAR DO SUL</v>
      </c>
      <c r="B3999" s="3" t="str">
        <f>"SP"</f>
        <v>SP</v>
      </c>
      <c r="C3999" s="3" t="str">
        <f t="shared" si="154"/>
        <v>BRASIL</v>
      </c>
      <c r="D3999" s="4" t="str">
        <f>"SP427"</f>
        <v>SP427</v>
      </c>
    </row>
    <row r="4000" spans="1:4" x14ac:dyDescent="0.3">
      <c r="A4000" s="2" t="str">
        <f>"PILÕES"</f>
        <v>PILÕES</v>
      </c>
      <c r="B4000" s="3" t="str">
        <f>"PB"</f>
        <v>PB</v>
      </c>
      <c r="C4000" s="3" t="str">
        <f t="shared" si="154"/>
        <v>BRASIL</v>
      </c>
      <c r="D4000" s="4" t="str">
        <f>"PB144"</f>
        <v>PB144</v>
      </c>
    </row>
    <row r="4001" spans="1:4" x14ac:dyDescent="0.3">
      <c r="A4001" s="2" t="str">
        <f>"PILÕES"</f>
        <v>PILÕES</v>
      </c>
      <c r="B4001" s="3" t="str">
        <f>"RN"</f>
        <v>RN</v>
      </c>
      <c r="C4001" s="3" t="str">
        <f t="shared" si="154"/>
        <v>BRASIL</v>
      </c>
      <c r="D4001" s="4" t="str">
        <f>"RN109"</f>
        <v>RN109</v>
      </c>
    </row>
    <row r="4002" spans="1:4" x14ac:dyDescent="0.3">
      <c r="A4002" s="2" t="str">
        <f>"PILÕEZINHOS"</f>
        <v>PILÕEZINHOS</v>
      </c>
      <c r="B4002" s="3" t="str">
        <f>"PB"</f>
        <v>PB</v>
      </c>
      <c r="C4002" s="3" t="str">
        <f t="shared" si="154"/>
        <v>BRASIL</v>
      </c>
      <c r="D4002" s="4" t="str">
        <f>"PB145"</f>
        <v>PB145</v>
      </c>
    </row>
    <row r="4003" spans="1:4" x14ac:dyDescent="0.3">
      <c r="A4003" s="2" t="str">
        <f>"PIMENTA"</f>
        <v>PIMENTA</v>
      </c>
      <c r="B4003" s="3" t="str">
        <f>"MG"</f>
        <v>MG</v>
      </c>
      <c r="C4003" s="3" t="str">
        <f t="shared" si="154"/>
        <v>BRASIL</v>
      </c>
      <c r="D4003" s="4" t="str">
        <f>"MG590"</f>
        <v>MG590</v>
      </c>
    </row>
    <row r="4004" spans="1:4" x14ac:dyDescent="0.3">
      <c r="A4004" s="2" t="str">
        <f>"PIMENTA BUENO"</f>
        <v>PIMENTA BUENO</v>
      </c>
      <c r="B4004" s="3" t="str">
        <f>"RO"</f>
        <v>RO</v>
      </c>
      <c r="C4004" s="3" t="str">
        <f t="shared" si="154"/>
        <v>BRASIL</v>
      </c>
      <c r="D4004" s="4" t="str">
        <f>"RO016"</f>
        <v>RO016</v>
      </c>
    </row>
    <row r="4005" spans="1:4" x14ac:dyDescent="0.3">
      <c r="A4005" s="2" t="str">
        <f>"PIMENTEIRAS"</f>
        <v>PIMENTEIRAS</v>
      </c>
      <c r="B4005" s="3" t="str">
        <f>"PI"</f>
        <v>PI</v>
      </c>
      <c r="C4005" s="3" t="str">
        <f t="shared" si="154"/>
        <v>BRASIL</v>
      </c>
      <c r="D4005" s="4" t="str">
        <f>"PI160"</f>
        <v>PI160</v>
      </c>
    </row>
    <row r="4006" spans="1:4" x14ac:dyDescent="0.3">
      <c r="A4006" s="2" t="str">
        <f>"PIMENTEIRAS DO OESTE"</f>
        <v>PIMENTEIRAS DO OESTE</v>
      </c>
      <c r="B4006" s="3" t="str">
        <f>"RO"</f>
        <v>RO</v>
      </c>
      <c r="C4006" s="3" t="str">
        <f t="shared" si="154"/>
        <v>BRASIL</v>
      </c>
      <c r="D4006" s="4" t="str">
        <f>"RO043"</f>
        <v>RO043</v>
      </c>
    </row>
    <row r="4007" spans="1:4" x14ac:dyDescent="0.3">
      <c r="A4007" s="2" t="str">
        <f>"PINDAI"</f>
        <v>PINDAI</v>
      </c>
      <c r="B4007" s="3" t="str">
        <f>"BA"</f>
        <v>BA</v>
      </c>
      <c r="C4007" s="3" t="str">
        <f t="shared" si="154"/>
        <v>BRASIL</v>
      </c>
      <c r="D4007" s="4" t="str">
        <f>"BA300"</f>
        <v>BA300</v>
      </c>
    </row>
    <row r="4008" spans="1:4" x14ac:dyDescent="0.3">
      <c r="A4008" s="2" t="str">
        <f>"PINDAMONHANGABA"</f>
        <v>PINDAMONHANGABA</v>
      </c>
      <c r="B4008" s="3" t="str">
        <f>"SP"</f>
        <v>SP</v>
      </c>
      <c r="C4008" s="3" t="str">
        <f t="shared" si="154"/>
        <v>BRASIL</v>
      </c>
      <c r="D4008" s="4" t="str">
        <f>"SP428"</f>
        <v>SP428</v>
      </c>
    </row>
    <row r="4009" spans="1:4" x14ac:dyDescent="0.3">
      <c r="A4009" s="2" t="str">
        <f>"PINDARE-MIRIM"</f>
        <v>PINDARE-MIRIM</v>
      </c>
      <c r="B4009" s="3" t="str">
        <f>"MA"</f>
        <v>MA</v>
      </c>
      <c r="C4009" s="3" t="str">
        <f t="shared" si="154"/>
        <v>BRASIL</v>
      </c>
      <c r="D4009" s="4" t="str">
        <f>"MA143"</f>
        <v>MA143</v>
      </c>
    </row>
    <row r="4010" spans="1:4" x14ac:dyDescent="0.3">
      <c r="A4010" s="2" t="str">
        <f>"PINDOBA"</f>
        <v>PINDOBA</v>
      </c>
      <c r="B4010" s="3" t="str">
        <f>"AL"</f>
        <v>AL</v>
      </c>
      <c r="C4010" s="3" t="str">
        <f t="shared" si="154"/>
        <v>BRASIL</v>
      </c>
      <c r="D4010" s="4" t="str">
        <f>"AL076"</f>
        <v>AL076</v>
      </c>
    </row>
    <row r="4011" spans="1:4" x14ac:dyDescent="0.3">
      <c r="A4011" s="2" t="str">
        <f>"PINDOBACU"</f>
        <v>PINDOBACU</v>
      </c>
      <c r="B4011" s="3" t="str">
        <f>"BA"</f>
        <v>BA</v>
      </c>
      <c r="C4011" s="3" t="str">
        <f t="shared" si="154"/>
        <v>BRASIL</v>
      </c>
      <c r="D4011" s="4" t="str">
        <f>"BA301"</f>
        <v>BA301</v>
      </c>
    </row>
    <row r="4012" spans="1:4" x14ac:dyDescent="0.3">
      <c r="A4012" s="2" t="str">
        <f>"PINDORAMA"</f>
        <v>PINDORAMA</v>
      </c>
      <c r="B4012" s="3" t="str">
        <f>"SP"</f>
        <v>SP</v>
      </c>
      <c r="C4012" s="3" t="str">
        <f t="shared" ref="C4012:C4043" si="155">"BRASIL"</f>
        <v>BRASIL</v>
      </c>
      <c r="D4012" s="4" t="str">
        <f>"SP429"</f>
        <v>SP429</v>
      </c>
    </row>
    <row r="4013" spans="1:4" x14ac:dyDescent="0.3">
      <c r="A4013" s="2" t="str">
        <f>"PINDORAMA DO TOCANTINS"</f>
        <v>PINDORAMA DO TOCANTINS</v>
      </c>
      <c r="B4013" s="3" t="str">
        <f>"TO"</f>
        <v>TO</v>
      </c>
      <c r="C4013" s="3" t="str">
        <f t="shared" si="155"/>
        <v>BRASIL</v>
      </c>
      <c r="D4013" s="4" t="str">
        <f>"TO098"</f>
        <v>TO098</v>
      </c>
    </row>
    <row r="4014" spans="1:4" x14ac:dyDescent="0.3">
      <c r="A4014" s="2" t="str">
        <f>"PINDORETAMA"</f>
        <v>PINDORETAMA</v>
      </c>
      <c r="B4014" s="3" t="str">
        <f>"CE"</f>
        <v>CE</v>
      </c>
      <c r="C4014" s="3" t="str">
        <f t="shared" si="155"/>
        <v>BRASIL</v>
      </c>
      <c r="D4014" s="4" t="str">
        <f>"CE141"</f>
        <v>CE141</v>
      </c>
    </row>
    <row r="4015" spans="1:4" x14ac:dyDescent="0.3">
      <c r="A4015" s="2" t="str">
        <f>"PINGO-D'AGUA"</f>
        <v>PINGO-D'AGUA</v>
      </c>
      <c r="B4015" s="3" t="str">
        <f>"MG"</f>
        <v>MG</v>
      </c>
      <c r="C4015" s="3" t="str">
        <f t="shared" si="155"/>
        <v>BRASIL</v>
      </c>
      <c r="D4015" s="4" t="str">
        <f>"MG591"</f>
        <v>MG591</v>
      </c>
    </row>
    <row r="4016" spans="1:4" x14ac:dyDescent="0.3">
      <c r="A4016" s="2" t="str">
        <f>"PINHAIS"</f>
        <v>PINHAIS</v>
      </c>
      <c r="B4016" s="3" t="str">
        <f>"PR"</f>
        <v>PR</v>
      </c>
      <c r="C4016" s="3" t="str">
        <f t="shared" si="155"/>
        <v>BRASIL</v>
      </c>
      <c r="D4016" s="4" t="str">
        <f>"PIN"</f>
        <v>PIN</v>
      </c>
    </row>
    <row r="4017" spans="1:4" x14ac:dyDescent="0.3">
      <c r="A4017" s="2" t="str">
        <f>"PINHAL"</f>
        <v>PINHAL</v>
      </c>
      <c r="B4017" s="3" t="str">
        <f>"RS"</f>
        <v>RS</v>
      </c>
      <c r="C4017" s="3" t="str">
        <f t="shared" si="155"/>
        <v>BRASIL</v>
      </c>
      <c r="D4017" s="4" t="str">
        <f>"RS313"</f>
        <v>RS313</v>
      </c>
    </row>
    <row r="4018" spans="1:4" x14ac:dyDescent="0.3">
      <c r="A4018" s="2" t="str">
        <f>"PINHAL DA SERRA"</f>
        <v>PINHAL DA SERRA</v>
      </c>
      <c r="B4018" s="3" t="str">
        <f>"RS"</f>
        <v>RS</v>
      </c>
      <c r="C4018" s="3" t="str">
        <f t="shared" si="155"/>
        <v>BRASIL</v>
      </c>
      <c r="D4018" s="4" t="str">
        <f>"RS314"</f>
        <v>RS314</v>
      </c>
    </row>
    <row r="4019" spans="1:4" x14ac:dyDescent="0.3">
      <c r="A4019" s="2" t="str">
        <f>"PINHAL DE SAO BENTO"</f>
        <v>PINHAL DE SAO BENTO</v>
      </c>
      <c r="B4019" s="3" t="str">
        <f>"PR"</f>
        <v>PR</v>
      </c>
      <c r="C4019" s="3" t="str">
        <f t="shared" si="155"/>
        <v>BRASIL</v>
      </c>
      <c r="D4019" s="4" t="str">
        <f>"PR267"</f>
        <v>PR267</v>
      </c>
    </row>
    <row r="4020" spans="1:4" x14ac:dyDescent="0.3">
      <c r="A4020" s="2" t="str">
        <f>"PINHAL GRANDE"</f>
        <v>PINHAL GRANDE</v>
      </c>
      <c r="B4020" s="3" t="str">
        <f>"RS"</f>
        <v>RS</v>
      </c>
      <c r="C4020" s="3" t="str">
        <f t="shared" si="155"/>
        <v>BRASIL</v>
      </c>
      <c r="D4020" s="4" t="str">
        <f>"RS315"</f>
        <v>RS315</v>
      </c>
    </row>
    <row r="4021" spans="1:4" x14ac:dyDescent="0.3">
      <c r="A4021" s="2" t="str">
        <f>"PINHALAO"</f>
        <v>PINHALAO</v>
      </c>
      <c r="B4021" s="3" t="str">
        <f>"PR"</f>
        <v>PR</v>
      </c>
      <c r="C4021" s="3" t="str">
        <f t="shared" si="155"/>
        <v>BRASIL</v>
      </c>
      <c r="D4021" s="4" t="str">
        <f>"PR266"</f>
        <v>PR266</v>
      </c>
    </row>
    <row r="4022" spans="1:4" x14ac:dyDescent="0.3">
      <c r="A4022" s="2" t="str">
        <f>"PINHALZINHO"</f>
        <v>PINHALZINHO</v>
      </c>
      <c r="B4022" s="3" t="str">
        <f>"SC"</f>
        <v>SC</v>
      </c>
      <c r="C4022" s="3" t="str">
        <f t="shared" si="155"/>
        <v>BRASIL</v>
      </c>
      <c r="D4022" s="4" t="str">
        <f>"SC195"</f>
        <v>SC195</v>
      </c>
    </row>
    <row r="4023" spans="1:4" x14ac:dyDescent="0.3">
      <c r="A4023" s="2" t="str">
        <f>"PINHALZINHO"</f>
        <v>PINHALZINHO</v>
      </c>
      <c r="B4023" s="3" t="str">
        <f>"SP"</f>
        <v>SP</v>
      </c>
      <c r="C4023" s="3" t="str">
        <f t="shared" si="155"/>
        <v>BRASIL</v>
      </c>
      <c r="D4023" s="4" t="str">
        <f>"SP430"</f>
        <v>SP430</v>
      </c>
    </row>
    <row r="4024" spans="1:4" x14ac:dyDescent="0.3">
      <c r="A4024" s="2" t="str">
        <f>"PINHAO"</f>
        <v>PINHAO</v>
      </c>
      <c r="B4024" s="3" t="str">
        <f>"PR"</f>
        <v>PR</v>
      </c>
      <c r="C4024" s="3" t="str">
        <f t="shared" si="155"/>
        <v>BRASIL</v>
      </c>
      <c r="D4024" s="4" t="str">
        <f>"PR268"</f>
        <v>PR268</v>
      </c>
    </row>
    <row r="4025" spans="1:4" x14ac:dyDescent="0.3">
      <c r="A4025" s="2" t="str">
        <f>"PINHAO"</f>
        <v>PINHAO</v>
      </c>
      <c r="B4025" s="3" t="str">
        <f>"SE"</f>
        <v>SE</v>
      </c>
      <c r="C4025" s="3" t="str">
        <f t="shared" si="155"/>
        <v>BRASIL</v>
      </c>
      <c r="D4025" s="4" t="str">
        <f>"SE051"</f>
        <v>SE051</v>
      </c>
    </row>
    <row r="4026" spans="1:4" x14ac:dyDescent="0.3">
      <c r="A4026" s="2" t="str">
        <f>"PINHEIRAL"</f>
        <v>PINHEIRAL</v>
      </c>
      <c r="B4026" s="3" t="str">
        <f>"RJ"</f>
        <v>RJ</v>
      </c>
      <c r="C4026" s="3" t="str">
        <f t="shared" si="155"/>
        <v>BRASIL</v>
      </c>
      <c r="D4026" s="4" t="str">
        <f>"RJ056"</f>
        <v>RJ056</v>
      </c>
    </row>
    <row r="4027" spans="1:4" x14ac:dyDescent="0.3">
      <c r="A4027" s="2" t="str">
        <f>"PINHEIRINHO DO VALE"</f>
        <v>PINHEIRINHO DO VALE</v>
      </c>
      <c r="B4027" s="3" t="str">
        <f>"RS"</f>
        <v>RS</v>
      </c>
      <c r="C4027" s="3" t="str">
        <f t="shared" si="155"/>
        <v>BRASIL</v>
      </c>
      <c r="D4027" s="4" t="str">
        <f>"RS316"</f>
        <v>RS316</v>
      </c>
    </row>
    <row r="4028" spans="1:4" x14ac:dyDescent="0.3">
      <c r="A4028" s="2" t="str">
        <f>"PINHEIRO"</f>
        <v>PINHEIRO</v>
      </c>
      <c r="B4028" s="3" t="str">
        <f>"MA"</f>
        <v>MA</v>
      </c>
      <c r="C4028" s="3" t="str">
        <f t="shared" si="155"/>
        <v>BRASIL</v>
      </c>
      <c r="D4028" s="4" t="str">
        <f>"MA144"</f>
        <v>MA144</v>
      </c>
    </row>
    <row r="4029" spans="1:4" x14ac:dyDescent="0.3">
      <c r="A4029" s="2" t="str">
        <f>"PINHEIRO MACHADO"</f>
        <v>PINHEIRO MACHADO</v>
      </c>
      <c r="B4029" s="3" t="str">
        <f>"RS"</f>
        <v>RS</v>
      </c>
      <c r="C4029" s="3" t="str">
        <f t="shared" si="155"/>
        <v>BRASIL</v>
      </c>
      <c r="D4029" s="4" t="str">
        <f>"RS317"</f>
        <v>RS317</v>
      </c>
    </row>
    <row r="4030" spans="1:4" x14ac:dyDescent="0.3">
      <c r="A4030" s="2" t="str">
        <f>"PINHEIRO PRETO"</f>
        <v>PINHEIRO PRETO</v>
      </c>
      <c r="B4030" s="3" t="str">
        <f>"SC"</f>
        <v>SC</v>
      </c>
      <c r="C4030" s="3" t="str">
        <f t="shared" si="155"/>
        <v>BRASIL</v>
      </c>
      <c r="D4030" s="4" t="str">
        <f>"SC196"</f>
        <v>SC196</v>
      </c>
    </row>
    <row r="4031" spans="1:4" x14ac:dyDescent="0.3">
      <c r="A4031" s="2" t="str">
        <f>"PINHEIROS"</f>
        <v>PINHEIROS</v>
      </c>
      <c r="B4031" s="3" t="str">
        <f>"ES"</f>
        <v>ES</v>
      </c>
      <c r="C4031" s="3" t="str">
        <f t="shared" si="155"/>
        <v>BRASIL</v>
      </c>
      <c r="D4031" s="4" t="str">
        <f>"ES056"</f>
        <v>ES056</v>
      </c>
    </row>
    <row r="4032" spans="1:4" x14ac:dyDescent="0.3">
      <c r="A4032" s="2" t="str">
        <f>"PINTADAS"</f>
        <v>PINTADAS</v>
      </c>
      <c r="B4032" s="3" t="str">
        <f>"BA"</f>
        <v>BA</v>
      </c>
      <c r="C4032" s="3" t="str">
        <f t="shared" si="155"/>
        <v>BRASIL</v>
      </c>
      <c r="D4032" s="4" t="str">
        <f>"BA302"</f>
        <v>BA302</v>
      </c>
    </row>
    <row r="4033" spans="1:4" x14ac:dyDescent="0.3">
      <c r="A4033" s="2" t="str">
        <f>"PINTOPOLIS"</f>
        <v>PINTOPOLIS</v>
      </c>
      <c r="B4033" s="3" t="str">
        <f>"MG"</f>
        <v>MG</v>
      </c>
      <c r="C4033" s="3" t="str">
        <f t="shared" si="155"/>
        <v>BRASIL</v>
      </c>
      <c r="D4033" s="4" t="str">
        <f>"MG592"</f>
        <v>MG592</v>
      </c>
    </row>
    <row r="4034" spans="1:4" x14ac:dyDescent="0.3">
      <c r="A4034" s="2" t="str">
        <f>"PIO IX"</f>
        <v>PIO IX</v>
      </c>
      <c r="B4034" s="3" t="str">
        <f>"PI"</f>
        <v>PI</v>
      </c>
      <c r="C4034" s="3" t="str">
        <f t="shared" si="155"/>
        <v>BRASIL</v>
      </c>
      <c r="D4034" s="4" t="str">
        <f>"PI161"</f>
        <v>PI161</v>
      </c>
    </row>
    <row r="4035" spans="1:4" x14ac:dyDescent="0.3">
      <c r="A4035" s="2" t="str">
        <f>"PIO XII"</f>
        <v>PIO XII</v>
      </c>
      <c r="B4035" s="3" t="str">
        <f>"MA"</f>
        <v>MA</v>
      </c>
      <c r="C4035" s="3" t="str">
        <f t="shared" si="155"/>
        <v>BRASIL</v>
      </c>
      <c r="D4035" s="4" t="str">
        <f>"MA145"</f>
        <v>MA145</v>
      </c>
    </row>
    <row r="4036" spans="1:4" x14ac:dyDescent="0.3">
      <c r="A4036" s="2" t="str">
        <f>"PIQUEROBI"</f>
        <v>PIQUEROBI</v>
      </c>
      <c r="B4036" s="3" t="str">
        <f>"SP"</f>
        <v>SP</v>
      </c>
      <c r="C4036" s="3" t="str">
        <f t="shared" si="155"/>
        <v>BRASIL</v>
      </c>
      <c r="D4036" s="4" t="str">
        <f>"SP431"</f>
        <v>SP431</v>
      </c>
    </row>
    <row r="4037" spans="1:4" x14ac:dyDescent="0.3">
      <c r="A4037" s="2" t="str">
        <f>"PIQUET CARNEIRO"</f>
        <v>PIQUET CARNEIRO</v>
      </c>
      <c r="B4037" s="3" t="str">
        <f>"CE"</f>
        <v>CE</v>
      </c>
      <c r="C4037" s="3" t="str">
        <f t="shared" si="155"/>
        <v>BRASIL</v>
      </c>
      <c r="D4037" s="4" t="str">
        <f>"CE142"</f>
        <v>CE142</v>
      </c>
    </row>
    <row r="4038" spans="1:4" x14ac:dyDescent="0.3">
      <c r="A4038" s="2" t="str">
        <f>"PIQUETE"</f>
        <v>PIQUETE</v>
      </c>
      <c r="B4038" s="3" t="str">
        <f>"SP"</f>
        <v>SP</v>
      </c>
      <c r="C4038" s="3" t="str">
        <f t="shared" si="155"/>
        <v>BRASIL</v>
      </c>
      <c r="D4038" s="4" t="str">
        <f>"SP432"</f>
        <v>SP432</v>
      </c>
    </row>
    <row r="4039" spans="1:4" x14ac:dyDescent="0.3">
      <c r="A4039" s="2" t="str">
        <f>"PIRACAIA"</f>
        <v>PIRACAIA</v>
      </c>
      <c r="B4039" s="3" t="str">
        <f>"SP"</f>
        <v>SP</v>
      </c>
      <c r="C4039" s="3" t="str">
        <f t="shared" si="155"/>
        <v>BRASIL</v>
      </c>
      <c r="D4039" s="4" t="str">
        <f>"SP433"</f>
        <v>SP433</v>
      </c>
    </row>
    <row r="4040" spans="1:4" x14ac:dyDescent="0.3">
      <c r="A4040" s="2" t="str">
        <f>"PIRACANJUBA"</f>
        <v>PIRACANJUBA</v>
      </c>
      <c r="B4040" s="3" t="str">
        <f>"GO"</f>
        <v>GO</v>
      </c>
      <c r="C4040" s="3" t="str">
        <f t="shared" si="155"/>
        <v>BRASIL</v>
      </c>
      <c r="D4040" s="4" t="str">
        <f>"GO183"</f>
        <v>GO183</v>
      </c>
    </row>
    <row r="4041" spans="1:4" x14ac:dyDescent="0.3">
      <c r="A4041" s="2" t="str">
        <f>"PIRACEMA"</f>
        <v>PIRACEMA</v>
      </c>
      <c r="B4041" s="3" t="str">
        <f>"MG"</f>
        <v>MG</v>
      </c>
      <c r="C4041" s="3" t="str">
        <f t="shared" si="155"/>
        <v>BRASIL</v>
      </c>
      <c r="D4041" s="4" t="str">
        <f>"MG593"</f>
        <v>MG593</v>
      </c>
    </row>
    <row r="4042" spans="1:4" x14ac:dyDescent="0.3">
      <c r="A4042" s="2" t="str">
        <f>"PIRACICABA"</f>
        <v>PIRACICABA</v>
      </c>
      <c r="B4042" s="3" t="str">
        <f>"SP"</f>
        <v>SP</v>
      </c>
      <c r="C4042" s="3" t="str">
        <f t="shared" si="155"/>
        <v>BRASIL</v>
      </c>
      <c r="D4042" s="4" t="str">
        <f>"SP434"</f>
        <v>SP434</v>
      </c>
    </row>
    <row r="4043" spans="1:4" x14ac:dyDescent="0.3">
      <c r="A4043" s="2" t="str">
        <f>"PIRACURUCA"</f>
        <v>PIRACURUCA</v>
      </c>
      <c r="B4043" s="3" t="str">
        <f>"PI"</f>
        <v>PI</v>
      </c>
      <c r="C4043" s="3" t="str">
        <f t="shared" si="155"/>
        <v>BRASIL</v>
      </c>
      <c r="D4043" s="4" t="str">
        <f>"PI162"</f>
        <v>PI162</v>
      </c>
    </row>
    <row r="4044" spans="1:4" x14ac:dyDescent="0.3">
      <c r="A4044" s="2" t="str">
        <f>"PIRAI"</f>
        <v>PIRAI</v>
      </c>
      <c r="B4044" s="3" t="str">
        <f>"RJ"</f>
        <v>RJ</v>
      </c>
      <c r="C4044" s="3" t="str">
        <f t="shared" ref="C4044:C4075" si="156">"BRASIL"</f>
        <v>BRASIL</v>
      </c>
      <c r="D4044" s="4" t="str">
        <f>"RJ057"</f>
        <v>RJ057</v>
      </c>
    </row>
    <row r="4045" spans="1:4" x14ac:dyDescent="0.3">
      <c r="A4045" s="2" t="str">
        <f>"PIRAI DO NORTE"</f>
        <v>PIRAI DO NORTE</v>
      </c>
      <c r="B4045" s="3" t="str">
        <f>"BA"</f>
        <v>BA</v>
      </c>
      <c r="C4045" s="3" t="str">
        <f t="shared" si="156"/>
        <v>BRASIL</v>
      </c>
      <c r="D4045" s="4" t="str">
        <f>"BA303"</f>
        <v>BA303</v>
      </c>
    </row>
    <row r="4046" spans="1:4" x14ac:dyDescent="0.3">
      <c r="A4046" s="2" t="str">
        <f>"PIRAI DO SUL"</f>
        <v>PIRAI DO SUL</v>
      </c>
      <c r="B4046" s="3" t="str">
        <f>"PR"</f>
        <v>PR</v>
      </c>
      <c r="C4046" s="3" t="str">
        <f t="shared" si="156"/>
        <v>BRASIL</v>
      </c>
      <c r="D4046" s="4" t="str">
        <f>"PR269"</f>
        <v>PR269</v>
      </c>
    </row>
    <row r="4047" spans="1:4" x14ac:dyDescent="0.3">
      <c r="A4047" s="2" t="str">
        <f>"PIRAJU"</f>
        <v>PIRAJU</v>
      </c>
      <c r="B4047" s="3" t="str">
        <f>"SP"</f>
        <v>SP</v>
      </c>
      <c r="C4047" s="3" t="str">
        <f t="shared" si="156"/>
        <v>BRASIL</v>
      </c>
      <c r="D4047" s="4" t="str">
        <f>"SP435"</f>
        <v>SP435</v>
      </c>
    </row>
    <row r="4048" spans="1:4" x14ac:dyDescent="0.3">
      <c r="A4048" s="2" t="str">
        <f>"PIRAJUBA"</f>
        <v>PIRAJUBA</v>
      </c>
      <c r="B4048" s="3" t="str">
        <f>"MG"</f>
        <v>MG</v>
      </c>
      <c r="C4048" s="3" t="str">
        <f t="shared" si="156"/>
        <v>BRASIL</v>
      </c>
      <c r="D4048" s="4" t="str">
        <f>"MG594"</f>
        <v>MG594</v>
      </c>
    </row>
    <row r="4049" spans="1:4" x14ac:dyDescent="0.3">
      <c r="A4049" s="2" t="str">
        <f>"PIRAJUI"</f>
        <v>PIRAJUI</v>
      </c>
      <c r="B4049" s="3" t="str">
        <f>"SP"</f>
        <v>SP</v>
      </c>
      <c r="C4049" s="3" t="str">
        <f t="shared" si="156"/>
        <v>BRASIL</v>
      </c>
      <c r="D4049" s="4" t="str">
        <f>"SP436"</f>
        <v>SP436</v>
      </c>
    </row>
    <row r="4050" spans="1:4" x14ac:dyDescent="0.3">
      <c r="A4050" s="2" t="str">
        <f>"PIRAMBU"</f>
        <v>PIRAMBU</v>
      </c>
      <c r="B4050" s="3" t="str">
        <f>"SE"</f>
        <v>SE</v>
      </c>
      <c r="C4050" s="3" t="str">
        <f t="shared" si="156"/>
        <v>BRASIL</v>
      </c>
      <c r="D4050" s="4" t="str">
        <f>"SE052"</f>
        <v>SE052</v>
      </c>
    </row>
    <row r="4051" spans="1:4" x14ac:dyDescent="0.3">
      <c r="A4051" s="2" t="str">
        <f>"PIRANGA"</f>
        <v>PIRANGA</v>
      </c>
      <c r="B4051" s="3" t="str">
        <f>"MG"</f>
        <v>MG</v>
      </c>
      <c r="C4051" s="3" t="str">
        <f t="shared" si="156"/>
        <v>BRASIL</v>
      </c>
      <c r="D4051" s="4" t="str">
        <f>"MG595"</f>
        <v>MG595</v>
      </c>
    </row>
    <row r="4052" spans="1:4" x14ac:dyDescent="0.3">
      <c r="A4052" s="2" t="str">
        <f>"PIRANGI"</f>
        <v>PIRANGI</v>
      </c>
      <c r="B4052" s="3" t="str">
        <f>"SP"</f>
        <v>SP</v>
      </c>
      <c r="C4052" s="3" t="str">
        <f t="shared" si="156"/>
        <v>BRASIL</v>
      </c>
      <c r="D4052" s="4" t="str">
        <f>"SP437"</f>
        <v>SP437</v>
      </c>
    </row>
    <row r="4053" spans="1:4" x14ac:dyDescent="0.3">
      <c r="A4053" s="2" t="str">
        <f>"PIRANGUCU"</f>
        <v>PIRANGUCU</v>
      </c>
      <c r="B4053" s="3" t="str">
        <f>"MG"</f>
        <v>MG</v>
      </c>
      <c r="C4053" s="3" t="str">
        <f t="shared" si="156"/>
        <v>BRASIL</v>
      </c>
      <c r="D4053" s="4" t="str">
        <f>"MG596"</f>
        <v>MG596</v>
      </c>
    </row>
    <row r="4054" spans="1:4" x14ac:dyDescent="0.3">
      <c r="A4054" s="2" t="str">
        <f>"PIRANGUINHO"</f>
        <v>PIRANGUINHO</v>
      </c>
      <c r="B4054" s="3" t="str">
        <f>"MG"</f>
        <v>MG</v>
      </c>
      <c r="C4054" s="3" t="str">
        <f t="shared" si="156"/>
        <v>BRASIL</v>
      </c>
      <c r="D4054" s="4" t="str">
        <f>"MG597"</f>
        <v>MG597</v>
      </c>
    </row>
    <row r="4055" spans="1:4" x14ac:dyDescent="0.3">
      <c r="A4055" s="2" t="str">
        <f>"PIRANHAS"</f>
        <v>PIRANHAS</v>
      </c>
      <c r="B4055" s="3" t="str">
        <f>"AL"</f>
        <v>AL</v>
      </c>
      <c r="C4055" s="3" t="str">
        <f t="shared" si="156"/>
        <v>BRASIL</v>
      </c>
      <c r="D4055" s="4" t="str">
        <f>"AL077"</f>
        <v>AL077</v>
      </c>
    </row>
    <row r="4056" spans="1:4" x14ac:dyDescent="0.3">
      <c r="A4056" s="2" t="str">
        <f>"PIRANHAS"</f>
        <v>PIRANHAS</v>
      </c>
      <c r="B4056" s="3" t="str">
        <f>"GO"</f>
        <v>GO</v>
      </c>
      <c r="C4056" s="3" t="str">
        <f t="shared" si="156"/>
        <v>BRASIL</v>
      </c>
      <c r="D4056" s="4" t="str">
        <f>"GO184"</f>
        <v>GO184</v>
      </c>
    </row>
    <row r="4057" spans="1:4" x14ac:dyDescent="0.3">
      <c r="A4057" s="2" t="str">
        <f>"PIRAPEMAS"</f>
        <v>PIRAPEMAS</v>
      </c>
      <c r="B4057" s="3" t="str">
        <f>"MA"</f>
        <v>MA</v>
      </c>
      <c r="C4057" s="3" t="str">
        <f t="shared" si="156"/>
        <v>BRASIL</v>
      </c>
      <c r="D4057" s="4" t="str">
        <f>"MA146"</f>
        <v>MA146</v>
      </c>
    </row>
    <row r="4058" spans="1:4" x14ac:dyDescent="0.3">
      <c r="A4058" s="2" t="str">
        <f>"PIRAPETINGA"</f>
        <v>PIRAPETINGA</v>
      </c>
      <c r="B4058" s="3" t="str">
        <f>"MG"</f>
        <v>MG</v>
      </c>
      <c r="C4058" s="3" t="str">
        <f t="shared" si="156"/>
        <v>BRASIL</v>
      </c>
      <c r="D4058" s="4" t="str">
        <f>"MG598"</f>
        <v>MG598</v>
      </c>
    </row>
    <row r="4059" spans="1:4" x14ac:dyDescent="0.3">
      <c r="A4059" s="2" t="str">
        <f>"PIRAPO"</f>
        <v>PIRAPO</v>
      </c>
      <c r="B4059" s="3" t="str">
        <f>"RS"</f>
        <v>RS</v>
      </c>
      <c r="C4059" s="3" t="str">
        <f t="shared" si="156"/>
        <v>BRASIL</v>
      </c>
      <c r="D4059" s="4" t="str">
        <f>"RS318"</f>
        <v>RS318</v>
      </c>
    </row>
    <row r="4060" spans="1:4" x14ac:dyDescent="0.3">
      <c r="A4060" s="2" t="str">
        <f>"PIRAPORA"</f>
        <v>PIRAPORA</v>
      </c>
      <c r="B4060" s="3" t="str">
        <f>"MG"</f>
        <v>MG</v>
      </c>
      <c r="C4060" s="3" t="str">
        <f t="shared" si="156"/>
        <v>BRASIL</v>
      </c>
      <c r="D4060" s="4" t="str">
        <f>"MG599"</f>
        <v>MG599</v>
      </c>
    </row>
    <row r="4061" spans="1:4" x14ac:dyDescent="0.3">
      <c r="A4061" s="2" t="str">
        <f>"PIRAPORA DO BOM JESUS"</f>
        <v>PIRAPORA DO BOM JESUS</v>
      </c>
      <c r="B4061" s="3" t="str">
        <f>"SP"</f>
        <v>SP</v>
      </c>
      <c r="C4061" s="3" t="str">
        <f t="shared" si="156"/>
        <v>BRASIL</v>
      </c>
      <c r="D4061" s="4" t="str">
        <f>"SP438"</f>
        <v>SP438</v>
      </c>
    </row>
    <row r="4062" spans="1:4" x14ac:dyDescent="0.3">
      <c r="A4062" s="2" t="str">
        <f>"PIRAPOZINHO"</f>
        <v>PIRAPOZINHO</v>
      </c>
      <c r="B4062" s="3" t="str">
        <f>"SP"</f>
        <v>SP</v>
      </c>
      <c r="C4062" s="3" t="str">
        <f t="shared" si="156"/>
        <v>BRASIL</v>
      </c>
      <c r="D4062" s="4" t="str">
        <f>"SP439"</f>
        <v>SP439</v>
      </c>
    </row>
    <row r="4063" spans="1:4" x14ac:dyDescent="0.3">
      <c r="A4063" s="2" t="str">
        <f>"PIRAQUARA"</f>
        <v>PIRAQUARA</v>
      </c>
      <c r="B4063" s="3" t="str">
        <f>"PR"</f>
        <v>PR</v>
      </c>
      <c r="C4063" s="3" t="str">
        <f t="shared" si="156"/>
        <v>BRASIL</v>
      </c>
      <c r="D4063" s="4" t="str">
        <f>"PR270"</f>
        <v>PR270</v>
      </c>
    </row>
    <row r="4064" spans="1:4" x14ac:dyDescent="0.3">
      <c r="A4064" s="2" t="str">
        <f>"PIRAQUE"</f>
        <v>PIRAQUE</v>
      </c>
      <c r="B4064" s="3" t="str">
        <f>"TO"</f>
        <v>TO</v>
      </c>
      <c r="C4064" s="3" t="str">
        <f t="shared" si="156"/>
        <v>BRASIL</v>
      </c>
      <c r="D4064" s="4" t="str">
        <f>"TO099"</f>
        <v>TO099</v>
      </c>
    </row>
    <row r="4065" spans="1:4" x14ac:dyDescent="0.3">
      <c r="A4065" s="2" t="str">
        <f>"PIRASSUNUNGA"</f>
        <v>PIRASSUNUNGA</v>
      </c>
      <c r="B4065" s="3" t="str">
        <f>"SP"</f>
        <v>SP</v>
      </c>
      <c r="C4065" s="3" t="str">
        <f t="shared" si="156"/>
        <v>BRASIL</v>
      </c>
      <c r="D4065" s="4" t="str">
        <f>"SP440"</f>
        <v>SP440</v>
      </c>
    </row>
    <row r="4066" spans="1:4" x14ac:dyDescent="0.3">
      <c r="A4066" s="2" t="str">
        <f>"PIRATINI"</f>
        <v>PIRATINI</v>
      </c>
      <c r="B4066" s="3" t="str">
        <f>"RS"</f>
        <v>RS</v>
      </c>
      <c r="C4066" s="3" t="str">
        <f t="shared" si="156"/>
        <v>BRASIL</v>
      </c>
      <c r="D4066" s="4" t="str">
        <f>"RS319"</f>
        <v>RS319</v>
      </c>
    </row>
    <row r="4067" spans="1:4" x14ac:dyDescent="0.3">
      <c r="A4067" s="2" t="str">
        <f>"PIRATININGA"</f>
        <v>PIRATININGA</v>
      </c>
      <c r="B4067" s="3" t="str">
        <f>"SP"</f>
        <v>SP</v>
      </c>
      <c r="C4067" s="3" t="str">
        <f t="shared" si="156"/>
        <v>BRASIL</v>
      </c>
      <c r="D4067" s="4" t="str">
        <f>"SP441"</f>
        <v>SP441</v>
      </c>
    </row>
    <row r="4068" spans="1:4" x14ac:dyDescent="0.3">
      <c r="A4068" s="2" t="str">
        <f>"PIRATUBA"</f>
        <v>PIRATUBA</v>
      </c>
      <c r="B4068" s="3" t="str">
        <f>"SC"</f>
        <v>SC</v>
      </c>
      <c r="C4068" s="3" t="str">
        <f t="shared" si="156"/>
        <v>BRASIL</v>
      </c>
      <c r="D4068" s="4" t="str">
        <f>"SC197"</f>
        <v>SC197</v>
      </c>
    </row>
    <row r="4069" spans="1:4" x14ac:dyDescent="0.3">
      <c r="A4069" s="2" t="str">
        <f>"PIRAUBA"</f>
        <v>PIRAUBA</v>
      </c>
      <c r="B4069" s="3" t="str">
        <f>"MG"</f>
        <v>MG</v>
      </c>
      <c r="C4069" s="3" t="str">
        <f t="shared" si="156"/>
        <v>BRASIL</v>
      </c>
      <c r="D4069" s="4" t="str">
        <f>"MG600"</f>
        <v>MG600</v>
      </c>
    </row>
    <row r="4070" spans="1:4" x14ac:dyDescent="0.3">
      <c r="A4070" s="2" t="str">
        <f>"PIRENOPOLIS"</f>
        <v>PIRENOPOLIS</v>
      </c>
      <c r="B4070" s="3" t="str">
        <f>"GO"</f>
        <v>GO</v>
      </c>
      <c r="C4070" s="3" t="str">
        <f t="shared" si="156"/>
        <v>BRASIL</v>
      </c>
      <c r="D4070" s="4" t="str">
        <f>"GO185"</f>
        <v>GO185</v>
      </c>
    </row>
    <row r="4071" spans="1:4" x14ac:dyDescent="0.3">
      <c r="A4071" s="2" t="str">
        <f>"PIRES DO RIO"</f>
        <v>PIRES DO RIO</v>
      </c>
      <c r="B4071" s="3" t="str">
        <f>"GO"</f>
        <v>GO</v>
      </c>
      <c r="C4071" s="3" t="str">
        <f t="shared" si="156"/>
        <v>BRASIL</v>
      </c>
      <c r="D4071" s="4" t="str">
        <f>"GO186"</f>
        <v>GO186</v>
      </c>
    </row>
    <row r="4072" spans="1:4" x14ac:dyDescent="0.3">
      <c r="A4072" s="2" t="str">
        <f>"PIRES FERREIRA"</f>
        <v>PIRES FERREIRA</v>
      </c>
      <c r="B4072" s="3" t="str">
        <f>"CE"</f>
        <v>CE</v>
      </c>
      <c r="C4072" s="3" t="str">
        <f t="shared" si="156"/>
        <v>BRASIL</v>
      </c>
      <c r="D4072" s="4" t="str">
        <f>"CE143"</f>
        <v>CE143</v>
      </c>
    </row>
    <row r="4073" spans="1:4" x14ac:dyDescent="0.3">
      <c r="A4073" s="2" t="str">
        <f>"PIRIPA"</f>
        <v>PIRIPA</v>
      </c>
      <c r="B4073" s="3" t="str">
        <f>"BA"</f>
        <v>BA</v>
      </c>
      <c r="C4073" s="3" t="str">
        <f t="shared" si="156"/>
        <v>BRASIL</v>
      </c>
      <c r="D4073" s="4" t="str">
        <f>"BA304"</f>
        <v>BA304</v>
      </c>
    </row>
    <row r="4074" spans="1:4" x14ac:dyDescent="0.3">
      <c r="A4074" s="2" t="str">
        <f>"PIRIPIRI"</f>
        <v>PIRIPIRI</v>
      </c>
      <c r="B4074" s="3" t="str">
        <f>"PI"</f>
        <v>PI</v>
      </c>
      <c r="C4074" s="3" t="str">
        <f t="shared" si="156"/>
        <v>BRASIL</v>
      </c>
      <c r="D4074" s="4" t="str">
        <f>"PI163"</f>
        <v>PI163</v>
      </c>
    </row>
    <row r="4075" spans="1:4" x14ac:dyDescent="0.3">
      <c r="A4075" s="2" t="str">
        <f>"PIRITIBA"</f>
        <v>PIRITIBA</v>
      </c>
      <c r="B4075" s="3" t="str">
        <f>"BA"</f>
        <v>BA</v>
      </c>
      <c r="C4075" s="3" t="str">
        <f t="shared" si="156"/>
        <v>BRASIL</v>
      </c>
      <c r="D4075" s="4" t="str">
        <f>"BA305"</f>
        <v>BA305</v>
      </c>
    </row>
    <row r="4076" spans="1:4" x14ac:dyDescent="0.3">
      <c r="A4076" s="2" t="str">
        <f>"PIRPIRITUBA"</f>
        <v>PIRPIRITUBA</v>
      </c>
      <c r="B4076" s="3" t="str">
        <f>"PB"</f>
        <v>PB</v>
      </c>
      <c r="C4076" s="3" t="str">
        <f t="shared" ref="C4076:C4081" si="157">"BRASIL"</f>
        <v>BRASIL</v>
      </c>
      <c r="D4076" s="4" t="str">
        <f>"PB146"</f>
        <v>PB146</v>
      </c>
    </row>
    <row r="4077" spans="1:4" x14ac:dyDescent="0.3">
      <c r="A4077" s="2" t="str">
        <f>"PITANGA"</f>
        <v>PITANGA</v>
      </c>
      <c r="B4077" s="3" t="str">
        <f>"PR"</f>
        <v>PR</v>
      </c>
      <c r="C4077" s="3" t="str">
        <f t="shared" si="157"/>
        <v>BRASIL</v>
      </c>
      <c r="D4077" s="4" t="str">
        <f>"PR271"</f>
        <v>PR271</v>
      </c>
    </row>
    <row r="4078" spans="1:4" x14ac:dyDescent="0.3">
      <c r="A4078" s="2" t="str">
        <f>"PITANGUEIRAS"</f>
        <v>PITANGUEIRAS</v>
      </c>
      <c r="B4078" s="3" t="str">
        <f>"PR"</f>
        <v>PR</v>
      </c>
      <c r="C4078" s="3" t="str">
        <f t="shared" si="157"/>
        <v>BRASIL</v>
      </c>
      <c r="D4078" s="4" t="str">
        <f>"PR272"</f>
        <v>PR272</v>
      </c>
    </row>
    <row r="4079" spans="1:4" x14ac:dyDescent="0.3">
      <c r="A4079" s="2" t="str">
        <f>"PITANGUEIRAS"</f>
        <v>PITANGUEIRAS</v>
      </c>
      <c r="B4079" s="3" t="str">
        <f>"SP"</f>
        <v>SP</v>
      </c>
      <c r="C4079" s="3" t="str">
        <f t="shared" si="157"/>
        <v>BRASIL</v>
      </c>
      <c r="D4079" s="4" t="str">
        <f>"SP442"</f>
        <v>SP442</v>
      </c>
    </row>
    <row r="4080" spans="1:4" x14ac:dyDescent="0.3">
      <c r="A4080" s="2" t="str">
        <f>"PITANGUI"</f>
        <v>PITANGUI</v>
      </c>
      <c r="B4080" s="3" t="str">
        <f>"MG"</f>
        <v>MG</v>
      </c>
      <c r="C4080" s="3" t="str">
        <f t="shared" si="157"/>
        <v>BRASIL</v>
      </c>
      <c r="D4080" s="4" t="str">
        <f>"MG601"</f>
        <v>MG601</v>
      </c>
    </row>
    <row r="4081" spans="1:4" x14ac:dyDescent="0.3">
      <c r="A4081" s="2" t="str">
        <f>"PITIMBU"</f>
        <v>PITIMBU</v>
      </c>
      <c r="B4081" s="3" t="str">
        <f>"PB"</f>
        <v>PB</v>
      </c>
      <c r="C4081" s="3" t="str">
        <f t="shared" si="157"/>
        <v>BRASIL</v>
      </c>
      <c r="D4081" s="4" t="str">
        <f>"PB147"</f>
        <v>PB147</v>
      </c>
    </row>
    <row r="4082" spans="1:4" x14ac:dyDescent="0.3">
      <c r="A4082" s="2" t="str">
        <f>"PITTSBURGH"</f>
        <v>PITTSBURGH</v>
      </c>
      <c r="B4082" s="3" t="str">
        <f>"EX"</f>
        <v>EX</v>
      </c>
      <c r="C4082" s="3" t="str">
        <f>"ESTADOS UNIDOS"</f>
        <v>ESTADOS UNIDOS</v>
      </c>
      <c r="D4082" s="4" t="str">
        <f>"PITT"</f>
        <v>PITT</v>
      </c>
    </row>
    <row r="4083" spans="1:4" x14ac:dyDescent="0.3">
      <c r="A4083" s="2" t="str">
        <f>"PITTSBURGH"</f>
        <v>PITTSBURGH</v>
      </c>
      <c r="B4083" s="3" t="str">
        <f>"PA"</f>
        <v>PA</v>
      </c>
      <c r="C4083" s="3" t="str">
        <f>"ESTADOS UNIDOS"</f>
        <v>ESTADOS UNIDOS</v>
      </c>
      <c r="D4083" s="4" t="str">
        <f>"PITTS"</f>
        <v>PITTS</v>
      </c>
    </row>
    <row r="4084" spans="1:4" x14ac:dyDescent="0.3">
      <c r="A4084" s="2" t="str">
        <f>"PIUM"</f>
        <v>PIUM</v>
      </c>
      <c r="B4084" s="3" t="str">
        <f>"TO"</f>
        <v>TO</v>
      </c>
      <c r="C4084" s="3" t="str">
        <f t="shared" ref="C4084:C4115" si="158">"BRASIL"</f>
        <v>BRASIL</v>
      </c>
      <c r="D4084" s="4" t="str">
        <f>"TO100"</f>
        <v>TO100</v>
      </c>
    </row>
    <row r="4085" spans="1:4" x14ac:dyDescent="0.3">
      <c r="A4085" s="2" t="str">
        <f>"PIUMA"</f>
        <v>PIUMA</v>
      </c>
      <c r="B4085" s="3" t="str">
        <f>"ES"</f>
        <v>ES</v>
      </c>
      <c r="C4085" s="3" t="str">
        <f t="shared" si="158"/>
        <v>BRASIL</v>
      </c>
      <c r="D4085" s="4" t="str">
        <f>"ES057"</f>
        <v>ES057</v>
      </c>
    </row>
    <row r="4086" spans="1:4" x14ac:dyDescent="0.3">
      <c r="A4086" s="2" t="str">
        <f>"PIUMHI"</f>
        <v>PIUMHI</v>
      </c>
      <c r="B4086" s="3" t="str">
        <f>"MG"</f>
        <v>MG</v>
      </c>
      <c r="C4086" s="3" t="str">
        <f t="shared" si="158"/>
        <v>BRASIL</v>
      </c>
      <c r="D4086" s="4" t="str">
        <f>"MG602"</f>
        <v>MG602</v>
      </c>
    </row>
    <row r="4087" spans="1:4" x14ac:dyDescent="0.3">
      <c r="A4087" s="2" t="str">
        <f>"PLACAS"</f>
        <v>PLACAS</v>
      </c>
      <c r="B4087" s="3" t="str">
        <f>"PA"</f>
        <v>PA</v>
      </c>
      <c r="C4087" s="3" t="str">
        <f t="shared" si="158"/>
        <v>BRASIL</v>
      </c>
      <c r="D4087" s="4" t="str">
        <f>"PA093"</f>
        <v>PA093</v>
      </c>
    </row>
    <row r="4088" spans="1:4" x14ac:dyDescent="0.3">
      <c r="A4088" s="2" t="str">
        <f>"PLACIDO DE CASTRO"</f>
        <v>PLACIDO DE CASTRO</v>
      </c>
      <c r="B4088" s="3" t="str">
        <f>"AC"</f>
        <v>AC</v>
      </c>
      <c r="C4088" s="3" t="str">
        <f t="shared" si="158"/>
        <v>BRASIL</v>
      </c>
      <c r="D4088" s="4" t="str">
        <f>"AC013"</f>
        <v>AC013</v>
      </c>
    </row>
    <row r="4089" spans="1:4" x14ac:dyDescent="0.3">
      <c r="A4089" s="2" t="str">
        <f>"PLANALTINA"</f>
        <v>PLANALTINA</v>
      </c>
      <c r="B4089" s="3" t="str">
        <f>"GO"</f>
        <v>GO</v>
      </c>
      <c r="C4089" s="3" t="str">
        <f t="shared" si="158"/>
        <v>BRASIL</v>
      </c>
      <c r="D4089" s="4" t="str">
        <f>"GO187"</f>
        <v>GO187</v>
      </c>
    </row>
    <row r="4090" spans="1:4" x14ac:dyDescent="0.3">
      <c r="A4090" s="2" t="str">
        <f>"PLANALTINA DO PARANA"</f>
        <v>PLANALTINA DO PARANA</v>
      </c>
      <c r="B4090" s="3" t="str">
        <f>"PR"</f>
        <v>PR</v>
      </c>
      <c r="C4090" s="3" t="str">
        <f t="shared" si="158"/>
        <v>BRASIL</v>
      </c>
      <c r="D4090" s="4" t="str">
        <f>"PR273"</f>
        <v>PR273</v>
      </c>
    </row>
    <row r="4091" spans="1:4" x14ac:dyDescent="0.3">
      <c r="A4091" s="2" t="str">
        <f>"PLANALTINO"</f>
        <v>PLANALTINO</v>
      </c>
      <c r="B4091" s="3" t="str">
        <f>"BA"</f>
        <v>BA</v>
      </c>
      <c r="C4091" s="3" t="str">
        <f t="shared" si="158"/>
        <v>BRASIL</v>
      </c>
      <c r="D4091" s="4" t="str">
        <f>"BA306"</f>
        <v>BA306</v>
      </c>
    </row>
    <row r="4092" spans="1:4" x14ac:dyDescent="0.3">
      <c r="A4092" s="2" t="str">
        <f>"PLANALTO"</f>
        <v>PLANALTO</v>
      </c>
      <c r="B4092" s="3" t="str">
        <f>"BA"</f>
        <v>BA</v>
      </c>
      <c r="C4092" s="3" t="str">
        <f t="shared" si="158"/>
        <v>BRASIL</v>
      </c>
      <c r="D4092" s="4" t="str">
        <f>"BA307"</f>
        <v>BA307</v>
      </c>
    </row>
    <row r="4093" spans="1:4" x14ac:dyDescent="0.3">
      <c r="A4093" s="2" t="str">
        <f>"PLANALTO"</f>
        <v>PLANALTO</v>
      </c>
      <c r="B4093" s="3" t="str">
        <f>"PR"</f>
        <v>PR</v>
      </c>
      <c r="C4093" s="3" t="str">
        <f t="shared" si="158"/>
        <v>BRASIL</v>
      </c>
      <c r="D4093" s="4" t="str">
        <f>"PR274"</f>
        <v>PR274</v>
      </c>
    </row>
    <row r="4094" spans="1:4" x14ac:dyDescent="0.3">
      <c r="A4094" s="2" t="str">
        <f>"PLANALTO"</f>
        <v>PLANALTO</v>
      </c>
      <c r="B4094" s="3" t="str">
        <f>"RS"</f>
        <v>RS</v>
      </c>
      <c r="C4094" s="3" t="str">
        <f t="shared" si="158"/>
        <v>BRASIL</v>
      </c>
      <c r="D4094" s="4" t="str">
        <f>"RS320"</f>
        <v>RS320</v>
      </c>
    </row>
    <row r="4095" spans="1:4" x14ac:dyDescent="0.3">
      <c r="A4095" s="2" t="str">
        <f>"PLANALTO"</f>
        <v>PLANALTO</v>
      </c>
      <c r="B4095" s="3" t="str">
        <f>"SP"</f>
        <v>SP</v>
      </c>
      <c r="C4095" s="3" t="str">
        <f t="shared" si="158"/>
        <v>BRASIL</v>
      </c>
      <c r="D4095" s="4" t="str">
        <f>"SP443"</f>
        <v>SP443</v>
      </c>
    </row>
    <row r="4096" spans="1:4" x14ac:dyDescent="0.3">
      <c r="A4096" s="2" t="str">
        <f>"PLANALTO ALEGRE"</f>
        <v>PLANALTO ALEGRE</v>
      </c>
      <c r="B4096" s="3" t="str">
        <f>"SC"</f>
        <v>SC</v>
      </c>
      <c r="C4096" s="3" t="str">
        <f t="shared" si="158"/>
        <v>BRASIL</v>
      </c>
      <c r="D4096" s="4" t="str">
        <f>"SC198"</f>
        <v>SC198</v>
      </c>
    </row>
    <row r="4097" spans="1:4" x14ac:dyDescent="0.3">
      <c r="A4097" s="2" t="str">
        <f>"PLANALTO DA SERRA"</f>
        <v>PLANALTO DA SERRA</v>
      </c>
      <c r="B4097" s="3" t="str">
        <f>"MT"</f>
        <v>MT</v>
      </c>
      <c r="C4097" s="3" t="str">
        <f t="shared" si="158"/>
        <v>BRASIL</v>
      </c>
      <c r="D4097" s="4" t="str">
        <f>"MT090"</f>
        <v>MT090</v>
      </c>
    </row>
    <row r="4098" spans="1:4" x14ac:dyDescent="0.3">
      <c r="A4098" s="2" t="str">
        <f>"PLANURA"</f>
        <v>PLANURA</v>
      </c>
      <c r="B4098" s="3" t="str">
        <f>"MG"</f>
        <v>MG</v>
      </c>
      <c r="C4098" s="3" t="str">
        <f t="shared" si="158"/>
        <v>BRASIL</v>
      </c>
      <c r="D4098" s="4" t="str">
        <f>"MG603"</f>
        <v>MG603</v>
      </c>
    </row>
    <row r="4099" spans="1:4" x14ac:dyDescent="0.3">
      <c r="A4099" s="2" t="str">
        <f>"PLATINA"</f>
        <v>PLATINA</v>
      </c>
      <c r="B4099" s="3" t="str">
        <f>"SP"</f>
        <v>SP</v>
      </c>
      <c r="C4099" s="3" t="str">
        <f t="shared" si="158"/>
        <v>BRASIL</v>
      </c>
      <c r="D4099" s="4" t="str">
        <f>"SP444"</f>
        <v>SP444</v>
      </c>
    </row>
    <row r="4100" spans="1:4" x14ac:dyDescent="0.3">
      <c r="A4100" s="2" t="str">
        <f>"POA"</f>
        <v>POA</v>
      </c>
      <c r="B4100" s="3" t="str">
        <f>"SP"</f>
        <v>SP</v>
      </c>
      <c r="C4100" s="3" t="str">
        <f t="shared" si="158"/>
        <v>BRASIL</v>
      </c>
      <c r="D4100" s="4" t="str">
        <f>"SP445"</f>
        <v>SP445</v>
      </c>
    </row>
    <row r="4101" spans="1:4" x14ac:dyDescent="0.3">
      <c r="A4101" s="2" t="str">
        <f>"POCAO"</f>
        <v>POCAO</v>
      </c>
      <c r="B4101" s="3" t="str">
        <f>"PE"</f>
        <v>PE</v>
      </c>
      <c r="C4101" s="3" t="str">
        <f t="shared" si="158"/>
        <v>BRASIL</v>
      </c>
      <c r="D4101" s="4" t="str">
        <f>"PE127"</f>
        <v>PE127</v>
      </c>
    </row>
    <row r="4102" spans="1:4" x14ac:dyDescent="0.3">
      <c r="A4102" s="2" t="str">
        <f>"POCAO DE PEDRAS"</f>
        <v>POCAO DE PEDRAS</v>
      </c>
      <c r="B4102" s="3" t="str">
        <f>"MA"</f>
        <v>MA</v>
      </c>
      <c r="C4102" s="3" t="str">
        <f t="shared" si="158"/>
        <v>BRASIL</v>
      </c>
      <c r="D4102" s="4" t="str">
        <f>"MA147"</f>
        <v>MA147</v>
      </c>
    </row>
    <row r="4103" spans="1:4" x14ac:dyDescent="0.3">
      <c r="A4103" s="2" t="str">
        <f>"POCINHOS"</f>
        <v>POCINHOS</v>
      </c>
      <c r="B4103" s="3" t="str">
        <f>"PB"</f>
        <v>PB</v>
      </c>
      <c r="C4103" s="3" t="str">
        <f t="shared" si="158"/>
        <v>BRASIL</v>
      </c>
      <c r="D4103" s="4" t="str">
        <f>"PB148"</f>
        <v>PB148</v>
      </c>
    </row>
    <row r="4104" spans="1:4" x14ac:dyDescent="0.3">
      <c r="A4104" s="2" t="str">
        <f>"POCO BRANCO"</f>
        <v>POCO BRANCO</v>
      </c>
      <c r="B4104" s="3" t="str">
        <f>"RN"</f>
        <v>RN</v>
      </c>
      <c r="C4104" s="3" t="str">
        <f t="shared" si="158"/>
        <v>BRASIL</v>
      </c>
      <c r="D4104" s="4" t="str">
        <f>"RN110"</f>
        <v>RN110</v>
      </c>
    </row>
    <row r="4105" spans="1:4" x14ac:dyDescent="0.3">
      <c r="A4105" s="2" t="str">
        <f>"POCO DANTAS"</f>
        <v>POCO DANTAS</v>
      </c>
      <c r="B4105" s="3" t="str">
        <f>"PB"</f>
        <v>PB</v>
      </c>
      <c r="C4105" s="3" t="str">
        <f t="shared" si="158"/>
        <v>BRASIL</v>
      </c>
      <c r="D4105" s="4" t="str">
        <f>"PB149"</f>
        <v>PB149</v>
      </c>
    </row>
    <row r="4106" spans="1:4" x14ac:dyDescent="0.3">
      <c r="A4106" s="2" t="str">
        <f>"POCO DAS ANTAS"</f>
        <v>POCO DAS ANTAS</v>
      </c>
      <c r="B4106" s="3" t="str">
        <f>"RS"</f>
        <v>RS</v>
      </c>
      <c r="C4106" s="3" t="str">
        <f t="shared" si="158"/>
        <v>BRASIL</v>
      </c>
      <c r="D4106" s="4" t="str">
        <f>"RS321"</f>
        <v>RS321</v>
      </c>
    </row>
    <row r="4107" spans="1:4" x14ac:dyDescent="0.3">
      <c r="A4107" s="2" t="str">
        <f>"POCO DAS TRINCHEIRAS"</f>
        <v>POCO DAS TRINCHEIRAS</v>
      </c>
      <c r="B4107" s="3" t="str">
        <f>"AL"</f>
        <v>AL</v>
      </c>
      <c r="C4107" s="3" t="str">
        <f t="shared" si="158"/>
        <v>BRASIL</v>
      </c>
      <c r="D4107" s="4" t="str">
        <f>"AL078"</f>
        <v>AL078</v>
      </c>
    </row>
    <row r="4108" spans="1:4" x14ac:dyDescent="0.3">
      <c r="A4108" s="2" t="str">
        <f>"POCO DE JOSE DE MOURA"</f>
        <v>POCO DE JOSE DE MOURA</v>
      </c>
      <c r="B4108" s="3" t="str">
        <f>"PB"</f>
        <v>PB</v>
      </c>
      <c r="C4108" s="3" t="str">
        <f t="shared" si="158"/>
        <v>BRASIL</v>
      </c>
      <c r="D4108" s="4" t="str">
        <f>"PB150"</f>
        <v>PB150</v>
      </c>
    </row>
    <row r="4109" spans="1:4" x14ac:dyDescent="0.3">
      <c r="A4109" s="2" t="str">
        <f>"POCO FUNDO"</f>
        <v>POCO FUNDO</v>
      </c>
      <c r="B4109" s="3" t="str">
        <f>"MG"</f>
        <v>MG</v>
      </c>
      <c r="C4109" s="3" t="str">
        <f t="shared" si="158"/>
        <v>BRASIL</v>
      </c>
      <c r="D4109" s="4" t="str">
        <f>"MG604"</f>
        <v>MG604</v>
      </c>
    </row>
    <row r="4110" spans="1:4" x14ac:dyDescent="0.3">
      <c r="A4110" s="2" t="str">
        <f>"POCO REDONDO"</f>
        <v>POCO REDONDO</v>
      </c>
      <c r="B4110" s="3" t="str">
        <f>"SE"</f>
        <v>SE</v>
      </c>
      <c r="C4110" s="3" t="str">
        <f t="shared" si="158"/>
        <v>BRASIL</v>
      </c>
      <c r="D4110" s="4" t="str">
        <f>"SE053"</f>
        <v>SE053</v>
      </c>
    </row>
    <row r="4111" spans="1:4" x14ac:dyDescent="0.3">
      <c r="A4111" s="2" t="str">
        <f>"POCO VERDE"</f>
        <v>POCO VERDE</v>
      </c>
      <c r="B4111" s="3" t="str">
        <f>"SE"</f>
        <v>SE</v>
      </c>
      <c r="C4111" s="3" t="str">
        <f t="shared" si="158"/>
        <v>BRASIL</v>
      </c>
      <c r="D4111" s="4" t="str">
        <f>"SE054"</f>
        <v>SE054</v>
      </c>
    </row>
    <row r="4112" spans="1:4" x14ac:dyDescent="0.3">
      <c r="A4112" s="2" t="str">
        <f>"POCÕES"</f>
        <v>POCÕES</v>
      </c>
      <c r="B4112" s="3" t="str">
        <f>"BA"</f>
        <v>BA</v>
      </c>
      <c r="C4112" s="3" t="str">
        <f t="shared" si="158"/>
        <v>BRASIL</v>
      </c>
      <c r="D4112" s="4" t="str">
        <f>"BA308"</f>
        <v>BA308</v>
      </c>
    </row>
    <row r="4113" spans="1:4" x14ac:dyDescent="0.3">
      <c r="A4113" s="2" t="str">
        <f>"POCONE"</f>
        <v>POCONE</v>
      </c>
      <c r="B4113" s="3" t="str">
        <f>"MT"</f>
        <v>MT</v>
      </c>
      <c r="C4113" s="3" t="str">
        <f t="shared" si="158"/>
        <v>BRASIL</v>
      </c>
      <c r="D4113" s="4" t="str">
        <f>"MT091"</f>
        <v>MT091</v>
      </c>
    </row>
    <row r="4114" spans="1:4" x14ac:dyDescent="0.3">
      <c r="A4114" s="2" t="str">
        <f>"POCOS DE CALDAS"</f>
        <v>POCOS DE CALDAS</v>
      </c>
      <c r="B4114" s="3" t="str">
        <f>"MG"</f>
        <v>MG</v>
      </c>
      <c r="C4114" s="3" t="str">
        <f t="shared" si="158"/>
        <v>BRASIL</v>
      </c>
      <c r="D4114" s="4" t="str">
        <f>"MG605"</f>
        <v>MG605</v>
      </c>
    </row>
    <row r="4115" spans="1:4" x14ac:dyDescent="0.3">
      <c r="A4115" s="2" t="str">
        <f>"POCRANE"</f>
        <v>POCRANE</v>
      </c>
      <c r="B4115" s="3" t="str">
        <f>"MG"</f>
        <v>MG</v>
      </c>
      <c r="C4115" s="3" t="str">
        <f t="shared" si="158"/>
        <v>BRASIL</v>
      </c>
      <c r="D4115" s="4" t="str">
        <f>"MG606"</f>
        <v>MG606</v>
      </c>
    </row>
    <row r="4116" spans="1:4" x14ac:dyDescent="0.3">
      <c r="A4116" s="2" t="str">
        <f>"POJUCA"</f>
        <v>POJUCA</v>
      </c>
      <c r="B4116" s="3" t="str">
        <f>"BA"</f>
        <v>BA</v>
      </c>
      <c r="C4116" s="3" t="str">
        <f t="shared" ref="C4116:C4147" si="159">"BRASIL"</f>
        <v>BRASIL</v>
      </c>
      <c r="D4116" s="4" t="str">
        <f>"BA309"</f>
        <v>BA309</v>
      </c>
    </row>
    <row r="4117" spans="1:4" x14ac:dyDescent="0.3">
      <c r="A4117" s="2" t="str">
        <f>"POLONI"</f>
        <v>POLONI</v>
      </c>
      <c r="B4117" s="3" t="str">
        <f>"SP"</f>
        <v>SP</v>
      </c>
      <c r="C4117" s="3" t="str">
        <f t="shared" si="159"/>
        <v>BRASIL</v>
      </c>
      <c r="D4117" s="4" t="str">
        <f>"SP446"</f>
        <v>SP446</v>
      </c>
    </row>
    <row r="4118" spans="1:4" x14ac:dyDescent="0.3">
      <c r="A4118" s="2" t="str">
        <f>"POMBAL"</f>
        <v>POMBAL</v>
      </c>
      <c r="B4118" s="3" t="str">
        <f>"PB"</f>
        <v>PB</v>
      </c>
      <c r="C4118" s="3" t="str">
        <f t="shared" si="159"/>
        <v>BRASIL</v>
      </c>
      <c r="D4118" s="4" t="str">
        <f>"PB151"</f>
        <v>PB151</v>
      </c>
    </row>
    <row r="4119" spans="1:4" x14ac:dyDescent="0.3">
      <c r="A4119" s="2" t="str">
        <f>"POMBOS"</f>
        <v>POMBOS</v>
      </c>
      <c r="B4119" s="3" t="str">
        <f>"PE"</f>
        <v>PE</v>
      </c>
      <c r="C4119" s="3" t="str">
        <f t="shared" si="159"/>
        <v>BRASIL</v>
      </c>
      <c r="D4119" s="4" t="str">
        <f>"PE128"</f>
        <v>PE128</v>
      </c>
    </row>
    <row r="4120" spans="1:4" x14ac:dyDescent="0.3">
      <c r="A4120" s="2" t="str">
        <f>"POMERODE"</f>
        <v>POMERODE</v>
      </c>
      <c r="B4120" s="3" t="str">
        <f>"SC"</f>
        <v>SC</v>
      </c>
      <c r="C4120" s="3" t="str">
        <f t="shared" si="159"/>
        <v>BRASIL</v>
      </c>
      <c r="D4120" s="4" t="str">
        <f>"SC199"</f>
        <v>SC199</v>
      </c>
    </row>
    <row r="4121" spans="1:4" x14ac:dyDescent="0.3">
      <c r="A4121" s="2" t="str">
        <f>"POMPEIA"</f>
        <v>POMPEIA</v>
      </c>
      <c r="B4121" s="3" t="str">
        <f>"SP"</f>
        <v>SP</v>
      </c>
      <c r="C4121" s="3" t="str">
        <f t="shared" si="159"/>
        <v>BRASIL</v>
      </c>
      <c r="D4121" s="4" t="str">
        <f>"SP447"</f>
        <v>SP447</v>
      </c>
    </row>
    <row r="4122" spans="1:4" x14ac:dyDescent="0.3">
      <c r="A4122" s="2" t="str">
        <f>"POMPEU"</f>
        <v>POMPEU</v>
      </c>
      <c r="B4122" s="3" t="str">
        <f>"MG"</f>
        <v>MG</v>
      </c>
      <c r="C4122" s="3" t="str">
        <f t="shared" si="159"/>
        <v>BRASIL</v>
      </c>
      <c r="D4122" s="4" t="str">
        <f>"MG607"</f>
        <v>MG607</v>
      </c>
    </row>
    <row r="4123" spans="1:4" x14ac:dyDescent="0.3">
      <c r="A4123" s="2" t="str">
        <f>"PONGAI"</f>
        <v>PONGAI</v>
      </c>
      <c r="B4123" s="3" t="str">
        <f>"SP"</f>
        <v>SP</v>
      </c>
      <c r="C4123" s="3" t="str">
        <f t="shared" si="159"/>
        <v>BRASIL</v>
      </c>
      <c r="D4123" s="4" t="str">
        <f>"SP448"</f>
        <v>SP448</v>
      </c>
    </row>
    <row r="4124" spans="1:4" x14ac:dyDescent="0.3">
      <c r="A4124" s="2" t="str">
        <f>"PONTA DE PEDRAS"</f>
        <v>PONTA DE PEDRAS</v>
      </c>
      <c r="B4124" s="3" t="str">
        <f>"PA"</f>
        <v>PA</v>
      </c>
      <c r="C4124" s="3" t="str">
        <f t="shared" si="159"/>
        <v>BRASIL</v>
      </c>
      <c r="D4124" s="4" t="str">
        <f>"PA094"</f>
        <v>PA094</v>
      </c>
    </row>
    <row r="4125" spans="1:4" x14ac:dyDescent="0.3">
      <c r="A4125" s="2" t="str">
        <f>"PONTA GROSSA"</f>
        <v>PONTA GROSSA</v>
      </c>
      <c r="B4125" s="3" t="str">
        <f>"PR"</f>
        <v>PR</v>
      </c>
      <c r="C4125" s="3" t="str">
        <f t="shared" si="159"/>
        <v>BRASIL</v>
      </c>
      <c r="D4125" s="4" t="str">
        <f>"PR275"</f>
        <v>PR275</v>
      </c>
    </row>
    <row r="4126" spans="1:4" x14ac:dyDescent="0.3">
      <c r="A4126" s="2" t="str">
        <f>"PONTA PORA"</f>
        <v>PONTA PORA</v>
      </c>
      <c r="B4126" s="3" t="str">
        <f>"MS"</f>
        <v>MS</v>
      </c>
      <c r="C4126" s="3" t="str">
        <f t="shared" si="159"/>
        <v>BRASIL</v>
      </c>
      <c r="D4126" s="4" t="str">
        <f>"MS061"</f>
        <v>MS061</v>
      </c>
    </row>
    <row r="4127" spans="1:4" x14ac:dyDescent="0.3">
      <c r="A4127" s="2" t="str">
        <f>"PONTAL"</f>
        <v>PONTAL</v>
      </c>
      <c r="B4127" s="3" t="str">
        <f>"SP"</f>
        <v>SP</v>
      </c>
      <c r="C4127" s="3" t="str">
        <f t="shared" si="159"/>
        <v>BRASIL</v>
      </c>
      <c r="D4127" s="4" t="str">
        <f>"SP449"</f>
        <v>SP449</v>
      </c>
    </row>
    <row r="4128" spans="1:4" x14ac:dyDescent="0.3">
      <c r="A4128" s="2" t="str">
        <f>"PONTAL DO ARAGUAIA"</f>
        <v>PONTAL DO ARAGUAIA</v>
      </c>
      <c r="B4128" s="3" t="str">
        <f>"MT"</f>
        <v>MT</v>
      </c>
      <c r="C4128" s="3" t="str">
        <f t="shared" si="159"/>
        <v>BRASIL</v>
      </c>
      <c r="D4128" s="4" t="str">
        <f>"MT092"</f>
        <v>MT092</v>
      </c>
    </row>
    <row r="4129" spans="1:4" x14ac:dyDescent="0.3">
      <c r="A4129" s="2" t="str">
        <f>"PONTAL DO PARANA"</f>
        <v>PONTAL DO PARANA</v>
      </c>
      <c r="B4129" s="3" t="str">
        <f>"PR"</f>
        <v>PR</v>
      </c>
      <c r="C4129" s="3" t="str">
        <f t="shared" si="159"/>
        <v>BRASIL</v>
      </c>
      <c r="D4129" s="4" t="str">
        <f>"PR276"</f>
        <v>PR276</v>
      </c>
    </row>
    <row r="4130" spans="1:4" x14ac:dyDescent="0.3">
      <c r="A4130" s="2" t="str">
        <f>"PONTALINA"</f>
        <v>PONTALINA</v>
      </c>
      <c r="B4130" s="3" t="str">
        <f>"GO"</f>
        <v>GO</v>
      </c>
      <c r="C4130" s="3" t="str">
        <f t="shared" si="159"/>
        <v>BRASIL</v>
      </c>
      <c r="D4130" s="4" t="str">
        <f>"GO188"</f>
        <v>GO188</v>
      </c>
    </row>
    <row r="4131" spans="1:4" x14ac:dyDescent="0.3">
      <c r="A4131" s="2" t="str">
        <f>"PONTALINDA"</f>
        <v>PONTALINDA</v>
      </c>
      <c r="B4131" s="3" t="str">
        <f>"SP"</f>
        <v>SP</v>
      </c>
      <c r="C4131" s="3" t="str">
        <f t="shared" si="159"/>
        <v>BRASIL</v>
      </c>
      <c r="D4131" s="4" t="str">
        <f>"SP450"</f>
        <v>SP450</v>
      </c>
    </row>
    <row r="4132" spans="1:4" x14ac:dyDescent="0.3">
      <c r="A4132" s="2" t="str">
        <f>"PONTAO"</f>
        <v>PONTAO</v>
      </c>
      <c r="B4132" s="3" t="str">
        <f>"RS"</f>
        <v>RS</v>
      </c>
      <c r="C4132" s="3" t="str">
        <f t="shared" si="159"/>
        <v>BRASIL</v>
      </c>
      <c r="D4132" s="4" t="str">
        <f>"RS322"</f>
        <v>RS322</v>
      </c>
    </row>
    <row r="4133" spans="1:4" x14ac:dyDescent="0.3">
      <c r="A4133" s="2" t="str">
        <f>"PONTE ALTA"</f>
        <v>PONTE ALTA</v>
      </c>
      <c r="B4133" s="3" t="str">
        <f>"SC"</f>
        <v>SC</v>
      </c>
      <c r="C4133" s="3" t="str">
        <f t="shared" si="159"/>
        <v>BRASIL</v>
      </c>
      <c r="D4133" s="4" t="str">
        <f>"SC200"</f>
        <v>SC200</v>
      </c>
    </row>
    <row r="4134" spans="1:4" x14ac:dyDescent="0.3">
      <c r="A4134" s="2" t="str">
        <f>"PONTE ALTA DO BOM JESUS"</f>
        <v>PONTE ALTA DO BOM JESUS</v>
      </c>
      <c r="B4134" s="3" t="str">
        <f>"TO"</f>
        <v>TO</v>
      </c>
      <c r="C4134" s="3" t="str">
        <f t="shared" si="159"/>
        <v>BRASIL</v>
      </c>
      <c r="D4134" s="4" t="str">
        <f>"TO101"</f>
        <v>TO101</v>
      </c>
    </row>
    <row r="4135" spans="1:4" x14ac:dyDescent="0.3">
      <c r="A4135" s="2" t="str">
        <f>"PONTE ALTA DO NORTE"</f>
        <v>PONTE ALTA DO NORTE</v>
      </c>
      <c r="B4135" s="3" t="str">
        <f>"SC"</f>
        <v>SC</v>
      </c>
      <c r="C4135" s="3" t="str">
        <f t="shared" si="159"/>
        <v>BRASIL</v>
      </c>
      <c r="D4135" s="4" t="str">
        <f>"SC201"</f>
        <v>SC201</v>
      </c>
    </row>
    <row r="4136" spans="1:4" x14ac:dyDescent="0.3">
      <c r="A4136" s="2" t="str">
        <f>"PONTE ALTA DO TOCANTINS"</f>
        <v>PONTE ALTA DO TOCANTINS</v>
      </c>
      <c r="B4136" s="3" t="str">
        <f>"TO"</f>
        <v>TO</v>
      </c>
      <c r="C4136" s="3" t="str">
        <f t="shared" si="159"/>
        <v>BRASIL</v>
      </c>
      <c r="D4136" s="4" t="str">
        <f>"TO102"</f>
        <v>TO102</v>
      </c>
    </row>
    <row r="4137" spans="1:4" x14ac:dyDescent="0.3">
      <c r="A4137" s="2" t="str">
        <f>"PONTE BRANCA"</f>
        <v>PONTE BRANCA</v>
      </c>
      <c r="B4137" s="3" t="str">
        <f>"MT"</f>
        <v>MT</v>
      </c>
      <c r="C4137" s="3" t="str">
        <f t="shared" si="159"/>
        <v>BRASIL</v>
      </c>
      <c r="D4137" s="4" t="str">
        <f>"MT093"</f>
        <v>MT093</v>
      </c>
    </row>
    <row r="4138" spans="1:4" x14ac:dyDescent="0.3">
      <c r="A4138" s="2" t="str">
        <f>"PONTE NOVA"</f>
        <v>PONTE NOVA</v>
      </c>
      <c r="B4138" s="3" t="str">
        <f>"MG"</f>
        <v>MG</v>
      </c>
      <c r="C4138" s="3" t="str">
        <f t="shared" si="159"/>
        <v>BRASIL</v>
      </c>
      <c r="D4138" s="4" t="str">
        <f>"MG608"</f>
        <v>MG608</v>
      </c>
    </row>
    <row r="4139" spans="1:4" x14ac:dyDescent="0.3">
      <c r="A4139" s="2" t="str">
        <f>"PONTE PRETA"</f>
        <v>PONTE PRETA</v>
      </c>
      <c r="B4139" s="3" t="str">
        <f>"RS"</f>
        <v>RS</v>
      </c>
      <c r="C4139" s="3" t="str">
        <f t="shared" si="159"/>
        <v>BRASIL</v>
      </c>
      <c r="D4139" s="4" t="str">
        <f>"RS323"</f>
        <v>RS323</v>
      </c>
    </row>
    <row r="4140" spans="1:4" x14ac:dyDescent="0.3">
      <c r="A4140" s="2" t="str">
        <f>"PONTE SERRADA"</f>
        <v>PONTE SERRADA</v>
      </c>
      <c r="B4140" s="3" t="str">
        <f>"SC"</f>
        <v>SC</v>
      </c>
      <c r="C4140" s="3" t="str">
        <f t="shared" si="159"/>
        <v>BRASIL</v>
      </c>
      <c r="D4140" s="4" t="str">
        <f>"SC202"</f>
        <v>SC202</v>
      </c>
    </row>
    <row r="4141" spans="1:4" x14ac:dyDescent="0.3">
      <c r="A4141" s="2" t="str">
        <f>"PONTES E LACERDA"</f>
        <v>PONTES E LACERDA</v>
      </c>
      <c r="B4141" s="3" t="str">
        <f>"MT"</f>
        <v>MT</v>
      </c>
      <c r="C4141" s="3" t="str">
        <f t="shared" si="159"/>
        <v>BRASIL</v>
      </c>
      <c r="D4141" s="4" t="str">
        <f>"MT094"</f>
        <v>MT094</v>
      </c>
    </row>
    <row r="4142" spans="1:4" x14ac:dyDescent="0.3">
      <c r="A4142" s="2" t="str">
        <f>"PONTES GESTAL"</f>
        <v>PONTES GESTAL</v>
      </c>
      <c r="B4142" s="3" t="str">
        <f>"SP"</f>
        <v>SP</v>
      </c>
      <c r="C4142" s="3" t="str">
        <f t="shared" si="159"/>
        <v>BRASIL</v>
      </c>
      <c r="D4142" s="4" t="str">
        <f>"SP451"</f>
        <v>SP451</v>
      </c>
    </row>
    <row r="4143" spans="1:4" x14ac:dyDescent="0.3">
      <c r="A4143" s="2" t="str">
        <f>"PONTO BELO"</f>
        <v>PONTO BELO</v>
      </c>
      <c r="B4143" s="3" t="str">
        <f>"ES"</f>
        <v>ES</v>
      </c>
      <c r="C4143" s="3" t="str">
        <f t="shared" si="159"/>
        <v>BRASIL</v>
      </c>
      <c r="D4143" s="4" t="str">
        <f>"ES058"</f>
        <v>ES058</v>
      </c>
    </row>
    <row r="4144" spans="1:4" x14ac:dyDescent="0.3">
      <c r="A4144" s="2" t="str">
        <f>"PONTO CHIQUE"</f>
        <v>PONTO CHIQUE</v>
      </c>
      <c r="B4144" s="3" t="str">
        <f>"MG"</f>
        <v>MG</v>
      </c>
      <c r="C4144" s="3" t="str">
        <f t="shared" si="159"/>
        <v>BRASIL</v>
      </c>
      <c r="D4144" s="4" t="str">
        <f>"MG609"</f>
        <v>MG609</v>
      </c>
    </row>
    <row r="4145" spans="1:4" x14ac:dyDescent="0.3">
      <c r="A4145" s="2" t="str">
        <f>"PONTO DOS VOLANTES"</f>
        <v>PONTO DOS VOLANTES</v>
      </c>
      <c r="B4145" s="3" t="str">
        <f>"MG"</f>
        <v>MG</v>
      </c>
      <c r="C4145" s="3" t="str">
        <f t="shared" si="159"/>
        <v>BRASIL</v>
      </c>
      <c r="D4145" s="4" t="str">
        <f>"MG610"</f>
        <v>MG610</v>
      </c>
    </row>
    <row r="4146" spans="1:4" x14ac:dyDescent="0.3">
      <c r="A4146" s="2" t="str">
        <f>"PONTO NOVO"</f>
        <v>PONTO NOVO</v>
      </c>
      <c r="B4146" s="3" t="str">
        <f>"BA"</f>
        <v>BA</v>
      </c>
      <c r="C4146" s="3" t="str">
        <f t="shared" si="159"/>
        <v>BRASIL</v>
      </c>
      <c r="D4146" s="4" t="str">
        <f>"BA310"</f>
        <v>BA310</v>
      </c>
    </row>
    <row r="4147" spans="1:4" x14ac:dyDescent="0.3">
      <c r="A4147" s="2" t="str">
        <f>"POPULINA"</f>
        <v>POPULINA</v>
      </c>
      <c r="B4147" s="3" t="str">
        <f>"SP"</f>
        <v>SP</v>
      </c>
      <c r="C4147" s="3" t="str">
        <f t="shared" si="159"/>
        <v>BRASIL</v>
      </c>
      <c r="D4147" s="4" t="str">
        <f>"SP452"</f>
        <v>SP452</v>
      </c>
    </row>
    <row r="4148" spans="1:4" x14ac:dyDescent="0.3">
      <c r="A4148" s="2" t="str">
        <f>"PORANGA"</f>
        <v>PORANGA</v>
      </c>
      <c r="B4148" s="3" t="str">
        <f>"CE"</f>
        <v>CE</v>
      </c>
      <c r="C4148" s="3" t="str">
        <f t="shared" ref="C4148:C4179" si="160">"BRASIL"</f>
        <v>BRASIL</v>
      </c>
      <c r="D4148" s="4" t="str">
        <f>"CE144"</f>
        <v>CE144</v>
      </c>
    </row>
    <row r="4149" spans="1:4" x14ac:dyDescent="0.3">
      <c r="A4149" s="2" t="str">
        <f>"PORANGABA"</f>
        <v>PORANGABA</v>
      </c>
      <c r="B4149" s="3" t="str">
        <f>"SP"</f>
        <v>SP</v>
      </c>
      <c r="C4149" s="3" t="str">
        <f t="shared" si="160"/>
        <v>BRASIL</v>
      </c>
      <c r="D4149" s="4" t="str">
        <f>"SP453"</f>
        <v>SP453</v>
      </c>
    </row>
    <row r="4150" spans="1:4" x14ac:dyDescent="0.3">
      <c r="A4150" s="2" t="str">
        <f>"PORANGATU"</f>
        <v>PORANGATU</v>
      </c>
      <c r="B4150" s="3" t="str">
        <f>"GO"</f>
        <v>GO</v>
      </c>
      <c r="C4150" s="3" t="str">
        <f t="shared" si="160"/>
        <v>BRASIL</v>
      </c>
      <c r="D4150" s="4" t="str">
        <f>"GO189"</f>
        <v>GO189</v>
      </c>
    </row>
    <row r="4151" spans="1:4" x14ac:dyDescent="0.3">
      <c r="A4151" s="2" t="str">
        <f>"PORCIUNCULA"</f>
        <v>PORCIUNCULA</v>
      </c>
      <c r="B4151" s="3" t="str">
        <f>"RJ"</f>
        <v>RJ</v>
      </c>
      <c r="C4151" s="3" t="str">
        <f t="shared" si="160"/>
        <v>BRASIL</v>
      </c>
      <c r="D4151" s="4" t="str">
        <f>"RJ058"</f>
        <v>RJ058</v>
      </c>
    </row>
    <row r="4152" spans="1:4" x14ac:dyDescent="0.3">
      <c r="A4152" s="2" t="str">
        <f>"PORECATU"</f>
        <v>PORECATU</v>
      </c>
      <c r="B4152" s="3" t="str">
        <f>"PR"</f>
        <v>PR</v>
      </c>
      <c r="C4152" s="3" t="str">
        <f t="shared" si="160"/>
        <v>BRASIL</v>
      </c>
      <c r="D4152" s="4" t="str">
        <f>"PR277"</f>
        <v>PR277</v>
      </c>
    </row>
    <row r="4153" spans="1:4" x14ac:dyDescent="0.3">
      <c r="A4153" s="2" t="str">
        <f>"PORTALEGRE"</f>
        <v>PORTALEGRE</v>
      </c>
      <c r="B4153" s="3" t="str">
        <f>"RN"</f>
        <v>RN</v>
      </c>
      <c r="C4153" s="3" t="str">
        <f t="shared" si="160"/>
        <v>BRASIL</v>
      </c>
      <c r="D4153" s="4" t="str">
        <f>"RN111"</f>
        <v>RN111</v>
      </c>
    </row>
    <row r="4154" spans="1:4" x14ac:dyDescent="0.3">
      <c r="A4154" s="2" t="str">
        <f>"PORTAO"</f>
        <v>PORTAO</v>
      </c>
      <c r="B4154" s="3" t="str">
        <f>"RS"</f>
        <v>RS</v>
      </c>
      <c r="C4154" s="3" t="str">
        <f t="shared" si="160"/>
        <v>BRASIL</v>
      </c>
      <c r="D4154" s="4" t="str">
        <f>"RS324"</f>
        <v>RS324</v>
      </c>
    </row>
    <row r="4155" spans="1:4" x14ac:dyDescent="0.3">
      <c r="A4155" s="2" t="str">
        <f>"PORTEIRAO"</f>
        <v>PORTEIRAO</v>
      </c>
      <c r="B4155" s="3" t="str">
        <f>"GO"</f>
        <v>GO</v>
      </c>
      <c r="C4155" s="3" t="str">
        <f t="shared" si="160"/>
        <v>BRASIL</v>
      </c>
      <c r="D4155" s="4" t="str">
        <f>"GO190"</f>
        <v>GO190</v>
      </c>
    </row>
    <row r="4156" spans="1:4" x14ac:dyDescent="0.3">
      <c r="A4156" s="2" t="str">
        <f>"PORTEIRAS"</f>
        <v>PORTEIRAS</v>
      </c>
      <c r="B4156" s="3" t="str">
        <f>"CE"</f>
        <v>CE</v>
      </c>
      <c r="C4156" s="3" t="str">
        <f t="shared" si="160"/>
        <v>BRASIL</v>
      </c>
      <c r="D4156" s="4" t="str">
        <f>"CE145"</f>
        <v>CE145</v>
      </c>
    </row>
    <row r="4157" spans="1:4" x14ac:dyDescent="0.3">
      <c r="A4157" s="2" t="str">
        <f>"PORTEIRINHA"</f>
        <v>PORTEIRINHA</v>
      </c>
      <c r="B4157" s="3" t="str">
        <f>"MG"</f>
        <v>MG</v>
      </c>
      <c r="C4157" s="3" t="str">
        <f t="shared" si="160"/>
        <v>BRASIL</v>
      </c>
      <c r="D4157" s="4" t="str">
        <f>"MG611"</f>
        <v>MG611</v>
      </c>
    </row>
    <row r="4158" spans="1:4" x14ac:dyDescent="0.3">
      <c r="A4158" s="2" t="str">
        <f>"PORTEL"</f>
        <v>PORTEL</v>
      </c>
      <c r="B4158" s="3" t="str">
        <f>"PA"</f>
        <v>PA</v>
      </c>
      <c r="C4158" s="3" t="str">
        <f t="shared" si="160"/>
        <v>BRASIL</v>
      </c>
      <c r="D4158" s="4" t="str">
        <f>"PA095"</f>
        <v>PA095</v>
      </c>
    </row>
    <row r="4159" spans="1:4" x14ac:dyDescent="0.3">
      <c r="A4159" s="2" t="str">
        <f>"PORTELANDIA"</f>
        <v>PORTELANDIA</v>
      </c>
      <c r="B4159" s="3" t="str">
        <f>"GO"</f>
        <v>GO</v>
      </c>
      <c r="C4159" s="3" t="str">
        <f t="shared" si="160"/>
        <v>BRASIL</v>
      </c>
      <c r="D4159" s="4" t="str">
        <f>"GO191"</f>
        <v>GO191</v>
      </c>
    </row>
    <row r="4160" spans="1:4" x14ac:dyDescent="0.3">
      <c r="A4160" s="2" t="str">
        <f>"PORTO"</f>
        <v>PORTO</v>
      </c>
      <c r="B4160" s="3" t="str">
        <f>"PI"</f>
        <v>PI</v>
      </c>
      <c r="C4160" s="3" t="str">
        <f t="shared" si="160"/>
        <v>BRASIL</v>
      </c>
      <c r="D4160" s="4" t="str">
        <f>"PI164"</f>
        <v>PI164</v>
      </c>
    </row>
    <row r="4161" spans="1:4" x14ac:dyDescent="0.3">
      <c r="A4161" s="2" t="str">
        <f>"PORTO ACRE"</f>
        <v>PORTO ACRE</v>
      </c>
      <c r="B4161" s="3" t="str">
        <f>"AC"</f>
        <v>AC</v>
      </c>
      <c r="C4161" s="3" t="str">
        <f t="shared" si="160"/>
        <v>BRASIL</v>
      </c>
      <c r="D4161" s="4" t="str">
        <f>"AC022"</f>
        <v>AC022</v>
      </c>
    </row>
    <row r="4162" spans="1:4" x14ac:dyDescent="0.3">
      <c r="A4162" s="2" t="str">
        <f>"PORTO ALEGRE"</f>
        <v>PORTO ALEGRE</v>
      </c>
      <c r="B4162" s="3" t="str">
        <f>"RS"</f>
        <v>RS</v>
      </c>
      <c r="C4162" s="3" t="str">
        <f t="shared" si="160"/>
        <v>BRASIL</v>
      </c>
      <c r="D4162" s="4" t="str">
        <f>"RS325"</f>
        <v>RS325</v>
      </c>
    </row>
    <row r="4163" spans="1:4" x14ac:dyDescent="0.3">
      <c r="A4163" s="2" t="str">
        <f>"PORTO ALEGRE DO NORTE"</f>
        <v>PORTO ALEGRE DO NORTE</v>
      </c>
      <c r="B4163" s="3" t="str">
        <f>"MT"</f>
        <v>MT</v>
      </c>
      <c r="C4163" s="3" t="str">
        <f t="shared" si="160"/>
        <v>BRASIL</v>
      </c>
      <c r="D4163" s="4" t="str">
        <f>"MT095"</f>
        <v>MT095</v>
      </c>
    </row>
    <row r="4164" spans="1:4" x14ac:dyDescent="0.3">
      <c r="A4164" s="2" t="str">
        <f>"PORTO ALEGRE DO PIAUI"</f>
        <v>PORTO ALEGRE DO PIAUI</v>
      </c>
      <c r="B4164" s="3" t="str">
        <f>"PI"</f>
        <v>PI</v>
      </c>
      <c r="C4164" s="3" t="str">
        <f t="shared" si="160"/>
        <v>BRASIL</v>
      </c>
      <c r="D4164" s="4" t="str">
        <f>"PI165"</f>
        <v>PI165</v>
      </c>
    </row>
    <row r="4165" spans="1:4" x14ac:dyDescent="0.3">
      <c r="A4165" s="2" t="str">
        <f>"PORTO ALEGRE DO TOCANTINS"</f>
        <v>PORTO ALEGRE DO TOCANTINS</v>
      </c>
      <c r="B4165" s="3" t="str">
        <f>"TO"</f>
        <v>TO</v>
      </c>
      <c r="C4165" s="3" t="str">
        <f t="shared" si="160"/>
        <v>BRASIL</v>
      </c>
      <c r="D4165" s="4" t="str">
        <f>"TO103"</f>
        <v>TO103</v>
      </c>
    </row>
    <row r="4166" spans="1:4" x14ac:dyDescent="0.3">
      <c r="A4166" s="2" t="str">
        <f>"PORTO AMAZONAS"</f>
        <v>PORTO AMAZONAS</v>
      </c>
      <c r="B4166" s="3" t="str">
        <f>"PR"</f>
        <v>PR</v>
      </c>
      <c r="C4166" s="3" t="str">
        <f t="shared" si="160"/>
        <v>BRASIL</v>
      </c>
      <c r="D4166" s="4" t="str">
        <f>"PR278"</f>
        <v>PR278</v>
      </c>
    </row>
    <row r="4167" spans="1:4" x14ac:dyDescent="0.3">
      <c r="A4167" s="2" t="str">
        <f>"PORTO BARREIRO"</f>
        <v>PORTO BARREIRO</v>
      </c>
      <c r="B4167" s="3" t="str">
        <f>"PR"</f>
        <v>PR</v>
      </c>
      <c r="C4167" s="3" t="str">
        <f t="shared" si="160"/>
        <v>BRASIL</v>
      </c>
      <c r="D4167" s="4" t="str">
        <f>"PR279"</f>
        <v>PR279</v>
      </c>
    </row>
    <row r="4168" spans="1:4" x14ac:dyDescent="0.3">
      <c r="A4168" s="2" t="str">
        <f>"PORTO BELO"</f>
        <v>PORTO BELO</v>
      </c>
      <c r="B4168" s="3" t="str">
        <f>"SC"</f>
        <v>SC</v>
      </c>
      <c r="C4168" s="3" t="str">
        <f t="shared" si="160"/>
        <v>BRASIL</v>
      </c>
      <c r="D4168" s="4" t="str">
        <f>"SC203"</f>
        <v>SC203</v>
      </c>
    </row>
    <row r="4169" spans="1:4" x14ac:dyDescent="0.3">
      <c r="A4169" s="2" t="str">
        <f>"PORTO CALVO"</f>
        <v>PORTO CALVO</v>
      </c>
      <c r="B4169" s="3" t="str">
        <f>"AL"</f>
        <v>AL</v>
      </c>
      <c r="C4169" s="3" t="str">
        <f t="shared" si="160"/>
        <v>BRASIL</v>
      </c>
      <c r="D4169" s="4" t="str">
        <f>"AL079"</f>
        <v>AL079</v>
      </c>
    </row>
    <row r="4170" spans="1:4" x14ac:dyDescent="0.3">
      <c r="A4170" s="2" t="str">
        <f>"PORTO DA FOLHA"</f>
        <v>PORTO DA FOLHA</v>
      </c>
      <c r="B4170" s="3" t="str">
        <f>"SE"</f>
        <v>SE</v>
      </c>
      <c r="C4170" s="3" t="str">
        <f t="shared" si="160"/>
        <v>BRASIL</v>
      </c>
      <c r="D4170" s="4" t="str">
        <f>"SE055"</f>
        <v>SE055</v>
      </c>
    </row>
    <row r="4171" spans="1:4" x14ac:dyDescent="0.3">
      <c r="A4171" s="2" t="str">
        <f>"PORTO DE MOZ"</f>
        <v>PORTO DE MOZ</v>
      </c>
      <c r="B4171" s="3" t="str">
        <f>"PA"</f>
        <v>PA</v>
      </c>
      <c r="C4171" s="3" t="str">
        <f t="shared" si="160"/>
        <v>BRASIL</v>
      </c>
      <c r="D4171" s="4" t="str">
        <f>"PA096"</f>
        <v>PA096</v>
      </c>
    </row>
    <row r="4172" spans="1:4" x14ac:dyDescent="0.3">
      <c r="A4172" s="2" t="str">
        <f>"PORTO DE PEDRAS"</f>
        <v>PORTO DE PEDRAS</v>
      </c>
      <c r="B4172" s="3" t="str">
        <f>"AL"</f>
        <v>AL</v>
      </c>
      <c r="C4172" s="3" t="str">
        <f t="shared" si="160"/>
        <v>BRASIL</v>
      </c>
      <c r="D4172" s="4" t="str">
        <f>"AL080"</f>
        <v>AL080</v>
      </c>
    </row>
    <row r="4173" spans="1:4" x14ac:dyDescent="0.3">
      <c r="A4173" s="2" t="str">
        <f>"PORTO DO MANGUE"</f>
        <v>PORTO DO MANGUE</v>
      </c>
      <c r="B4173" s="3" t="str">
        <f>"RN"</f>
        <v>RN</v>
      </c>
      <c r="C4173" s="3" t="str">
        <f t="shared" si="160"/>
        <v>BRASIL</v>
      </c>
      <c r="D4173" s="4" t="str">
        <f>"RN112"</f>
        <v>RN112</v>
      </c>
    </row>
    <row r="4174" spans="1:4" x14ac:dyDescent="0.3">
      <c r="A4174" s="2" t="str">
        <f>"PORTO DOS GAUCHOS"</f>
        <v>PORTO DOS GAUCHOS</v>
      </c>
      <c r="B4174" s="3" t="str">
        <f>"MT"</f>
        <v>MT</v>
      </c>
      <c r="C4174" s="3" t="str">
        <f t="shared" si="160"/>
        <v>BRASIL</v>
      </c>
      <c r="D4174" s="4" t="str">
        <f>"MT096"</f>
        <v>MT096</v>
      </c>
    </row>
    <row r="4175" spans="1:4" x14ac:dyDescent="0.3">
      <c r="A4175" s="2" t="str">
        <f>"PORTO ESPERIDIAO"</f>
        <v>PORTO ESPERIDIAO</v>
      </c>
      <c r="B4175" s="3" t="str">
        <f>"MT"</f>
        <v>MT</v>
      </c>
      <c r="C4175" s="3" t="str">
        <f t="shared" si="160"/>
        <v>BRASIL</v>
      </c>
      <c r="D4175" s="4" t="str">
        <f>"MT097"</f>
        <v>MT097</v>
      </c>
    </row>
    <row r="4176" spans="1:4" x14ac:dyDescent="0.3">
      <c r="A4176" s="2" t="str">
        <f>"PORTO ESTRELA"</f>
        <v>PORTO ESTRELA</v>
      </c>
      <c r="B4176" s="3" t="str">
        <f>"MT"</f>
        <v>MT</v>
      </c>
      <c r="C4176" s="3" t="str">
        <f t="shared" si="160"/>
        <v>BRASIL</v>
      </c>
      <c r="D4176" s="4" t="str">
        <f>"MT098"</f>
        <v>MT098</v>
      </c>
    </row>
    <row r="4177" spans="1:4" x14ac:dyDescent="0.3">
      <c r="A4177" s="2" t="str">
        <f>"PORTO FELIZ"</f>
        <v>PORTO FELIZ</v>
      </c>
      <c r="B4177" s="3" t="str">
        <f>"SP"</f>
        <v>SP</v>
      </c>
      <c r="C4177" s="3" t="str">
        <f t="shared" si="160"/>
        <v>BRASIL</v>
      </c>
      <c r="D4177" s="4" t="str">
        <f>"SP454"</f>
        <v>SP454</v>
      </c>
    </row>
    <row r="4178" spans="1:4" x14ac:dyDescent="0.3">
      <c r="A4178" s="2" t="str">
        <f>"PORTO FERREIRA"</f>
        <v>PORTO FERREIRA</v>
      </c>
      <c r="B4178" s="3" t="str">
        <f>"SP"</f>
        <v>SP</v>
      </c>
      <c r="C4178" s="3" t="str">
        <f t="shared" si="160"/>
        <v>BRASIL</v>
      </c>
      <c r="D4178" s="4" t="str">
        <f>"SP455"</f>
        <v>SP455</v>
      </c>
    </row>
    <row r="4179" spans="1:4" x14ac:dyDescent="0.3">
      <c r="A4179" s="2" t="str">
        <f>"PORTO FIRME"</f>
        <v>PORTO FIRME</v>
      </c>
      <c r="B4179" s="3" t="str">
        <f>"MG"</f>
        <v>MG</v>
      </c>
      <c r="C4179" s="3" t="str">
        <f t="shared" si="160"/>
        <v>BRASIL</v>
      </c>
      <c r="D4179" s="4" t="str">
        <f>"MG612"</f>
        <v>MG612</v>
      </c>
    </row>
    <row r="4180" spans="1:4" x14ac:dyDescent="0.3">
      <c r="A4180" s="2" t="str">
        <f>"PORTO FRANCO"</f>
        <v>PORTO FRANCO</v>
      </c>
      <c r="B4180" s="3" t="str">
        <f>"MA"</f>
        <v>MA</v>
      </c>
      <c r="C4180" s="3" t="str">
        <f t="shared" ref="C4180:C4208" si="161">"BRASIL"</f>
        <v>BRASIL</v>
      </c>
      <c r="D4180" s="4" t="str">
        <f>"MA148"</f>
        <v>MA148</v>
      </c>
    </row>
    <row r="4181" spans="1:4" x14ac:dyDescent="0.3">
      <c r="A4181" s="2" t="str">
        <f>"PORTO GRANDE"</f>
        <v>PORTO GRANDE</v>
      </c>
      <c r="B4181" s="3" t="str">
        <f>"AP"</f>
        <v>AP</v>
      </c>
      <c r="C4181" s="3" t="str">
        <f t="shared" si="161"/>
        <v>BRASIL</v>
      </c>
      <c r="D4181" s="4" t="str">
        <f>"AP012"</f>
        <v>AP012</v>
      </c>
    </row>
    <row r="4182" spans="1:4" x14ac:dyDescent="0.3">
      <c r="A4182" s="2" t="str">
        <f>"PORTO LUCENA"</f>
        <v>PORTO LUCENA</v>
      </c>
      <c r="B4182" s="3" t="str">
        <f>"RS"</f>
        <v>RS</v>
      </c>
      <c r="C4182" s="3" t="str">
        <f t="shared" si="161"/>
        <v>BRASIL</v>
      </c>
      <c r="D4182" s="4" t="str">
        <f>"RS326"</f>
        <v>RS326</v>
      </c>
    </row>
    <row r="4183" spans="1:4" x14ac:dyDescent="0.3">
      <c r="A4183" s="2" t="str">
        <f>"PORTO MAUA"</f>
        <v>PORTO MAUA</v>
      </c>
      <c r="B4183" s="3" t="str">
        <f>"RS"</f>
        <v>RS</v>
      </c>
      <c r="C4183" s="3" t="str">
        <f t="shared" si="161"/>
        <v>BRASIL</v>
      </c>
      <c r="D4183" s="4" t="str">
        <f>"RS327"</f>
        <v>RS327</v>
      </c>
    </row>
    <row r="4184" spans="1:4" x14ac:dyDescent="0.3">
      <c r="A4184" s="2" t="str">
        <f>"PORTO MURTINHO"</f>
        <v>PORTO MURTINHO</v>
      </c>
      <c r="B4184" s="3" t="str">
        <f>"MS"</f>
        <v>MS</v>
      </c>
      <c r="C4184" s="3" t="str">
        <f t="shared" si="161"/>
        <v>BRASIL</v>
      </c>
      <c r="D4184" s="4" t="str">
        <f>"MS062"</f>
        <v>MS062</v>
      </c>
    </row>
    <row r="4185" spans="1:4" x14ac:dyDescent="0.3">
      <c r="A4185" s="2" t="str">
        <f>"PORTO NACIONAL"</f>
        <v>PORTO NACIONAL</v>
      </c>
      <c r="B4185" s="3" t="str">
        <f>"TO"</f>
        <v>TO</v>
      </c>
      <c r="C4185" s="3" t="str">
        <f t="shared" si="161"/>
        <v>BRASIL</v>
      </c>
      <c r="D4185" s="4" t="str">
        <f>"TO104"</f>
        <v>TO104</v>
      </c>
    </row>
    <row r="4186" spans="1:4" x14ac:dyDescent="0.3">
      <c r="A4186" s="2" t="str">
        <f>"PORTO REAL"</f>
        <v>PORTO REAL</v>
      </c>
      <c r="B4186" s="3" t="str">
        <f>"RJ"</f>
        <v>RJ</v>
      </c>
      <c r="C4186" s="3" t="str">
        <f t="shared" si="161"/>
        <v>BRASIL</v>
      </c>
      <c r="D4186" s="4" t="str">
        <f>"RJ059"</f>
        <v>RJ059</v>
      </c>
    </row>
    <row r="4187" spans="1:4" x14ac:dyDescent="0.3">
      <c r="A4187" s="2" t="str">
        <f>"PORTO REAL DO COLEGIO"</f>
        <v>PORTO REAL DO COLEGIO</v>
      </c>
      <c r="B4187" s="3" t="str">
        <f>"AL"</f>
        <v>AL</v>
      </c>
      <c r="C4187" s="3" t="str">
        <f t="shared" si="161"/>
        <v>BRASIL</v>
      </c>
      <c r="D4187" s="4" t="str">
        <f>"AL081"</f>
        <v>AL081</v>
      </c>
    </row>
    <row r="4188" spans="1:4" x14ac:dyDescent="0.3">
      <c r="A4188" s="2" t="str">
        <f>"PORTO RICO"</f>
        <v>PORTO RICO</v>
      </c>
      <c r="B4188" s="3" t="str">
        <f>"PR"</f>
        <v>PR</v>
      </c>
      <c r="C4188" s="3" t="str">
        <f t="shared" si="161"/>
        <v>BRASIL</v>
      </c>
      <c r="D4188" s="4" t="str">
        <f>"PR280"</f>
        <v>PR280</v>
      </c>
    </row>
    <row r="4189" spans="1:4" x14ac:dyDescent="0.3">
      <c r="A4189" s="2" t="str">
        <f>"PORTO RICO DO MARANHAO"</f>
        <v>PORTO RICO DO MARANHAO</v>
      </c>
      <c r="B4189" s="3" t="str">
        <f>"MA"</f>
        <v>MA</v>
      </c>
      <c r="C4189" s="3" t="str">
        <f t="shared" si="161"/>
        <v>BRASIL</v>
      </c>
      <c r="D4189" s="4" t="str">
        <f>"MA149"</f>
        <v>MA149</v>
      </c>
    </row>
    <row r="4190" spans="1:4" x14ac:dyDescent="0.3">
      <c r="A4190" s="2" t="str">
        <f>"PORTO SEGURO"</f>
        <v>PORTO SEGURO</v>
      </c>
      <c r="B4190" s="3" t="str">
        <f>"BA"</f>
        <v>BA</v>
      </c>
      <c r="C4190" s="3" t="str">
        <f t="shared" si="161"/>
        <v>BRASIL</v>
      </c>
      <c r="D4190" s="4" t="str">
        <f>"BA311"</f>
        <v>BA311</v>
      </c>
    </row>
    <row r="4191" spans="1:4" x14ac:dyDescent="0.3">
      <c r="A4191" s="2" t="str">
        <f>"PORTO UNIAO"</f>
        <v>PORTO UNIAO</v>
      </c>
      <c r="B4191" s="3" t="str">
        <f>"SC"</f>
        <v>SC</v>
      </c>
      <c r="C4191" s="3" t="str">
        <f t="shared" si="161"/>
        <v>BRASIL</v>
      </c>
      <c r="D4191" s="4" t="str">
        <f>"SC204"</f>
        <v>SC204</v>
      </c>
    </row>
    <row r="4192" spans="1:4" x14ac:dyDescent="0.3">
      <c r="A4192" s="2" t="str">
        <f>"PORTO VELHO"</f>
        <v>PORTO VELHO</v>
      </c>
      <c r="B4192" s="3" t="str">
        <f>"RO"</f>
        <v>RO</v>
      </c>
      <c r="C4192" s="3" t="str">
        <f t="shared" si="161"/>
        <v>BRASIL</v>
      </c>
      <c r="D4192" s="4" t="str">
        <f>"RO017"</f>
        <v>RO017</v>
      </c>
    </row>
    <row r="4193" spans="1:4" x14ac:dyDescent="0.3">
      <c r="A4193" s="2" t="str">
        <f>"PORTO VERA CRUZ"</f>
        <v>PORTO VERA CRUZ</v>
      </c>
      <c r="B4193" s="3" t="str">
        <f>"RS"</f>
        <v>RS</v>
      </c>
      <c r="C4193" s="3" t="str">
        <f t="shared" si="161"/>
        <v>BRASIL</v>
      </c>
      <c r="D4193" s="4" t="str">
        <f>"RS328"</f>
        <v>RS328</v>
      </c>
    </row>
    <row r="4194" spans="1:4" x14ac:dyDescent="0.3">
      <c r="A4194" s="2" t="str">
        <f>"PORTO VITORIA"</f>
        <v>PORTO VITORIA</v>
      </c>
      <c r="B4194" s="3" t="str">
        <f>"PR"</f>
        <v>PR</v>
      </c>
      <c r="C4194" s="3" t="str">
        <f t="shared" si="161"/>
        <v>BRASIL</v>
      </c>
      <c r="D4194" s="4" t="str">
        <f>"PR281"</f>
        <v>PR281</v>
      </c>
    </row>
    <row r="4195" spans="1:4" x14ac:dyDescent="0.3">
      <c r="A4195" s="2" t="str">
        <f>"PORTO WALTER"</f>
        <v>PORTO WALTER</v>
      </c>
      <c r="B4195" s="3" t="str">
        <f>"AC"</f>
        <v>AC</v>
      </c>
      <c r="C4195" s="3" t="str">
        <f t="shared" si="161"/>
        <v>BRASIL</v>
      </c>
      <c r="D4195" s="4" t="str">
        <f>"AC014"</f>
        <v>AC014</v>
      </c>
    </row>
    <row r="4196" spans="1:4" x14ac:dyDescent="0.3">
      <c r="A4196" s="2" t="str">
        <f>"PORTO XAVIER"</f>
        <v>PORTO XAVIER</v>
      </c>
      <c r="B4196" s="3" t="str">
        <f>"RS"</f>
        <v>RS</v>
      </c>
      <c r="C4196" s="3" t="str">
        <f t="shared" si="161"/>
        <v>BRASIL</v>
      </c>
      <c r="D4196" s="4" t="str">
        <f>"RS329"</f>
        <v>RS329</v>
      </c>
    </row>
    <row r="4197" spans="1:4" x14ac:dyDescent="0.3">
      <c r="A4197" s="2" t="str">
        <f>"POSSE"</f>
        <v>POSSE</v>
      </c>
      <c r="B4197" s="3" t="str">
        <f>"GO"</f>
        <v>GO</v>
      </c>
      <c r="C4197" s="3" t="str">
        <f t="shared" si="161"/>
        <v>BRASIL</v>
      </c>
      <c r="D4197" s="4" t="str">
        <f>"GO192"</f>
        <v>GO192</v>
      </c>
    </row>
    <row r="4198" spans="1:4" x14ac:dyDescent="0.3">
      <c r="A4198" s="2" t="str">
        <f>"POTE"</f>
        <v>POTE</v>
      </c>
      <c r="B4198" s="3" t="str">
        <f>"MG"</f>
        <v>MG</v>
      </c>
      <c r="C4198" s="3" t="str">
        <f t="shared" si="161"/>
        <v>BRASIL</v>
      </c>
      <c r="D4198" s="4" t="str">
        <f>"MG613"</f>
        <v>MG613</v>
      </c>
    </row>
    <row r="4199" spans="1:4" x14ac:dyDescent="0.3">
      <c r="A4199" s="2" t="str">
        <f>"POTENGI"</f>
        <v>POTENGI</v>
      </c>
      <c r="B4199" s="3" t="str">
        <f>"CE"</f>
        <v>CE</v>
      </c>
      <c r="C4199" s="3" t="str">
        <f t="shared" si="161"/>
        <v>BRASIL</v>
      </c>
      <c r="D4199" s="4" t="str">
        <f>"CE146"</f>
        <v>CE146</v>
      </c>
    </row>
    <row r="4200" spans="1:4" x14ac:dyDescent="0.3">
      <c r="A4200" s="2" t="str">
        <f>"POTIM"</f>
        <v>POTIM</v>
      </c>
      <c r="B4200" s="3" t="str">
        <f>"SP"</f>
        <v>SP</v>
      </c>
      <c r="C4200" s="3" t="str">
        <f t="shared" si="161"/>
        <v>BRASIL</v>
      </c>
      <c r="D4200" s="4" t="str">
        <f>"SP456"</f>
        <v>SP456</v>
      </c>
    </row>
    <row r="4201" spans="1:4" x14ac:dyDescent="0.3">
      <c r="A4201" s="2" t="str">
        <f>"POTIRAGUA"</f>
        <v>POTIRAGUA</v>
      </c>
      <c r="B4201" s="3" t="str">
        <f>"BA"</f>
        <v>BA</v>
      </c>
      <c r="C4201" s="3" t="str">
        <f t="shared" si="161"/>
        <v>BRASIL</v>
      </c>
      <c r="D4201" s="4" t="str">
        <f>"BA312"</f>
        <v>BA312</v>
      </c>
    </row>
    <row r="4202" spans="1:4" x14ac:dyDescent="0.3">
      <c r="A4202" s="2" t="str">
        <f>"POTIRENDABA"</f>
        <v>POTIRENDABA</v>
      </c>
      <c r="B4202" s="3" t="str">
        <f>"SP"</f>
        <v>SP</v>
      </c>
      <c r="C4202" s="3" t="str">
        <f t="shared" si="161"/>
        <v>BRASIL</v>
      </c>
      <c r="D4202" s="4" t="str">
        <f>"SP457"</f>
        <v>SP457</v>
      </c>
    </row>
    <row r="4203" spans="1:4" x14ac:dyDescent="0.3">
      <c r="A4203" s="2" t="str">
        <f>"POTIRETAMA"</f>
        <v>POTIRETAMA</v>
      </c>
      <c r="B4203" s="3" t="str">
        <f>"CE"</f>
        <v>CE</v>
      </c>
      <c r="C4203" s="3" t="str">
        <f t="shared" si="161"/>
        <v>BRASIL</v>
      </c>
      <c r="D4203" s="4" t="str">
        <f>"CE147"</f>
        <v>CE147</v>
      </c>
    </row>
    <row r="4204" spans="1:4" x14ac:dyDescent="0.3">
      <c r="A4204" s="2" t="str">
        <f>"POUSO ALEGRE"</f>
        <v>POUSO ALEGRE</v>
      </c>
      <c r="B4204" s="3" t="str">
        <f>"MG"</f>
        <v>MG</v>
      </c>
      <c r="C4204" s="3" t="str">
        <f t="shared" si="161"/>
        <v>BRASIL</v>
      </c>
      <c r="D4204" s="4" t="str">
        <f>"MG614"</f>
        <v>MG614</v>
      </c>
    </row>
    <row r="4205" spans="1:4" x14ac:dyDescent="0.3">
      <c r="A4205" s="2" t="str">
        <f>"POUSO ALTO"</f>
        <v>POUSO ALTO</v>
      </c>
      <c r="B4205" s="3" t="str">
        <f>"MG"</f>
        <v>MG</v>
      </c>
      <c r="C4205" s="3" t="str">
        <f t="shared" si="161"/>
        <v>BRASIL</v>
      </c>
      <c r="D4205" s="4" t="str">
        <f>"MG615"</f>
        <v>MG615</v>
      </c>
    </row>
    <row r="4206" spans="1:4" x14ac:dyDescent="0.3">
      <c r="A4206" s="2" t="str">
        <f>"POUSO NOVO"</f>
        <v>POUSO NOVO</v>
      </c>
      <c r="B4206" s="3" t="str">
        <f>"RS"</f>
        <v>RS</v>
      </c>
      <c r="C4206" s="3" t="str">
        <f t="shared" si="161"/>
        <v>BRASIL</v>
      </c>
      <c r="D4206" s="4" t="str">
        <f>"RS330"</f>
        <v>RS330</v>
      </c>
    </row>
    <row r="4207" spans="1:4" x14ac:dyDescent="0.3">
      <c r="A4207" s="2" t="str">
        <f>"POUSO REDONDO"</f>
        <v>POUSO REDONDO</v>
      </c>
      <c r="B4207" s="3" t="str">
        <f>"SC"</f>
        <v>SC</v>
      </c>
      <c r="C4207" s="3" t="str">
        <f t="shared" si="161"/>
        <v>BRASIL</v>
      </c>
      <c r="D4207" s="4" t="str">
        <f>"SC205"</f>
        <v>SC205</v>
      </c>
    </row>
    <row r="4208" spans="1:4" x14ac:dyDescent="0.3">
      <c r="A4208" s="2" t="str">
        <f>"POXOREO"</f>
        <v>POXOREO</v>
      </c>
      <c r="B4208" s="3" t="str">
        <f>"MT"</f>
        <v>MT</v>
      </c>
      <c r="C4208" s="3" t="str">
        <f t="shared" si="161"/>
        <v>BRASIL</v>
      </c>
      <c r="D4208" s="4" t="str">
        <f>"MT099"</f>
        <v>MT099</v>
      </c>
    </row>
    <row r="4209" spans="1:4" x14ac:dyDescent="0.3">
      <c r="A4209" s="2" t="str">
        <f>"POZNÁN"</f>
        <v>POZNÁN</v>
      </c>
      <c r="B4209" s="3" t="str">
        <f>"EX"</f>
        <v>EX</v>
      </c>
      <c r="C4209" s="3" t="str">
        <f>"POLONIA"</f>
        <v>POLONIA</v>
      </c>
      <c r="D4209" s="4" t="str">
        <f>"POZ"</f>
        <v>POZ</v>
      </c>
    </row>
    <row r="4210" spans="1:4" x14ac:dyDescent="0.3">
      <c r="A4210" s="2" t="str">
        <f>"PRACINHA"</f>
        <v>PRACINHA</v>
      </c>
      <c r="B4210" s="3" t="str">
        <f>"SP"</f>
        <v>SP</v>
      </c>
      <c r="C4210" s="3" t="str">
        <f t="shared" ref="C4210:C4253" si="162">"BRASIL"</f>
        <v>BRASIL</v>
      </c>
      <c r="D4210" s="4" t="str">
        <f>"SP458"</f>
        <v>SP458</v>
      </c>
    </row>
    <row r="4211" spans="1:4" x14ac:dyDescent="0.3">
      <c r="A4211" s="2" t="str">
        <f>"PRACUUBA"</f>
        <v>PRACUUBA</v>
      </c>
      <c r="B4211" s="3" t="str">
        <f>"AP"</f>
        <v>AP</v>
      </c>
      <c r="C4211" s="3" t="str">
        <f t="shared" si="162"/>
        <v>BRASIL</v>
      </c>
      <c r="D4211" s="4" t="str">
        <f>"AP013"</f>
        <v>AP013</v>
      </c>
    </row>
    <row r="4212" spans="1:4" x14ac:dyDescent="0.3">
      <c r="A4212" s="2" t="str">
        <f>"PRADO"</f>
        <v>PRADO</v>
      </c>
      <c r="B4212" s="3" t="str">
        <f>"BA"</f>
        <v>BA</v>
      </c>
      <c r="C4212" s="3" t="str">
        <f t="shared" si="162"/>
        <v>BRASIL</v>
      </c>
      <c r="D4212" s="4" t="str">
        <f>"BA313"</f>
        <v>BA313</v>
      </c>
    </row>
    <row r="4213" spans="1:4" x14ac:dyDescent="0.3">
      <c r="A4213" s="2" t="str">
        <f>"PRADO FERREIRA"</f>
        <v>PRADO FERREIRA</v>
      </c>
      <c r="B4213" s="3" t="str">
        <f>"PR"</f>
        <v>PR</v>
      </c>
      <c r="C4213" s="3" t="str">
        <f t="shared" si="162"/>
        <v>BRASIL</v>
      </c>
      <c r="D4213" s="4" t="str">
        <f>"PR282"</f>
        <v>PR282</v>
      </c>
    </row>
    <row r="4214" spans="1:4" x14ac:dyDescent="0.3">
      <c r="A4214" s="2" t="str">
        <f>"PRADOPOLIS"</f>
        <v>PRADOPOLIS</v>
      </c>
      <c r="B4214" s="3" t="str">
        <f>"SP"</f>
        <v>SP</v>
      </c>
      <c r="C4214" s="3" t="str">
        <f t="shared" si="162"/>
        <v>BRASIL</v>
      </c>
      <c r="D4214" s="4" t="str">
        <f>"SP459"</f>
        <v>SP459</v>
      </c>
    </row>
    <row r="4215" spans="1:4" x14ac:dyDescent="0.3">
      <c r="A4215" s="2" t="str">
        <f>"PRADOS"</f>
        <v>PRADOS</v>
      </c>
      <c r="B4215" s="3" t="str">
        <f>"MG"</f>
        <v>MG</v>
      </c>
      <c r="C4215" s="3" t="str">
        <f t="shared" si="162"/>
        <v>BRASIL</v>
      </c>
      <c r="D4215" s="4" t="str">
        <f>"MG616"</f>
        <v>MG616</v>
      </c>
    </row>
    <row r="4216" spans="1:4" x14ac:dyDescent="0.3">
      <c r="A4216" s="2" t="str">
        <f>"PRAIA GRANDE"</f>
        <v>PRAIA GRANDE</v>
      </c>
      <c r="B4216" s="3" t="str">
        <f>"SC"</f>
        <v>SC</v>
      </c>
      <c r="C4216" s="3" t="str">
        <f t="shared" si="162"/>
        <v>BRASIL</v>
      </c>
      <c r="D4216" s="4" t="str">
        <f>"SC206"</f>
        <v>SC206</v>
      </c>
    </row>
    <row r="4217" spans="1:4" x14ac:dyDescent="0.3">
      <c r="A4217" s="2" t="str">
        <f>"PRAIA GRANDE"</f>
        <v>PRAIA GRANDE</v>
      </c>
      <c r="B4217" s="3" t="str">
        <f>"SP"</f>
        <v>SP</v>
      </c>
      <c r="C4217" s="3" t="str">
        <f t="shared" si="162"/>
        <v>BRASIL</v>
      </c>
      <c r="D4217" s="4" t="str">
        <f>"SP460"</f>
        <v>SP460</v>
      </c>
    </row>
    <row r="4218" spans="1:4" x14ac:dyDescent="0.3">
      <c r="A4218" s="2" t="str">
        <f>"PRAIA NORTE"</f>
        <v>PRAIA NORTE</v>
      </c>
      <c r="B4218" s="3" t="str">
        <f>"TO"</f>
        <v>TO</v>
      </c>
      <c r="C4218" s="3" t="str">
        <f t="shared" si="162"/>
        <v>BRASIL</v>
      </c>
      <c r="D4218" s="4" t="str">
        <f>"TO105"</f>
        <v>TO105</v>
      </c>
    </row>
    <row r="4219" spans="1:4" x14ac:dyDescent="0.3">
      <c r="A4219" s="2" t="str">
        <f>"PRAINHA"</f>
        <v>PRAINHA</v>
      </c>
      <c r="B4219" s="3" t="str">
        <f>"PA"</f>
        <v>PA</v>
      </c>
      <c r="C4219" s="3" t="str">
        <f t="shared" si="162"/>
        <v>BRASIL</v>
      </c>
      <c r="D4219" s="4" t="str">
        <f>"PA097"</f>
        <v>PA097</v>
      </c>
    </row>
    <row r="4220" spans="1:4" x14ac:dyDescent="0.3">
      <c r="A4220" s="2" t="str">
        <f>"PRANCHITA"</f>
        <v>PRANCHITA</v>
      </c>
      <c r="B4220" s="3" t="str">
        <f>"PR"</f>
        <v>PR</v>
      </c>
      <c r="C4220" s="3" t="str">
        <f t="shared" si="162"/>
        <v>BRASIL</v>
      </c>
      <c r="D4220" s="4" t="str">
        <f>"PR283"</f>
        <v>PR283</v>
      </c>
    </row>
    <row r="4221" spans="1:4" x14ac:dyDescent="0.3">
      <c r="A4221" s="2" t="str">
        <f>"PRATA"</f>
        <v>PRATA</v>
      </c>
      <c r="B4221" s="3" t="str">
        <f>"MG"</f>
        <v>MG</v>
      </c>
      <c r="C4221" s="3" t="str">
        <f t="shared" si="162"/>
        <v>BRASIL</v>
      </c>
      <c r="D4221" s="4" t="str">
        <f>"MG617"</f>
        <v>MG617</v>
      </c>
    </row>
    <row r="4222" spans="1:4" x14ac:dyDescent="0.3">
      <c r="A4222" s="2" t="str">
        <f>"PRATA"</f>
        <v>PRATA</v>
      </c>
      <c r="B4222" s="3" t="str">
        <f>"PB"</f>
        <v>PB</v>
      </c>
      <c r="C4222" s="3" t="str">
        <f t="shared" si="162"/>
        <v>BRASIL</v>
      </c>
      <c r="D4222" s="4" t="str">
        <f>"PB152"</f>
        <v>PB152</v>
      </c>
    </row>
    <row r="4223" spans="1:4" x14ac:dyDescent="0.3">
      <c r="A4223" s="2" t="str">
        <f>"PRATA DO PIAUI"</f>
        <v>PRATA DO PIAUI</v>
      </c>
      <c r="B4223" s="3" t="str">
        <f>"PI"</f>
        <v>PI</v>
      </c>
      <c r="C4223" s="3" t="str">
        <f t="shared" si="162"/>
        <v>BRASIL</v>
      </c>
      <c r="D4223" s="4" t="str">
        <f>"PI166"</f>
        <v>PI166</v>
      </c>
    </row>
    <row r="4224" spans="1:4" x14ac:dyDescent="0.3">
      <c r="A4224" s="2" t="str">
        <f>"PRATANIA"</f>
        <v>PRATANIA</v>
      </c>
      <c r="B4224" s="3" t="str">
        <f>"SP"</f>
        <v>SP</v>
      </c>
      <c r="C4224" s="3" t="str">
        <f t="shared" si="162"/>
        <v>BRASIL</v>
      </c>
      <c r="D4224" s="4" t="str">
        <f>"SP461"</f>
        <v>SP461</v>
      </c>
    </row>
    <row r="4225" spans="1:4" x14ac:dyDescent="0.3">
      <c r="A4225" s="2" t="str">
        <f>"PRATAPOLIS"</f>
        <v>PRATAPOLIS</v>
      </c>
      <c r="B4225" s="3" t="str">
        <f>"MG"</f>
        <v>MG</v>
      </c>
      <c r="C4225" s="3" t="str">
        <f t="shared" si="162"/>
        <v>BRASIL</v>
      </c>
      <c r="D4225" s="4" t="str">
        <f>"MG618"</f>
        <v>MG618</v>
      </c>
    </row>
    <row r="4226" spans="1:4" x14ac:dyDescent="0.3">
      <c r="A4226" s="2" t="str">
        <f>"PRATINHA"</f>
        <v>PRATINHA</v>
      </c>
      <c r="B4226" s="3" t="str">
        <f>"MG"</f>
        <v>MG</v>
      </c>
      <c r="C4226" s="3" t="str">
        <f t="shared" si="162"/>
        <v>BRASIL</v>
      </c>
      <c r="D4226" s="4" t="str">
        <f>"MG619"</f>
        <v>MG619</v>
      </c>
    </row>
    <row r="4227" spans="1:4" x14ac:dyDescent="0.3">
      <c r="A4227" s="2" t="str">
        <f>"PRESIDENTE ALVES"</f>
        <v>PRESIDENTE ALVES</v>
      </c>
      <c r="B4227" s="3" t="str">
        <f>"SP"</f>
        <v>SP</v>
      </c>
      <c r="C4227" s="3" t="str">
        <f t="shared" si="162"/>
        <v>BRASIL</v>
      </c>
      <c r="D4227" s="4" t="str">
        <f>"SP462"</f>
        <v>SP462</v>
      </c>
    </row>
    <row r="4228" spans="1:4" x14ac:dyDescent="0.3">
      <c r="A4228" s="2" t="str">
        <f>"PRESIDENTE BERNARDES"</f>
        <v>PRESIDENTE BERNARDES</v>
      </c>
      <c r="B4228" s="3" t="str">
        <f>"MG"</f>
        <v>MG</v>
      </c>
      <c r="C4228" s="3" t="str">
        <f t="shared" si="162"/>
        <v>BRASIL</v>
      </c>
      <c r="D4228" s="4" t="str">
        <f>"MG620"</f>
        <v>MG620</v>
      </c>
    </row>
    <row r="4229" spans="1:4" x14ac:dyDescent="0.3">
      <c r="A4229" s="2" t="str">
        <f>"PRESIDENTE BERNARDES"</f>
        <v>PRESIDENTE BERNARDES</v>
      </c>
      <c r="B4229" s="3" t="str">
        <f>"SP"</f>
        <v>SP</v>
      </c>
      <c r="C4229" s="3" t="str">
        <f t="shared" si="162"/>
        <v>BRASIL</v>
      </c>
      <c r="D4229" s="4" t="str">
        <f>"SP463"</f>
        <v>SP463</v>
      </c>
    </row>
    <row r="4230" spans="1:4" x14ac:dyDescent="0.3">
      <c r="A4230" s="2" t="str">
        <f>"PRESIDENTE CASTELLO BRANC"</f>
        <v>PRESIDENTE CASTELLO BRANC</v>
      </c>
      <c r="B4230" s="3" t="str">
        <f>"SC"</f>
        <v>SC</v>
      </c>
      <c r="C4230" s="3" t="str">
        <f t="shared" si="162"/>
        <v>BRASIL</v>
      </c>
      <c r="D4230" s="4" t="str">
        <f>"SC207"</f>
        <v>SC207</v>
      </c>
    </row>
    <row r="4231" spans="1:4" x14ac:dyDescent="0.3">
      <c r="A4231" s="2" t="str">
        <f>"PRESIDENTE CASTELO BRANCO"</f>
        <v>PRESIDENTE CASTELO BRANCO</v>
      </c>
      <c r="B4231" s="3" t="str">
        <f>"PR"</f>
        <v>PR</v>
      </c>
      <c r="C4231" s="3" t="str">
        <f t="shared" si="162"/>
        <v>BRASIL</v>
      </c>
      <c r="D4231" s="4" t="str">
        <f>"PR284"</f>
        <v>PR284</v>
      </c>
    </row>
    <row r="4232" spans="1:4" x14ac:dyDescent="0.3">
      <c r="A4232" s="2" t="str">
        <f>"PRESIDENTE DUTRA"</f>
        <v>PRESIDENTE DUTRA</v>
      </c>
      <c r="B4232" s="3" t="str">
        <f>"BA"</f>
        <v>BA</v>
      </c>
      <c r="C4232" s="3" t="str">
        <f t="shared" si="162"/>
        <v>BRASIL</v>
      </c>
      <c r="D4232" s="4" t="str">
        <f>"BA314"</f>
        <v>BA314</v>
      </c>
    </row>
    <row r="4233" spans="1:4" x14ac:dyDescent="0.3">
      <c r="A4233" s="2" t="str">
        <f>"PRESIDENTE DUTRA"</f>
        <v>PRESIDENTE DUTRA</v>
      </c>
      <c r="B4233" s="3" t="str">
        <f>"MA"</f>
        <v>MA</v>
      </c>
      <c r="C4233" s="3" t="str">
        <f t="shared" si="162"/>
        <v>BRASIL</v>
      </c>
      <c r="D4233" s="4" t="str">
        <f>"MA150"</f>
        <v>MA150</v>
      </c>
    </row>
    <row r="4234" spans="1:4" x14ac:dyDescent="0.3">
      <c r="A4234" s="2" t="str">
        <f>"PRESIDENTE EPITACIO"</f>
        <v>PRESIDENTE EPITACIO</v>
      </c>
      <c r="B4234" s="3" t="str">
        <f>"SP"</f>
        <v>SP</v>
      </c>
      <c r="C4234" s="3" t="str">
        <f t="shared" si="162"/>
        <v>BRASIL</v>
      </c>
      <c r="D4234" s="4" t="str">
        <f>"SP464"</f>
        <v>SP464</v>
      </c>
    </row>
    <row r="4235" spans="1:4" x14ac:dyDescent="0.3">
      <c r="A4235" s="2" t="str">
        <f>"PRESIDENTE FIGUEIREDO"</f>
        <v>PRESIDENTE FIGUEIREDO</v>
      </c>
      <c r="B4235" s="3" t="str">
        <f>"AM"</f>
        <v>AM</v>
      </c>
      <c r="C4235" s="3" t="str">
        <f t="shared" si="162"/>
        <v>BRASIL</v>
      </c>
      <c r="D4235" s="4" t="str">
        <f>"AM048"</f>
        <v>AM048</v>
      </c>
    </row>
    <row r="4236" spans="1:4" x14ac:dyDescent="0.3">
      <c r="A4236" s="2" t="str">
        <f>"PRESIDENTE GETULIO"</f>
        <v>PRESIDENTE GETULIO</v>
      </c>
      <c r="B4236" s="3" t="str">
        <f>"SC"</f>
        <v>SC</v>
      </c>
      <c r="C4236" s="3" t="str">
        <f t="shared" si="162"/>
        <v>BRASIL</v>
      </c>
      <c r="D4236" s="4" t="str">
        <f>"SC208"</f>
        <v>SC208</v>
      </c>
    </row>
    <row r="4237" spans="1:4" x14ac:dyDescent="0.3">
      <c r="A4237" s="2" t="str">
        <f>"PRESIDENTE JANIO QUADROS"</f>
        <v>PRESIDENTE JANIO QUADROS</v>
      </c>
      <c r="B4237" s="3" t="str">
        <f>"BA"</f>
        <v>BA</v>
      </c>
      <c r="C4237" s="3" t="str">
        <f t="shared" si="162"/>
        <v>BRASIL</v>
      </c>
      <c r="D4237" s="4" t="str">
        <f>"BA315"</f>
        <v>BA315</v>
      </c>
    </row>
    <row r="4238" spans="1:4" x14ac:dyDescent="0.3">
      <c r="A4238" s="2" t="str">
        <f>"PRESIDENTE JUSCELINO"</f>
        <v>PRESIDENTE JUSCELINO</v>
      </c>
      <c r="B4238" s="3" t="str">
        <f>"MA"</f>
        <v>MA</v>
      </c>
      <c r="C4238" s="3" t="str">
        <f t="shared" si="162"/>
        <v>BRASIL</v>
      </c>
      <c r="D4238" s="4" t="str">
        <f>"MA151"</f>
        <v>MA151</v>
      </c>
    </row>
    <row r="4239" spans="1:4" x14ac:dyDescent="0.3">
      <c r="A4239" s="2" t="str">
        <f>"PRESIDENTE JUSCELINO"</f>
        <v>PRESIDENTE JUSCELINO</v>
      </c>
      <c r="B4239" s="3" t="str">
        <f>"MG"</f>
        <v>MG</v>
      </c>
      <c r="C4239" s="3" t="str">
        <f t="shared" si="162"/>
        <v>BRASIL</v>
      </c>
      <c r="D4239" s="4" t="str">
        <f>"MG621"</f>
        <v>MG621</v>
      </c>
    </row>
    <row r="4240" spans="1:4" x14ac:dyDescent="0.3">
      <c r="A4240" s="2" t="str">
        <f>"PRESIDENTE JUSCELINO"</f>
        <v>PRESIDENTE JUSCELINO</v>
      </c>
      <c r="B4240" s="3" t="str">
        <f>"RN"</f>
        <v>RN</v>
      </c>
      <c r="C4240" s="3" t="str">
        <f t="shared" si="162"/>
        <v>BRASIL</v>
      </c>
      <c r="D4240" s="4" t="str">
        <f>"RN113"</f>
        <v>RN113</v>
      </c>
    </row>
    <row r="4241" spans="1:4" x14ac:dyDescent="0.3">
      <c r="A4241" s="2" t="str">
        <f>"PRESIDENTE KENNEDY"</f>
        <v>PRESIDENTE KENNEDY</v>
      </c>
      <c r="B4241" s="3" t="str">
        <f>"ES"</f>
        <v>ES</v>
      </c>
      <c r="C4241" s="3" t="str">
        <f t="shared" si="162"/>
        <v>BRASIL</v>
      </c>
      <c r="D4241" s="4" t="str">
        <f>"ES059"</f>
        <v>ES059</v>
      </c>
    </row>
    <row r="4242" spans="1:4" x14ac:dyDescent="0.3">
      <c r="A4242" s="2" t="str">
        <f>"PRESIDENTE KENNEDY"</f>
        <v>PRESIDENTE KENNEDY</v>
      </c>
      <c r="B4242" s="3" t="str">
        <f>"TO"</f>
        <v>TO</v>
      </c>
      <c r="C4242" s="3" t="str">
        <f t="shared" si="162"/>
        <v>BRASIL</v>
      </c>
      <c r="D4242" s="4" t="str">
        <f>"TO106"</f>
        <v>TO106</v>
      </c>
    </row>
    <row r="4243" spans="1:4" x14ac:dyDescent="0.3">
      <c r="A4243" s="2" t="str">
        <f>"PRESIDENTE KUBITSCHEK"</f>
        <v>PRESIDENTE KUBITSCHEK</v>
      </c>
      <c r="B4243" s="3" t="str">
        <f>"MG"</f>
        <v>MG</v>
      </c>
      <c r="C4243" s="3" t="str">
        <f t="shared" si="162"/>
        <v>BRASIL</v>
      </c>
      <c r="D4243" s="4" t="str">
        <f>"MG622"</f>
        <v>MG622</v>
      </c>
    </row>
    <row r="4244" spans="1:4" x14ac:dyDescent="0.3">
      <c r="A4244" s="2" t="str">
        <f>"PRESIDENTE LUCENA"</f>
        <v>PRESIDENTE LUCENA</v>
      </c>
      <c r="B4244" s="3" t="str">
        <f>"RS"</f>
        <v>RS</v>
      </c>
      <c r="C4244" s="3" t="str">
        <f t="shared" si="162"/>
        <v>BRASIL</v>
      </c>
      <c r="D4244" s="4" t="str">
        <f>"RS331"</f>
        <v>RS331</v>
      </c>
    </row>
    <row r="4245" spans="1:4" x14ac:dyDescent="0.3">
      <c r="A4245" s="2" t="str">
        <f>"PRESIDENTE MEDICI"</f>
        <v>PRESIDENTE MEDICI</v>
      </c>
      <c r="B4245" s="3" t="str">
        <f>"MA"</f>
        <v>MA</v>
      </c>
      <c r="C4245" s="3" t="str">
        <f t="shared" si="162"/>
        <v>BRASIL</v>
      </c>
      <c r="D4245" s="4" t="str">
        <f>"MA152"</f>
        <v>MA152</v>
      </c>
    </row>
    <row r="4246" spans="1:4" x14ac:dyDescent="0.3">
      <c r="A4246" s="2" t="str">
        <f>"PRESIDENTE MEDICI"</f>
        <v>PRESIDENTE MEDICI</v>
      </c>
      <c r="B4246" s="3" t="str">
        <f>"RO"</f>
        <v>RO</v>
      </c>
      <c r="C4246" s="3" t="str">
        <f t="shared" si="162"/>
        <v>BRASIL</v>
      </c>
      <c r="D4246" s="4" t="str">
        <f>"RO018"</f>
        <v>RO018</v>
      </c>
    </row>
    <row r="4247" spans="1:4" x14ac:dyDescent="0.3">
      <c r="A4247" s="2" t="str">
        <f>"PRESIDENTE NEREU"</f>
        <v>PRESIDENTE NEREU</v>
      </c>
      <c r="B4247" s="3" t="str">
        <f>"SC"</f>
        <v>SC</v>
      </c>
      <c r="C4247" s="3" t="str">
        <f t="shared" si="162"/>
        <v>BRASIL</v>
      </c>
      <c r="D4247" s="4" t="str">
        <f>"SC209"</f>
        <v>SC209</v>
      </c>
    </row>
    <row r="4248" spans="1:4" x14ac:dyDescent="0.3">
      <c r="A4248" s="2" t="str">
        <f>"PRESIDENTE OLEGARIO"</f>
        <v>PRESIDENTE OLEGARIO</v>
      </c>
      <c r="B4248" s="3" t="str">
        <f>"MG"</f>
        <v>MG</v>
      </c>
      <c r="C4248" s="3" t="str">
        <f t="shared" si="162"/>
        <v>BRASIL</v>
      </c>
      <c r="D4248" s="4" t="str">
        <f>"MG623"</f>
        <v>MG623</v>
      </c>
    </row>
    <row r="4249" spans="1:4" x14ac:dyDescent="0.3">
      <c r="A4249" s="2" t="str">
        <f>"PRESIDENTE PRUDENTE"</f>
        <v>PRESIDENTE PRUDENTE</v>
      </c>
      <c r="B4249" s="3" t="str">
        <f>"SP"</f>
        <v>SP</v>
      </c>
      <c r="C4249" s="3" t="str">
        <f t="shared" si="162"/>
        <v>BRASIL</v>
      </c>
      <c r="D4249" s="4" t="str">
        <f>"SP465"</f>
        <v>SP465</v>
      </c>
    </row>
    <row r="4250" spans="1:4" x14ac:dyDescent="0.3">
      <c r="A4250" s="2" t="str">
        <f>"PRESIDENTE SARNEY"</f>
        <v>PRESIDENTE SARNEY</v>
      </c>
      <c r="B4250" s="3" t="str">
        <f>"MA"</f>
        <v>MA</v>
      </c>
      <c r="C4250" s="3" t="str">
        <f t="shared" si="162"/>
        <v>BRASIL</v>
      </c>
      <c r="D4250" s="4" t="str">
        <f>"MA153"</f>
        <v>MA153</v>
      </c>
    </row>
    <row r="4251" spans="1:4" x14ac:dyDescent="0.3">
      <c r="A4251" s="2" t="str">
        <f>"PRESIDENTE TANCREDO NEVES"</f>
        <v>PRESIDENTE TANCREDO NEVES</v>
      </c>
      <c r="B4251" s="3" t="str">
        <f>"BA"</f>
        <v>BA</v>
      </c>
      <c r="C4251" s="3" t="str">
        <f t="shared" si="162"/>
        <v>BRASIL</v>
      </c>
      <c r="D4251" s="4" t="str">
        <f>"BA316"</f>
        <v>BA316</v>
      </c>
    </row>
    <row r="4252" spans="1:4" x14ac:dyDescent="0.3">
      <c r="A4252" s="2" t="str">
        <f>"PRESIDENTE VARGAS"</f>
        <v>PRESIDENTE VARGAS</v>
      </c>
      <c r="B4252" s="3" t="str">
        <f>"MA"</f>
        <v>MA</v>
      </c>
      <c r="C4252" s="3" t="str">
        <f t="shared" si="162"/>
        <v>BRASIL</v>
      </c>
      <c r="D4252" s="4" t="str">
        <f>"MA154"</f>
        <v>MA154</v>
      </c>
    </row>
    <row r="4253" spans="1:4" x14ac:dyDescent="0.3">
      <c r="A4253" s="2" t="str">
        <f>"PRESIDENTE VENCESLAU"</f>
        <v>PRESIDENTE VENCESLAU</v>
      </c>
      <c r="B4253" s="3" t="str">
        <f>"SP"</f>
        <v>SP</v>
      </c>
      <c r="C4253" s="3" t="str">
        <f t="shared" si="162"/>
        <v>BRASIL</v>
      </c>
      <c r="D4253" s="4" t="str">
        <f>"SP466"</f>
        <v>SP466</v>
      </c>
    </row>
    <row r="4254" spans="1:4" x14ac:dyDescent="0.3">
      <c r="A4254" s="2" t="str">
        <f>"PRETORIA"</f>
        <v>PRETORIA</v>
      </c>
      <c r="B4254" s="3" t="str">
        <f>"AFS"</f>
        <v>AFS</v>
      </c>
      <c r="C4254" s="3" t="str">
        <f>"AFRICA DO SUL"</f>
        <v>AFRICA DO SUL</v>
      </c>
      <c r="D4254" s="4" t="str">
        <f>"PRET"</f>
        <v>PRET</v>
      </c>
    </row>
    <row r="4255" spans="1:4" x14ac:dyDescent="0.3">
      <c r="A4255" s="2" t="str">
        <f>"PRETORIA"</f>
        <v>PRETORIA</v>
      </c>
      <c r="B4255" s="3" t="str">
        <f>"EX"</f>
        <v>EX</v>
      </c>
      <c r="C4255" s="3" t="str">
        <f>"AFRICA DO SUL"</f>
        <v>AFRICA DO SUL</v>
      </c>
      <c r="D4255" s="4" t="str">
        <f>"PRT"</f>
        <v>PRT</v>
      </c>
    </row>
    <row r="4256" spans="1:4" x14ac:dyDescent="0.3">
      <c r="A4256" s="2" t="str">
        <f>"PRIMAVERA"</f>
        <v>PRIMAVERA</v>
      </c>
      <c r="B4256" s="3" t="str">
        <f>"PA"</f>
        <v>PA</v>
      </c>
      <c r="C4256" s="3" t="str">
        <f t="shared" ref="C4256:C4268" si="163">"BRASIL"</f>
        <v>BRASIL</v>
      </c>
      <c r="D4256" s="4" t="str">
        <f>"PA098"</f>
        <v>PA098</v>
      </c>
    </row>
    <row r="4257" spans="1:4" x14ac:dyDescent="0.3">
      <c r="A4257" s="2" t="str">
        <f>"PRIMAVERA"</f>
        <v>PRIMAVERA</v>
      </c>
      <c r="B4257" s="3" t="str">
        <f>"PE"</f>
        <v>PE</v>
      </c>
      <c r="C4257" s="3" t="str">
        <f t="shared" si="163"/>
        <v>BRASIL</v>
      </c>
      <c r="D4257" s="4" t="str">
        <f>"PE129"</f>
        <v>PE129</v>
      </c>
    </row>
    <row r="4258" spans="1:4" x14ac:dyDescent="0.3">
      <c r="A4258" s="2" t="str">
        <f>"PRIMAVERA DE RONDONIA"</f>
        <v>PRIMAVERA DE RONDONIA</v>
      </c>
      <c r="B4258" s="3" t="str">
        <f>"RO"</f>
        <v>RO</v>
      </c>
      <c r="C4258" s="3" t="str">
        <f t="shared" si="163"/>
        <v>BRASIL</v>
      </c>
      <c r="D4258" s="4" t="str">
        <f>"RO044"</f>
        <v>RO044</v>
      </c>
    </row>
    <row r="4259" spans="1:4" x14ac:dyDescent="0.3">
      <c r="A4259" s="2" t="str">
        <f>"PRIMAVERA DO LESTE"</f>
        <v>PRIMAVERA DO LESTE</v>
      </c>
      <c r="B4259" s="3" t="str">
        <f>"MT"</f>
        <v>MT</v>
      </c>
      <c r="C4259" s="3" t="str">
        <f t="shared" si="163"/>
        <v>BRASIL</v>
      </c>
      <c r="D4259" s="4" t="str">
        <f>"MT100"</f>
        <v>MT100</v>
      </c>
    </row>
    <row r="4260" spans="1:4" x14ac:dyDescent="0.3">
      <c r="A4260" s="2" t="str">
        <f>"PRIMEIRA CRUZ"</f>
        <v>PRIMEIRA CRUZ</v>
      </c>
      <c r="B4260" s="3" t="str">
        <f>"MA"</f>
        <v>MA</v>
      </c>
      <c r="C4260" s="3" t="str">
        <f t="shared" si="163"/>
        <v>BRASIL</v>
      </c>
      <c r="D4260" s="4" t="str">
        <f>"MA155"</f>
        <v>MA155</v>
      </c>
    </row>
    <row r="4261" spans="1:4" x14ac:dyDescent="0.3">
      <c r="A4261" s="2" t="str">
        <f>"PRIMEIRO DE MAIO"</f>
        <v>PRIMEIRO DE MAIO</v>
      </c>
      <c r="B4261" s="3" t="str">
        <f>"PR"</f>
        <v>PR</v>
      </c>
      <c r="C4261" s="3" t="str">
        <f t="shared" si="163"/>
        <v>BRASIL</v>
      </c>
      <c r="D4261" s="4" t="str">
        <f>"PR285"</f>
        <v>PR285</v>
      </c>
    </row>
    <row r="4262" spans="1:4" x14ac:dyDescent="0.3">
      <c r="A4262" s="2" t="str">
        <f>"PRINCESA"</f>
        <v>PRINCESA</v>
      </c>
      <c r="B4262" s="3" t="str">
        <f>"SC"</f>
        <v>SC</v>
      </c>
      <c r="C4262" s="3" t="str">
        <f t="shared" si="163"/>
        <v>BRASIL</v>
      </c>
      <c r="D4262" s="4" t="str">
        <f>"SC210"</f>
        <v>SC210</v>
      </c>
    </row>
    <row r="4263" spans="1:4" x14ac:dyDescent="0.3">
      <c r="A4263" s="2" t="str">
        <f>"PRINCESA ISABEL"</f>
        <v>PRINCESA ISABEL</v>
      </c>
      <c r="B4263" s="3" t="str">
        <f>"PB"</f>
        <v>PB</v>
      </c>
      <c r="C4263" s="3" t="str">
        <f t="shared" si="163"/>
        <v>BRASIL</v>
      </c>
      <c r="D4263" s="4" t="str">
        <f>"PB153"</f>
        <v>PB153</v>
      </c>
    </row>
    <row r="4264" spans="1:4" x14ac:dyDescent="0.3">
      <c r="A4264" s="2" t="str">
        <f>"PROFESSOR JAMIL"</f>
        <v>PROFESSOR JAMIL</v>
      </c>
      <c r="B4264" s="3" t="str">
        <f>"GO"</f>
        <v>GO</v>
      </c>
      <c r="C4264" s="3" t="str">
        <f t="shared" si="163"/>
        <v>BRASIL</v>
      </c>
      <c r="D4264" s="4" t="str">
        <f>"GO193"</f>
        <v>GO193</v>
      </c>
    </row>
    <row r="4265" spans="1:4" x14ac:dyDescent="0.3">
      <c r="A4265" s="2" t="str">
        <f>"PROGRESSO"</f>
        <v>PROGRESSO</v>
      </c>
      <c r="B4265" s="3" t="str">
        <f>"RS"</f>
        <v>RS</v>
      </c>
      <c r="C4265" s="3" t="str">
        <f t="shared" si="163"/>
        <v>BRASIL</v>
      </c>
      <c r="D4265" s="4" t="str">
        <f>"RS332"</f>
        <v>RS332</v>
      </c>
    </row>
    <row r="4266" spans="1:4" x14ac:dyDescent="0.3">
      <c r="A4266" s="2" t="str">
        <f>"PROMISSAO"</f>
        <v>PROMISSAO</v>
      </c>
      <c r="B4266" s="3" t="str">
        <f>"SP"</f>
        <v>SP</v>
      </c>
      <c r="C4266" s="3" t="str">
        <f t="shared" si="163"/>
        <v>BRASIL</v>
      </c>
      <c r="D4266" s="4" t="str">
        <f>"SP467"</f>
        <v>SP467</v>
      </c>
    </row>
    <row r="4267" spans="1:4" x14ac:dyDescent="0.3">
      <c r="A4267" s="2" t="str">
        <f>"PROPRIA"</f>
        <v>PROPRIA</v>
      </c>
      <c r="B4267" s="3" t="str">
        <f>"SE"</f>
        <v>SE</v>
      </c>
      <c r="C4267" s="3" t="str">
        <f t="shared" si="163"/>
        <v>BRASIL</v>
      </c>
      <c r="D4267" s="4" t="str">
        <f>"SE056"</f>
        <v>SE056</v>
      </c>
    </row>
    <row r="4268" spans="1:4" x14ac:dyDescent="0.3">
      <c r="A4268" s="2" t="str">
        <f>"PROTASIO ALVES"</f>
        <v>PROTASIO ALVES</v>
      </c>
      <c r="B4268" s="3" t="str">
        <f>"RS"</f>
        <v>RS</v>
      </c>
      <c r="C4268" s="3" t="str">
        <f t="shared" si="163"/>
        <v>BRASIL</v>
      </c>
      <c r="D4268" s="4" t="str">
        <f>"RS333"</f>
        <v>RS333</v>
      </c>
    </row>
    <row r="4269" spans="1:4" x14ac:dyDescent="0.3">
      <c r="A4269" s="2" t="str">
        <f>"PROVINCIA DE CORDOBA"</f>
        <v>PROVINCIA DE CORDOBA</v>
      </c>
      <c r="B4269" s="3" t="str">
        <f>"EX"</f>
        <v>EX</v>
      </c>
      <c r="C4269" s="3" t="str">
        <f>"ARGENTINA"</f>
        <v>ARGENTINA</v>
      </c>
      <c r="D4269" s="4" t="str">
        <f>"CORDO"</f>
        <v>CORDO</v>
      </c>
    </row>
    <row r="4270" spans="1:4" x14ac:dyDescent="0.3">
      <c r="A4270" s="2" t="str">
        <f>"PROVINCIA DE MENDOZA"</f>
        <v>PROVINCIA DE MENDOZA</v>
      </c>
      <c r="B4270" s="3" t="str">
        <f>"EX"</f>
        <v>EX</v>
      </c>
      <c r="C4270" s="3" t="str">
        <f>"ARGENTINA"</f>
        <v>ARGENTINA</v>
      </c>
      <c r="D4270" s="4" t="str">
        <f>"MENDO"</f>
        <v>MENDO</v>
      </c>
    </row>
    <row r="4271" spans="1:4" x14ac:dyDescent="0.3">
      <c r="A4271" s="2" t="str">
        <f>"PRUDENTE DE MORAIS"</f>
        <v>PRUDENTE DE MORAIS</v>
      </c>
      <c r="B4271" s="3" t="str">
        <f>"MG"</f>
        <v>MG</v>
      </c>
      <c r="C4271" s="3" t="str">
        <f>"BRASIL"</f>
        <v>BRASIL</v>
      </c>
      <c r="D4271" s="4" t="str">
        <f>"MG625"</f>
        <v>MG625</v>
      </c>
    </row>
    <row r="4272" spans="1:4" x14ac:dyDescent="0.3">
      <c r="A4272" s="2" t="str">
        <f>"PRUDENTOPOLIS"</f>
        <v>PRUDENTOPOLIS</v>
      </c>
      <c r="B4272" s="3" t="str">
        <f>"PR"</f>
        <v>PR</v>
      </c>
      <c r="C4272" s="3" t="str">
        <f>"BRASIL"</f>
        <v>BRASIL</v>
      </c>
      <c r="D4272" s="4" t="str">
        <f>"PR286"</f>
        <v>PR286</v>
      </c>
    </row>
    <row r="4273" spans="1:4" x14ac:dyDescent="0.3">
      <c r="A4273" s="2" t="str">
        <f>"PUERTO ORDAZ"</f>
        <v>PUERTO ORDAZ</v>
      </c>
      <c r="B4273" s="3" t="str">
        <f>"EX"</f>
        <v>EX</v>
      </c>
      <c r="C4273" s="3" t="str">
        <f>"VENEZUELA"</f>
        <v>VENEZUELA</v>
      </c>
      <c r="D4273" s="4" t="str">
        <f>"PUE"</f>
        <v>PUE</v>
      </c>
    </row>
    <row r="4274" spans="1:4" x14ac:dyDescent="0.3">
      <c r="A4274" s="2" t="str">
        <f>"PUGMIL"</f>
        <v>PUGMIL</v>
      </c>
      <c r="B4274" s="3" t="str">
        <f>"TO"</f>
        <v>TO</v>
      </c>
      <c r="C4274" s="3" t="str">
        <f>"BRASIL"</f>
        <v>BRASIL</v>
      </c>
      <c r="D4274" s="4" t="str">
        <f>"TO107"</f>
        <v>TO107</v>
      </c>
    </row>
    <row r="4275" spans="1:4" x14ac:dyDescent="0.3">
      <c r="A4275" s="2" t="str">
        <f>"PULLY"</f>
        <v>PULLY</v>
      </c>
      <c r="B4275" s="3" t="str">
        <f>"EX"</f>
        <v>EX</v>
      </c>
      <c r="C4275" s="3" t="str">
        <f>"SUICA"</f>
        <v>SUICA</v>
      </c>
      <c r="D4275" s="4" t="str">
        <f>"PULLY"</f>
        <v>PULLY</v>
      </c>
    </row>
    <row r="4276" spans="1:4" x14ac:dyDescent="0.3">
      <c r="A4276" s="2" t="str">
        <f>"PUNTA DEL ESTE"</f>
        <v>PUNTA DEL ESTE</v>
      </c>
      <c r="B4276" s="3" t="str">
        <f>"URG"</f>
        <v>URG</v>
      </c>
      <c r="C4276" s="3" t="str">
        <f>"URUGUAI"</f>
        <v>URUGUAI</v>
      </c>
      <c r="D4276" s="4" t="str">
        <f>"PDL"</f>
        <v>PDL</v>
      </c>
    </row>
    <row r="4277" spans="1:4" x14ac:dyDescent="0.3">
      <c r="A4277" s="2" t="str">
        <f>"PUREZA"</f>
        <v>PUREZA</v>
      </c>
      <c r="B4277" s="3" t="str">
        <f>"RN"</f>
        <v>RN</v>
      </c>
      <c r="C4277" s="3" t="str">
        <f>"BRASIL"</f>
        <v>BRASIL</v>
      </c>
      <c r="D4277" s="4" t="str">
        <f>"RN114"</f>
        <v>RN114</v>
      </c>
    </row>
    <row r="4278" spans="1:4" x14ac:dyDescent="0.3">
      <c r="A4278" s="2" t="str">
        <f>"PUTINGA"</f>
        <v>PUTINGA</v>
      </c>
      <c r="B4278" s="3" t="str">
        <f>"RS"</f>
        <v>RS</v>
      </c>
      <c r="C4278" s="3" t="str">
        <f>"BRASIL"</f>
        <v>BRASIL</v>
      </c>
      <c r="D4278" s="4" t="str">
        <f>"RS334"</f>
        <v>RS334</v>
      </c>
    </row>
    <row r="4279" spans="1:4" x14ac:dyDescent="0.3">
      <c r="A4279" s="2" t="str">
        <f>"PUXINANA"</f>
        <v>PUXINANA</v>
      </c>
      <c r="B4279" s="3" t="str">
        <f>"PB"</f>
        <v>PB</v>
      </c>
      <c r="C4279" s="3" t="str">
        <f>"BRASIL"</f>
        <v>BRASIL</v>
      </c>
      <c r="D4279" s="4" t="str">
        <f>"PB154"</f>
        <v>PB154</v>
      </c>
    </row>
    <row r="4280" spans="1:4" x14ac:dyDescent="0.3">
      <c r="A4280" s="2" t="str">
        <f>"QINGDAO"</f>
        <v>QINGDAO</v>
      </c>
      <c r="B4280" s="3" t="str">
        <f>"EX"</f>
        <v>EX</v>
      </c>
      <c r="C4280" s="3" t="str">
        <f>"CHINA, REPUBLICA POP"</f>
        <v>CHINA, REPUBLICA POP</v>
      </c>
      <c r="D4280" s="4" t="str">
        <f>"QUGD"</f>
        <v>QUGD</v>
      </c>
    </row>
    <row r="4281" spans="1:4" x14ac:dyDescent="0.3">
      <c r="A4281" s="2" t="str">
        <f>"QUADRA"</f>
        <v>QUADRA</v>
      </c>
      <c r="B4281" s="3" t="str">
        <f>"SP"</f>
        <v>SP</v>
      </c>
      <c r="C4281" s="3" t="str">
        <f t="shared" ref="C4281:C4291" si="164">"BRASIL"</f>
        <v>BRASIL</v>
      </c>
      <c r="D4281" s="4" t="str">
        <f>"SP468"</f>
        <v>SP468</v>
      </c>
    </row>
    <row r="4282" spans="1:4" x14ac:dyDescent="0.3">
      <c r="A4282" s="2" t="str">
        <f>"QUARAI"</f>
        <v>QUARAI</v>
      </c>
      <c r="B4282" s="3" t="str">
        <f>"RS"</f>
        <v>RS</v>
      </c>
      <c r="C4282" s="3" t="str">
        <f t="shared" si="164"/>
        <v>BRASIL</v>
      </c>
      <c r="D4282" s="4" t="str">
        <f>"RS335"</f>
        <v>RS335</v>
      </c>
    </row>
    <row r="4283" spans="1:4" x14ac:dyDescent="0.3">
      <c r="A4283" s="2" t="str">
        <f>"QUARTEL GERAL"</f>
        <v>QUARTEL GERAL</v>
      </c>
      <c r="B4283" s="3" t="str">
        <f>"MG"</f>
        <v>MG</v>
      </c>
      <c r="C4283" s="3" t="str">
        <f t="shared" si="164"/>
        <v>BRASIL</v>
      </c>
      <c r="D4283" s="4" t="str">
        <f>"MG626"</f>
        <v>MG626</v>
      </c>
    </row>
    <row r="4284" spans="1:4" x14ac:dyDescent="0.3">
      <c r="A4284" s="2" t="str">
        <f>"QUARTO CENTENARIO"</f>
        <v>QUARTO CENTENARIO</v>
      </c>
      <c r="B4284" s="3" t="str">
        <f>"PR"</f>
        <v>PR</v>
      </c>
      <c r="C4284" s="3" t="str">
        <f t="shared" si="164"/>
        <v>BRASIL</v>
      </c>
      <c r="D4284" s="4" t="str">
        <f>"PR287"</f>
        <v>PR287</v>
      </c>
    </row>
    <row r="4285" spans="1:4" x14ac:dyDescent="0.3">
      <c r="A4285" s="2" t="str">
        <f>"QUATA"</f>
        <v>QUATA</v>
      </c>
      <c r="B4285" s="3" t="str">
        <f>"SP"</f>
        <v>SP</v>
      </c>
      <c r="C4285" s="3" t="str">
        <f t="shared" si="164"/>
        <v>BRASIL</v>
      </c>
      <c r="D4285" s="4" t="str">
        <f>"SP469"</f>
        <v>SP469</v>
      </c>
    </row>
    <row r="4286" spans="1:4" x14ac:dyDescent="0.3">
      <c r="A4286" s="2" t="str">
        <f>"QUATIGUA"</f>
        <v>QUATIGUA</v>
      </c>
      <c r="B4286" s="3" t="str">
        <f>"PR"</f>
        <v>PR</v>
      </c>
      <c r="C4286" s="3" t="str">
        <f t="shared" si="164"/>
        <v>BRASIL</v>
      </c>
      <c r="D4286" s="4" t="str">
        <f>"PR288"</f>
        <v>PR288</v>
      </c>
    </row>
    <row r="4287" spans="1:4" x14ac:dyDescent="0.3">
      <c r="A4287" s="2" t="str">
        <f>"QUATIPURU"</f>
        <v>QUATIPURU</v>
      </c>
      <c r="B4287" s="3" t="str">
        <f>"PA"</f>
        <v>PA</v>
      </c>
      <c r="C4287" s="3" t="str">
        <f t="shared" si="164"/>
        <v>BRASIL</v>
      </c>
      <c r="D4287" s="4" t="str">
        <f>"PA099"</f>
        <v>PA099</v>
      </c>
    </row>
    <row r="4288" spans="1:4" x14ac:dyDescent="0.3">
      <c r="A4288" s="2" t="str">
        <f>"QUATIS"</f>
        <v>QUATIS</v>
      </c>
      <c r="B4288" s="3" t="str">
        <f>"RJ"</f>
        <v>RJ</v>
      </c>
      <c r="C4288" s="3" t="str">
        <f t="shared" si="164"/>
        <v>BRASIL</v>
      </c>
      <c r="D4288" s="4" t="str">
        <f>"RJ060"</f>
        <v>RJ060</v>
      </c>
    </row>
    <row r="4289" spans="1:4" x14ac:dyDescent="0.3">
      <c r="A4289" s="2" t="str">
        <f>"QUATRO BARRAS"</f>
        <v>QUATRO BARRAS</v>
      </c>
      <c r="B4289" s="3" t="str">
        <f>"PR"</f>
        <v>PR</v>
      </c>
      <c r="C4289" s="3" t="str">
        <f t="shared" si="164"/>
        <v>BRASIL</v>
      </c>
      <c r="D4289" s="4" t="str">
        <f>"PR289"</f>
        <v>PR289</v>
      </c>
    </row>
    <row r="4290" spans="1:4" x14ac:dyDescent="0.3">
      <c r="A4290" s="2" t="str">
        <f>"QUATRO IRMAOS"</f>
        <v>QUATRO IRMAOS</v>
      </c>
      <c r="B4290" s="3" t="str">
        <f>"RS"</f>
        <v>RS</v>
      </c>
      <c r="C4290" s="3" t="str">
        <f t="shared" si="164"/>
        <v>BRASIL</v>
      </c>
      <c r="D4290" s="4" t="str">
        <f>"RS336"</f>
        <v>RS336</v>
      </c>
    </row>
    <row r="4291" spans="1:4" x14ac:dyDescent="0.3">
      <c r="A4291" s="2" t="str">
        <f>"QUATRO PONTES"</f>
        <v>QUATRO PONTES</v>
      </c>
      <c r="B4291" s="3" t="str">
        <f>"PR"</f>
        <v>PR</v>
      </c>
      <c r="C4291" s="3" t="str">
        <f t="shared" si="164"/>
        <v>BRASIL</v>
      </c>
      <c r="D4291" s="4" t="str">
        <f>"PR290"</f>
        <v>PR290</v>
      </c>
    </row>
    <row r="4292" spans="1:4" x14ac:dyDescent="0.3">
      <c r="A4292" s="2" t="str">
        <f>"QUEBEC"</f>
        <v>QUEBEC</v>
      </c>
      <c r="B4292" s="3" t="str">
        <f>"EX"</f>
        <v>EX</v>
      </c>
      <c r="C4292" s="3" t="str">
        <f>"CANADA"</f>
        <v>CANADA</v>
      </c>
      <c r="D4292" s="4" t="str">
        <f>"QBC"</f>
        <v>QBC</v>
      </c>
    </row>
    <row r="4293" spans="1:4" x14ac:dyDescent="0.3">
      <c r="A4293" s="2" t="str">
        <f>"QUEBRANGULO"</f>
        <v>QUEBRANGULO</v>
      </c>
      <c r="B4293" s="3" t="str">
        <f>"AL"</f>
        <v>AL</v>
      </c>
      <c r="C4293" s="3" t="str">
        <f t="shared" ref="C4293:C4305" si="165">"BRASIL"</f>
        <v>BRASIL</v>
      </c>
      <c r="D4293" s="4" t="str">
        <f>"AL082"</f>
        <v>AL082</v>
      </c>
    </row>
    <row r="4294" spans="1:4" x14ac:dyDescent="0.3">
      <c r="A4294" s="2" t="str">
        <f>"QUEDAS DO IGUACU"</f>
        <v>QUEDAS DO IGUACU</v>
      </c>
      <c r="B4294" s="3" t="str">
        <f>"PR"</f>
        <v>PR</v>
      </c>
      <c r="C4294" s="3" t="str">
        <f t="shared" si="165"/>
        <v>BRASIL</v>
      </c>
      <c r="D4294" s="4" t="str">
        <f>"PR291"</f>
        <v>PR291</v>
      </c>
    </row>
    <row r="4295" spans="1:4" x14ac:dyDescent="0.3">
      <c r="A4295" s="2" t="str">
        <f>"QUEIMADA NOVA"</f>
        <v>QUEIMADA NOVA</v>
      </c>
      <c r="B4295" s="3" t="str">
        <f>"PI"</f>
        <v>PI</v>
      </c>
      <c r="C4295" s="3" t="str">
        <f t="shared" si="165"/>
        <v>BRASIL</v>
      </c>
      <c r="D4295" s="4" t="str">
        <f>"PI167"</f>
        <v>PI167</v>
      </c>
    </row>
    <row r="4296" spans="1:4" x14ac:dyDescent="0.3">
      <c r="A4296" s="2" t="str">
        <f>"QUEIMADAS"</f>
        <v>QUEIMADAS</v>
      </c>
      <c r="B4296" s="3" t="str">
        <f>"BA"</f>
        <v>BA</v>
      </c>
      <c r="C4296" s="3" t="str">
        <f t="shared" si="165"/>
        <v>BRASIL</v>
      </c>
      <c r="D4296" s="4" t="str">
        <f>"BA317"</f>
        <v>BA317</v>
      </c>
    </row>
    <row r="4297" spans="1:4" x14ac:dyDescent="0.3">
      <c r="A4297" s="2" t="str">
        <f>"QUEIMADAS"</f>
        <v>QUEIMADAS</v>
      </c>
      <c r="B4297" s="3" t="str">
        <f>"PB"</f>
        <v>PB</v>
      </c>
      <c r="C4297" s="3" t="str">
        <f t="shared" si="165"/>
        <v>BRASIL</v>
      </c>
      <c r="D4297" s="4" t="str">
        <f>"PB155"</f>
        <v>PB155</v>
      </c>
    </row>
    <row r="4298" spans="1:4" x14ac:dyDescent="0.3">
      <c r="A4298" s="2" t="str">
        <f>"QUEIMADOS"</f>
        <v>QUEIMADOS</v>
      </c>
      <c r="B4298" s="3" t="str">
        <f>"RJ"</f>
        <v>RJ</v>
      </c>
      <c r="C4298" s="3" t="str">
        <f t="shared" si="165"/>
        <v>BRASIL</v>
      </c>
      <c r="D4298" s="4" t="str">
        <f>"RJ061"</f>
        <v>RJ061</v>
      </c>
    </row>
    <row r="4299" spans="1:4" x14ac:dyDescent="0.3">
      <c r="A4299" s="2" t="str">
        <f>"QUEIROZ"</f>
        <v>QUEIROZ</v>
      </c>
      <c r="B4299" s="3" t="str">
        <f>"SP"</f>
        <v>SP</v>
      </c>
      <c r="C4299" s="3" t="str">
        <f t="shared" si="165"/>
        <v>BRASIL</v>
      </c>
      <c r="D4299" s="4" t="str">
        <f>"SP470"</f>
        <v>SP470</v>
      </c>
    </row>
    <row r="4300" spans="1:4" x14ac:dyDescent="0.3">
      <c r="A4300" s="2" t="str">
        <f>"QUELUZ"</f>
        <v>QUELUZ</v>
      </c>
      <c r="B4300" s="3" t="str">
        <f>"SP"</f>
        <v>SP</v>
      </c>
      <c r="C4300" s="3" t="str">
        <f t="shared" si="165"/>
        <v>BRASIL</v>
      </c>
      <c r="D4300" s="4" t="str">
        <f>"SP471"</f>
        <v>SP471</v>
      </c>
    </row>
    <row r="4301" spans="1:4" x14ac:dyDescent="0.3">
      <c r="A4301" s="2" t="str">
        <f>"QUELUZITO"</f>
        <v>QUELUZITO</v>
      </c>
      <c r="B4301" s="3" t="str">
        <f>"MG"</f>
        <v>MG</v>
      </c>
      <c r="C4301" s="3" t="str">
        <f t="shared" si="165"/>
        <v>BRASIL</v>
      </c>
      <c r="D4301" s="4" t="str">
        <f>"MG627"</f>
        <v>MG627</v>
      </c>
    </row>
    <row r="4302" spans="1:4" x14ac:dyDescent="0.3">
      <c r="A4302" s="2" t="str">
        <f>"QUERENCIA"</f>
        <v>QUERENCIA</v>
      </c>
      <c r="B4302" s="3" t="str">
        <f>"MT"</f>
        <v>MT</v>
      </c>
      <c r="C4302" s="3" t="str">
        <f t="shared" si="165"/>
        <v>BRASIL</v>
      </c>
      <c r="D4302" s="4" t="str">
        <f>"MT101"</f>
        <v>MT101</v>
      </c>
    </row>
    <row r="4303" spans="1:4" x14ac:dyDescent="0.3">
      <c r="A4303" s="2" t="str">
        <f>"QUERENCIA DO NORTE"</f>
        <v>QUERENCIA DO NORTE</v>
      </c>
      <c r="B4303" s="3" t="str">
        <f>"PR"</f>
        <v>PR</v>
      </c>
      <c r="C4303" s="3" t="str">
        <f t="shared" si="165"/>
        <v>BRASIL</v>
      </c>
      <c r="D4303" s="4" t="str">
        <f>"PR292"</f>
        <v>PR292</v>
      </c>
    </row>
    <row r="4304" spans="1:4" x14ac:dyDescent="0.3">
      <c r="A4304" s="2" t="str">
        <f>"QUEVEDOS"</f>
        <v>QUEVEDOS</v>
      </c>
      <c r="B4304" s="3" t="str">
        <f>"RS"</f>
        <v>RS</v>
      </c>
      <c r="C4304" s="3" t="str">
        <f t="shared" si="165"/>
        <v>BRASIL</v>
      </c>
      <c r="D4304" s="4" t="str">
        <f>"RS337"</f>
        <v>RS337</v>
      </c>
    </row>
    <row r="4305" spans="1:4" x14ac:dyDescent="0.3">
      <c r="A4305" s="2" t="str">
        <f>"QUIJINGUE"</f>
        <v>QUIJINGUE</v>
      </c>
      <c r="B4305" s="3" t="str">
        <f>"BA"</f>
        <v>BA</v>
      </c>
      <c r="C4305" s="3" t="str">
        <f t="shared" si="165"/>
        <v>BRASIL</v>
      </c>
      <c r="D4305" s="4" t="str">
        <f>"BA318"</f>
        <v>BA318</v>
      </c>
    </row>
    <row r="4306" spans="1:4" x14ac:dyDescent="0.3">
      <c r="A4306" s="2" t="str">
        <f>"QUILMES"</f>
        <v>QUILMES</v>
      </c>
      <c r="B4306" s="3" t="str">
        <f>"BA"</f>
        <v>BA</v>
      </c>
      <c r="C4306" s="3" t="str">
        <f>"Argentina"</f>
        <v>Argentina</v>
      </c>
      <c r="D4306" s="4" t="str">
        <f>"QUILM"</f>
        <v>QUILM</v>
      </c>
    </row>
    <row r="4307" spans="1:4" x14ac:dyDescent="0.3">
      <c r="A4307" s="2" t="str">
        <f>"QUILOMBO"</f>
        <v>QUILOMBO</v>
      </c>
      <c r="B4307" s="3" t="str">
        <f>"SC"</f>
        <v>SC</v>
      </c>
      <c r="C4307" s="3" t="str">
        <f t="shared" ref="C4307:C4315" si="166">"BRASIL"</f>
        <v>BRASIL</v>
      </c>
      <c r="D4307" s="4" t="str">
        <f>"SC211"</f>
        <v>SC211</v>
      </c>
    </row>
    <row r="4308" spans="1:4" x14ac:dyDescent="0.3">
      <c r="A4308" s="2" t="str">
        <f>"QUINTA DO SOL"</f>
        <v>QUINTA DO SOL</v>
      </c>
      <c r="B4308" s="3" t="str">
        <f>"PR"</f>
        <v>PR</v>
      </c>
      <c r="C4308" s="3" t="str">
        <f t="shared" si="166"/>
        <v>BRASIL</v>
      </c>
      <c r="D4308" s="4" t="str">
        <f>"PR293"</f>
        <v>PR293</v>
      </c>
    </row>
    <row r="4309" spans="1:4" x14ac:dyDescent="0.3">
      <c r="A4309" s="2" t="str">
        <f>"QUINTANA"</f>
        <v>QUINTANA</v>
      </c>
      <c r="B4309" s="3" t="str">
        <f>"SP"</f>
        <v>SP</v>
      </c>
      <c r="C4309" s="3" t="str">
        <f t="shared" si="166"/>
        <v>BRASIL</v>
      </c>
      <c r="D4309" s="4" t="str">
        <f>"SP472"</f>
        <v>SP472</v>
      </c>
    </row>
    <row r="4310" spans="1:4" x14ac:dyDescent="0.3">
      <c r="A4310" s="2" t="str">
        <f>"QUINZE DE NOVEMBRO"</f>
        <v>QUINZE DE NOVEMBRO</v>
      </c>
      <c r="B4310" s="3" t="str">
        <f>"RS"</f>
        <v>RS</v>
      </c>
      <c r="C4310" s="3" t="str">
        <f t="shared" si="166"/>
        <v>BRASIL</v>
      </c>
      <c r="D4310" s="4" t="str">
        <f>"RS338"</f>
        <v>RS338</v>
      </c>
    </row>
    <row r="4311" spans="1:4" x14ac:dyDescent="0.3">
      <c r="A4311" s="2" t="str">
        <f>"QUIPAPA"</f>
        <v>QUIPAPA</v>
      </c>
      <c r="B4311" s="3" t="str">
        <f>"PE"</f>
        <v>PE</v>
      </c>
      <c r="C4311" s="3" t="str">
        <f t="shared" si="166"/>
        <v>BRASIL</v>
      </c>
      <c r="D4311" s="4" t="str">
        <f>"PE130"</f>
        <v>PE130</v>
      </c>
    </row>
    <row r="4312" spans="1:4" x14ac:dyDescent="0.3">
      <c r="A4312" s="2" t="str">
        <f>"QUIRINOPOLIS"</f>
        <v>QUIRINOPOLIS</v>
      </c>
      <c r="B4312" s="3" t="str">
        <f>"GO"</f>
        <v>GO</v>
      </c>
      <c r="C4312" s="3" t="str">
        <f t="shared" si="166"/>
        <v>BRASIL</v>
      </c>
      <c r="D4312" s="4" t="str">
        <f>"GO194"</f>
        <v>GO194</v>
      </c>
    </row>
    <row r="4313" spans="1:4" x14ac:dyDescent="0.3">
      <c r="A4313" s="2" t="str">
        <f>"QUISSAMA"</f>
        <v>QUISSAMA</v>
      </c>
      <c r="B4313" s="3" t="str">
        <f>"RJ"</f>
        <v>RJ</v>
      </c>
      <c r="C4313" s="3" t="str">
        <f t="shared" si="166"/>
        <v>BRASIL</v>
      </c>
      <c r="D4313" s="4" t="str">
        <f>"RJ062"</f>
        <v>RJ062</v>
      </c>
    </row>
    <row r="4314" spans="1:4" x14ac:dyDescent="0.3">
      <c r="A4314" s="2" t="str">
        <f>"QUITANDINHA"</f>
        <v>QUITANDINHA</v>
      </c>
      <c r="B4314" s="3" t="str">
        <f>"PR"</f>
        <v>PR</v>
      </c>
      <c r="C4314" s="3" t="str">
        <f t="shared" si="166"/>
        <v>BRASIL</v>
      </c>
      <c r="D4314" s="4" t="str">
        <f>"PR294"</f>
        <v>PR294</v>
      </c>
    </row>
    <row r="4315" spans="1:4" x14ac:dyDescent="0.3">
      <c r="A4315" s="2" t="str">
        <f>"QUITERIANOPOLIS"</f>
        <v>QUITERIANOPOLIS</v>
      </c>
      <c r="B4315" s="3" t="str">
        <f>"CE"</f>
        <v>CE</v>
      </c>
      <c r="C4315" s="3" t="str">
        <f t="shared" si="166"/>
        <v>BRASIL</v>
      </c>
      <c r="D4315" s="4" t="str">
        <f>"CE148"</f>
        <v>CE148</v>
      </c>
    </row>
    <row r="4316" spans="1:4" x14ac:dyDescent="0.3">
      <c r="A4316" s="2" t="str">
        <f>"QUITO"</f>
        <v>QUITO</v>
      </c>
      <c r="B4316" s="3" t="str">
        <f>"EX"</f>
        <v>EX</v>
      </c>
      <c r="C4316" s="3" t="str">
        <f>"EQUADOR"</f>
        <v>EQUADOR</v>
      </c>
      <c r="D4316" s="4" t="str">
        <f>"QUITO"</f>
        <v>QUITO</v>
      </c>
    </row>
    <row r="4317" spans="1:4" x14ac:dyDescent="0.3">
      <c r="A4317" s="2" t="str">
        <f>"QUIXABA"</f>
        <v>QUIXABA</v>
      </c>
      <c r="B4317" s="3" t="str">
        <f>"PB"</f>
        <v>PB</v>
      </c>
      <c r="C4317" s="3" t="str">
        <f t="shared" ref="C4317:C4327" si="167">"BRASIL"</f>
        <v>BRASIL</v>
      </c>
      <c r="D4317" s="4" t="str">
        <f>"PB156"</f>
        <v>PB156</v>
      </c>
    </row>
    <row r="4318" spans="1:4" x14ac:dyDescent="0.3">
      <c r="A4318" s="2" t="str">
        <f>"QUIXABA"</f>
        <v>QUIXABA</v>
      </c>
      <c r="B4318" s="3" t="str">
        <f>"PE"</f>
        <v>PE</v>
      </c>
      <c r="C4318" s="3" t="str">
        <f t="shared" si="167"/>
        <v>BRASIL</v>
      </c>
      <c r="D4318" s="4" t="str">
        <f>"PE131"</f>
        <v>PE131</v>
      </c>
    </row>
    <row r="4319" spans="1:4" x14ac:dyDescent="0.3">
      <c r="A4319" s="2" t="str">
        <f>"QUIXABEIRA"</f>
        <v>QUIXABEIRA</v>
      </c>
      <c r="B4319" s="3" t="str">
        <f>"BA"</f>
        <v>BA</v>
      </c>
      <c r="C4319" s="3" t="str">
        <f t="shared" si="167"/>
        <v>BRASIL</v>
      </c>
      <c r="D4319" s="4" t="str">
        <f>"BA319"</f>
        <v>BA319</v>
      </c>
    </row>
    <row r="4320" spans="1:4" x14ac:dyDescent="0.3">
      <c r="A4320" s="2" t="str">
        <f>"QUIXADA"</f>
        <v>QUIXADA</v>
      </c>
      <c r="B4320" s="3" t="str">
        <f>"CE"</f>
        <v>CE</v>
      </c>
      <c r="C4320" s="3" t="str">
        <f t="shared" si="167"/>
        <v>BRASIL</v>
      </c>
      <c r="D4320" s="4" t="str">
        <f>"CE149"</f>
        <v>CE149</v>
      </c>
    </row>
    <row r="4321" spans="1:4" x14ac:dyDescent="0.3">
      <c r="A4321" s="2" t="str">
        <f>"QUIXELO"</f>
        <v>QUIXELO</v>
      </c>
      <c r="B4321" s="3" t="str">
        <f>"CE"</f>
        <v>CE</v>
      </c>
      <c r="C4321" s="3" t="str">
        <f t="shared" si="167"/>
        <v>BRASIL</v>
      </c>
      <c r="D4321" s="4" t="str">
        <f>"CE150"</f>
        <v>CE150</v>
      </c>
    </row>
    <row r="4322" spans="1:4" x14ac:dyDescent="0.3">
      <c r="A4322" s="2" t="str">
        <f>"QUIXERAMOBIM"</f>
        <v>QUIXERAMOBIM</v>
      </c>
      <c r="B4322" s="3" t="str">
        <f>"CE"</f>
        <v>CE</v>
      </c>
      <c r="C4322" s="3" t="str">
        <f t="shared" si="167"/>
        <v>BRASIL</v>
      </c>
      <c r="D4322" s="4" t="str">
        <f>"CE151"</f>
        <v>CE151</v>
      </c>
    </row>
    <row r="4323" spans="1:4" x14ac:dyDescent="0.3">
      <c r="A4323" s="2" t="str">
        <f>"QUIXERE"</f>
        <v>QUIXERE</v>
      </c>
      <c r="B4323" s="3" t="str">
        <f>"CE"</f>
        <v>CE</v>
      </c>
      <c r="C4323" s="3" t="str">
        <f t="shared" si="167"/>
        <v>BRASIL</v>
      </c>
      <c r="D4323" s="4" t="str">
        <f>"CE152"</f>
        <v>CE152</v>
      </c>
    </row>
    <row r="4324" spans="1:4" x14ac:dyDescent="0.3">
      <c r="A4324" s="2" t="str">
        <f>"RAFAEL FERNANDES"</f>
        <v>RAFAEL FERNANDES</v>
      </c>
      <c r="B4324" s="3" t="str">
        <f>"RN"</f>
        <v>RN</v>
      </c>
      <c r="C4324" s="3" t="str">
        <f t="shared" si="167"/>
        <v>BRASIL</v>
      </c>
      <c r="D4324" s="4" t="str">
        <f>"RN115"</f>
        <v>RN115</v>
      </c>
    </row>
    <row r="4325" spans="1:4" x14ac:dyDescent="0.3">
      <c r="A4325" s="2" t="str">
        <f>"RAFAEL GODEIRO"</f>
        <v>RAFAEL GODEIRO</v>
      </c>
      <c r="B4325" s="3" t="str">
        <f>"RN"</f>
        <v>RN</v>
      </c>
      <c r="C4325" s="3" t="str">
        <f t="shared" si="167"/>
        <v>BRASIL</v>
      </c>
      <c r="D4325" s="4" t="str">
        <f>"RN116"</f>
        <v>RN116</v>
      </c>
    </row>
    <row r="4326" spans="1:4" x14ac:dyDescent="0.3">
      <c r="A4326" s="2" t="str">
        <f>"RAFAEL JAMBEIRO"</f>
        <v>RAFAEL JAMBEIRO</v>
      </c>
      <c r="B4326" s="3" t="str">
        <f>"BA"</f>
        <v>BA</v>
      </c>
      <c r="C4326" s="3" t="str">
        <f t="shared" si="167"/>
        <v>BRASIL</v>
      </c>
      <c r="D4326" s="4" t="str">
        <f>"BA320"</f>
        <v>BA320</v>
      </c>
    </row>
    <row r="4327" spans="1:4" x14ac:dyDescent="0.3">
      <c r="A4327" s="2" t="str">
        <f>"RAFARD"</f>
        <v>RAFARD</v>
      </c>
      <c r="B4327" s="3" t="str">
        <f>"SP"</f>
        <v>SP</v>
      </c>
      <c r="C4327" s="3" t="str">
        <f t="shared" si="167"/>
        <v>BRASIL</v>
      </c>
      <c r="D4327" s="4" t="str">
        <f>"SP473"</f>
        <v>SP473</v>
      </c>
    </row>
    <row r="4328" spans="1:4" x14ac:dyDescent="0.3">
      <c r="A4328" s="2" t="str">
        <f>"RAIN AM LECH"</f>
        <v>RAIN AM LECH</v>
      </c>
      <c r="B4328" s="3" t="str">
        <f>"EX"</f>
        <v>EX</v>
      </c>
      <c r="C4328" s="3" t="str">
        <f>"ALEMANHA"</f>
        <v>ALEMANHA</v>
      </c>
      <c r="D4328" s="4" t="str">
        <f>"RAIN"</f>
        <v>RAIN</v>
      </c>
    </row>
    <row r="4329" spans="1:4" x14ac:dyDescent="0.3">
      <c r="A4329" s="2" t="str">
        <f>"RAMILANDIA"</f>
        <v>RAMILANDIA</v>
      </c>
      <c r="B4329" s="3" t="str">
        <f>"PR"</f>
        <v>PR</v>
      </c>
      <c r="C4329" s="3" t="str">
        <f t="shared" ref="C4329:C4336" si="168">"BRASIL"</f>
        <v>BRASIL</v>
      </c>
      <c r="D4329" s="4" t="str">
        <f>"PR295"</f>
        <v>PR295</v>
      </c>
    </row>
    <row r="4330" spans="1:4" x14ac:dyDescent="0.3">
      <c r="A4330" s="2" t="str">
        <f>"RANCHARIA"</f>
        <v>RANCHARIA</v>
      </c>
      <c r="B4330" s="3" t="str">
        <f>"SP"</f>
        <v>SP</v>
      </c>
      <c r="C4330" s="3" t="str">
        <f t="shared" si="168"/>
        <v>BRASIL</v>
      </c>
      <c r="D4330" s="4" t="str">
        <f>"SP474"</f>
        <v>SP474</v>
      </c>
    </row>
    <row r="4331" spans="1:4" x14ac:dyDescent="0.3">
      <c r="A4331" s="2" t="str">
        <f>"RANCHO ALEGRE"</f>
        <v>RANCHO ALEGRE</v>
      </c>
      <c r="B4331" s="3" t="str">
        <f>"PR"</f>
        <v>PR</v>
      </c>
      <c r="C4331" s="3" t="str">
        <f t="shared" si="168"/>
        <v>BRASIL</v>
      </c>
      <c r="D4331" s="4" t="str">
        <f>"PR296"</f>
        <v>PR296</v>
      </c>
    </row>
    <row r="4332" spans="1:4" x14ac:dyDescent="0.3">
      <c r="A4332" s="2" t="str">
        <f>"RANCHO ALEGRE D'OESTE"</f>
        <v>RANCHO ALEGRE D'OESTE</v>
      </c>
      <c r="B4332" s="3" t="str">
        <f>"PR"</f>
        <v>PR</v>
      </c>
      <c r="C4332" s="3" t="str">
        <f t="shared" si="168"/>
        <v>BRASIL</v>
      </c>
      <c r="D4332" s="4" t="str">
        <f>"PR297"</f>
        <v>PR297</v>
      </c>
    </row>
    <row r="4333" spans="1:4" x14ac:dyDescent="0.3">
      <c r="A4333" s="2" t="str">
        <f>"RANCHO QUEIMADO"</f>
        <v>RANCHO QUEIMADO</v>
      </c>
      <c r="B4333" s="3" t="str">
        <f>"SC"</f>
        <v>SC</v>
      </c>
      <c r="C4333" s="3" t="str">
        <f t="shared" si="168"/>
        <v>BRASIL</v>
      </c>
      <c r="D4333" s="4" t="str">
        <f>"SC212"</f>
        <v>SC212</v>
      </c>
    </row>
    <row r="4334" spans="1:4" x14ac:dyDescent="0.3">
      <c r="A4334" s="2" t="str">
        <f>"RAPOSA"</f>
        <v>RAPOSA</v>
      </c>
      <c r="B4334" s="3" t="str">
        <f>"MA"</f>
        <v>MA</v>
      </c>
      <c r="C4334" s="3" t="str">
        <f t="shared" si="168"/>
        <v>BRASIL</v>
      </c>
      <c r="D4334" s="4" t="str">
        <f>"MA156"</f>
        <v>MA156</v>
      </c>
    </row>
    <row r="4335" spans="1:4" x14ac:dyDescent="0.3">
      <c r="A4335" s="2" t="str">
        <f>"RAPOSOS"</f>
        <v>RAPOSOS</v>
      </c>
      <c r="B4335" s="3" t="str">
        <f>"MG"</f>
        <v>MG</v>
      </c>
      <c r="C4335" s="3" t="str">
        <f t="shared" si="168"/>
        <v>BRASIL</v>
      </c>
      <c r="D4335" s="4" t="str">
        <f>"MG628"</f>
        <v>MG628</v>
      </c>
    </row>
    <row r="4336" spans="1:4" x14ac:dyDescent="0.3">
      <c r="A4336" s="2" t="str">
        <f>"RAUL SOARES"</f>
        <v>RAUL SOARES</v>
      </c>
      <c r="B4336" s="3" t="str">
        <f>"MG"</f>
        <v>MG</v>
      </c>
      <c r="C4336" s="3" t="str">
        <f t="shared" si="168"/>
        <v>BRASIL</v>
      </c>
      <c r="D4336" s="4" t="str">
        <f>"MG629"</f>
        <v>MG629</v>
      </c>
    </row>
    <row r="4337" spans="1:4" x14ac:dyDescent="0.3">
      <c r="A4337" s="2" t="str">
        <f>"RAUNHEIM"</f>
        <v>RAUNHEIM</v>
      </c>
      <c r="B4337" s="3" t="str">
        <f>"EX"</f>
        <v>EX</v>
      </c>
      <c r="C4337" s="3" t="str">
        <f>"ALEMANHA"</f>
        <v>ALEMANHA</v>
      </c>
      <c r="D4337" s="4" t="str">
        <f>"RAUNH"</f>
        <v>RAUNH</v>
      </c>
    </row>
    <row r="4338" spans="1:4" x14ac:dyDescent="0.3">
      <c r="A4338" s="2" t="str">
        <f>"REALEZA"</f>
        <v>REALEZA</v>
      </c>
      <c r="B4338" s="3" t="str">
        <f>"PR"</f>
        <v>PR</v>
      </c>
      <c r="C4338" s="3" t="str">
        <f t="shared" ref="C4338:C4369" si="169">"BRASIL"</f>
        <v>BRASIL</v>
      </c>
      <c r="D4338" s="4" t="str">
        <f>"PR298"</f>
        <v>PR298</v>
      </c>
    </row>
    <row r="4339" spans="1:4" x14ac:dyDescent="0.3">
      <c r="A4339" s="2" t="str">
        <f>"REBOUCAS"</f>
        <v>REBOUCAS</v>
      </c>
      <c r="B4339" s="3" t="str">
        <f>"PR"</f>
        <v>PR</v>
      </c>
      <c r="C4339" s="3" t="str">
        <f t="shared" si="169"/>
        <v>BRASIL</v>
      </c>
      <c r="D4339" s="4" t="str">
        <f>"PR299"</f>
        <v>PR299</v>
      </c>
    </row>
    <row r="4340" spans="1:4" x14ac:dyDescent="0.3">
      <c r="A4340" s="2" t="str">
        <f>"RECIFE"</f>
        <v>RECIFE</v>
      </c>
      <c r="B4340" s="3" t="str">
        <f>"PE"</f>
        <v>PE</v>
      </c>
      <c r="C4340" s="3" t="str">
        <f t="shared" si="169"/>
        <v>BRASIL</v>
      </c>
      <c r="D4340" s="4" t="str">
        <f>"PE132"</f>
        <v>PE132</v>
      </c>
    </row>
    <row r="4341" spans="1:4" x14ac:dyDescent="0.3">
      <c r="A4341" s="2" t="str">
        <f>"RECREIO"</f>
        <v>RECREIO</v>
      </c>
      <c r="B4341" s="3" t="str">
        <f>"MG"</f>
        <v>MG</v>
      </c>
      <c r="C4341" s="3" t="str">
        <f t="shared" si="169"/>
        <v>BRASIL</v>
      </c>
      <c r="D4341" s="4" t="str">
        <f>"MG630"</f>
        <v>MG630</v>
      </c>
    </row>
    <row r="4342" spans="1:4" x14ac:dyDescent="0.3">
      <c r="A4342" s="2" t="str">
        <f>"RECURSOLANDIA"</f>
        <v>RECURSOLANDIA</v>
      </c>
      <c r="B4342" s="3" t="str">
        <f>"TO"</f>
        <v>TO</v>
      </c>
      <c r="C4342" s="3" t="str">
        <f t="shared" si="169"/>
        <v>BRASIL</v>
      </c>
      <c r="D4342" s="4" t="str">
        <f>"TO108"</f>
        <v>TO108</v>
      </c>
    </row>
    <row r="4343" spans="1:4" x14ac:dyDescent="0.3">
      <c r="A4343" s="2" t="str">
        <f>"REDENCAO"</f>
        <v>REDENCAO</v>
      </c>
      <c r="B4343" s="3" t="str">
        <f>"CE"</f>
        <v>CE</v>
      </c>
      <c r="C4343" s="3" t="str">
        <f t="shared" si="169"/>
        <v>BRASIL</v>
      </c>
      <c r="D4343" s="4" t="str">
        <f>"CE153"</f>
        <v>CE153</v>
      </c>
    </row>
    <row r="4344" spans="1:4" x14ac:dyDescent="0.3">
      <c r="A4344" s="2" t="str">
        <f>"REDENCAO"</f>
        <v>REDENCAO</v>
      </c>
      <c r="B4344" s="3" t="str">
        <f>"PA"</f>
        <v>PA</v>
      </c>
      <c r="C4344" s="3" t="str">
        <f t="shared" si="169"/>
        <v>BRASIL</v>
      </c>
      <c r="D4344" s="4" t="str">
        <f>"PA100"</f>
        <v>PA100</v>
      </c>
    </row>
    <row r="4345" spans="1:4" x14ac:dyDescent="0.3">
      <c r="A4345" s="2" t="str">
        <f>"REDENCAO DA SERRA"</f>
        <v>REDENCAO DA SERRA</v>
      </c>
      <c r="B4345" s="3" t="str">
        <f>"SP"</f>
        <v>SP</v>
      </c>
      <c r="C4345" s="3" t="str">
        <f t="shared" si="169"/>
        <v>BRASIL</v>
      </c>
      <c r="D4345" s="4" t="str">
        <f>"SP475"</f>
        <v>SP475</v>
      </c>
    </row>
    <row r="4346" spans="1:4" x14ac:dyDescent="0.3">
      <c r="A4346" s="2" t="str">
        <f>"REDENCAO DO GURGUEIA"</f>
        <v>REDENCAO DO GURGUEIA</v>
      </c>
      <c r="B4346" s="3" t="str">
        <f>"PI"</f>
        <v>PI</v>
      </c>
      <c r="C4346" s="3" t="str">
        <f t="shared" si="169"/>
        <v>BRASIL</v>
      </c>
      <c r="D4346" s="4" t="str">
        <f>"PI168"</f>
        <v>PI168</v>
      </c>
    </row>
    <row r="4347" spans="1:4" x14ac:dyDescent="0.3">
      <c r="A4347" s="2" t="str">
        <f>"REDENTORA"</f>
        <v>REDENTORA</v>
      </c>
      <c r="B4347" s="3" t="str">
        <f>"RS"</f>
        <v>RS</v>
      </c>
      <c r="C4347" s="3" t="str">
        <f t="shared" si="169"/>
        <v>BRASIL</v>
      </c>
      <c r="D4347" s="4" t="str">
        <f>"RS339"</f>
        <v>RS339</v>
      </c>
    </row>
    <row r="4348" spans="1:4" x14ac:dyDescent="0.3">
      <c r="A4348" s="2" t="str">
        <f>"REDUTO"</f>
        <v>REDUTO</v>
      </c>
      <c r="B4348" s="3" t="str">
        <f>"MG"</f>
        <v>MG</v>
      </c>
      <c r="C4348" s="3" t="str">
        <f t="shared" si="169"/>
        <v>BRASIL</v>
      </c>
      <c r="D4348" s="4" t="str">
        <f>"MG631"</f>
        <v>MG631</v>
      </c>
    </row>
    <row r="4349" spans="1:4" x14ac:dyDescent="0.3">
      <c r="A4349" s="2" t="str">
        <f>"REGENERACAO"</f>
        <v>REGENERACAO</v>
      </c>
      <c r="B4349" s="3" t="str">
        <f>"PI"</f>
        <v>PI</v>
      </c>
      <c r="C4349" s="3" t="str">
        <f t="shared" si="169"/>
        <v>BRASIL</v>
      </c>
      <c r="D4349" s="4" t="str">
        <f>"PI169"</f>
        <v>PI169</v>
      </c>
    </row>
    <row r="4350" spans="1:4" x14ac:dyDescent="0.3">
      <c r="A4350" s="2" t="str">
        <f>"REGENTE FEIJO"</f>
        <v>REGENTE FEIJO</v>
      </c>
      <c r="B4350" s="3" t="str">
        <f>"SP"</f>
        <v>SP</v>
      </c>
      <c r="C4350" s="3" t="str">
        <f t="shared" si="169"/>
        <v>BRASIL</v>
      </c>
      <c r="D4350" s="4" t="str">
        <f>"SP476"</f>
        <v>SP476</v>
      </c>
    </row>
    <row r="4351" spans="1:4" x14ac:dyDescent="0.3">
      <c r="A4351" s="2" t="str">
        <f>"REGINOPOLIS"</f>
        <v>REGINOPOLIS</v>
      </c>
      <c r="B4351" s="3" t="str">
        <f>"SP"</f>
        <v>SP</v>
      </c>
      <c r="C4351" s="3" t="str">
        <f t="shared" si="169"/>
        <v>BRASIL</v>
      </c>
      <c r="D4351" s="4" t="str">
        <f>"SP477"</f>
        <v>SP477</v>
      </c>
    </row>
    <row r="4352" spans="1:4" x14ac:dyDescent="0.3">
      <c r="A4352" s="2" t="str">
        <f>"REGISTRO"</f>
        <v>REGISTRO</v>
      </c>
      <c r="B4352" s="3" t="str">
        <f>"SP"</f>
        <v>SP</v>
      </c>
      <c r="C4352" s="3" t="str">
        <f t="shared" si="169"/>
        <v>BRASIL</v>
      </c>
      <c r="D4352" s="4" t="str">
        <f>"SP478"</f>
        <v>SP478</v>
      </c>
    </row>
    <row r="4353" spans="1:4" x14ac:dyDescent="0.3">
      <c r="A4353" s="2" t="str">
        <f>"RELVADO"</f>
        <v>RELVADO</v>
      </c>
      <c r="B4353" s="3" t="str">
        <f>"RS"</f>
        <v>RS</v>
      </c>
      <c r="C4353" s="3" t="str">
        <f t="shared" si="169"/>
        <v>BRASIL</v>
      </c>
      <c r="D4353" s="4" t="str">
        <f>"RS340"</f>
        <v>RS340</v>
      </c>
    </row>
    <row r="4354" spans="1:4" x14ac:dyDescent="0.3">
      <c r="A4354" s="2" t="str">
        <f>"REMANSO"</f>
        <v>REMANSO</v>
      </c>
      <c r="B4354" s="3" t="str">
        <f>"BA"</f>
        <v>BA</v>
      </c>
      <c r="C4354" s="3" t="str">
        <f t="shared" si="169"/>
        <v>BRASIL</v>
      </c>
      <c r="D4354" s="4" t="str">
        <f>"BA321"</f>
        <v>BA321</v>
      </c>
    </row>
    <row r="4355" spans="1:4" x14ac:dyDescent="0.3">
      <c r="A4355" s="2" t="str">
        <f>"REMIGIO"</f>
        <v>REMIGIO</v>
      </c>
      <c r="B4355" s="3" t="str">
        <f>"PB"</f>
        <v>PB</v>
      </c>
      <c r="C4355" s="3" t="str">
        <f t="shared" si="169"/>
        <v>BRASIL</v>
      </c>
      <c r="D4355" s="4" t="str">
        <f>"PB157"</f>
        <v>PB157</v>
      </c>
    </row>
    <row r="4356" spans="1:4" x14ac:dyDescent="0.3">
      <c r="A4356" s="2" t="str">
        <f>"RENASCENCA"</f>
        <v>RENASCENCA</v>
      </c>
      <c r="B4356" s="3" t="str">
        <f>"PR"</f>
        <v>PR</v>
      </c>
      <c r="C4356" s="3" t="str">
        <f t="shared" si="169"/>
        <v>BRASIL</v>
      </c>
      <c r="D4356" s="4" t="str">
        <f>"PR300"</f>
        <v>PR300</v>
      </c>
    </row>
    <row r="4357" spans="1:4" x14ac:dyDescent="0.3">
      <c r="A4357" s="2" t="str">
        <f>"RERIUTABA"</f>
        <v>RERIUTABA</v>
      </c>
      <c r="B4357" s="3" t="str">
        <f>"CE"</f>
        <v>CE</v>
      </c>
      <c r="C4357" s="3" t="str">
        <f t="shared" si="169"/>
        <v>BRASIL</v>
      </c>
      <c r="D4357" s="4" t="str">
        <f>"CE154"</f>
        <v>CE154</v>
      </c>
    </row>
    <row r="4358" spans="1:4" x14ac:dyDescent="0.3">
      <c r="A4358" s="2" t="str">
        <f>"RESENDE"</f>
        <v>RESENDE</v>
      </c>
      <c r="B4358" s="3" t="str">
        <f>"RJ"</f>
        <v>RJ</v>
      </c>
      <c r="C4358" s="3" t="str">
        <f t="shared" si="169"/>
        <v>BRASIL</v>
      </c>
      <c r="D4358" s="4" t="str">
        <f>"RJ063"</f>
        <v>RJ063</v>
      </c>
    </row>
    <row r="4359" spans="1:4" x14ac:dyDescent="0.3">
      <c r="A4359" s="2" t="str">
        <f>"RESENDE COSTA"</f>
        <v>RESENDE COSTA</v>
      </c>
      <c r="B4359" s="3" t="str">
        <f>"MG"</f>
        <v>MG</v>
      </c>
      <c r="C4359" s="3" t="str">
        <f t="shared" si="169"/>
        <v>BRASIL</v>
      </c>
      <c r="D4359" s="4" t="str">
        <f>"MG632"</f>
        <v>MG632</v>
      </c>
    </row>
    <row r="4360" spans="1:4" x14ac:dyDescent="0.3">
      <c r="A4360" s="2" t="str">
        <f>"RESERVA"</f>
        <v>RESERVA</v>
      </c>
      <c r="B4360" s="3" t="str">
        <f>"PR"</f>
        <v>PR</v>
      </c>
      <c r="C4360" s="3" t="str">
        <f t="shared" si="169"/>
        <v>BRASIL</v>
      </c>
      <c r="D4360" s="4" t="str">
        <f>"PR301"</f>
        <v>PR301</v>
      </c>
    </row>
    <row r="4361" spans="1:4" x14ac:dyDescent="0.3">
      <c r="A4361" s="2" t="str">
        <f>"RESERVA DO CABACAL"</f>
        <v>RESERVA DO CABACAL</v>
      </c>
      <c r="B4361" s="3" t="str">
        <f>"MT"</f>
        <v>MT</v>
      </c>
      <c r="C4361" s="3" t="str">
        <f t="shared" si="169"/>
        <v>BRASIL</v>
      </c>
      <c r="D4361" s="4" t="str">
        <f>"MT103"</f>
        <v>MT103</v>
      </c>
    </row>
    <row r="4362" spans="1:4" x14ac:dyDescent="0.3">
      <c r="A4362" s="2" t="str">
        <f>"RESERVA DO IGUACU"</f>
        <v>RESERVA DO IGUACU</v>
      </c>
      <c r="B4362" s="3" t="str">
        <f>"PR"</f>
        <v>PR</v>
      </c>
      <c r="C4362" s="3" t="str">
        <f t="shared" si="169"/>
        <v>BRASIL</v>
      </c>
      <c r="D4362" s="4" t="str">
        <f>"PR302"</f>
        <v>PR302</v>
      </c>
    </row>
    <row r="4363" spans="1:4" x14ac:dyDescent="0.3">
      <c r="A4363" s="2" t="str">
        <f>"RESPLENDOR"</f>
        <v>RESPLENDOR</v>
      </c>
      <c r="B4363" s="3" t="str">
        <f>"MG"</f>
        <v>MG</v>
      </c>
      <c r="C4363" s="3" t="str">
        <f t="shared" si="169"/>
        <v>BRASIL</v>
      </c>
      <c r="D4363" s="4" t="str">
        <f>"MG633"</f>
        <v>MG633</v>
      </c>
    </row>
    <row r="4364" spans="1:4" x14ac:dyDescent="0.3">
      <c r="A4364" s="2" t="str">
        <f>"RESSAQUINHA"</f>
        <v>RESSAQUINHA</v>
      </c>
      <c r="B4364" s="3" t="str">
        <f>"MG"</f>
        <v>MG</v>
      </c>
      <c r="C4364" s="3" t="str">
        <f t="shared" si="169"/>
        <v>BRASIL</v>
      </c>
      <c r="D4364" s="4" t="str">
        <f>"MG634"</f>
        <v>MG634</v>
      </c>
    </row>
    <row r="4365" spans="1:4" x14ac:dyDescent="0.3">
      <c r="A4365" s="2" t="str">
        <f>"RESTINGA"</f>
        <v>RESTINGA</v>
      </c>
      <c r="B4365" s="3" t="str">
        <f>"SP"</f>
        <v>SP</v>
      </c>
      <c r="C4365" s="3" t="str">
        <f t="shared" si="169"/>
        <v>BRASIL</v>
      </c>
      <c r="D4365" s="4" t="str">
        <f>"SP479"</f>
        <v>SP479</v>
      </c>
    </row>
    <row r="4366" spans="1:4" x14ac:dyDescent="0.3">
      <c r="A4366" s="2" t="str">
        <f>"RESTINGA SECA"</f>
        <v>RESTINGA SECA</v>
      </c>
      <c r="B4366" s="3" t="str">
        <f>"RS"</f>
        <v>RS</v>
      </c>
      <c r="C4366" s="3" t="str">
        <f t="shared" si="169"/>
        <v>BRASIL</v>
      </c>
      <c r="D4366" s="4" t="str">
        <f>"RS341"</f>
        <v>RS341</v>
      </c>
    </row>
    <row r="4367" spans="1:4" x14ac:dyDescent="0.3">
      <c r="A4367" s="2" t="str">
        <f>"RETIROLANDIA"</f>
        <v>RETIROLANDIA</v>
      </c>
      <c r="B4367" s="3" t="str">
        <f>"BA"</f>
        <v>BA</v>
      </c>
      <c r="C4367" s="3" t="str">
        <f t="shared" si="169"/>
        <v>BRASIL</v>
      </c>
      <c r="D4367" s="4" t="str">
        <f>"BA322"</f>
        <v>BA322</v>
      </c>
    </row>
    <row r="4368" spans="1:4" x14ac:dyDescent="0.3">
      <c r="A4368" s="2" t="str">
        <f>"RIACHAO"</f>
        <v>RIACHAO</v>
      </c>
      <c r="B4368" s="3" t="str">
        <f>"MA"</f>
        <v>MA</v>
      </c>
      <c r="C4368" s="3" t="str">
        <f t="shared" si="169"/>
        <v>BRASIL</v>
      </c>
      <c r="D4368" s="4" t="str">
        <f>"MA157"</f>
        <v>MA157</v>
      </c>
    </row>
    <row r="4369" spans="1:4" x14ac:dyDescent="0.3">
      <c r="A4369" s="2" t="str">
        <f>"RIACHAO"</f>
        <v>RIACHAO</v>
      </c>
      <c r="B4369" s="3" t="str">
        <f>"PB"</f>
        <v>PB</v>
      </c>
      <c r="C4369" s="3" t="str">
        <f t="shared" si="169"/>
        <v>BRASIL</v>
      </c>
      <c r="D4369" s="4" t="str">
        <f>"PB159"</f>
        <v>PB159</v>
      </c>
    </row>
    <row r="4370" spans="1:4" x14ac:dyDescent="0.3">
      <c r="A4370" s="2" t="str">
        <f>"RIACHAO DAS NEVES"</f>
        <v>RIACHAO DAS NEVES</v>
      </c>
      <c r="B4370" s="3" t="str">
        <f>"BA"</f>
        <v>BA</v>
      </c>
      <c r="C4370" s="3" t="str">
        <f t="shared" ref="C4370:C4401" si="170">"BRASIL"</f>
        <v>BRASIL</v>
      </c>
      <c r="D4370" s="4" t="str">
        <f>"BA323"</f>
        <v>BA323</v>
      </c>
    </row>
    <row r="4371" spans="1:4" x14ac:dyDescent="0.3">
      <c r="A4371" s="2" t="str">
        <f>"RIACHAO DO BACAMARTE"</f>
        <v>RIACHAO DO BACAMARTE</v>
      </c>
      <c r="B4371" s="3" t="str">
        <f>"PB"</f>
        <v>PB</v>
      </c>
      <c r="C4371" s="3" t="str">
        <f t="shared" si="170"/>
        <v>BRASIL</v>
      </c>
      <c r="D4371" s="4" t="str">
        <f>"PB160"</f>
        <v>PB160</v>
      </c>
    </row>
    <row r="4372" spans="1:4" x14ac:dyDescent="0.3">
      <c r="A4372" s="2" t="str">
        <f>"RIACHAO DO DANTAS"</f>
        <v>RIACHAO DO DANTAS</v>
      </c>
      <c r="B4372" s="3" t="str">
        <f>"SE"</f>
        <v>SE</v>
      </c>
      <c r="C4372" s="3" t="str">
        <f t="shared" si="170"/>
        <v>BRASIL</v>
      </c>
      <c r="D4372" s="4" t="str">
        <f>"SE057"</f>
        <v>SE057</v>
      </c>
    </row>
    <row r="4373" spans="1:4" x14ac:dyDescent="0.3">
      <c r="A4373" s="2" t="str">
        <f>"RIACHAO DO JACUIPE"</f>
        <v>RIACHAO DO JACUIPE</v>
      </c>
      <c r="B4373" s="3" t="str">
        <f>"BA"</f>
        <v>BA</v>
      </c>
      <c r="C4373" s="3" t="str">
        <f t="shared" si="170"/>
        <v>BRASIL</v>
      </c>
      <c r="D4373" s="4" t="str">
        <f>"BA324"</f>
        <v>BA324</v>
      </c>
    </row>
    <row r="4374" spans="1:4" x14ac:dyDescent="0.3">
      <c r="A4374" s="2" t="str">
        <f>"RIACHAO DO POCO"</f>
        <v>RIACHAO DO POCO</v>
      </c>
      <c r="B4374" s="3" t="str">
        <f>"PB"</f>
        <v>PB</v>
      </c>
      <c r="C4374" s="3" t="str">
        <f t="shared" si="170"/>
        <v>BRASIL</v>
      </c>
      <c r="D4374" s="4" t="str">
        <f>"PB161"</f>
        <v>PB161</v>
      </c>
    </row>
    <row r="4375" spans="1:4" x14ac:dyDescent="0.3">
      <c r="A4375" s="2" t="str">
        <f>"RIACHINHO"</f>
        <v>RIACHINHO</v>
      </c>
      <c r="B4375" s="3" t="str">
        <f>"MG"</f>
        <v>MG</v>
      </c>
      <c r="C4375" s="3" t="str">
        <f t="shared" si="170"/>
        <v>BRASIL</v>
      </c>
      <c r="D4375" s="4" t="str">
        <f>"MG635"</f>
        <v>MG635</v>
      </c>
    </row>
    <row r="4376" spans="1:4" x14ac:dyDescent="0.3">
      <c r="A4376" s="2" t="str">
        <f>"RIACHINHO"</f>
        <v>RIACHINHO</v>
      </c>
      <c r="B4376" s="3" t="str">
        <f>"TO"</f>
        <v>TO</v>
      </c>
      <c r="C4376" s="3" t="str">
        <f t="shared" si="170"/>
        <v>BRASIL</v>
      </c>
      <c r="D4376" s="4" t="str">
        <f>"TO109"</f>
        <v>TO109</v>
      </c>
    </row>
    <row r="4377" spans="1:4" x14ac:dyDescent="0.3">
      <c r="A4377" s="2" t="str">
        <f>"RIACHO DA CRUZ"</f>
        <v>RIACHO DA CRUZ</v>
      </c>
      <c r="B4377" s="3" t="str">
        <f>"RN"</f>
        <v>RN</v>
      </c>
      <c r="C4377" s="3" t="str">
        <f t="shared" si="170"/>
        <v>BRASIL</v>
      </c>
      <c r="D4377" s="4" t="str">
        <f>"RN117"</f>
        <v>RN117</v>
      </c>
    </row>
    <row r="4378" spans="1:4" x14ac:dyDescent="0.3">
      <c r="A4378" s="2" t="str">
        <f>"RIACHO DAS ALMAS"</f>
        <v>RIACHO DAS ALMAS</v>
      </c>
      <c r="B4378" s="3" t="str">
        <f>"PE"</f>
        <v>PE</v>
      </c>
      <c r="C4378" s="3" t="str">
        <f t="shared" si="170"/>
        <v>BRASIL</v>
      </c>
      <c r="D4378" s="4" t="str">
        <f>"PE133"</f>
        <v>PE133</v>
      </c>
    </row>
    <row r="4379" spans="1:4" x14ac:dyDescent="0.3">
      <c r="A4379" s="2" t="str">
        <f>"RIACHO DE SANTANA"</f>
        <v>RIACHO DE SANTANA</v>
      </c>
      <c r="B4379" s="3" t="str">
        <f>"BA"</f>
        <v>BA</v>
      </c>
      <c r="C4379" s="3" t="str">
        <f t="shared" si="170"/>
        <v>BRASIL</v>
      </c>
      <c r="D4379" s="4" t="str">
        <f>"BA325"</f>
        <v>BA325</v>
      </c>
    </row>
    <row r="4380" spans="1:4" x14ac:dyDescent="0.3">
      <c r="A4380" s="2" t="str">
        <f>"RIACHO DE SANTANA"</f>
        <v>RIACHO DE SANTANA</v>
      </c>
      <c r="B4380" s="3" t="str">
        <f>"RN"</f>
        <v>RN</v>
      </c>
      <c r="C4380" s="3" t="str">
        <f t="shared" si="170"/>
        <v>BRASIL</v>
      </c>
      <c r="D4380" s="4" t="str">
        <f>"RN118"</f>
        <v>RN118</v>
      </c>
    </row>
    <row r="4381" spans="1:4" x14ac:dyDescent="0.3">
      <c r="A4381" s="2" t="str">
        <f>"RIACHO DE SANTO ANTONIO"</f>
        <v>RIACHO DE SANTO ANTONIO</v>
      </c>
      <c r="B4381" s="3" t="str">
        <f>"PB"</f>
        <v>PB</v>
      </c>
      <c r="C4381" s="3" t="str">
        <f t="shared" si="170"/>
        <v>BRASIL</v>
      </c>
      <c r="D4381" s="4" t="str">
        <f>"PB162"</f>
        <v>PB162</v>
      </c>
    </row>
    <row r="4382" spans="1:4" x14ac:dyDescent="0.3">
      <c r="A4382" s="2" t="str">
        <f>"RIACHO DOS CAVALOS"</f>
        <v>RIACHO DOS CAVALOS</v>
      </c>
      <c r="B4382" s="3" t="str">
        <f>"PB"</f>
        <v>PB</v>
      </c>
      <c r="C4382" s="3" t="str">
        <f t="shared" si="170"/>
        <v>BRASIL</v>
      </c>
      <c r="D4382" s="4" t="str">
        <f>"PB163"</f>
        <v>PB163</v>
      </c>
    </row>
    <row r="4383" spans="1:4" x14ac:dyDescent="0.3">
      <c r="A4383" s="2" t="str">
        <f>"RIACHO DOS MACHADOS"</f>
        <v>RIACHO DOS MACHADOS</v>
      </c>
      <c r="B4383" s="3" t="str">
        <f>"MG"</f>
        <v>MG</v>
      </c>
      <c r="C4383" s="3" t="str">
        <f t="shared" si="170"/>
        <v>BRASIL</v>
      </c>
      <c r="D4383" s="4" t="str">
        <f>"MG636"</f>
        <v>MG636</v>
      </c>
    </row>
    <row r="4384" spans="1:4" x14ac:dyDescent="0.3">
      <c r="A4384" s="2" t="str">
        <f>"RIACHO FRIO"</f>
        <v>RIACHO FRIO</v>
      </c>
      <c r="B4384" s="3" t="str">
        <f>"PI"</f>
        <v>PI</v>
      </c>
      <c r="C4384" s="3" t="str">
        <f t="shared" si="170"/>
        <v>BRASIL</v>
      </c>
      <c r="D4384" s="4" t="str">
        <f>"PI170"</f>
        <v>PI170</v>
      </c>
    </row>
    <row r="4385" spans="1:4" x14ac:dyDescent="0.3">
      <c r="A4385" s="2" t="str">
        <f>"RIACHUELO"</f>
        <v>RIACHUELO</v>
      </c>
      <c r="B4385" s="3" t="str">
        <f>"RN"</f>
        <v>RN</v>
      </c>
      <c r="C4385" s="3" t="str">
        <f t="shared" si="170"/>
        <v>BRASIL</v>
      </c>
      <c r="D4385" s="4" t="str">
        <f>"RN119"</f>
        <v>RN119</v>
      </c>
    </row>
    <row r="4386" spans="1:4" x14ac:dyDescent="0.3">
      <c r="A4386" s="2" t="str">
        <f>"RIACHUELO"</f>
        <v>RIACHUELO</v>
      </c>
      <c r="B4386" s="3" t="str">
        <f>"SE"</f>
        <v>SE</v>
      </c>
      <c r="C4386" s="3" t="str">
        <f t="shared" si="170"/>
        <v>BRASIL</v>
      </c>
      <c r="D4386" s="4" t="str">
        <f>"SE058"</f>
        <v>SE058</v>
      </c>
    </row>
    <row r="4387" spans="1:4" x14ac:dyDescent="0.3">
      <c r="A4387" s="2" t="str">
        <f>"RIALMA"</f>
        <v>RIALMA</v>
      </c>
      <c r="B4387" s="3" t="str">
        <f>"GO"</f>
        <v>GO</v>
      </c>
      <c r="C4387" s="3" t="str">
        <f t="shared" si="170"/>
        <v>BRASIL</v>
      </c>
      <c r="D4387" s="4" t="str">
        <f>"GO195"</f>
        <v>GO195</v>
      </c>
    </row>
    <row r="4388" spans="1:4" x14ac:dyDescent="0.3">
      <c r="A4388" s="2" t="str">
        <f>"RIANAPOLIS"</f>
        <v>RIANAPOLIS</v>
      </c>
      <c r="B4388" s="3" t="str">
        <f>"GO"</f>
        <v>GO</v>
      </c>
      <c r="C4388" s="3" t="str">
        <f t="shared" si="170"/>
        <v>BRASIL</v>
      </c>
      <c r="D4388" s="4" t="str">
        <f>"GO196"</f>
        <v>GO196</v>
      </c>
    </row>
    <row r="4389" spans="1:4" x14ac:dyDescent="0.3">
      <c r="A4389" s="2" t="str">
        <f>"RIBAMAR FIQUENE"</f>
        <v>RIBAMAR FIQUENE</v>
      </c>
      <c r="B4389" s="3" t="str">
        <f>"MA"</f>
        <v>MA</v>
      </c>
      <c r="C4389" s="3" t="str">
        <f t="shared" si="170"/>
        <v>BRASIL</v>
      </c>
      <c r="D4389" s="4" t="str">
        <f>"MA158"</f>
        <v>MA158</v>
      </c>
    </row>
    <row r="4390" spans="1:4" x14ac:dyDescent="0.3">
      <c r="A4390" s="2" t="str">
        <f>"RIBAS DO RIO PARDO"</f>
        <v>RIBAS DO RIO PARDO</v>
      </c>
      <c r="B4390" s="3" t="str">
        <f>"MS"</f>
        <v>MS</v>
      </c>
      <c r="C4390" s="3" t="str">
        <f t="shared" si="170"/>
        <v>BRASIL</v>
      </c>
      <c r="D4390" s="4" t="str">
        <f>"MS063"</f>
        <v>MS063</v>
      </c>
    </row>
    <row r="4391" spans="1:4" x14ac:dyDescent="0.3">
      <c r="A4391" s="2" t="str">
        <f>"RIBEIRA"</f>
        <v>RIBEIRA</v>
      </c>
      <c r="B4391" s="3" t="str">
        <f>"SP"</f>
        <v>SP</v>
      </c>
      <c r="C4391" s="3" t="str">
        <f t="shared" si="170"/>
        <v>BRASIL</v>
      </c>
      <c r="D4391" s="4" t="str">
        <f>"SP480"</f>
        <v>SP480</v>
      </c>
    </row>
    <row r="4392" spans="1:4" x14ac:dyDescent="0.3">
      <c r="A4392" s="2" t="str">
        <f>"RIBEIRA DO AMPARO"</f>
        <v>RIBEIRA DO AMPARO</v>
      </c>
      <c r="B4392" s="3" t="str">
        <f>"BA"</f>
        <v>BA</v>
      </c>
      <c r="C4392" s="3" t="str">
        <f t="shared" si="170"/>
        <v>BRASIL</v>
      </c>
      <c r="D4392" s="4" t="str">
        <f>"BA326"</f>
        <v>BA326</v>
      </c>
    </row>
    <row r="4393" spans="1:4" x14ac:dyDescent="0.3">
      <c r="A4393" s="2" t="str">
        <f>"RIBEIRA DO PIAUI"</f>
        <v>RIBEIRA DO PIAUI</v>
      </c>
      <c r="B4393" s="3" t="str">
        <f>"PI"</f>
        <v>PI</v>
      </c>
      <c r="C4393" s="3" t="str">
        <f t="shared" si="170"/>
        <v>BRASIL</v>
      </c>
      <c r="D4393" s="4" t="str">
        <f>"PI171"</f>
        <v>PI171</v>
      </c>
    </row>
    <row r="4394" spans="1:4" x14ac:dyDescent="0.3">
      <c r="A4394" s="2" t="str">
        <f>"RIBEIRA DO POMBAL"</f>
        <v>RIBEIRA DO POMBAL</v>
      </c>
      <c r="B4394" s="3" t="str">
        <f>"BA"</f>
        <v>BA</v>
      </c>
      <c r="C4394" s="3" t="str">
        <f t="shared" si="170"/>
        <v>BRASIL</v>
      </c>
      <c r="D4394" s="4" t="str">
        <f>"BA327"</f>
        <v>BA327</v>
      </c>
    </row>
    <row r="4395" spans="1:4" x14ac:dyDescent="0.3">
      <c r="A4395" s="2" t="str">
        <f>"RIBEIRAO"</f>
        <v>RIBEIRAO</v>
      </c>
      <c r="B4395" s="3" t="str">
        <f>"PE"</f>
        <v>PE</v>
      </c>
      <c r="C4395" s="3" t="str">
        <f t="shared" si="170"/>
        <v>BRASIL</v>
      </c>
      <c r="D4395" s="4" t="str">
        <f>"PE134"</f>
        <v>PE134</v>
      </c>
    </row>
    <row r="4396" spans="1:4" x14ac:dyDescent="0.3">
      <c r="A4396" s="2" t="str">
        <f>"RIBEIRAO BONITO"</f>
        <v>RIBEIRAO BONITO</v>
      </c>
      <c r="B4396" s="3" t="str">
        <f>"SP"</f>
        <v>SP</v>
      </c>
      <c r="C4396" s="3" t="str">
        <f t="shared" si="170"/>
        <v>BRASIL</v>
      </c>
      <c r="D4396" s="4" t="str">
        <f>"SP481"</f>
        <v>SP481</v>
      </c>
    </row>
    <row r="4397" spans="1:4" x14ac:dyDescent="0.3">
      <c r="A4397" s="2" t="str">
        <f>"RIBEIRAO BRANCO"</f>
        <v>RIBEIRAO BRANCO</v>
      </c>
      <c r="B4397" s="3" t="str">
        <f>"SP"</f>
        <v>SP</v>
      </c>
      <c r="C4397" s="3" t="str">
        <f t="shared" si="170"/>
        <v>BRASIL</v>
      </c>
      <c r="D4397" s="4" t="str">
        <f>"SP482"</f>
        <v>SP482</v>
      </c>
    </row>
    <row r="4398" spans="1:4" x14ac:dyDescent="0.3">
      <c r="A4398" s="2" t="str">
        <f>"RIBEIRAO CASCALHEIRA"</f>
        <v>RIBEIRAO CASCALHEIRA</v>
      </c>
      <c r="B4398" s="3" t="str">
        <f>"MT"</f>
        <v>MT</v>
      </c>
      <c r="C4398" s="3" t="str">
        <f t="shared" si="170"/>
        <v>BRASIL</v>
      </c>
      <c r="D4398" s="4" t="str">
        <f>"MT104"</f>
        <v>MT104</v>
      </c>
    </row>
    <row r="4399" spans="1:4" x14ac:dyDescent="0.3">
      <c r="A4399" s="2" t="str">
        <f>"RIBEIRAO CLARO"</f>
        <v>RIBEIRAO CLARO</v>
      </c>
      <c r="B4399" s="3" t="str">
        <f>"PR"</f>
        <v>PR</v>
      </c>
      <c r="C4399" s="3" t="str">
        <f t="shared" si="170"/>
        <v>BRASIL</v>
      </c>
      <c r="D4399" s="4" t="str">
        <f>"PR303"</f>
        <v>PR303</v>
      </c>
    </row>
    <row r="4400" spans="1:4" x14ac:dyDescent="0.3">
      <c r="A4400" s="2" t="str">
        <f>"RIBEIRAO CORRENTE"</f>
        <v>RIBEIRAO CORRENTE</v>
      </c>
      <c r="B4400" s="3" t="str">
        <f>"SP"</f>
        <v>SP</v>
      </c>
      <c r="C4400" s="3" t="str">
        <f t="shared" si="170"/>
        <v>BRASIL</v>
      </c>
      <c r="D4400" s="4" t="str">
        <f>"SP483"</f>
        <v>SP483</v>
      </c>
    </row>
    <row r="4401" spans="1:4" x14ac:dyDescent="0.3">
      <c r="A4401" s="2" t="str">
        <f>"RIBEIRAO DAS NEVES"</f>
        <v>RIBEIRAO DAS NEVES</v>
      </c>
      <c r="B4401" s="3" t="str">
        <f>"MG"</f>
        <v>MG</v>
      </c>
      <c r="C4401" s="3" t="str">
        <f t="shared" si="170"/>
        <v>BRASIL</v>
      </c>
      <c r="D4401" s="4" t="str">
        <f>"MG637"</f>
        <v>MG637</v>
      </c>
    </row>
    <row r="4402" spans="1:4" x14ac:dyDescent="0.3">
      <c r="A4402" s="2" t="str">
        <f>"RIBEIRAO DO LARGO"</f>
        <v>RIBEIRAO DO LARGO</v>
      </c>
      <c r="B4402" s="3" t="str">
        <f>"BA"</f>
        <v>BA</v>
      </c>
      <c r="C4402" s="3" t="str">
        <f t="shared" ref="C4402:C4436" si="171">"BRASIL"</f>
        <v>BRASIL</v>
      </c>
      <c r="D4402" s="4" t="str">
        <f>"BA328"</f>
        <v>BA328</v>
      </c>
    </row>
    <row r="4403" spans="1:4" x14ac:dyDescent="0.3">
      <c r="A4403" s="2" t="str">
        <f>"RIBEIRAO DO PINHAL"</f>
        <v>RIBEIRAO DO PINHAL</v>
      </c>
      <c r="B4403" s="3" t="str">
        <f>"PR"</f>
        <v>PR</v>
      </c>
      <c r="C4403" s="3" t="str">
        <f t="shared" si="171"/>
        <v>BRASIL</v>
      </c>
      <c r="D4403" s="4" t="str">
        <f>"PR304"</f>
        <v>PR304</v>
      </c>
    </row>
    <row r="4404" spans="1:4" x14ac:dyDescent="0.3">
      <c r="A4404" s="2" t="str">
        <f>"RIBEIRAO DO SUL"</f>
        <v>RIBEIRAO DO SUL</v>
      </c>
      <c r="B4404" s="3" t="str">
        <f>"SP"</f>
        <v>SP</v>
      </c>
      <c r="C4404" s="3" t="str">
        <f t="shared" si="171"/>
        <v>BRASIL</v>
      </c>
      <c r="D4404" s="4" t="str">
        <f>"SP484"</f>
        <v>SP484</v>
      </c>
    </row>
    <row r="4405" spans="1:4" x14ac:dyDescent="0.3">
      <c r="A4405" s="2" t="str">
        <f>"RIBEIRAO DOS INDIOS"</f>
        <v>RIBEIRAO DOS INDIOS</v>
      </c>
      <c r="B4405" s="3" t="str">
        <f>"SP"</f>
        <v>SP</v>
      </c>
      <c r="C4405" s="3" t="str">
        <f t="shared" si="171"/>
        <v>BRASIL</v>
      </c>
      <c r="D4405" s="4" t="str">
        <f>"SP485"</f>
        <v>SP485</v>
      </c>
    </row>
    <row r="4406" spans="1:4" x14ac:dyDescent="0.3">
      <c r="A4406" s="2" t="str">
        <f>"RIBEIRAO GRANDE"</f>
        <v>RIBEIRAO GRANDE</v>
      </c>
      <c r="B4406" s="3" t="str">
        <f>"SP"</f>
        <v>SP</v>
      </c>
      <c r="C4406" s="3" t="str">
        <f t="shared" si="171"/>
        <v>BRASIL</v>
      </c>
      <c r="D4406" s="4" t="str">
        <f>"SP486"</f>
        <v>SP486</v>
      </c>
    </row>
    <row r="4407" spans="1:4" x14ac:dyDescent="0.3">
      <c r="A4407" s="2" t="str">
        <f>"RIBEIRAO PIRES"</f>
        <v>RIBEIRAO PIRES</v>
      </c>
      <c r="B4407" s="3" t="str">
        <f>"SP"</f>
        <v>SP</v>
      </c>
      <c r="C4407" s="3" t="str">
        <f t="shared" si="171"/>
        <v>BRASIL</v>
      </c>
      <c r="D4407" s="4" t="str">
        <f>"SP487"</f>
        <v>SP487</v>
      </c>
    </row>
    <row r="4408" spans="1:4" x14ac:dyDescent="0.3">
      <c r="A4408" s="2" t="str">
        <f>"RIBEIRAO PRETO"</f>
        <v>RIBEIRAO PRETO</v>
      </c>
      <c r="B4408" s="3" t="str">
        <f>"SP"</f>
        <v>SP</v>
      </c>
      <c r="C4408" s="3" t="str">
        <f t="shared" si="171"/>
        <v>BRASIL</v>
      </c>
      <c r="D4408" s="4" t="str">
        <f>"SP488"</f>
        <v>SP488</v>
      </c>
    </row>
    <row r="4409" spans="1:4" x14ac:dyDescent="0.3">
      <c r="A4409" s="2" t="str">
        <f>"RIBEIRAO VERMELHO"</f>
        <v>RIBEIRAO VERMELHO</v>
      </c>
      <c r="B4409" s="3" t="str">
        <f>"MG"</f>
        <v>MG</v>
      </c>
      <c r="C4409" s="3" t="str">
        <f t="shared" si="171"/>
        <v>BRASIL</v>
      </c>
      <c r="D4409" s="4" t="str">
        <f>"MG638"</f>
        <v>MG638</v>
      </c>
    </row>
    <row r="4410" spans="1:4" x14ac:dyDescent="0.3">
      <c r="A4410" s="2" t="str">
        <f>"RIBEIRAOZINHO"</f>
        <v>RIBEIRAOZINHO</v>
      </c>
      <c r="B4410" s="3" t="str">
        <f>"MT"</f>
        <v>MT</v>
      </c>
      <c r="C4410" s="3" t="str">
        <f t="shared" si="171"/>
        <v>BRASIL</v>
      </c>
      <c r="D4410" s="4" t="str">
        <f>"MT105"</f>
        <v>MT105</v>
      </c>
    </row>
    <row r="4411" spans="1:4" x14ac:dyDescent="0.3">
      <c r="A4411" s="2" t="str">
        <f>"RIBEIRO GONCALVES"</f>
        <v>RIBEIRO GONCALVES</v>
      </c>
      <c r="B4411" s="3" t="str">
        <f>"PI"</f>
        <v>PI</v>
      </c>
      <c r="C4411" s="3" t="str">
        <f t="shared" si="171"/>
        <v>BRASIL</v>
      </c>
      <c r="D4411" s="4" t="str">
        <f>"PI172"</f>
        <v>PI172</v>
      </c>
    </row>
    <row r="4412" spans="1:4" x14ac:dyDescent="0.3">
      <c r="A4412" s="2" t="str">
        <f>"RIBEIROPOLIS"</f>
        <v>RIBEIROPOLIS</v>
      </c>
      <c r="B4412" s="3" t="str">
        <f>"SE"</f>
        <v>SE</v>
      </c>
      <c r="C4412" s="3" t="str">
        <f t="shared" si="171"/>
        <v>BRASIL</v>
      </c>
      <c r="D4412" s="4" t="str">
        <f>"SE059"</f>
        <v>SE059</v>
      </c>
    </row>
    <row r="4413" spans="1:4" x14ac:dyDescent="0.3">
      <c r="A4413" s="2" t="str">
        <f>"RIFAINA"</f>
        <v>RIFAINA</v>
      </c>
      <c r="B4413" s="3" t="str">
        <f>"SP"</f>
        <v>SP</v>
      </c>
      <c r="C4413" s="3" t="str">
        <f t="shared" si="171"/>
        <v>BRASIL</v>
      </c>
      <c r="D4413" s="4" t="str">
        <f>"SP490"</f>
        <v>SP490</v>
      </c>
    </row>
    <row r="4414" spans="1:4" x14ac:dyDescent="0.3">
      <c r="A4414" s="2" t="str">
        <f>"RINCAO"</f>
        <v>RINCAO</v>
      </c>
      <c r="B4414" s="3" t="str">
        <f>"SP"</f>
        <v>SP</v>
      </c>
      <c r="C4414" s="3" t="str">
        <f t="shared" si="171"/>
        <v>BRASIL</v>
      </c>
      <c r="D4414" s="4" t="str">
        <f>"SP491"</f>
        <v>SP491</v>
      </c>
    </row>
    <row r="4415" spans="1:4" x14ac:dyDescent="0.3">
      <c r="A4415" s="2" t="str">
        <f>"RINOPOLIS"</f>
        <v>RINOPOLIS</v>
      </c>
      <c r="B4415" s="3" t="str">
        <f>"SP"</f>
        <v>SP</v>
      </c>
      <c r="C4415" s="3" t="str">
        <f t="shared" si="171"/>
        <v>BRASIL</v>
      </c>
      <c r="D4415" s="4" t="str">
        <f>"SP492"</f>
        <v>SP492</v>
      </c>
    </row>
    <row r="4416" spans="1:4" x14ac:dyDescent="0.3">
      <c r="A4416" s="2" t="str">
        <f>"RIO ACIMA"</f>
        <v>RIO ACIMA</v>
      </c>
      <c r="B4416" s="3" t="str">
        <f>"MG"</f>
        <v>MG</v>
      </c>
      <c r="C4416" s="3" t="str">
        <f t="shared" si="171"/>
        <v>BRASIL</v>
      </c>
      <c r="D4416" s="4" t="str">
        <f>"MG639"</f>
        <v>MG639</v>
      </c>
    </row>
    <row r="4417" spans="1:4" x14ac:dyDescent="0.3">
      <c r="A4417" s="2" t="str">
        <f>"RIO AZUL"</f>
        <v>RIO AZUL</v>
      </c>
      <c r="B4417" s="3" t="str">
        <f>"PR"</f>
        <v>PR</v>
      </c>
      <c r="C4417" s="3" t="str">
        <f t="shared" si="171"/>
        <v>BRASIL</v>
      </c>
      <c r="D4417" s="4" t="str">
        <f>"PR305"</f>
        <v>PR305</v>
      </c>
    </row>
    <row r="4418" spans="1:4" x14ac:dyDescent="0.3">
      <c r="A4418" s="2" t="str">
        <f>"RIO BANANAL"</f>
        <v>RIO BANANAL</v>
      </c>
      <c r="B4418" s="3" t="str">
        <f>"ES"</f>
        <v>ES</v>
      </c>
      <c r="C4418" s="3" t="str">
        <f t="shared" si="171"/>
        <v>BRASIL</v>
      </c>
      <c r="D4418" s="4" t="str">
        <f>"ES060"</f>
        <v>ES060</v>
      </c>
    </row>
    <row r="4419" spans="1:4" x14ac:dyDescent="0.3">
      <c r="A4419" s="2" t="str">
        <f>"RIO BOM"</f>
        <v>RIO BOM</v>
      </c>
      <c r="B4419" s="3" t="str">
        <f>"PR"</f>
        <v>PR</v>
      </c>
      <c r="C4419" s="3" t="str">
        <f t="shared" si="171"/>
        <v>BRASIL</v>
      </c>
      <c r="D4419" s="4" t="str">
        <f>"PR306"</f>
        <v>PR306</v>
      </c>
    </row>
    <row r="4420" spans="1:4" x14ac:dyDescent="0.3">
      <c r="A4420" s="2" t="str">
        <f>"RIO BONITO"</f>
        <v>RIO BONITO</v>
      </c>
      <c r="B4420" s="3" t="str">
        <f>"RJ"</f>
        <v>RJ</v>
      </c>
      <c r="C4420" s="3" t="str">
        <f t="shared" si="171"/>
        <v>BRASIL</v>
      </c>
      <c r="D4420" s="4" t="str">
        <f>"RJ064"</f>
        <v>RJ064</v>
      </c>
    </row>
    <row r="4421" spans="1:4" x14ac:dyDescent="0.3">
      <c r="A4421" s="2" t="str">
        <f>"RIO BONITO DO IGUACU"</f>
        <v>RIO BONITO DO IGUACU</v>
      </c>
      <c r="B4421" s="3" t="str">
        <f>"PR"</f>
        <v>PR</v>
      </c>
      <c r="C4421" s="3" t="str">
        <f t="shared" si="171"/>
        <v>BRASIL</v>
      </c>
      <c r="D4421" s="4" t="str">
        <f>"PR307"</f>
        <v>PR307</v>
      </c>
    </row>
    <row r="4422" spans="1:4" x14ac:dyDescent="0.3">
      <c r="A4422" s="2" t="str">
        <f>"RIO BRANCO"</f>
        <v>RIO BRANCO</v>
      </c>
      <c r="B4422" s="3" t="str">
        <f>"AC"</f>
        <v>AC</v>
      </c>
      <c r="C4422" s="3" t="str">
        <f t="shared" si="171"/>
        <v>BRASIL</v>
      </c>
      <c r="D4422" s="4" t="str">
        <f>"AC015"</f>
        <v>AC015</v>
      </c>
    </row>
    <row r="4423" spans="1:4" x14ac:dyDescent="0.3">
      <c r="A4423" s="2" t="str">
        <f>"RIO BRANCO"</f>
        <v>RIO BRANCO</v>
      </c>
      <c r="B4423" s="3" t="str">
        <f>"MT"</f>
        <v>MT</v>
      </c>
      <c r="C4423" s="3" t="str">
        <f t="shared" si="171"/>
        <v>BRASIL</v>
      </c>
      <c r="D4423" s="4" t="str">
        <f>"MT106"</f>
        <v>MT106</v>
      </c>
    </row>
    <row r="4424" spans="1:4" x14ac:dyDescent="0.3">
      <c r="A4424" s="2" t="str">
        <f>"RIO BRANCO DO IVAI"</f>
        <v>RIO BRANCO DO IVAI</v>
      </c>
      <c r="B4424" s="3" t="str">
        <f>"PR"</f>
        <v>PR</v>
      </c>
      <c r="C4424" s="3" t="str">
        <f t="shared" si="171"/>
        <v>BRASIL</v>
      </c>
      <c r="D4424" s="4" t="str">
        <f>"PR308"</f>
        <v>PR308</v>
      </c>
    </row>
    <row r="4425" spans="1:4" x14ac:dyDescent="0.3">
      <c r="A4425" s="2" t="str">
        <f>"RIO BRANCO DO SUL"</f>
        <v>RIO BRANCO DO SUL</v>
      </c>
      <c r="B4425" s="3" t="str">
        <f>"PR"</f>
        <v>PR</v>
      </c>
      <c r="C4425" s="3" t="str">
        <f t="shared" si="171"/>
        <v>BRASIL</v>
      </c>
      <c r="D4425" s="4" t="str">
        <f>"PR309"</f>
        <v>PR309</v>
      </c>
    </row>
    <row r="4426" spans="1:4" x14ac:dyDescent="0.3">
      <c r="A4426" s="2" t="str">
        <f>"RIO BRILHANTE"</f>
        <v>RIO BRILHANTE</v>
      </c>
      <c r="B4426" s="3" t="str">
        <f>"MS"</f>
        <v>MS</v>
      </c>
      <c r="C4426" s="3" t="str">
        <f t="shared" si="171"/>
        <v>BRASIL</v>
      </c>
      <c r="D4426" s="4" t="str">
        <f>"MS064"</f>
        <v>MS064</v>
      </c>
    </row>
    <row r="4427" spans="1:4" x14ac:dyDescent="0.3">
      <c r="A4427" s="2" t="str">
        <f>"RIO CASCA"</f>
        <v>RIO CASCA</v>
      </c>
      <c r="B4427" s="3" t="str">
        <f>"MG"</f>
        <v>MG</v>
      </c>
      <c r="C4427" s="3" t="str">
        <f t="shared" si="171"/>
        <v>BRASIL</v>
      </c>
      <c r="D4427" s="4" t="str">
        <f>"MG640"</f>
        <v>MG640</v>
      </c>
    </row>
    <row r="4428" spans="1:4" x14ac:dyDescent="0.3">
      <c r="A4428" s="2" t="str">
        <f>"RIO CLARO"</f>
        <v>RIO CLARO</v>
      </c>
      <c r="B4428" s="3" t="str">
        <f>"RJ"</f>
        <v>RJ</v>
      </c>
      <c r="C4428" s="3" t="str">
        <f t="shared" si="171"/>
        <v>BRASIL</v>
      </c>
      <c r="D4428" s="4" t="str">
        <f>"RJ065"</f>
        <v>RJ065</v>
      </c>
    </row>
    <row r="4429" spans="1:4" x14ac:dyDescent="0.3">
      <c r="A4429" s="2" t="str">
        <f>"RIO CLARO"</f>
        <v>RIO CLARO</v>
      </c>
      <c r="B4429" s="3" t="str">
        <f>"SP"</f>
        <v>SP</v>
      </c>
      <c r="C4429" s="3" t="str">
        <f t="shared" si="171"/>
        <v>BRASIL</v>
      </c>
      <c r="D4429" s="4" t="str">
        <f>"SP493"</f>
        <v>SP493</v>
      </c>
    </row>
    <row r="4430" spans="1:4" x14ac:dyDescent="0.3">
      <c r="A4430" s="2" t="str">
        <f>"RIO CRESPO"</f>
        <v>RIO CRESPO</v>
      </c>
      <c r="B4430" s="3" t="str">
        <f>"RO"</f>
        <v>RO</v>
      </c>
      <c r="C4430" s="3" t="str">
        <f t="shared" si="171"/>
        <v>BRASIL</v>
      </c>
      <c r="D4430" s="4" t="str">
        <f>"RO019"</f>
        <v>RO019</v>
      </c>
    </row>
    <row r="4431" spans="1:4" x14ac:dyDescent="0.3">
      <c r="A4431" s="2" t="str">
        <f>"RIO DA CONCEICAO"</f>
        <v>RIO DA CONCEICAO</v>
      </c>
      <c r="B4431" s="3" t="str">
        <f>"TO"</f>
        <v>TO</v>
      </c>
      <c r="C4431" s="3" t="str">
        <f t="shared" si="171"/>
        <v>BRASIL</v>
      </c>
      <c r="D4431" s="4" t="str">
        <f>"TO110"</f>
        <v>TO110</v>
      </c>
    </row>
    <row r="4432" spans="1:4" x14ac:dyDescent="0.3">
      <c r="A4432" s="2" t="str">
        <f>"RIO DAS ANTAS"</f>
        <v>RIO DAS ANTAS</v>
      </c>
      <c r="B4432" s="3" t="str">
        <f>"SC"</f>
        <v>SC</v>
      </c>
      <c r="C4432" s="3" t="str">
        <f t="shared" si="171"/>
        <v>BRASIL</v>
      </c>
      <c r="D4432" s="4" t="str">
        <f>"SC213"</f>
        <v>SC213</v>
      </c>
    </row>
    <row r="4433" spans="1:4" x14ac:dyDescent="0.3">
      <c r="A4433" s="2" t="str">
        <f>"RIO DAS FLORES"</f>
        <v>RIO DAS FLORES</v>
      </c>
      <c r="B4433" s="3" t="str">
        <f>"RJ"</f>
        <v>RJ</v>
      </c>
      <c r="C4433" s="3" t="str">
        <f t="shared" si="171"/>
        <v>BRASIL</v>
      </c>
      <c r="D4433" s="4" t="str">
        <f>"RJ066"</f>
        <v>RJ066</v>
      </c>
    </row>
    <row r="4434" spans="1:4" x14ac:dyDescent="0.3">
      <c r="A4434" s="2" t="str">
        <f>"RIO DAS OSTRAS"</f>
        <v>RIO DAS OSTRAS</v>
      </c>
      <c r="B4434" s="3" t="str">
        <f>"RJ"</f>
        <v>RJ</v>
      </c>
      <c r="C4434" s="3" t="str">
        <f t="shared" si="171"/>
        <v>BRASIL</v>
      </c>
      <c r="D4434" s="4" t="str">
        <f>"RJ067"</f>
        <v>RJ067</v>
      </c>
    </row>
    <row r="4435" spans="1:4" x14ac:dyDescent="0.3">
      <c r="A4435" s="2" t="str">
        <f>"RIO DAS PEDRAS"</f>
        <v>RIO DAS PEDRAS</v>
      </c>
      <c r="B4435" s="3" t="str">
        <f>"SP"</f>
        <v>SP</v>
      </c>
      <c r="C4435" s="3" t="str">
        <f t="shared" si="171"/>
        <v>BRASIL</v>
      </c>
      <c r="D4435" s="4" t="str">
        <f>"SP494"</f>
        <v>SP494</v>
      </c>
    </row>
    <row r="4436" spans="1:4" x14ac:dyDescent="0.3">
      <c r="A4436" s="2" t="str">
        <f>"RIO DE CONTAS"</f>
        <v>RIO DE CONTAS</v>
      </c>
      <c r="B4436" s="3" t="str">
        <f>"BA"</f>
        <v>BA</v>
      </c>
      <c r="C4436" s="3" t="str">
        <f t="shared" si="171"/>
        <v>BRASIL</v>
      </c>
      <c r="D4436" s="4" t="str">
        <f>"BA329"</f>
        <v>BA329</v>
      </c>
    </row>
    <row r="4437" spans="1:4" x14ac:dyDescent="0.3">
      <c r="A4437" s="2" t="str">
        <f>"RIO DE JANEIRO"</f>
        <v>RIO DE JANEIRO</v>
      </c>
      <c r="B4437" s="3" t="str">
        <f>"RJ"</f>
        <v>RJ</v>
      </c>
      <c r="C4437" s="3" t="str">
        <f>"Brasil"</f>
        <v>Brasil</v>
      </c>
      <c r="D4437" s="4" t="str">
        <f>"RIO"</f>
        <v>RIO</v>
      </c>
    </row>
    <row r="4438" spans="1:4" x14ac:dyDescent="0.3">
      <c r="A4438" s="2" t="str">
        <f>"RIO DO ANTONIO"</f>
        <v>RIO DO ANTONIO</v>
      </c>
      <c r="B4438" s="3" t="str">
        <f>"BA"</f>
        <v>BA</v>
      </c>
      <c r="C4438" s="3" t="str">
        <f t="shared" ref="C4438:C4469" si="172">"BRASIL"</f>
        <v>BRASIL</v>
      </c>
      <c r="D4438" s="4" t="str">
        <f>"BA330"</f>
        <v>BA330</v>
      </c>
    </row>
    <row r="4439" spans="1:4" x14ac:dyDescent="0.3">
      <c r="A4439" s="2" t="str">
        <f>"RIO DO CAMPO"</f>
        <v>RIO DO CAMPO</v>
      </c>
      <c r="B4439" s="3" t="str">
        <f>"SC"</f>
        <v>SC</v>
      </c>
      <c r="C4439" s="3" t="str">
        <f t="shared" si="172"/>
        <v>BRASIL</v>
      </c>
      <c r="D4439" s="4" t="str">
        <f>"SC214"</f>
        <v>SC214</v>
      </c>
    </row>
    <row r="4440" spans="1:4" x14ac:dyDescent="0.3">
      <c r="A4440" s="2" t="str">
        <f>"RIO DO FOGO"</f>
        <v>RIO DO FOGO</v>
      </c>
      <c r="B4440" s="3" t="str">
        <f>"RN"</f>
        <v>RN</v>
      </c>
      <c r="C4440" s="3" t="str">
        <f t="shared" si="172"/>
        <v>BRASIL</v>
      </c>
      <c r="D4440" s="4" t="str">
        <f>"RN098"</f>
        <v>RN098</v>
      </c>
    </row>
    <row r="4441" spans="1:4" x14ac:dyDescent="0.3">
      <c r="A4441" s="2" t="str">
        <f>"RIO DO OESTE"</f>
        <v>RIO DO OESTE</v>
      </c>
      <c r="B4441" s="3" t="str">
        <f>"SC"</f>
        <v>SC</v>
      </c>
      <c r="C4441" s="3" t="str">
        <f t="shared" si="172"/>
        <v>BRASIL</v>
      </c>
      <c r="D4441" s="4" t="str">
        <f>"SC215"</f>
        <v>SC215</v>
      </c>
    </row>
    <row r="4442" spans="1:4" x14ac:dyDescent="0.3">
      <c r="A4442" s="2" t="str">
        <f>"RIO DO PIRES"</f>
        <v>RIO DO PIRES</v>
      </c>
      <c r="B4442" s="3" t="str">
        <f>"BA"</f>
        <v>BA</v>
      </c>
      <c r="C4442" s="3" t="str">
        <f t="shared" si="172"/>
        <v>BRASIL</v>
      </c>
      <c r="D4442" s="4" t="str">
        <f>"BA331"</f>
        <v>BA331</v>
      </c>
    </row>
    <row r="4443" spans="1:4" x14ac:dyDescent="0.3">
      <c r="A4443" s="2" t="str">
        <f>"RIO DO PRADO"</f>
        <v>RIO DO PRADO</v>
      </c>
      <c r="B4443" s="3" t="str">
        <f>"MG"</f>
        <v>MG</v>
      </c>
      <c r="C4443" s="3" t="str">
        <f t="shared" si="172"/>
        <v>BRASIL</v>
      </c>
      <c r="D4443" s="4" t="str">
        <f>"MG642"</f>
        <v>MG642</v>
      </c>
    </row>
    <row r="4444" spans="1:4" x14ac:dyDescent="0.3">
      <c r="A4444" s="2" t="str">
        <f>"RIO DO SUL"</f>
        <v>RIO DO SUL</v>
      </c>
      <c r="B4444" s="3" t="str">
        <f>"SC"</f>
        <v>SC</v>
      </c>
      <c r="C4444" s="3" t="str">
        <f t="shared" si="172"/>
        <v>BRASIL</v>
      </c>
      <c r="D4444" s="4" t="str">
        <f>"SC217"</f>
        <v>SC217</v>
      </c>
    </row>
    <row r="4445" spans="1:4" x14ac:dyDescent="0.3">
      <c r="A4445" s="2" t="str">
        <f>"RIO DOCE"</f>
        <v>RIO DOCE</v>
      </c>
      <c r="B4445" s="3" t="str">
        <f>"MG"</f>
        <v>MG</v>
      </c>
      <c r="C4445" s="3" t="str">
        <f t="shared" si="172"/>
        <v>BRASIL</v>
      </c>
      <c r="D4445" s="4" t="str">
        <f>"MG641"</f>
        <v>MG641</v>
      </c>
    </row>
    <row r="4446" spans="1:4" x14ac:dyDescent="0.3">
      <c r="A4446" s="2" t="str">
        <f>"RIO DOS BOIS"</f>
        <v>RIO DOS BOIS</v>
      </c>
      <c r="B4446" s="3" t="str">
        <f>"TO"</f>
        <v>TO</v>
      </c>
      <c r="C4446" s="3" t="str">
        <f t="shared" si="172"/>
        <v>BRASIL</v>
      </c>
      <c r="D4446" s="4" t="str">
        <f>"TO111"</f>
        <v>TO111</v>
      </c>
    </row>
    <row r="4447" spans="1:4" x14ac:dyDescent="0.3">
      <c r="A4447" s="2" t="str">
        <f>"RIO DOS CEDROS"</f>
        <v>RIO DOS CEDROS</v>
      </c>
      <c r="B4447" s="3" t="str">
        <f>"SC"</f>
        <v>SC</v>
      </c>
      <c r="C4447" s="3" t="str">
        <f t="shared" si="172"/>
        <v>BRASIL</v>
      </c>
      <c r="D4447" s="4" t="str">
        <f>"SC216"</f>
        <v>SC216</v>
      </c>
    </row>
    <row r="4448" spans="1:4" x14ac:dyDescent="0.3">
      <c r="A4448" s="2" t="str">
        <f>"RIO DOS INDIOS"</f>
        <v>RIO DOS INDIOS</v>
      </c>
      <c r="B4448" s="3" t="str">
        <f>"RS"</f>
        <v>RS</v>
      </c>
      <c r="C4448" s="3" t="str">
        <f t="shared" si="172"/>
        <v>BRASIL</v>
      </c>
      <c r="D4448" s="4" t="str">
        <f>"RS342"</f>
        <v>RS342</v>
      </c>
    </row>
    <row r="4449" spans="1:4" x14ac:dyDescent="0.3">
      <c r="A4449" s="2" t="str">
        <f>"RIO ESPERA"</f>
        <v>RIO ESPERA</v>
      </c>
      <c r="B4449" s="3" t="str">
        <f>"MG"</f>
        <v>MG</v>
      </c>
      <c r="C4449" s="3" t="str">
        <f t="shared" si="172"/>
        <v>BRASIL</v>
      </c>
      <c r="D4449" s="4" t="str">
        <f>"MG643"</f>
        <v>MG643</v>
      </c>
    </row>
    <row r="4450" spans="1:4" x14ac:dyDescent="0.3">
      <c r="A4450" s="2" t="str">
        <f>"RIO FORMOSO"</f>
        <v>RIO FORMOSO</v>
      </c>
      <c r="B4450" s="3" t="str">
        <f>"PE"</f>
        <v>PE</v>
      </c>
      <c r="C4450" s="3" t="str">
        <f t="shared" si="172"/>
        <v>BRASIL</v>
      </c>
      <c r="D4450" s="4" t="str">
        <f>"PE135"</f>
        <v>PE135</v>
      </c>
    </row>
    <row r="4451" spans="1:4" x14ac:dyDescent="0.3">
      <c r="A4451" s="2" t="str">
        <f>"RIO FORTUNA"</f>
        <v>RIO FORTUNA</v>
      </c>
      <c r="B4451" s="3" t="str">
        <f>"SC"</f>
        <v>SC</v>
      </c>
      <c r="C4451" s="3" t="str">
        <f t="shared" si="172"/>
        <v>BRASIL</v>
      </c>
      <c r="D4451" s="4" t="str">
        <f>"SC218"</f>
        <v>SC218</v>
      </c>
    </row>
    <row r="4452" spans="1:4" x14ac:dyDescent="0.3">
      <c r="A4452" s="2" t="str">
        <f>"RIO GRANDE"</f>
        <v>RIO GRANDE</v>
      </c>
      <c r="B4452" s="3" t="str">
        <f>"RS"</f>
        <v>RS</v>
      </c>
      <c r="C4452" s="3" t="str">
        <f t="shared" si="172"/>
        <v>BRASIL</v>
      </c>
      <c r="D4452" s="4" t="str">
        <f>"RS343"</f>
        <v>RS343</v>
      </c>
    </row>
    <row r="4453" spans="1:4" x14ac:dyDescent="0.3">
      <c r="A4453" s="2" t="str">
        <f>"RIO GRANDE DA SERRA"</f>
        <v>RIO GRANDE DA SERRA</v>
      </c>
      <c r="B4453" s="3" t="str">
        <f>"SP"</f>
        <v>SP</v>
      </c>
      <c r="C4453" s="3" t="str">
        <f t="shared" si="172"/>
        <v>BRASIL</v>
      </c>
      <c r="D4453" s="4" t="str">
        <f>"SP495"</f>
        <v>SP495</v>
      </c>
    </row>
    <row r="4454" spans="1:4" x14ac:dyDescent="0.3">
      <c r="A4454" s="2" t="str">
        <f>"RIO GRANDE DO PIAUI"</f>
        <v>RIO GRANDE DO PIAUI</v>
      </c>
      <c r="B4454" s="3" t="str">
        <f>"PI"</f>
        <v>PI</v>
      </c>
      <c r="C4454" s="3" t="str">
        <f t="shared" si="172"/>
        <v>BRASIL</v>
      </c>
      <c r="D4454" s="4" t="str">
        <f>"PI173"</f>
        <v>PI173</v>
      </c>
    </row>
    <row r="4455" spans="1:4" x14ac:dyDescent="0.3">
      <c r="A4455" s="2" t="str">
        <f>"RIO LARGO"</f>
        <v>RIO LARGO</v>
      </c>
      <c r="B4455" s="3" t="str">
        <f>"AL"</f>
        <v>AL</v>
      </c>
      <c r="C4455" s="3" t="str">
        <f t="shared" si="172"/>
        <v>BRASIL</v>
      </c>
      <c r="D4455" s="4" t="str">
        <f>"AL083"</f>
        <v>AL083</v>
      </c>
    </row>
    <row r="4456" spans="1:4" x14ac:dyDescent="0.3">
      <c r="A4456" s="2" t="str">
        <f>"RIO MANSO"</f>
        <v>RIO MANSO</v>
      </c>
      <c r="B4456" s="3" t="str">
        <f>"MG"</f>
        <v>MG</v>
      </c>
      <c r="C4456" s="3" t="str">
        <f t="shared" si="172"/>
        <v>BRASIL</v>
      </c>
      <c r="D4456" s="4" t="str">
        <f>"MG644"</f>
        <v>MG644</v>
      </c>
    </row>
    <row r="4457" spans="1:4" x14ac:dyDescent="0.3">
      <c r="A4457" s="2" t="str">
        <f>"RIO MARIA"</f>
        <v>RIO MARIA</v>
      </c>
      <c r="B4457" s="3" t="str">
        <f>"PA"</f>
        <v>PA</v>
      </c>
      <c r="C4457" s="3" t="str">
        <f t="shared" si="172"/>
        <v>BRASIL</v>
      </c>
      <c r="D4457" s="4" t="str">
        <f>"PA101"</f>
        <v>PA101</v>
      </c>
    </row>
    <row r="4458" spans="1:4" x14ac:dyDescent="0.3">
      <c r="A4458" s="2" t="str">
        <f>"RIO NEGRINHO"</f>
        <v>RIO NEGRINHO</v>
      </c>
      <c r="B4458" s="3" t="str">
        <f>"SC"</f>
        <v>SC</v>
      </c>
      <c r="C4458" s="3" t="str">
        <f t="shared" si="172"/>
        <v>BRASIL</v>
      </c>
      <c r="D4458" s="4" t="str">
        <f>"SC219"</f>
        <v>SC219</v>
      </c>
    </row>
    <row r="4459" spans="1:4" x14ac:dyDescent="0.3">
      <c r="A4459" s="2" t="str">
        <f>"RIO NEGRO"</f>
        <v>RIO NEGRO</v>
      </c>
      <c r="B4459" s="3" t="str">
        <f>"MS"</f>
        <v>MS</v>
      </c>
      <c r="C4459" s="3" t="str">
        <f t="shared" si="172"/>
        <v>BRASIL</v>
      </c>
      <c r="D4459" s="4" t="str">
        <f>"MS065"</f>
        <v>MS065</v>
      </c>
    </row>
    <row r="4460" spans="1:4" x14ac:dyDescent="0.3">
      <c r="A4460" s="2" t="str">
        <f>"RIO NEGRO"</f>
        <v>RIO NEGRO</v>
      </c>
      <c r="B4460" s="3" t="str">
        <f>"PR"</f>
        <v>PR</v>
      </c>
      <c r="C4460" s="3" t="str">
        <f t="shared" si="172"/>
        <v>BRASIL</v>
      </c>
      <c r="D4460" s="4" t="str">
        <f>"PR310"</f>
        <v>PR310</v>
      </c>
    </row>
    <row r="4461" spans="1:4" x14ac:dyDescent="0.3">
      <c r="A4461" s="2" t="str">
        <f>"RIO NOVO"</f>
        <v>RIO NOVO</v>
      </c>
      <c r="B4461" s="3" t="str">
        <f>"MG"</f>
        <v>MG</v>
      </c>
      <c r="C4461" s="3" t="str">
        <f t="shared" si="172"/>
        <v>BRASIL</v>
      </c>
      <c r="D4461" s="4" t="str">
        <f>"MG645"</f>
        <v>MG645</v>
      </c>
    </row>
    <row r="4462" spans="1:4" x14ac:dyDescent="0.3">
      <c r="A4462" s="2" t="str">
        <f>"RIO NOVO DO SUL"</f>
        <v>RIO NOVO DO SUL</v>
      </c>
      <c r="B4462" s="3" t="str">
        <f>"ES"</f>
        <v>ES</v>
      </c>
      <c r="C4462" s="3" t="str">
        <f t="shared" si="172"/>
        <v>BRASIL</v>
      </c>
      <c r="D4462" s="4" t="str">
        <f>"ES061"</f>
        <v>ES061</v>
      </c>
    </row>
    <row r="4463" spans="1:4" x14ac:dyDescent="0.3">
      <c r="A4463" s="2" t="str">
        <f>"RIO PARANAIBA"</f>
        <v>RIO PARANAIBA</v>
      </c>
      <c r="B4463" s="3" t="str">
        <f>"MG"</f>
        <v>MG</v>
      </c>
      <c r="C4463" s="3" t="str">
        <f t="shared" si="172"/>
        <v>BRASIL</v>
      </c>
      <c r="D4463" s="4" t="str">
        <f>"MG646"</f>
        <v>MG646</v>
      </c>
    </row>
    <row r="4464" spans="1:4" x14ac:dyDescent="0.3">
      <c r="A4464" s="2" t="str">
        <f>"RIO PARDO"</f>
        <v>RIO PARDO</v>
      </c>
      <c r="B4464" s="3" t="str">
        <f>"RS"</f>
        <v>RS</v>
      </c>
      <c r="C4464" s="3" t="str">
        <f t="shared" si="172"/>
        <v>BRASIL</v>
      </c>
      <c r="D4464" s="4" t="str">
        <f>"RS344"</f>
        <v>RS344</v>
      </c>
    </row>
    <row r="4465" spans="1:4" x14ac:dyDescent="0.3">
      <c r="A4465" s="2" t="str">
        <f>"RIO PARDO DE MINAS"</f>
        <v>RIO PARDO DE MINAS</v>
      </c>
      <c r="B4465" s="3" t="str">
        <f>"MG"</f>
        <v>MG</v>
      </c>
      <c r="C4465" s="3" t="str">
        <f t="shared" si="172"/>
        <v>BRASIL</v>
      </c>
      <c r="D4465" s="4" t="str">
        <f>"MG647"</f>
        <v>MG647</v>
      </c>
    </row>
    <row r="4466" spans="1:4" x14ac:dyDescent="0.3">
      <c r="A4466" s="2" t="str">
        <f>"RIO PIRACICABA"</f>
        <v>RIO PIRACICABA</v>
      </c>
      <c r="B4466" s="3" t="str">
        <f>"MG"</f>
        <v>MG</v>
      </c>
      <c r="C4466" s="3" t="str">
        <f t="shared" si="172"/>
        <v>BRASIL</v>
      </c>
      <c r="D4466" s="4" t="str">
        <f>"MG648"</f>
        <v>MG648</v>
      </c>
    </row>
    <row r="4467" spans="1:4" x14ac:dyDescent="0.3">
      <c r="A4467" s="2" t="str">
        <f>"RIO POMBA"</f>
        <v>RIO POMBA</v>
      </c>
      <c r="B4467" s="3" t="str">
        <f>"MG"</f>
        <v>MG</v>
      </c>
      <c r="C4467" s="3" t="str">
        <f t="shared" si="172"/>
        <v>BRASIL</v>
      </c>
      <c r="D4467" s="4" t="str">
        <f>"MG649"</f>
        <v>MG649</v>
      </c>
    </row>
    <row r="4468" spans="1:4" x14ac:dyDescent="0.3">
      <c r="A4468" s="2" t="str">
        <f>"RIO PRETO"</f>
        <v>RIO PRETO</v>
      </c>
      <c r="B4468" s="3" t="str">
        <f>"MG"</f>
        <v>MG</v>
      </c>
      <c r="C4468" s="3" t="str">
        <f t="shared" si="172"/>
        <v>BRASIL</v>
      </c>
      <c r="D4468" s="4" t="str">
        <f>"MG650"</f>
        <v>MG650</v>
      </c>
    </row>
    <row r="4469" spans="1:4" x14ac:dyDescent="0.3">
      <c r="A4469" s="2" t="str">
        <f>"RIO PRETO DA EVA"</f>
        <v>RIO PRETO DA EVA</v>
      </c>
      <c r="B4469" s="3" t="str">
        <f>"AM"</f>
        <v>AM</v>
      </c>
      <c r="C4469" s="3" t="str">
        <f t="shared" si="172"/>
        <v>BRASIL</v>
      </c>
      <c r="D4469" s="4" t="str">
        <f>"AM049"</f>
        <v>AM049</v>
      </c>
    </row>
    <row r="4470" spans="1:4" x14ac:dyDescent="0.3">
      <c r="A4470" s="2" t="str">
        <f>"RIO QUENTE"</f>
        <v>RIO QUENTE</v>
      </c>
      <c r="B4470" s="3" t="str">
        <f>"GO"</f>
        <v>GO</v>
      </c>
      <c r="C4470" s="3" t="str">
        <f t="shared" ref="C4470:C4504" si="173">"BRASIL"</f>
        <v>BRASIL</v>
      </c>
      <c r="D4470" s="4" t="str">
        <f>"GO197"</f>
        <v>GO197</v>
      </c>
    </row>
    <row r="4471" spans="1:4" x14ac:dyDescent="0.3">
      <c r="A4471" s="2" t="str">
        <f>"RIO REAL"</f>
        <v>RIO REAL</v>
      </c>
      <c r="B4471" s="3" t="str">
        <f>"BA"</f>
        <v>BA</v>
      </c>
      <c r="C4471" s="3" t="str">
        <f t="shared" si="173"/>
        <v>BRASIL</v>
      </c>
      <c r="D4471" s="4" t="str">
        <f>"BA332"</f>
        <v>BA332</v>
      </c>
    </row>
    <row r="4472" spans="1:4" x14ac:dyDescent="0.3">
      <c r="A4472" s="2" t="str">
        <f>"RIO RUFINO"</f>
        <v>RIO RUFINO</v>
      </c>
      <c r="B4472" s="3" t="str">
        <f>"SC"</f>
        <v>SC</v>
      </c>
      <c r="C4472" s="3" t="str">
        <f t="shared" si="173"/>
        <v>BRASIL</v>
      </c>
      <c r="D4472" s="4" t="str">
        <f>"SC220"</f>
        <v>SC220</v>
      </c>
    </row>
    <row r="4473" spans="1:4" x14ac:dyDescent="0.3">
      <c r="A4473" s="2" t="str">
        <f>"RIO SONO"</f>
        <v>RIO SONO</v>
      </c>
      <c r="B4473" s="3" t="str">
        <f>"TO"</f>
        <v>TO</v>
      </c>
      <c r="C4473" s="3" t="str">
        <f t="shared" si="173"/>
        <v>BRASIL</v>
      </c>
      <c r="D4473" s="4" t="str">
        <f>"TO112"</f>
        <v>TO112</v>
      </c>
    </row>
    <row r="4474" spans="1:4" x14ac:dyDescent="0.3">
      <c r="A4474" s="2" t="str">
        <f>"RIO TINTO"</f>
        <v>RIO TINTO</v>
      </c>
      <c r="B4474" s="3" t="str">
        <f>"PB"</f>
        <v>PB</v>
      </c>
      <c r="C4474" s="3" t="str">
        <f t="shared" si="173"/>
        <v>BRASIL</v>
      </c>
      <c r="D4474" s="4" t="str">
        <f>"PB164"</f>
        <v>PB164</v>
      </c>
    </row>
    <row r="4475" spans="1:4" x14ac:dyDescent="0.3">
      <c r="A4475" s="2" t="str">
        <f>"RIO VERDE"</f>
        <v>RIO VERDE</v>
      </c>
      <c r="B4475" s="3" t="str">
        <f>"GO"</f>
        <v>GO</v>
      </c>
      <c r="C4475" s="3" t="str">
        <f t="shared" si="173"/>
        <v>BRASIL</v>
      </c>
      <c r="D4475" s="4" t="str">
        <f>"GO198"</f>
        <v>GO198</v>
      </c>
    </row>
    <row r="4476" spans="1:4" x14ac:dyDescent="0.3">
      <c r="A4476" s="2" t="str">
        <f>"RIO VERDE DE MATO GROSSO"</f>
        <v>RIO VERDE DE MATO GROSSO</v>
      </c>
      <c r="B4476" s="3" t="str">
        <f>"MS"</f>
        <v>MS</v>
      </c>
      <c r="C4476" s="3" t="str">
        <f t="shared" si="173"/>
        <v>BRASIL</v>
      </c>
      <c r="D4476" s="4" t="str">
        <f>"MS066"</f>
        <v>MS066</v>
      </c>
    </row>
    <row r="4477" spans="1:4" x14ac:dyDescent="0.3">
      <c r="A4477" s="2" t="str">
        <f>"RIO VERMELHO"</f>
        <v>RIO VERMELHO</v>
      </c>
      <c r="B4477" s="3" t="str">
        <f>"MG"</f>
        <v>MG</v>
      </c>
      <c r="C4477" s="3" t="str">
        <f t="shared" si="173"/>
        <v>BRASIL</v>
      </c>
      <c r="D4477" s="4" t="str">
        <f>"MG651"</f>
        <v>MG651</v>
      </c>
    </row>
    <row r="4478" spans="1:4" x14ac:dyDescent="0.3">
      <c r="A4478" s="2" t="str">
        <f>"RIOLANDIA"</f>
        <v>RIOLANDIA</v>
      </c>
      <c r="B4478" s="3" t="str">
        <f>"SP"</f>
        <v>SP</v>
      </c>
      <c r="C4478" s="3" t="str">
        <f t="shared" si="173"/>
        <v>BRASIL</v>
      </c>
      <c r="D4478" s="4" t="str">
        <f>"SP496"</f>
        <v>SP496</v>
      </c>
    </row>
    <row r="4479" spans="1:4" x14ac:dyDescent="0.3">
      <c r="A4479" s="2" t="str">
        <f>"RIOZINHO"</f>
        <v>RIOZINHO</v>
      </c>
      <c r="B4479" s="3" t="str">
        <f>"RS"</f>
        <v>RS</v>
      </c>
      <c r="C4479" s="3" t="str">
        <f t="shared" si="173"/>
        <v>BRASIL</v>
      </c>
      <c r="D4479" s="4" t="str">
        <f>"RS345"</f>
        <v>RS345</v>
      </c>
    </row>
    <row r="4480" spans="1:4" x14ac:dyDescent="0.3">
      <c r="A4480" s="2" t="str">
        <f>"RIQUEZA"</f>
        <v>RIQUEZA</v>
      </c>
      <c r="B4480" s="3" t="str">
        <f>"SC"</f>
        <v>SC</v>
      </c>
      <c r="C4480" s="3" t="str">
        <f t="shared" si="173"/>
        <v>BRASIL</v>
      </c>
      <c r="D4480" s="4" t="str">
        <f>"SC221"</f>
        <v>SC221</v>
      </c>
    </row>
    <row r="4481" spans="1:4" x14ac:dyDescent="0.3">
      <c r="A4481" s="2" t="str">
        <f>"RITAPOLIS"</f>
        <v>RITAPOLIS</v>
      </c>
      <c r="B4481" s="3" t="str">
        <f>"MG"</f>
        <v>MG</v>
      </c>
      <c r="C4481" s="3" t="str">
        <f t="shared" si="173"/>
        <v>BRASIL</v>
      </c>
      <c r="D4481" s="4" t="str">
        <f>"MG652"</f>
        <v>MG652</v>
      </c>
    </row>
    <row r="4482" spans="1:4" x14ac:dyDescent="0.3">
      <c r="A4482" s="2" t="str">
        <f>"RIVERSUL"</f>
        <v>RIVERSUL</v>
      </c>
      <c r="B4482" s="3" t="str">
        <f>"SP"</f>
        <v>SP</v>
      </c>
      <c r="C4482" s="3" t="str">
        <f t="shared" si="173"/>
        <v>BRASIL</v>
      </c>
      <c r="D4482" s="4" t="str">
        <f>"SP489"</f>
        <v>SP489</v>
      </c>
    </row>
    <row r="4483" spans="1:4" x14ac:dyDescent="0.3">
      <c r="A4483" s="2" t="str">
        <f>"ROCA SALES"</f>
        <v>ROCA SALES</v>
      </c>
      <c r="B4483" s="3" t="str">
        <f>"RS"</f>
        <v>RS</v>
      </c>
      <c r="C4483" s="3" t="str">
        <f t="shared" si="173"/>
        <v>BRASIL</v>
      </c>
      <c r="D4483" s="4" t="str">
        <f>"RS346"</f>
        <v>RS346</v>
      </c>
    </row>
    <row r="4484" spans="1:4" x14ac:dyDescent="0.3">
      <c r="A4484" s="2" t="str">
        <f>"ROCHEDO"</f>
        <v>ROCHEDO</v>
      </c>
      <c r="B4484" s="3" t="str">
        <f>"MS"</f>
        <v>MS</v>
      </c>
      <c r="C4484" s="3" t="str">
        <f t="shared" si="173"/>
        <v>BRASIL</v>
      </c>
      <c r="D4484" s="4" t="str">
        <f>"MS067"</f>
        <v>MS067</v>
      </c>
    </row>
    <row r="4485" spans="1:4" x14ac:dyDescent="0.3">
      <c r="A4485" s="2" t="str">
        <f>"ROCHEDO DE MINAS"</f>
        <v>ROCHEDO DE MINAS</v>
      </c>
      <c r="B4485" s="3" t="str">
        <f>"MG"</f>
        <v>MG</v>
      </c>
      <c r="C4485" s="3" t="str">
        <f t="shared" si="173"/>
        <v>BRASIL</v>
      </c>
      <c r="D4485" s="4" t="str">
        <f>"MG653"</f>
        <v>MG653</v>
      </c>
    </row>
    <row r="4486" spans="1:4" x14ac:dyDescent="0.3">
      <c r="A4486" s="2" t="str">
        <f>"RODEIO"</f>
        <v>RODEIO</v>
      </c>
      <c r="B4486" s="3" t="str">
        <f>"SC"</f>
        <v>SC</v>
      </c>
      <c r="C4486" s="3" t="str">
        <f t="shared" si="173"/>
        <v>BRASIL</v>
      </c>
      <c r="D4486" s="4" t="str">
        <f>"SC222"</f>
        <v>SC222</v>
      </c>
    </row>
    <row r="4487" spans="1:4" x14ac:dyDescent="0.3">
      <c r="A4487" s="2" t="str">
        <f>"RODEIO BONITO"</f>
        <v>RODEIO BONITO</v>
      </c>
      <c r="B4487" s="3" t="str">
        <f>"RS"</f>
        <v>RS</v>
      </c>
      <c r="C4487" s="3" t="str">
        <f t="shared" si="173"/>
        <v>BRASIL</v>
      </c>
      <c r="D4487" s="4" t="str">
        <f>"RS347"</f>
        <v>RS347</v>
      </c>
    </row>
    <row r="4488" spans="1:4" x14ac:dyDescent="0.3">
      <c r="A4488" s="2" t="str">
        <f>"RODEIRO"</f>
        <v>RODEIRO</v>
      </c>
      <c r="B4488" s="3" t="str">
        <f>"MG"</f>
        <v>MG</v>
      </c>
      <c r="C4488" s="3" t="str">
        <f t="shared" si="173"/>
        <v>BRASIL</v>
      </c>
      <c r="D4488" s="4" t="str">
        <f>"MG654"</f>
        <v>MG654</v>
      </c>
    </row>
    <row r="4489" spans="1:4" x14ac:dyDescent="0.3">
      <c r="A4489" s="2" t="str">
        <f>"RODELAS"</f>
        <v>RODELAS</v>
      </c>
      <c r="B4489" s="3" t="str">
        <f>"BA"</f>
        <v>BA</v>
      </c>
      <c r="C4489" s="3" t="str">
        <f t="shared" si="173"/>
        <v>BRASIL</v>
      </c>
      <c r="D4489" s="4" t="str">
        <f>"BA333"</f>
        <v>BA333</v>
      </c>
    </row>
    <row r="4490" spans="1:4" x14ac:dyDescent="0.3">
      <c r="A4490" s="2" t="str">
        <f>"RODOLFO FERNANDES"</f>
        <v>RODOLFO FERNANDES</v>
      </c>
      <c r="B4490" s="3" t="str">
        <f>"RN"</f>
        <v>RN</v>
      </c>
      <c r="C4490" s="3" t="str">
        <f t="shared" si="173"/>
        <v>BRASIL</v>
      </c>
      <c r="D4490" s="4" t="str">
        <f>"RN120"</f>
        <v>RN120</v>
      </c>
    </row>
    <row r="4491" spans="1:4" x14ac:dyDescent="0.3">
      <c r="A4491" s="2" t="str">
        <f>"RODRIGUES ALVES"</f>
        <v>RODRIGUES ALVES</v>
      </c>
      <c r="B4491" s="3" t="str">
        <f>"AC"</f>
        <v>AC</v>
      </c>
      <c r="C4491" s="3" t="str">
        <f t="shared" si="173"/>
        <v>BRASIL</v>
      </c>
      <c r="D4491" s="4" t="str">
        <f>"AC016"</f>
        <v>AC016</v>
      </c>
    </row>
    <row r="4492" spans="1:4" x14ac:dyDescent="0.3">
      <c r="A4492" s="2" t="str">
        <f>"ROLADOR"</f>
        <v>ROLADOR</v>
      </c>
      <c r="B4492" s="3" t="str">
        <f>"RS"</f>
        <v>RS</v>
      </c>
      <c r="C4492" s="3" t="str">
        <f t="shared" si="173"/>
        <v>BRASIL</v>
      </c>
      <c r="D4492" s="4" t="str">
        <f>"RS348"</f>
        <v>RS348</v>
      </c>
    </row>
    <row r="4493" spans="1:4" x14ac:dyDescent="0.3">
      <c r="A4493" s="2" t="str">
        <f>"ROLANDIA"</f>
        <v>ROLANDIA</v>
      </c>
      <c r="B4493" s="3" t="str">
        <f>"PR"</f>
        <v>PR</v>
      </c>
      <c r="C4493" s="3" t="str">
        <f t="shared" si="173"/>
        <v>BRASIL</v>
      </c>
      <c r="D4493" s="4" t="str">
        <f>"PR311"</f>
        <v>PR311</v>
      </c>
    </row>
    <row r="4494" spans="1:4" x14ac:dyDescent="0.3">
      <c r="A4494" s="2" t="str">
        <f>"ROLANTE"</f>
        <v>ROLANTE</v>
      </c>
      <c r="B4494" s="3" t="str">
        <f>"RS"</f>
        <v>RS</v>
      </c>
      <c r="C4494" s="3" t="str">
        <f t="shared" si="173"/>
        <v>BRASIL</v>
      </c>
      <c r="D4494" s="4" t="str">
        <f>"RS349"</f>
        <v>RS349</v>
      </c>
    </row>
    <row r="4495" spans="1:4" x14ac:dyDescent="0.3">
      <c r="A4495" s="2" t="str">
        <f>"ROLIM DE MOURA"</f>
        <v>ROLIM DE MOURA</v>
      </c>
      <c r="B4495" s="3" t="str">
        <f>"RO"</f>
        <v>RO</v>
      </c>
      <c r="C4495" s="3" t="str">
        <f t="shared" si="173"/>
        <v>BRASIL</v>
      </c>
      <c r="D4495" s="4" t="str">
        <f>"RO020"</f>
        <v>RO020</v>
      </c>
    </row>
    <row r="4496" spans="1:4" x14ac:dyDescent="0.3">
      <c r="A4496" s="2" t="str">
        <f>"ROMARIA"</f>
        <v>ROMARIA</v>
      </c>
      <c r="B4496" s="3" t="str">
        <f>"MG"</f>
        <v>MG</v>
      </c>
      <c r="C4496" s="3" t="str">
        <f t="shared" si="173"/>
        <v>BRASIL</v>
      </c>
      <c r="D4496" s="4" t="str">
        <f>"MG655"</f>
        <v>MG655</v>
      </c>
    </row>
    <row r="4497" spans="1:4" x14ac:dyDescent="0.3">
      <c r="A4497" s="2" t="str">
        <f>"ROMELANDIA"</f>
        <v>ROMELANDIA</v>
      </c>
      <c r="B4497" s="3" t="str">
        <f>"SC"</f>
        <v>SC</v>
      </c>
      <c r="C4497" s="3" t="str">
        <f t="shared" si="173"/>
        <v>BRASIL</v>
      </c>
      <c r="D4497" s="4" t="str">
        <f>"SC223"</f>
        <v>SC223</v>
      </c>
    </row>
    <row r="4498" spans="1:4" x14ac:dyDescent="0.3">
      <c r="A4498" s="2" t="str">
        <f>"RONCADOR"</f>
        <v>RONCADOR</v>
      </c>
      <c r="B4498" s="3" t="str">
        <f>"PR"</f>
        <v>PR</v>
      </c>
      <c r="C4498" s="3" t="str">
        <f t="shared" si="173"/>
        <v>BRASIL</v>
      </c>
      <c r="D4498" s="4" t="str">
        <f>"PR312"</f>
        <v>PR312</v>
      </c>
    </row>
    <row r="4499" spans="1:4" x14ac:dyDescent="0.3">
      <c r="A4499" s="2" t="str">
        <f>"RONDA ALTA"</f>
        <v>RONDA ALTA</v>
      </c>
      <c r="B4499" s="3" t="str">
        <f>"RS"</f>
        <v>RS</v>
      </c>
      <c r="C4499" s="3" t="str">
        <f t="shared" si="173"/>
        <v>BRASIL</v>
      </c>
      <c r="D4499" s="4" t="str">
        <f>"RS350"</f>
        <v>RS350</v>
      </c>
    </row>
    <row r="4500" spans="1:4" x14ac:dyDescent="0.3">
      <c r="A4500" s="2" t="str">
        <f>"RONDINHA"</f>
        <v>RONDINHA</v>
      </c>
      <c r="B4500" s="3" t="str">
        <f>"RS"</f>
        <v>RS</v>
      </c>
      <c r="C4500" s="3" t="str">
        <f t="shared" si="173"/>
        <v>BRASIL</v>
      </c>
      <c r="D4500" s="4" t="str">
        <f>"RS351"</f>
        <v>RS351</v>
      </c>
    </row>
    <row r="4501" spans="1:4" x14ac:dyDescent="0.3">
      <c r="A4501" s="2" t="str">
        <f>"RONDOLANDIA"</f>
        <v>RONDOLANDIA</v>
      </c>
      <c r="B4501" s="3" t="str">
        <f>"MT"</f>
        <v>MT</v>
      </c>
      <c r="C4501" s="3" t="str">
        <f t="shared" si="173"/>
        <v>BRASIL</v>
      </c>
      <c r="D4501" s="4" t="str">
        <f>"MT113"</f>
        <v>MT113</v>
      </c>
    </row>
    <row r="4502" spans="1:4" x14ac:dyDescent="0.3">
      <c r="A4502" s="2" t="str">
        <f>"RONDON"</f>
        <v>RONDON</v>
      </c>
      <c r="B4502" s="3" t="str">
        <f>"PR"</f>
        <v>PR</v>
      </c>
      <c r="C4502" s="3" t="str">
        <f t="shared" si="173"/>
        <v>BRASIL</v>
      </c>
      <c r="D4502" s="4" t="str">
        <f>"PR313"</f>
        <v>PR313</v>
      </c>
    </row>
    <row r="4503" spans="1:4" x14ac:dyDescent="0.3">
      <c r="A4503" s="2" t="str">
        <f>"RONDON DO PARA"</f>
        <v>RONDON DO PARA</v>
      </c>
      <c r="B4503" s="3" t="str">
        <f>"PA"</f>
        <v>PA</v>
      </c>
      <c r="C4503" s="3" t="str">
        <f t="shared" si="173"/>
        <v>BRASIL</v>
      </c>
      <c r="D4503" s="4" t="str">
        <f>"PA102"</f>
        <v>PA102</v>
      </c>
    </row>
    <row r="4504" spans="1:4" x14ac:dyDescent="0.3">
      <c r="A4504" s="2" t="str">
        <f>"RONDONOPOLIS"</f>
        <v>RONDONOPOLIS</v>
      </c>
      <c r="B4504" s="3" t="str">
        <f>"MT"</f>
        <v>MT</v>
      </c>
      <c r="C4504" s="3" t="str">
        <f t="shared" si="173"/>
        <v>BRASIL</v>
      </c>
      <c r="D4504" s="4" t="str">
        <f>"MT114"</f>
        <v>MT114</v>
      </c>
    </row>
    <row r="4505" spans="1:4" x14ac:dyDescent="0.3">
      <c r="A4505" s="2" t="str">
        <f>"RONSE/RENAIX"</f>
        <v>RONSE/RENAIX</v>
      </c>
      <c r="B4505" s="3" t="str">
        <f>"EX"</f>
        <v>EX</v>
      </c>
      <c r="C4505" s="3" t="str">
        <f>"BÉLGICA"</f>
        <v>BÉLGICA</v>
      </c>
      <c r="D4505" s="4" t="str">
        <f>"RRX"</f>
        <v>RRX</v>
      </c>
    </row>
    <row r="4506" spans="1:4" x14ac:dyDescent="0.3">
      <c r="A4506" s="2" t="str">
        <f>"ROQUE GONZALES"</f>
        <v>ROQUE GONZALES</v>
      </c>
      <c r="B4506" s="3" t="str">
        <f>"RS"</f>
        <v>RS</v>
      </c>
      <c r="C4506" s="3" t="str">
        <f t="shared" ref="C4506:C4523" si="174">"BRASIL"</f>
        <v>BRASIL</v>
      </c>
      <c r="D4506" s="4" t="str">
        <f>"RS352"</f>
        <v>RS352</v>
      </c>
    </row>
    <row r="4507" spans="1:4" x14ac:dyDescent="0.3">
      <c r="A4507" s="2" t="str">
        <f>"RORAINOPOLIS"</f>
        <v>RORAINOPOLIS</v>
      </c>
      <c r="B4507" s="3" t="str">
        <f>"RR"</f>
        <v>RR</v>
      </c>
      <c r="C4507" s="3" t="str">
        <f t="shared" si="174"/>
        <v>BRASIL</v>
      </c>
      <c r="D4507" s="4" t="str">
        <f>"RR012"</f>
        <v>RR012</v>
      </c>
    </row>
    <row r="4508" spans="1:4" x14ac:dyDescent="0.3">
      <c r="A4508" s="2" t="str">
        <f>"ROSANA"</f>
        <v>ROSANA</v>
      </c>
      <c r="B4508" s="3" t="str">
        <f>"SP"</f>
        <v>SP</v>
      </c>
      <c r="C4508" s="3" t="str">
        <f t="shared" si="174"/>
        <v>BRASIL</v>
      </c>
      <c r="D4508" s="4" t="str">
        <f>"SP497"</f>
        <v>SP497</v>
      </c>
    </row>
    <row r="4509" spans="1:4" x14ac:dyDescent="0.3">
      <c r="A4509" s="2" t="str">
        <f>"ROSARIO"</f>
        <v>ROSARIO</v>
      </c>
      <c r="B4509" s="3" t="str">
        <f>"MA"</f>
        <v>MA</v>
      </c>
      <c r="C4509" s="3" t="str">
        <f t="shared" si="174"/>
        <v>BRASIL</v>
      </c>
      <c r="D4509" s="4" t="str">
        <f>"MA159"</f>
        <v>MA159</v>
      </c>
    </row>
    <row r="4510" spans="1:4" x14ac:dyDescent="0.3">
      <c r="A4510" s="2" t="str">
        <f>"ROSARIO DA LIMEIRA"</f>
        <v>ROSARIO DA LIMEIRA</v>
      </c>
      <c r="B4510" s="3" t="str">
        <f>"MG"</f>
        <v>MG</v>
      </c>
      <c r="C4510" s="3" t="str">
        <f t="shared" si="174"/>
        <v>BRASIL</v>
      </c>
      <c r="D4510" s="4" t="str">
        <f>"MG656"</f>
        <v>MG656</v>
      </c>
    </row>
    <row r="4511" spans="1:4" x14ac:dyDescent="0.3">
      <c r="A4511" s="2" t="str">
        <f>"ROSARIO DO CATETE"</f>
        <v>ROSARIO DO CATETE</v>
      </c>
      <c r="B4511" s="3" t="str">
        <f>"SE"</f>
        <v>SE</v>
      </c>
      <c r="C4511" s="3" t="str">
        <f t="shared" si="174"/>
        <v>BRASIL</v>
      </c>
      <c r="D4511" s="4" t="str">
        <f>"SE060"</f>
        <v>SE060</v>
      </c>
    </row>
    <row r="4512" spans="1:4" x14ac:dyDescent="0.3">
      <c r="A4512" s="2" t="str">
        <f>"ROSARIO DO IVAI"</f>
        <v>ROSARIO DO IVAI</v>
      </c>
      <c r="B4512" s="3" t="str">
        <f>"PR"</f>
        <v>PR</v>
      </c>
      <c r="C4512" s="3" t="str">
        <f t="shared" si="174"/>
        <v>BRASIL</v>
      </c>
      <c r="D4512" s="4" t="str">
        <f>"PR314"</f>
        <v>PR314</v>
      </c>
    </row>
    <row r="4513" spans="1:4" x14ac:dyDescent="0.3">
      <c r="A4513" s="2" t="str">
        <f>"ROSARIO DO SUL"</f>
        <v>ROSARIO DO SUL</v>
      </c>
      <c r="B4513" s="3" t="str">
        <f>"RS"</f>
        <v>RS</v>
      </c>
      <c r="C4513" s="3" t="str">
        <f t="shared" si="174"/>
        <v>BRASIL</v>
      </c>
      <c r="D4513" s="4" t="str">
        <f>"RS353"</f>
        <v>RS353</v>
      </c>
    </row>
    <row r="4514" spans="1:4" x14ac:dyDescent="0.3">
      <c r="A4514" s="2" t="str">
        <f>"ROSARIO OESTE"</f>
        <v>ROSARIO OESTE</v>
      </c>
      <c r="B4514" s="3" t="str">
        <f>"MT"</f>
        <v>MT</v>
      </c>
      <c r="C4514" s="3" t="str">
        <f t="shared" si="174"/>
        <v>BRASIL</v>
      </c>
      <c r="D4514" s="4" t="str">
        <f>"MT115"</f>
        <v>MT115</v>
      </c>
    </row>
    <row r="4515" spans="1:4" x14ac:dyDescent="0.3">
      <c r="A4515" s="2" t="str">
        <f>"ROSEIRA"</f>
        <v>ROSEIRA</v>
      </c>
      <c r="B4515" s="3" t="str">
        <f>"SP"</f>
        <v>SP</v>
      </c>
      <c r="C4515" s="3" t="str">
        <f t="shared" si="174"/>
        <v>BRASIL</v>
      </c>
      <c r="D4515" s="4" t="str">
        <f>"ROS"</f>
        <v>ROS</v>
      </c>
    </row>
    <row r="4516" spans="1:4" x14ac:dyDescent="0.3">
      <c r="A4516" s="2" t="str">
        <f>"ROTEIRO"</f>
        <v>ROTEIRO</v>
      </c>
      <c r="B4516" s="3" t="str">
        <f>"AL"</f>
        <v>AL</v>
      </c>
      <c r="C4516" s="3" t="str">
        <f t="shared" si="174"/>
        <v>BRASIL</v>
      </c>
      <c r="D4516" s="4" t="str">
        <f>"AL084"</f>
        <v>AL084</v>
      </c>
    </row>
    <row r="4517" spans="1:4" x14ac:dyDescent="0.3">
      <c r="A4517" s="2" t="str">
        <f>"RUBELITA"</f>
        <v>RUBELITA</v>
      </c>
      <c r="B4517" s="3" t="str">
        <f>"MG"</f>
        <v>MG</v>
      </c>
      <c r="C4517" s="3" t="str">
        <f t="shared" si="174"/>
        <v>BRASIL</v>
      </c>
      <c r="D4517" s="4" t="str">
        <f>"MG657"</f>
        <v>MG657</v>
      </c>
    </row>
    <row r="4518" spans="1:4" x14ac:dyDescent="0.3">
      <c r="A4518" s="2" t="str">
        <f>"RUBIACEA"</f>
        <v>RUBIACEA</v>
      </c>
      <c r="B4518" s="3" t="str">
        <f>"SP"</f>
        <v>SP</v>
      </c>
      <c r="C4518" s="3" t="str">
        <f t="shared" si="174"/>
        <v>BRASIL</v>
      </c>
      <c r="D4518" s="4" t="str">
        <f>"SP499"</f>
        <v>SP499</v>
      </c>
    </row>
    <row r="4519" spans="1:4" x14ac:dyDescent="0.3">
      <c r="A4519" s="2" t="str">
        <f>"RUBIATABA"</f>
        <v>RUBIATABA</v>
      </c>
      <c r="B4519" s="3" t="str">
        <f>"GO"</f>
        <v>GO</v>
      </c>
      <c r="C4519" s="3" t="str">
        <f t="shared" si="174"/>
        <v>BRASIL</v>
      </c>
      <c r="D4519" s="4" t="str">
        <f>"GO199"</f>
        <v>GO199</v>
      </c>
    </row>
    <row r="4520" spans="1:4" x14ac:dyDescent="0.3">
      <c r="A4520" s="2" t="str">
        <f>"RUBIM"</f>
        <v>RUBIM</v>
      </c>
      <c r="B4520" s="3" t="str">
        <f>"MG"</f>
        <v>MG</v>
      </c>
      <c r="C4520" s="3" t="str">
        <f t="shared" si="174"/>
        <v>BRASIL</v>
      </c>
      <c r="D4520" s="4" t="str">
        <f>"MG658"</f>
        <v>MG658</v>
      </c>
    </row>
    <row r="4521" spans="1:4" x14ac:dyDescent="0.3">
      <c r="A4521" s="2" t="str">
        <f>"RUBINEIA"</f>
        <v>RUBINEIA</v>
      </c>
      <c r="B4521" s="3" t="str">
        <f>"SP"</f>
        <v>SP</v>
      </c>
      <c r="C4521" s="3" t="str">
        <f t="shared" si="174"/>
        <v>BRASIL</v>
      </c>
      <c r="D4521" s="4" t="str">
        <f>"SP500"</f>
        <v>SP500</v>
      </c>
    </row>
    <row r="4522" spans="1:4" x14ac:dyDescent="0.3">
      <c r="A4522" s="2" t="str">
        <f>"RUROPOLIS"</f>
        <v>RUROPOLIS</v>
      </c>
      <c r="B4522" s="3" t="str">
        <f>"PA"</f>
        <v>PA</v>
      </c>
      <c r="C4522" s="3" t="str">
        <f t="shared" si="174"/>
        <v>BRASIL</v>
      </c>
      <c r="D4522" s="4" t="str">
        <f>"PA103"</f>
        <v>PA103</v>
      </c>
    </row>
    <row r="4523" spans="1:4" x14ac:dyDescent="0.3">
      <c r="A4523" s="2" t="str">
        <f>"RUSSAS"</f>
        <v>RUSSAS</v>
      </c>
      <c r="B4523" s="3" t="str">
        <f>"CE"</f>
        <v>CE</v>
      </c>
      <c r="C4523" s="3" t="str">
        <f t="shared" si="174"/>
        <v>BRASIL</v>
      </c>
      <c r="D4523" s="4" t="str">
        <f>"CE155"</f>
        <v>CE155</v>
      </c>
    </row>
    <row r="4524" spans="1:4" x14ac:dyDescent="0.3">
      <c r="A4524" s="2" t="str">
        <f>"Ruti"</f>
        <v>Ruti</v>
      </c>
      <c r="B4524" s="3" t="str">
        <f>"ex"</f>
        <v>ex</v>
      </c>
      <c r="C4524" s="3" t="str">
        <f>"Suiça"</f>
        <v>Suiça</v>
      </c>
      <c r="D4524" s="4" t="str">
        <f>"RU"</f>
        <v>RU</v>
      </c>
    </row>
    <row r="4525" spans="1:4" x14ac:dyDescent="0.3">
      <c r="A4525" s="2" t="str">
        <f>"RUY BARBOSA"</f>
        <v>RUY BARBOSA</v>
      </c>
      <c r="B4525" s="3" t="str">
        <f>"BA"</f>
        <v>BA</v>
      </c>
      <c r="C4525" s="3" t="str">
        <f t="shared" ref="C4525:C4569" si="175">"BRASIL"</f>
        <v>BRASIL</v>
      </c>
      <c r="D4525" s="4" t="str">
        <f>"BA334"</f>
        <v>BA334</v>
      </c>
    </row>
    <row r="4526" spans="1:4" x14ac:dyDescent="0.3">
      <c r="A4526" s="2" t="str">
        <f>"RUY BARBOSA"</f>
        <v>RUY BARBOSA</v>
      </c>
      <c r="B4526" s="3" t="str">
        <f>"RN"</f>
        <v>RN</v>
      </c>
      <c r="C4526" s="3" t="str">
        <f t="shared" si="175"/>
        <v>BRASIL</v>
      </c>
      <c r="D4526" s="4" t="str">
        <f>"RN122"</f>
        <v>RN122</v>
      </c>
    </row>
    <row r="4527" spans="1:4" x14ac:dyDescent="0.3">
      <c r="A4527" s="2" t="str">
        <f>"SABARA"</f>
        <v>SABARA</v>
      </c>
      <c r="B4527" s="3" t="str">
        <f>"MG"</f>
        <v>MG</v>
      </c>
      <c r="C4527" s="3" t="str">
        <f t="shared" si="175"/>
        <v>BRASIL</v>
      </c>
      <c r="D4527" s="4" t="str">
        <f>"MG659"</f>
        <v>MG659</v>
      </c>
    </row>
    <row r="4528" spans="1:4" x14ac:dyDescent="0.3">
      <c r="A4528" s="2" t="str">
        <f>"SABAUDIA"</f>
        <v>SABAUDIA</v>
      </c>
      <c r="B4528" s="3" t="str">
        <f>"PR"</f>
        <v>PR</v>
      </c>
      <c r="C4528" s="3" t="str">
        <f t="shared" si="175"/>
        <v>BRASIL</v>
      </c>
      <c r="D4528" s="4" t="str">
        <f>"PR315"</f>
        <v>PR315</v>
      </c>
    </row>
    <row r="4529" spans="1:4" x14ac:dyDescent="0.3">
      <c r="A4529" s="2" t="str">
        <f>"SABINO"</f>
        <v>SABINO</v>
      </c>
      <c r="B4529" s="3" t="str">
        <f>"SP"</f>
        <v>SP</v>
      </c>
      <c r="C4529" s="3" t="str">
        <f t="shared" si="175"/>
        <v>BRASIL</v>
      </c>
      <c r="D4529" s="4" t="str">
        <f>"SP501"</f>
        <v>SP501</v>
      </c>
    </row>
    <row r="4530" spans="1:4" x14ac:dyDescent="0.3">
      <c r="A4530" s="2" t="str">
        <f>"SABINOPOLIS"</f>
        <v>SABINOPOLIS</v>
      </c>
      <c r="B4530" s="3" t="str">
        <f>"MG"</f>
        <v>MG</v>
      </c>
      <c r="C4530" s="3" t="str">
        <f t="shared" si="175"/>
        <v>BRASIL</v>
      </c>
      <c r="D4530" s="4" t="str">
        <f>"MG660"</f>
        <v>MG660</v>
      </c>
    </row>
    <row r="4531" spans="1:4" x14ac:dyDescent="0.3">
      <c r="A4531" s="2" t="str">
        <f>"SABOEIRO"</f>
        <v>SABOEIRO</v>
      </c>
      <c r="B4531" s="3" t="str">
        <f>"CE"</f>
        <v>CE</v>
      </c>
      <c r="C4531" s="3" t="str">
        <f t="shared" si="175"/>
        <v>BRASIL</v>
      </c>
      <c r="D4531" s="4" t="str">
        <f>"CE156"</f>
        <v>CE156</v>
      </c>
    </row>
    <row r="4532" spans="1:4" x14ac:dyDescent="0.3">
      <c r="A4532" s="2" t="str">
        <f>"SACRAMENTO"</f>
        <v>SACRAMENTO</v>
      </c>
      <c r="B4532" s="3" t="str">
        <f>"MG"</f>
        <v>MG</v>
      </c>
      <c r="C4532" s="3" t="str">
        <f t="shared" si="175"/>
        <v>BRASIL</v>
      </c>
      <c r="D4532" s="4" t="str">
        <f>"MG661"</f>
        <v>MG661</v>
      </c>
    </row>
    <row r="4533" spans="1:4" x14ac:dyDescent="0.3">
      <c r="A4533" s="2" t="str">
        <f>"SAGRADA FAMILIA"</f>
        <v>SAGRADA FAMILIA</v>
      </c>
      <c r="B4533" s="3" t="str">
        <f>"RS"</f>
        <v>RS</v>
      </c>
      <c r="C4533" s="3" t="str">
        <f t="shared" si="175"/>
        <v>BRASIL</v>
      </c>
      <c r="D4533" s="4" t="str">
        <f>"RS354"</f>
        <v>RS354</v>
      </c>
    </row>
    <row r="4534" spans="1:4" x14ac:dyDescent="0.3">
      <c r="A4534" s="2" t="str">
        <f>"SAGRES"</f>
        <v>SAGRES</v>
      </c>
      <c r="B4534" s="3" t="str">
        <f>"SP"</f>
        <v>SP</v>
      </c>
      <c r="C4534" s="3" t="str">
        <f t="shared" si="175"/>
        <v>BRASIL</v>
      </c>
      <c r="D4534" s="4" t="str">
        <f>"SP502"</f>
        <v>SP502</v>
      </c>
    </row>
    <row r="4535" spans="1:4" x14ac:dyDescent="0.3">
      <c r="A4535" s="2" t="str">
        <f>"SAIRE"</f>
        <v>SAIRE</v>
      </c>
      <c r="B4535" s="3" t="str">
        <f>"PE"</f>
        <v>PE</v>
      </c>
      <c r="C4535" s="3" t="str">
        <f t="shared" si="175"/>
        <v>BRASIL</v>
      </c>
      <c r="D4535" s="4" t="str">
        <f>"PE136"</f>
        <v>PE136</v>
      </c>
    </row>
    <row r="4536" spans="1:4" x14ac:dyDescent="0.3">
      <c r="A4536" s="2" t="str">
        <f>"SALDANHA MARINHO"</f>
        <v>SALDANHA MARINHO</v>
      </c>
      <c r="B4536" s="3" t="str">
        <f>"RS"</f>
        <v>RS</v>
      </c>
      <c r="C4536" s="3" t="str">
        <f t="shared" si="175"/>
        <v>BRASIL</v>
      </c>
      <c r="D4536" s="4" t="str">
        <f>"RS355"</f>
        <v>RS355</v>
      </c>
    </row>
    <row r="4537" spans="1:4" x14ac:dyDescent="0.3">
      <c r="A4537" s="2" t="str">
        <f>"SALES"</f>
        <v>SALES</v>
      </c>
      <c r="B4537" s="3" t="str">
        <f>"SP"</f>
        <v>SP</v>
      </c>
      <c r="C4537" s="3" t="str">
        <f t="shared" si="175"/>
        <v>BRASIL</v>
      </c>
      <c r="D4537" s="4" t="str">
        <f>"SP503"</f>
        <v>SP503</v>
      </c>
    </row>
    <row r="4538" spans="1:4" x14ac:dyDescent="0.3">
      <c r="A4538" s="2" t="str">
        <f>"SALES OLIVEIRA"</f>
        <v>SALES OLIVEIRA</v>
      </c>
      <c r="B4538" s="3" t="str">
        <f>"SP"</f>
        <v>SP</v>
      </c>
      <c r="C4538" s="3" t="str">
        <f t="shared" si="175"/>
        <v>BRASIL</v>
      </c>
      <c r="D4538" s="4" t="str">
        <f>"SP504"</f>
        <v>SP504</v>
      </c>
    </row>
    <row r="4539" spans="1:4" x14ac:dyDescent="0.3">
      <c r="A4539" s="2" t="str">
        <f>"SALESOPOLIS"</f>
        <v>SALESOPOLIS</v>
      </c>
      <c r="B4539" s="3" t="str">
        <f>"SP"</f>
        <v>SP</v>
      </c>
      <c r="C4539" s="3" t="str">
        <f t="shared" si="175"/>
        <v>BRASIL</v>
      </c>
      <c r="D4539" s="4" t="str">
        <f>"SP505"</f>
        <v>SP505</v>
      </c>
    </row>
    <row r="4540" spans="1:4" x14ac:dyDescent="0.3">
      <c r="A4540" s="2" t="str">
        <f>"SALETE"</f>
        <v>SALETE</v>
      </c>
      <c r="B4540" s="3" t="str">
        <f>"SC"</f>
        <v>SC</v>
      </c>
      <c r="C4540" s="3" t="str">
        <f t="shared" si="175"/>
        <v>BRASIL</v>
      </c>
      <c r="D4540" s="4" t="str">
        <f>"SC224"</f>
        <v>SC224</v>
      </c>
    </row>
    <row r="4541" spans="1:4" x14ac:dyDescent="0.3">
      <c r="A4541" s="2" t="str">
        <f>"SALGADINHO"</f>
        <v>SALGADINHO</v>
      </c>
      <c r="B4541" s="3" t="str">
        <f>"PB"</f>
        <v>PB</v>
      </c>
      <c r="C4541" s="3" t="str">
        <f t="shared" si="175"/>
        <v>BRASIL</v>
      </c>
      <c r="D4541" s="4" t="str">
        <f>"PB165"</f>
        <v>PB165</v>
      </c>
    </row>
    <row r="4542" spans="1:4" x14ac:dyDescent="0.3">
      <c r="A4542" s="2" t="str">
        <f>"SALGADINHO"</f>
        <v>SALGADINHO</v>
      </c>
      <c r="B4542" s="3" t="str">
        <f>"PE"</f>
        <v>PE</v>
      </c>
      <c r="C4542" s="3" t="str">
        <f t="shared" si="175"/>
        <v>BRASIL</v>
      </c>
      <c r="D4542" s="4" t="str">
        <f>"PE137"</f>
        <v>PE137</v>
      </c>
    </row>
    <row r="4543" spans="1:4" x14ac:dyDescent="0.3">
      <c r="A4543" s="2" t="str">
        <f>"SALGADO"</f>
        <v>SALGADO</v>
      </c>
      <c r="B4543" s="3" t="str">
        <f>"SE"</f>
        <v>SE</v>
      </c>
      <c r="C4543" s="3" t="str">
        <f t="shared" si="175"/>
        <v>BRASIL</v>
      </c>
      <c r="D4543" s="4" t="str">
        <f>"SE061"</f>
        <v>SE061</v>
      </c>
    </row>
    <row r="4544" spans="1:4" x14ac:dyDescent="0.3">
      <c r="A4544" s="2" t="str">
        <f>"SALGADO DE SAO FELIX"</f>
        <v>SALGADO DE SAO FELIX</v>
      </c>
      <c r="B4544" s="3" t="str">
        <f>"PB"</f>
        <v>PB</v>
      </c>
      <c r="C4544" s="3" t="str">
        <f t="shared" si="175"/>
        <v>BRASIL</v>
      </c>
      <c r="D4544" s="4" t="str">
        <f>"PB166"</f>
        <v>PB166</v>
      </c>
    </row>
    <row r="4545" spans="1:4" x14ac:dyDescent="0.3">
      <c r="A4545" s="2" t="str">
        <f>"SALGADO FILHO"</f>
        <v>SALGADO FILHO</v>
      </c>
      <c r="B4545" s="3" t="str">
        <f>"PR"</f>
        <v>PR</v>
      </c>
      <c r="C4545" s="3" t="str">
        <f t="shared" si="175"/>
        <v>BRASIL</v>
      </c>
      <c r="D4545" s="4" t="str">
        <f>"PR316"</f>
        <v>PR316</v>
      </c>
    </row>
    <row r="4546" spans="1:4" x14ac:dyDescent="0.3">
      <c r="A4546" s="2" t="str">
        <f>"SALGUEIRO"</f>
        <v>SALGUEIRO</v>
      </c>
      <c r="B4546" s="3" t="str">
        <f>"PE"</f>
        <v>PE</v>
      </c>
      <c r="C4546" s="3" t="str">
        <f t="shared" si="175"/>
        <v>BRASIL</v>
      </c>
      <c r="D4546" s="4" t="str">
        <f>"PE138"</f>
        <v>PE138</v>
      </c>
    </row>
    <row r="4547" spans="1:4" x14ac:dyDescent="0.3">
      <c r="A4547" s="2" t="str">
        <f>"SALINAS"</f>
        <v>SALINAS</v>
      </c>
      <c r="B4547" s="3" t="str">
        <f>"MG"</f>
        <v>MG</v>
      </c>
      <c r="C4547" s="3" t="str">
        <f t="shared" si="175"/>
        <v>BRASIL</v>
      </c>
      <c r="D4547" s="4" t="str">
        <f>"MG662"</f>
        <v>MG662</v>
      </c>
    </row>
    <row r="4548" spans="1:4" x14ac:dyDescent="0.3">
      <c r="A4548" s="2" t="str">
        <f>"SALINAS DA MARGARIDA"</f>
        <v>SALINAS DA MARGARIDA</v>
      </c>
      <c r="B4548" s="3" t="str">
        <f>"BA"</f>
        <v>BA</v>
      </c>
      <c r="C4548" s="3" t="str">
        <f t="shared" si="175"/>
        <v>BRASIL</v>
      </c>
      <c r="D4548" s="4" t="str">
        <f>"BA335"</f>
        <v>BA335</v>
      </c>
    </row>
    <row r="4549" spans="1:4" x14ac:dyDescent="0.3">
      <c r="A4549" s="2" t="str">
        <f>"SALINOPOLIS"</f>
        <v>SALINOPOLIS</v>
      </c>
      <c r="B4549" s="3" t="str">
        <f>"PA"</f>
        <v>PA</v>
      </c>
      <c r="C4549" s="3" t="str">
        <f t="shared" si="175"/>
        <v>BRASIL</v>
      </c>
      <c r="D4549" s="4" t="str">
        <f>"PA104"</f>
        <v>PA104</v>
      </c>
    </row>
    <row r="4550" spans="1:4" x14ac:dyDescent="0.3">
      <c r="A4550" s="2" t="str">
        <f>"SALITRE"</f>
        <v>SALITRE</v>
      </c>
      <c r="B4550" s="3" t="str">
        <f>"CE"</f>
        <v>CE</v>
      </c>
      <c r="C4550" s="3" t="str">
        <f t="shared" si="175"/>
        <v>BRASIL</v>
      </c>
      <c r="D4550" s="4" t="str">
        <f>"CE157"</f>
        <v>CE157</v>
      </c>
    </row>
    <row r="4551" spans="1:4" x14ac:dyDescent="0.3">
      <c r="A4551" s="2" t="str">
        <f>"SALMOURAO"</f>
        <v>SALMOURAO</v>
      </c>
      <c r="B4551" s="3" t="str">
        <f>"SP"</f>
        <v>SP</v>
      </c>
      <c r="C4551" s="3" t="str">
        <f t="shared" si="175"/>
        <v>BRASIL</v>
      </c>
      <c r="D4551" s="4" t="str">
        <f>"SP506"</f>
        <v>SP506</v>
      </c>
    </row>
    <row r="4552" spans="1:4" x14ac:dyDescent="0.3">
      <c r="A4552" s="2" t="str">
        <f>"SALOA"</f>
        <v>SALOA</v>
      </c>
      <c r="B4552" s="3" t="str">
        <f>"PE"</f>
        <v>PE</v>
      </c>
      <c r="C4552" s="3" t="str">
        <f t="shared" si="175"/>
        <v>BRASIL</v>
      </c>
      <c r="D4552" s="4" t="str">
        <f>"PE139"</f>
        <v>PE139</v>
      </c>
    </row>
    <row r="4553" spans="1:4" x14ac:dyDescent="0.3">
      <c r="A4553" s="2" t="str">
        <f>"SALTINHO"</f>
        <v>SALTINHO</v>
      </c>
      <c r="B4553" s="3" t="str">
        <f>"SC"</f>
        <v>SC</v>
      </c>
      <c r="C4553" s="3" t="str">
        <f t="shared" si="175"/>
        <v>BRASIL</v>
      </c>
      <c r="D4553" s="4" t="str">
        <f>"SC225"</f>
        <v>SC225</v>
      </c>
    </row>
    <row r="4554" spans="1:4" x14ac:dyDescent="0.3">
      <c r="A4554" s="2" t="str">
        <f>"SALTINHO"</f>
        <v>SALTINHO</v>
      </c>
      <c r="B4554" s="3" t="str">
        <f>"SP"</f>
        <v>SP</v>
      </c>
      <c r="C4554" s="3" t="str">
        <f t="shared" si="175"/>
        <v>BRASIL</v>
      </c>
      <c r="D4554" s="4" t="str">
        <f>"SP507"</f>
        <v>SP507</v>
      </c>
    </row>
    <row r="4555" spans="1:4" x14ac:dyDescent="0.3">
      <c r="A4555" s="2" t="str">
        <f>"SALTO"</f>
        <v>SALTO</v>
      </c>
      <c r="B4555" s="3" t="str">
        <f>"SP"</f>
        <v>SP</v>
      </c>
      <c r="C4555" s="3" t="str">
        <f t="shared" si="175"/>
        <v>BRASIL</v>
      </c>
      <c r="D4555" s="4" t="str">
        <f>"SAL"</f>
        <v>SAL</v>
      </c>
    </row>
    <row r="4556" spans="1:4" x14ac:dyDescent="0.3">
      <c r="A4556" s="2" t="str">
        <f>"SALTO DA DIVISA"</f>
        <v>SALTO DA DIVISA</v>
      </c>
      <c r="B4556" s="3" t="str">
        <f>"MG"</f>
        <v>MG</v>
      </c>
      <c r="C4556" s="3" t="str">
        <f t="shared" si="175"/>
        <v>BRASIL</v>
      </c>
      <c r="D4556" s="4" t="str">
        <f>"MG663"</f>
        <v>MG663</v>
      </c>
    </row>
    <row r="4557" spans="1:4" x14ac:dyDescent="0.3">
      <c r="A4557" s="2" t="str">
        <f>"SALTO DE PIRAPORA"</f>
        <v>SALTO DE PIRAPORA</v>
      </c>
      <c r="B4557" s="3" t="str">
        <f>"SP"</f>
        <v>SP</v>
      </c>
      <c r="C4557" s="3" t="str">
        <f t="shared" si="175"/>
        <v>BRASIL</v>
      </c>
      <c r="D4557" s="4" t="str">
        <f>"SP509"</f>
        <v>SP509</v>
      </c>
    </row>
    <row r="4558" spans="1:4" x14ac:dyDescent="0.3">
      <c r="A4558" s="2" t="str">
        <f>"SALTO DO CEU"</f>
        <v>SALTO DO CEU</v>
      </c>
      <c r="B4558" s="3" t="str">
        <f>"MT"</f>
        <v>MT</v>
      </c>
      <c r="C4558" s="3" t="str">
        <f t="shared" si="175"/>
        <v>BRASIL</v>
      </c>
      <c r="D4558" s="4" t="str">
        <f>"MT117"</f>
        <v>MT117</v>
      </c>
    </row>
    <row r="4559" spans="1:4" x14ac:dyDescent="0.3">
      <c r="A4559" s="2" t="str">
        <f>"SALTO DO ITARARE"</f>
        <v>SALTO DO ITARARE</v>
      </c>
      <c r="B4559" s="3" t="str">
        <f>"PR"</f>
        <v>PR</v>
      </c>
      <c r="C4559" s="3" t="str">
        <f t="shared" si="175"/>
        <v>BRASIL</v>
      </c>
      <c r="D4559" s="4" t="str">
        <f>"PR317"</f>
        <v>PR317</v>
      </c>
    </row>
    <row r="4560" spans="1:4" x14ac:dyDescent="0.3">
      <c r="A4560" s="2" t="str">
        <f>"SALTO DO JACUI"</f>
        <v>SALTO DO JACUI</v>
      </c>
      <c r="B4560" s="3" t="str">
        <f>"RS"</f>
        <v>RS</v>
      </c>
      <c r="C4560" s="3" t="str">
        <f t="shared" si="175"/>
        <v>BRASIL</v>
      </c>
      <c r="D4560" s="4" t="str">
        <f>"RS356"</f>
        <v>RS356</v>
      </c>
    </row>
    <row r="4561" spans="1:4" x14ac:dyDescent="0.3">
      <c r="A4561" s="2" t="str">
        <f>"SALTO DO LONTRA"</f>
        <v>SALTO DO LONTRA</v>
      </c>
      <c r="B4561" s="3" t="str">
        <f>"PR"</f>
        <v>PR</v>
      </c>
      <c r="C4561" s="3" t="str">
        <f t="shared" si="175"/>
        <v>BRASIL</v>
      </c>
      <c r="D4561" s="4" t="str">
        <f>"PR318"</f>
        <v>PR318</v>
      </c>
    </row>
    <row r="4562" spans="1:4" x14ac:dyDescent="0.3">
      <c r="A4562" s="2" t="str">
        <f>"SALTO GRANDE"</f>
        <v>SALTO GRANDE</v>
      </c>
      <c r="B4562" s="3" t="str">
        <f>"SP"</f>
        <v>SP</v>
      </c>
      <c r="C4562" s="3" t="str">
        <f t="shared" si="175"/>
        <v>BRASIL</v>
      </c>
      <c r="D4562" s="4" t="str">
        <f>"SP510"</f>
        <v>SP510</v>
      </c>
    </row>
    <row r="4563" spans="1:4" x14ac:dyDescent="0.3">
      <c r="A4563" s="2" t="str">
        <f>"SALTO VELOSO"</f>
        <v>SALTO VELOSO</v>
      </c>
      <c r="B4563" s="3" t="str">
        <f>"SC"</f>
        <v>SC</v>
      </c>
      <c r="C4563" s="3" t="str">
        <f t="shared" si="175"/>
        <v>BRASIL</v>
      </c>
      <c r="D4563" s="4" t="str">
        <f>"SC226"</f>
        <v>SC226</v>
      </c>
    </row>
    <row r="4564" spans="1:4" x14ac:dyDescent="0.3">
      <c r="A4564" s="2" t="str">
        <f>"SALVADOR"</f>
        <v>SALVADOR</v>
      </c>
      <c r="B4564" s="3" t="str">
        <f>"BA"</f>
        <v>BA</v>
      </c>
      <c r="C4564" s="3" t="str">
        <f t="shared" si="175"/>
        <v>BRASIL</v>
      </c>
      <c r="D4564" s="4" t="str">
        <f>"BA336"</f>
        <v>BA336</v>
      </c>
    </row>
    <row r="4565" spans="1:4" x14ac:dyDescent="0.3">
      <c r="A4565" s="2" t="str">
        <f>"SALVADOR DAS MISSÕES"</f>
        <v>SALVADOR DAS MISSÕES</v>
      </c>
      <c r="B4565" s="3" t="str">
        <f>"RS"</f>
        <v>RS</v>
      </c>
      <c r="C4565" s="3" t="str">
        <f t="shared" si="175"/>
        <v>BRASIL</v>
      </c>
      <c r="D4565" s="4" t="str">
        <f>"RS357"</f>
        <v>RS357</v>
      </c>
    </row>
    <row r="4566" spans="1:4" x14ac:dyDescent="0.3">
      <c r="A4566" s="2" t="str">
        <f>"SALVADOR DO SUL"</f>
        <v>SALVADOR DO SUL</v>
      </c>
      <c r="B4566" s="3" t="str">
        <f>"RS"</f>
        <v>RS</v>
      </c>
      <c r="C4566" s="3" t="str">
        <f t="shared" si="175"/>
        <v>BRASIL</v>
      </c>
      <c r="D4566" s="4" t="str">
        <f>"RS358"</f>
        <v>RS358</v>
      </c>
    </row>
    <row r="4567" spans="1:4" x14ac:dyDescent="0.3">
      <c r="A4567" s="2" t="str">
        <f>"SALVATERRA"</f>
        <v>SALVATERRA</v>
      </c>
      <c r="B4567" s="3" t="str">
        <f>"PA"</f>
        <v>PA</v>
      </c>
      <c r="C4567" s="3" t="str">
        <f t="shared" si="175"/>
        <v>BRASIL</v>
      </c>
      <c r="D4567" s="4" t="str">
        <f>"PA105"</f>
        <v>PA105</v>
      </c>
    </row>
    <row r="4568" spans="1:4" x14ac:dyDescent="0.3">
      <c r="A4568" s="2" t="str">
        <f>"SAMBAIBA"</f>
        <v>SAMBAIBA</v>
      </c>
      <c r="B4568" s="3" t="str">
        <f>"MA"</f>
        <v>MA</v>
      </c>
      <c r="C4568" s="3" t="str">
        <f t="shared" si="175"/>
        <v>BRASIL</v>
      </c>
      <c r="D4568" s="4" t="str">
        <f>"MA160"</f>
        <v>MA160</v>
      </c>
    </row>
    <row r="4569" spans="1:4" x14ac:dyDescent="0.3">
      <c r="A4569" s="2" t="str">
        <f>"SAMPAIO"</f>
        <v>SAMPAIO</v>
      </c>
      <c r="B4569" s="3" t="str">
        <f>"TO"</f>
        <v>TO</v>
      </c>
      <c r="C4569" s="3" t="str">
        <f t="shared" si="175"/>
        <v>BRASIL</v>
      </c>
      <c r="D4569" s="4" t="str">
        <f>"TO113"</f>
        <v>TO113</v>
      </c>
    </row>
    <row r="4570" spans="1:4" x14ac:dyDescent="0.3">
      <c r="A4570" s="2" t="str">
        <f>"SAN ANTONIO"</f>
        <v>SAN ANTONIO</v>
      </c>
      <c r="B4570" s="3" t="str">
        <f>"EX"</f>
        <v>EX</v>
      </c>
      <c r="C4570" s="3" t="str">
        <f>"ESTADOS UNIDOS"</f>
        <v>ESTADOS UNIDOS</v>
      </c>
      <c r="D4570" s="4" t="str">
        <f>"SAM"</f>
        <v>SAM</v>
      </c>
    </row>
    <row r="4571" spans="1:4" x14ac:dyDescent="0.3">
      <c r="A4571" s="2" t="str">
        <f>"SAN FRANCISCO"</f>
        <v>SAN FRANCISCO</v>
      </c>
      <c r="B4571" s="3" t="str">
        <f>"EX"</f>
        <v>EX</v>
      </c>
      <c r="C4571" s="3" t="str">
        <f>"ARGENTINA"</f>
        <v>ARGENTINA</v>
      </c>
      <c r="D4571" s="4" t="str">
        <f>"ARG"</f>
        <v>ARG</v>
      </c>
    </row>
    <row r="4572" spans="1:4" x14ac:dyDescent="0.3">
      <c r="A4572" s="2" t="str">
        <f>"SAN GILLIO"</f>
        <v>SAN GILLIO</v>
      </c>
      <c r="B4572" s="3" t="str">
        <f>"EX"</f>
        <v>EX</v>
      </c>
      <c r="C4572" s="3" t="str">
        <f>"ITALIA"</f>
        <v>ITALIA</v>
      </c>
      <c r="D4572" s="4" t="str">
        <f>"SGILL"</f>
        <v>SGILL</v>
      </c>
    </row>
    <row r="4573" spans="1:4" x14ac:dyDescent="0.3">
      <c r="A4573" s="2" t="str">
        <f>"SAN JOSE"</f>
        <v>SAN JOSE</v>
      </c>
      <c r="B4573" s="3" t="str">
        <f>"EX"</f>
        <v>EX</v>
      </c>
      <c r="C4573" s="3" t="str">
        <f>"COSTA RICA"</f>
        <v>COSTA RICA</v>
      </c>
      <c r="D4573" s="4" t="str">
        <f>"COSTA"</f>
        <v>COSTA</v>
      </c>
    </row>
    <row r="4574" spans="1:4" x14ac:dyDescent="0.3">
      <c r="A4574" s="2" t="str">
        <f>"SAN JOSE"</f>
        <v>SAN JOSE</v>
      </c>
      <c r="B4574" s="3" t="str">
        <f>"EX"</f>
        <v>EX</v>
      </c>
      <c r="C4574" s="3" t="str">
        <f>"ESTADOS UNIDOS"</f>
        <v>ESTADOS UNIDOS</v>
      </c>
      <c r="D4574" s="4" t="str">
        <f>"SAN"</f>
        <v>SAN</v>
      </c>
    </row>
    <row r="4575" spans="1:4" x14ac:dyDescent="0.3">
      <c r="A4575" s="2" t="str">
        <f>"SANANDUVA"</f>
        <v>SANANDUVA</v>
      </c>
      <c r="B4575" s="3" t="str">
        <f>"RS"</f>
        <v>RS</v>
      </c>
      <c r="C4575" s="3" t="str">
        <f t="shared" ref="C4575:C4580" si="176">"BRASIL"</f>
        <v>BRASIL</v>
      </c>
      <c r="D4575" s="4" t="str">
        <f>"RS359"</f>
        <v>RS359</v>
      </c>
    </row>
    <row r="4576" spans="1:4" x14ac:dyDescent="0.3">
      <c r="A4576" s="2" t="str">
        <f>"SANCLERLANDIA"</f>
        <v>SANCLERLANDIA</v>
      </c>
      <c r="B4576" s="3" t="str">
        <f>"GO"</f>
        <v>GO</v>
      </c>
      <c r="C4576" s="3" t="str">
        <f t="shared" si="176"/>
        <v>BRASIL</v>
      </c>
      <c r="D4576" s="4" t="str">
        <f>"GO200"</f>
        <v>GO200</v>
      </c>
    </row>
    <row r="4577" spans="1:4" x14ac:dyDescent="0.3">
      <c r="A4577" s="2" t="str">
        <f>"SANDOLANDIA"</f>
        <v>SANDOLANDIA</v>
      </c>
      <c r="B4577" s="3" t="str">
        <f>"TO"</f>
        <v>TO</v>
      </c>
      <c r="C4577" s="3" t="str">
        <f t="shared" si="176"/>
        <v>BRASIL</v>
      </c>
      <c r="D4577" s="4" t="str">
        <f>"TO114"</f>
        <v>TO114</v>
      </c>
    </row>
    <row r="4578" spans="1:4" x14ac:dyDescent="0.3">
      <c r="A4578" s="2" t="str">
        <f>"SANDOVALINA"</f>
        <v>SANDOVALINA</v>
      </c>
      <c r="B4578" s="3" t="str">
        <f>"SP"</f>
        <v>SP</v>
      </c>
      <c r="C4578" s="3" t="str">
        <f t="shared" si="176"/>
        <v>BRASIL</v>
      </c>
      <c r="D4578" s="4" t="str">
        <f>"SP511"</f>
        <v>SP511</v>
      </c>
    </row>
    <row r="4579" spans="1:4" x14ac:dyDescent="0.3">
      <c r="A4579" s="2" t="str">
        <f>"SANGAO"</f>
        <v>SANGAO</v>
      </c>
      <c r="B4579" s="3" t="str">
        <f>"SC"</f>
        <v>SC</v>
      </c>
      <c r="C4579" s="3" t="str">
        <f t="shared" si="176"/>
        <v>BRASIL</v>
      </c>
      <c r="D4579" s="4" t="str">
        <f>"SC227"</f>
        <v>SC227</v>
      </c>
    </row>
    <row r="4580" spans="1:4" x14ac:dyDescent="0.3">
      <c r="A4580" s="2" t="str">
        <f>"SANHARO"</f>
        <v>SANHARO</v>
      </c>
      <c r="B4580" s="3" t="str">
        <f>"PE"</f>
        <v>PE</v>
      </c>
      <c r="C4580" s="3" t="str">
        <f t="shared" si="176"/>
        <v>BRASIL</v>
      </c>
      <c r="D4580" s="4" t="str">
        <f>"PE140"</f>
        <v>PE140</v>
      </c>
    </row>
    <row r="4581" spans="1:4" x14ac:dyDescent="0.3">
      <c r="A4581" s="2" t="str">
        <f>"SANT CUGAT DEL VALLES"</f>
        <v>SANT CUGAT DEL VALLES</v>
      </c>
      <c r="B4581" s="3" t="str">
        <f>"EX"</f>
        <v>EX</v>
      </c>
      <c r="C4581" s="3" t="str">
        <f>"ESPANHA"</f>
        <v>ESPANHA</v>
      </c>
      <c r="D4581" s="4" t="str">
        <f>"SANTC"</f>
        <v>SANTC</v>
      </c>
    </row>
    <row r="4582" spans="1:4" x14ac:dyDescent="0.3">
      <c r="A4582" s="2" t="str">
        <f>"SANT' ANA DO LIVRAMENTO"</f>
        <v>SANT' ANA DO LIVRAMENTO</v>
      </c>
      <c r="B4582" s="3" t="str">
        <f>"RS"</f>
        <v>RS</v>
      </c>
      <c r="C4582" s="3" t="str">
        <f t="shared" ref="C4582:C4603" si="177">"BRASIL"</f>
        <v>BRASIL</v>
      </c>
      <c r="D4582" s="4" t="str">
        <f>"RS368"</f>
        <v>RS368</v>
      </c>
    </row>
    <row r="4583" spans="1:4" x14ac:dyDescent="0.3">
      <c r="A4583" s="2" t="str">
        <f>"SANTA ADELIA"</f>
        <v>SANTA ADELIA</v>
      </c>
      <c r="B4583" s="3" t="str">
        <f>"SP"</f>
        <v>SP</v>
      </c>
      <c r="C4583" s="3" t="str">
        <f t="shared" si="177"/>
        <v>BRASIL</v>
      </c>
      <c r="D4583" s="4" t="str">
        <f>"SP512"</f>
        <v>SP512</v>
      </c>
    </row>
    <row r="4584" spans="1:4" x14ac:dyDescent="0.3">
      <c r="A4584" s="2" t="str">
        <f>"SANTA ALBERTINA"</f>
        <v>SANTA ALBERTINA</v>
      </c>
      <c r="B4584" s="3" t="str">
        <f>"SP"</f>
        <v>SP</v>
      </c>
      <c r="C4584" s="3" t="str">
        <f t="shared" si="177"/>
        <v>BRASIL</v>
      </c>
      <c r="D4584" s="4" t="str">
        <f>"SP513"</f>
        <v>SP513</v>
      </c>
    </row>
    <row r="4585" spans="1:4" x14ac:dyDescent="0.3">
      <c r="A4585" s="2" t="str">
        <f>"SANTA AMELIA"</f>
        <v>SANTA AMELIA</v>
      </c>
      <c r="B4585" s="3" t="str">
        <f>"PR"</f>
        <v>PR</v>
      </c>
      <c r="C4585" s="3" t="str">
        <f t="shared" si="177"/>
        <v>BRASIL</v>
      </c>
      <c r="D4585" s="4" t="str">
        <f>"PR319"</f>
        <v>PR319</v>
      </c>
    </row>
    <row r="4586" spans="1:4" x14ac:dyDescent="0.3">
      <c r="A4586" s="2" t="str">
        <f>"SANTA BARBARA"</f>
        <v>SANTA BARBARA</v>
      </c>
      <c r="B4586" s="3" t="str">
        <f>"BA"</f>
        <v>BA</v>
      </c>
      <c r="C4586" s="3" t="str">
        <f t="shared" si="177"/>
        <v>BRASIL</v>
      </c>
      <c r="D4586" s="4" t="str">
        <f>"BA337"</f>
        <v>BA337</v>
      </c>
    </row>
    <row r="4587" spans="1:4" x14ac:dyDescent="0.3">
      <c r="A4587" s="2" t="str">
        <f>"SANTA BARBARA"</f>
        <v>SANTA BARBARA</v>
      </c>
      <c r="B4587" s="3" t="str">
        <f>"MG"</f>
        <v>MG</v>
      </c>
      <c r="C4587" s="3" t="str">
        <f t="shared" si="177"/>
        <v>BRASIL</v>
      </c>
      <c r="D4587" s="4" t="str">
        <f>"MG664"</f>
        <v>MG664</v>
      </c>
    </row>
    <row r="4588" spans="1:4" x14ac:dyDescent="0.3">
      <c r="A4588" s="2" t="str">
        <f>"SANTA BARBARA D'OESTE"</f>
        <v>SANTA BARBARA D'OESTE</v>
      </c>
      <c r="B4588" s="3" t="str">
        <f>"SP"</f>
        <v>SP</v>
      </c>
      <c r="C4588" s="3" t="str">
        <f t="shared" si="177"/>
        <v>BRASIL</v>
      </c>
      <c r="D4588" s="4" t="str">
        <f>"SP514"</f>
        <v>SP514</v>
      </c>
    </row>
    <row r="4589" spans="1:4" x14ac:dyDescent="0.3">
      <c r="A4589" s="2" t="str">
        <f>"SANTA BARBARA DE GOIAS"</f>
        <v>SANTA BARBARA DE GOIAS</v>
      </c>
      <c r="B4589" s="3" t="str">
        <f>"GO"</f>
        <v>GO</v>
      </c>
      <c r="C4589" s="3" t="str">
        <f t="shared" si="177"/>
        <v>BRASIL</v>
      </c>
      <c r="D4589" s="4" t="str">
        <f>"GO201"</f>
        <v>GO201</v>
      </c>
    </row>
    <row r="4590" spans="1:4" x14ac:dyDescent="0.3">
      <c r="A4590" s="2" t="str">
        <f>"SANTA BARBARA DO LESTE"</f>
        <v>SANTA BARBARA DO LESTE</v>
      </c>
      <c r="B4590" s="3" t="str">
        <f>"MG"</f>
        <v>MG</v>
      </c>
      <c r="C4590" s="3" t="str">
        <f t="shared" si="177"/>
        <v>BRASIL</v>
      </c>
      <c r="D4590" s="4" t="str">
        <f>"MG665"</f>
        <v>MG665</v>
      </c>
    </row>
    <row r="4591" spans="1:4" x14ac:dyDescent="0.3">
      <c r="A4591" s="2" t="str">
        <f>"SANTA BARBARA DO MONTE VE"</f>
        <v>SANTA BARBARA DO MONTE VE</v>
      </c>
      <c r="B4591" s="3" t="str">
        <f>"MG"</f>
        <v>MG</v>
      </c>
      <c r="C4591" s="3" t="str">
        <f t="shared" si="177"/>
        <v>BRASIL</v>
      </c>
      <c r="D4591" s="4" t="str">
        <f>"MG666"</f>
        <v>MG666</v>
      </c>
    </row>
    <row r="4592" spans="1:4" x14ac:dyDescent="0.3">
      <c r="A4592" s="2" t="str">
        <f>"SANTA BARBARA DO PARA"</f>
        <v>SANTA BARBARA DO PARA</v>
      </c>
      <c r="B4592" s="3" t="str">
        <f>"PA"</f>
        <v>PA</v>
      </c>
      <c r="C4592" s="3" t="str">
        <f t="shared" si="177"/>
        <v>BRASIL</v>
      </c>
      <c r="D4592" s="4" t="str">
        <f>"PA106"</f>
        <v>PA106</v>
      </c>
    </row>
    <row r="4593" spans="1:4" x14ac:dyDescent="0.3">
      <c r="A4593" s="2" t="str">
        <f>"SANTA BARBARA DO SUL"</f>
        <v>SANTA BARBARA DO SUL</v>
      </c>
      <c r="B4593" s="3" t="str">
        <f>"RS"</f>
        <v>RS</v>
      </c>
      <c r="C4593" s="3" t="str">
        <f t="shared" si="177"/>
        <v>BRASIL</v>
      </c>
      <c r="D4593" s="4" t="str">
        <f>"RS360"</f>
        <v>RS360</v>
      </c>
    </row>
    <row r="4594" spans="1:4" x14ac:dyDescent="0.3">
      <c r="A4594" s="2" t="str">
        <f>"SANTA BARBARA DO TUGURIO"</f>
        <v>SANTA BARBARA DO TUGURIO</v>
      </c>
      <c r="B4594" s="3" t="str">
        <f>"MG"</f>
        <v>MG</v>
      </c>
      <c r="C4594" s="3" t="str">
        <f t="shared" si="177"/>
        <v>BRASIL</v>
      </c>
      <c r="D4594" s="4" t="str">
        <f>"MG667"</f>
        <v>MG667</v>
      </c>
    </row>
    <row r="4595" spans="1:4" x14ac:dyDescent="0.3">
      <c r="A4595" s="2" t="str">
        <f>"SANTA BRANCA"</f>
        <v>SANTA BRANCA</v>
      </c>
      <c r="B4595" s="3" t="str">
        <f>"SP"</f>
        <v>SP</v>
      </c>
      <c r="C4595" s="3" t="str">
        <f t="shared" si="177"/>
        <v>BRASIL</v>
      </c>
      <c r="D4595" s="4" t="str">
        <f>"SP515"</f>
        <v>SP515</v>
      </c>
    </row>
    <row r="4596" spans="1:4" x14ac:dyDescent="0.3">
      <c r="A4596" s="2" t="str">
        <f>"SANTA BRIGIDA"</f>
        <v>SANTA BRIGIDA</v>
      </c>
      <c r="B4596" s="3" t="str">
        <f>"BA"</f>
        <v>BA</v>
      </c>
      <c r="C4596" s="3" t="str">
        <f t="shared" si="177"/>
        <v>BRASIL</v>
      </c>
      <c r="D4596" s="4" t="str">
        <f>"BA338"</f>
        <v>BA338</v>
      </c>
    </row>
    <row r="4597" spans="1:4" x14ac:dyDescent="0.3">
      <c r="A4597" s="2" t="str">
        <f>"SANTA CARMEM"</f>
        <v>SANTA CARMEM</v>
      </c>
      <c r="B4597" s="3" t="str">
        <f>"MT"</f>
        <v>MT</v>
      </c>
      <c r="C4597" s="3" t="str">
        <f t="shared" si="177"/>
        <v>BRASIL</v>
      </c>
      <c r="D4597" s="4" t="str">
        <f>"MT107"</f>
        <v>MT107</v>
      </c>
    </row>
    <row r="4598" spans="1:4" x14ac:dyDescent="0.3">
      <c r="A4598" s="2" t="str">
        <f>"SANTA CECILIA"</f>
        <v>SANTA CECILIA</v>
      </c>
      <c r="B4598" s="3" t="str">
        <f>"PB"</f>
        <v>PB</v>
      </c>
      <c r="C4598" s="3" t="str">
        <f t="shared" si="177"/>
        <v>BRASIL</v>
      </c>
      <c r="D4598" s="4" t="str">
        <f>"PB167"</f>
        <v>PB167</v>
      </c>
    </row>
    <row r="4599" spans="1:4" x14ac:dyDescent="0.3">
      <c r="A4599" s="2" t="str">
        <f>"SANTA CECILIA"</f>
        <v>SANTA CECILIA</v>
      </c>
      <c r="B4599" s="3" t="str">
        <f>"SC"</f>
        <v>SC</v>
      </c>
      <c r="C4599" s="3" t="str">
        <f t="shared" si="177"/>
        <v>BRASIL</v>
      </c>
      <c r="D4599" s="4" t="str">
        <f>"SC228"</f>
        <v>SC228</v>
      </c>
    </row>
    <row r="4600" spans="1:4" x14ac:dyDescent="0.3">
      <c r="A4600" s="2" t="str">
        <f>"SANTA CECILIA DO PAVAO"</f>
        <v>SANTA CECILIA DO PAVAO</v>
      </c>
      <c r="B4600" s="3" t="str">
        <f>"PR"</f>
        <v>PR</v>
      </c>
      <c r="C4600" s="3" t="str">
        <f t="shared" si="177"/>
        <v>BRASIL</v>
      </c>
      <c r="D4600" s="4" t="str">
        <f>"PR320"</f>
        <v>PR320</v>
      </c>
    </row>
    <row r="4601" spans="1:4" x14ac:dyDescent="0.3">
      <c r="A4601" s="2" t="str">
        <f>"SANTA CECILIA DO SUL"</f>
        <v>SANTA CECILIA DO SUL</v>
      </c>
      <c r="B4601" s="3" t="str">
        <f>"RS"</f>
        <v>RS</v>
      </c>
      <c r="C4601" s="3" t="str">
        <f t="shared" si="177"/>
        <v>BRASIL</v>
      </c>
      <c r="D4601" s="4" t="str">
        <f>"RS361"</f>
        <v>RS361</v>
      </c>
    </row>
    <row r="4602" spans="1:4" x14ac:dyDescent="0.3">
      <c r="A4602" s="2" t="str">
        <f>"SANTA CLARA D'OESTE"</f>
        <v>SANTA CLARA D'OESTE</v>
      </c>
      <c r="B4602" s="3" t="str">
        <f>"SP"</f>
        <v>SP</v>
      </c>
      <c r="C4602" s="3" t="str">
        <f t="shared" si="177"/>
        <v>BRASIL</v>
      </c>
      <c r="D4602" s="4" t="str">
        <f>"SP516"</f>
        <v>SP516</v>
      </c>
    </row>
    <row r="4603" spans="1:4" x14ac:dyDescent="0.3">
      <c r="A4603" s="2" t="str">
        <f>"SANTA CLARA DO SUL"</f>
        <v>SANTA CLARA DO SUL</v>
      </c>
      <c r="B4603" s="3" t="str">
        <f>"RS"</f>
        <v>RS</v>
      </c>
      <c r="C4603" s="3" t="str">
        <f t="shared" si="177"/>
        <v>BRASIL</v>
      </c>
      <c r="D4603" s="4" t="str">
        <f>"RS362"</f>
        <v>RS362</v>
      </c>
    </row>
    <row r="4604" spans="1:4" x14ac:dyDescent="0.3">
      <c r="A4604" s="2" t="str">
        <f>"SANTA CRUZ"</f>
        <v>SANTA CRUZ</v>
      </c>
      <c r="B4604" s="3" t="str">
        <f>"EX"</f>
        <v>EX</v>
      </c>
      <c r="C4604" s="3" t="str">
        <f>"BOLIVIA"</f>
        <v>BOLIVIA</v>
      </c>
      <c r="D4604" s="4" t="str">
        <f>"STCR"</f>
        <v>STCR</v>
      </c>
    </row>
    <row r="4605" spans="1:4" x14ac:dyDescent="0.3">
      <c r="A4605" s="2" t="str">
        <f>"SANTA CRUZ"</f>
        <v>SANTA CRUZ</v>
      </c>
      <c r="B4605" s="3" t="str">
        <f>"PB"</f>
        <v>PB</v>
      </c>
      <c r="C4605" s="3" t="str">
        <f t="shared" ref="C4605:C4614" si="178">"BRASIL"</f>
        <v>BRASIL</v>
      </c>
      <c r="D4605" s="4" t="str">
        <f>"PB168"</f>
        <v>PB168</v>
      </c>
    </row>
    <row r="4606" spans="1:4" x14ac:dyDescent="0.3">
      <c r="A4606" s="2" t="str">
        <f>"SANTA CRUZ"</f>
        <v>SANTA CRUZ</v>
      </c>
      <c r="B4606" s="3" t="str">
        <f>"PE"</f>
        <v>PE</v>
      </c>
      <c r="C4606" s="3" t="str">
        <f t="shared" si="178"/>
        <v>BRASIL</v>
      </c>
      <c r="D4606" s="4" t="str">
        <f>"PE141"</f>
        <v>PE141</v>
      </c>
    </row>
    <row r="4607" spans="1:4" x14ac:dyDescent="0.3">
      <c r="A4607" s="2" t="str">
        <f>"SANTA CRUZ"</f>
        <v>SANTA CRUZ</v>
      </c>
      <c r="B4607" s="3" t="str">
        <f>"RN"</f>
        <v>RN</v>
      </c>
      <c r="C4607" s="3" t="str">
        <f t="shared" si="178"/>
        <v>BRASIL</v>
      </c>
      <c r="D4607" s="4" t="str">
        <f>"RN123"</f>
        <v>RN123</v>
      </c>
    </row>
    <row r="4608" spans="1:4" x14ac:dyDescent="0.3">
      <c r="A4608" s="2" t="str">
        <f>"SANTA CRUZ CABRALIA"</f>
        <v>SANTA CRUZ CABRALIA</v>
      </c>
      <c r="B4608" s="3" t="str">
        <f>"BA"</f>
        <v>BA</v>
      </c>
      <c r="C4608" s="3" t="str">
        <f t="shared" si="178"/>
        <v>BRASIL</v>
      </c>
      <c r="D4608" s="4" t="str">
        <f>"BA339"</f>
        <v>BA339</v>
      </c>
    </row>
    <row r="4609" spans="1:4" x14ac:dyDescent="0.3">
      <c r="A4609" s="2" t="str">
        <f>"SANTA CRUZ DA BAIXA VERDE"</f>
        <v>SANTA CRUZ DA BAIXA VERDE</v>
      </c>
      <c r="B4609" s="3" t="str">
        <f>"PE"</f>
        <v>PE</v>
      </c>
      <c r="C4609" s="3" t="str">
        <f t="shared" si="178"/>
        <v>BRASIL</v>
      </c>
      <c r="D4609" s="4" t="str">
        <f>"PE142"</f>
        <v>PE142</v>
      </c>
    </row>
    <row r="4610" spans="1:4" x14ac:dyDescent="0.3">
      <c r="A4610" s="2" t="str">
        <f>"SANTA CRUZ DA CONCEICAO"</f>
        <v>SANTA CRUZ DA CONCEICAO</v>
      </c>
      <c r="B4610" s="3" t="str">
        <f>"SP"</f>
        <v>SP</v>
      </c>
      <c r="C4610" s="3" t="str">
        <f t="shared" si="178"/>
        <v>BRASIL</v>
      </c>
      <c r="D4610" s="4" t="str">
        <f>"SP517"</f>
        <v>SP517</v>
      </c>
    </row>
    <row r="4611" spans="1:4" x14ac:dyDescent="0.3">
      <c r="A4611" s="2" t="str">
        <f>"SANTA CRUZ DA ESPERANCA"</f>
        <v>SANTA CRUZ DA ESPERANCA</v>
      </c>
      <c r="B4611" s="3" t="str">
        <f>"SP"</f>
        <v>SP</v>
      </c>
      <c r="C4611" s="3" t="str">
        <f t="shared" si="178"/>
        <v>BRASIL</v>
      </c>
      <c r="D4611" s="4" t="str">
        <f>"SP518"</f>
        <v>SP518</v>
      </c>
    </row>
    <row r="4612" spans="1:4" x14ac:dyDescent="0.3">
      <c r="A4612" s="2" t="str">
        <f>"SANTA CRUZ DA VITORIA"</f>
        <v>SANTA CRUZ DA VITORIA</v>
      </c>
      <c r="B4612" s="3" t="str">
        <f>"BA"</f>
        <v>BA</v>
      </c>
      <c r="C4612" s="3" t="str">
        <f t="shared" si="178"/>
        <v>BRASIL</v>
      </c>
      <c r="D4612" s="4" t="str">
        <f>"BA340"</f>
        <v>BA340</v>
      </c>
    </row>
    <row r="4613" spans="1:4" x14ac:dyDescent="0.3">
      <c r="A4613" s="2" t="str">
        <f>"SANTA CRUZ DAS PALMEIRAS"</f>
        <v>SANTA CRUZ DAS PALMEIRAS</v>
      </c>
      <c r="B4613" s="3" t="str">
        <f>"SP"</f>
        <v>SP</v>
      </c>
      <c r="C4613" s="3" t="str">
        <f t="shared" si="178"/>
        <v>BRASIL</v>
      </c>
      <c r="D4613" s="4" t="str">
        <f>"SP519"</f>
        <v>SP519</v>
      </c>
    </row>
    <row r="4614" spans="1:4" x14ac:dyDescent="0.3">
      <c r="A4614" s="2" t="str">
        <f>"SANTA CRUZ DE GOIAS"</f>
        <v>SANTA CRUZ DE GOIAS</v>
      </c>
      <c r="B4614" s="3" t="str">
        <f>"GO"</f>
        <v>GO</v>
      </c>
      <c r="C4614" s="3" t="str">
        <f t="shared" si="178"/>
        <v>BRASIL</v>
      </c>
      <c r="D4614" s="4" t="str">
        <f>"GO202"</f>
        <v>GO202</v>
      </c>
    </row>
    <row r="4615" spans="1:4" x14ac:dyDescent="0.3">
      <c r="A4615" s="2" t="str">
        <f>"SANTA CRUZ DE LA SIERRA"</f>
        <v>SANTA CRUZ DE LA SIERRA</v>
      </c>
      <c r="B4615" s="3" t="str">
        <f>"EX"</f>
        <v>EX</v>
      </c>
      <c r="C4615" s="3" t="str">
        <f>"BOLIVIA"</f>
        <v>BOLIVIA</v>
      </c>
      <c r="D4615" s="4" t="str">
        <f>"ST CR"</f>
        <v>ST CR</v>
      </c>
    </row>
    <row r="4616" spans="1:4" x14ac:dyDescent="0.3">
      <c r="A4616" s="2" t="str">
        <f>"SANTA CRUZ DE MINAS"</f>
        <v>SANTA CRUZ DE MINAS</v>
      </c>
      <c r="B4616" s="3" t="str">
        <f>"MG"</f>
        <v>MG</v>
      </c>
      <c r="C4616" s="3" t="str">
        <f t="shared" ref="C4616:C4647" si="179">"BRASIL"</f>
        <v>BRASIL</v>
      </c>
      <c r="D4616" s="4" t="str">
        <f>"MG668"</f>
        <v>MG668</v>
      </c>
    </row>
    <row r="4617" spans="1:4" x14ac:dyDescent="0.3">
      <c r="A4617" s="2" t="str">
        <f>"SANTA CRUZ DE MONTE CASTE"</f>
        <v>SANTA CRUZ DE MONTE CASTE</v>
      </c>
      <c r="B4617" s="3" t="str">
        <f>"PR"</f>
        <v>PR</v>
      </c>
      <c r="C4617" s="3" t="str">
        <f t="shared" si="179"/>
        <v>BRASIL</v>
      </c>
      <c r="D4617" s="4" t="str">
        <f>"PR321"</f>
        <v>PR321</v>
      </c>
    </row>
    <row r="4618" spans="1:4" x14ac:dyDescent="0.3">
      <c r="A4618" s="2" t="str">
        <f>"SANTA CRUZ DE SALINAS"</f>
        <v>SANTA CRUZ DE SALINAS</v>
      </c>
      <c r="B4618" s="3" t="str">
        <f>"MG"</f>
        <v>MG</v>
      </c>
      <c r="C4618" s="3" t="str">
        <f t="shared" si="179"/>
        <v>BRASIL</v>
      </c>
      <c r="D4618" s="4" t="str">
        <f>"MG669"</f>
        <v>MG669</v>
      </c>
    </row>
    <row r="4619" spans="1:4" x14ac:dyDescent="0.3">
      <c r="A4619" s="2" t="str">
        <f>"SANTA CRUZ DO ARARI"</f>
        <v>SANTA CRUZ DO ARARI</v>
      </c>
      <c r="B4619" s="3" t="str">
        <f>"PA"</f>
        <v>PA</v>
      </c>
      <c r="C4619" s="3" t="str">
        <f t="shared" si="179"/>
        <v>BRASIL</v>
      </c>
      <c r="D4619" s="4" t="str">
        <f>"PA107"</f>
        <v>PA107</v>
      </c>
    </row>
    <row r="4620" spans="1:4" x14ac:dyDescent="0.3">
      <c r="A4620" s="2" t="str">
        <f>"SANTA CRUZ DO CAPIBARIBE"</f>
        <v>SANTA CRUZ DO CAPIBARIBE</v>
      </c>
      <c r="B4620" s="3" t="str">
        <f>"PE"</f>
        <v>PE</v>
      </c>
      <c r="C4620" s="3" t="str">
        <f t="shared" si="179"/>
        <v>BRASIL</v>
      </c>
      <c r="D4620" s="4" t="str">
        <f>"PE143"</f>
        <v>PE143</v>
      </c>
    </row>
    <row r="4621" spans="1:4" x14ac:dyDescent="0.3">
      <c r="A4621" s="2" t="str">
        <f>"SANTA CRUZ DO ESCALVADO"</f>
        <v>SANTA CRUZ DO ESCALVADO</v>
      </c>
      <c r="B4621" s="3" t="str">
        <f>"MG"</f>
        <v>MG</v>
      </c>
      <c r="C4621" s="3" t="str">
        <f t="shared" si="179"/>
        <v>BRASIL</v>
      </c>
      <c r="D4621" s="4" t="str">
        <f>"MG670"</f>
        <v>MG670</v>
      </c>
    </row>
    <row r="4622" spans="1:4" x14ac:dyDescent="0.3">
      <c r="A4622" s="2" t="str">
        <f>"SANTA CRUZ DO PIAUI"</f>
        <v>SANTA CRUZ DO PIAUI</v>
      </c>
      <c r="B4622" s="3" t="str">
        <f>"PI"</f>
        <v>PI</v>
      </c>
      <c r="C4622" s="3" t="str">
        <f t="shared" si="179"/>
        <v>BRASIL</v>
      </c>
      <c r="D4622" s="4" t="str">
        <f>"PI174"</f>
        <v>PI174</v>
      </c>
    </row>
    <row r="4623" spans="1:4" x14ac:dyDescent="0.3">
      <c r="A4623" s="2" t="str">
        <f>"SANTA CRUZ DO RIO PARDO"</f>
        <v>SANTA CRUZ DO RIO PARDO</v>
      </c>
      <c r="B4623" s="3" t="str">
        <f>"SP"</f>
        <v>SP</v>
      </c>
      <c r="C4623" s="3" t="str">
        <f t="shared" si="179"/>
        <v>BRASIL</v>
      </c>
      <c r="D4623" s="4" t="str">
        <f>"SP520"</f>
        <v>SP520</v>
      </c>
    </row>
    <row r="4624" spans="1:4" x14ac:dyDescent="0.3">
      <c r="A4624" s="2" t="str">
        <f>"SANTA CRUZ DO SUL"</f>
        <v>SANTA CRUZ DO SUL</v>
      </c>
      <c r="B4624" s="3" t="str">
        <f>"RS"</f>
        <v>RS</v>
      </c>
      <c r="C4624" s="3" t="str">
        <f t="shared" si="179"/>
        <v>BRASIL</v>
      </c>
      <c r="D4624" s="4" t="str">
        <f>"RS363"</f>
        <v>RS363</v>
      </c>
    </row>
    <row r="4625" spans="1:4" x14ac:dyDescent="0.3">
      <c r="A4625" s="2" t="str">
        <f>"SANTA CRUZ DO XINGU"</f>
        <v>SANTA CRUZ DO XINGU</v>
      </c>
      <c r="B4625" s="3" t="str">
        <f>"MT"</f>
        <v>MT</v>
      </c>
      <c r="C4625" s="3" t="str">
        <f t="shared" si="179"/>
        <v>BRASIL</v>
      </c>
      <c r="D4625" s="4" t="str">
        <f>"MT116"</f>
        <v>MT116</v>
      </c>
    </row>
    <row r="4626" spans="1:4" x14ac:dyDescent="0.3">
      <c r="A4626" s="2" t="str">
        <f>"SANTA CRUZ DOS MILAGRES"</f>
        <v>SANTA CRUZ DOS MILAGRES</v>
      </c>
      <c r="B4626" s="3" t="str">
        <f>"PI"</f>
        <v>PI</v>
      </c>
      <c r="C4626" s="3" t="str">
        <f t="shared" si="179"/>
        <v>BRASIL</v>
      </c>
      <c r="D4626" s="4" t="str">
        <f>"PI175"</f>
        <v>PI175</v>
      </c>
    </row>
    <row r="4627" spans="1:4" x14ac:dyDescent="0.3">
      <c r="A4627" s="2" t="str">
        <f>"SANTA EFIGENIA DE MINAS"</f>
        <v>SANTA EFIGENIA DE MINAS</v>
      </c>
      <c r="B4627" s="3" t="str">
        <f>"MG"</f>
        <v>MG</v>
      </c>
      <c r="C4627" s="3" t="str">
        <f t="shared" si="179"/>
        <v>BRASIL</v>
      </c>
      <c r="D4627" s="4" t="str">
        <f>"MG671"</f>
        <v>MG671</v>
      </c>
    </row>
    <row r="4628" spans="1:4" x14ac:dyDescent="0.3">
      <c r="A4628" s="2" t="str">
        <f>"SANTA ERNESTINA"</f>
        <v>SANTA ERNESTINA</v>
      </c>
      <c r="B4628" s="3" t="str">
        <f>"SP"</f>
        <v>SP</v>
      </c>
      <c r="C4628" s="3" t="str">
        <f t="shared" si="179"/>
        <v>BRASIL</v>
      </c>
      <c r="D4628" s="4" t="str">
        <f>"SP521"</f>
        <v>SP521</v>
      </c>
    </row>
    <row r="4629" spans="1:4" x14ac:dyDescent="0.3">
      <c r="A4629" s="2" t="str">
        <f>"SANTA FE"</f>
        <v>SANTA FE</v>
      </c>
      <c r="B4629" s="3" t="str">
        <f>"PR"</f>
        <v>PR</v>
      </c>
      <c r="C4629" s="3" t="str">
        <f t="shared" si="179"/>
        <v>BRASIL</v>
      </c>
      <c r="D4629" s="4" t="str">
        <f>"PR322"</f>
        <v>PR322</v>
      </c>
    </row>
    <row r="4630" spans="1:4" x14ac:dyDescent="0.3">
      <c r="A4630" s="2" t="str">
        <f>"SANTA FE DE GOIAS"</f>
        <v>SANTA FE DE GOIAS</v>
      </c>
      <c r="B4630" s="3" t="str">
        <f>"GO"</f>
        <v>GO</v>
      </c>
      <c r="C4630" s="3" t="str">
        <f t="shared" si="179"/>
        <v>BRASIL</v>
      </c>
      <c r="D4630" s="4" t="str">
        <f>"GO203"</f>
        <v>GO203</v>
      </c>
    </row>
    <row r="4631" spans="1:4" x14ac:dyDescent="0.3">
      <c r="A4631" s="2" t="str">
        <f>"SANTA FE DE MINAS"</f>
        <v>SANTA FE DE MINAS</v>
      </c>
      <c r="B4631" s="3" t="str">
        <f>"MG"</f>
        <v>MG</v>
      </c>
      <c r="C4631" s="3" t="str">
        <f t="shared" si="179"/>
        <v>BRASIL</v>
      </c>
      <c r="D4631" s="4" t="str">
        <f>"MG672"</f>
        <v>MG672</v>
      </c>
    </row>
    <row r="4632" spans="1:4" x14ac:dyDescent="0.3">
      <c r="A4632" s="2" t="str">
        <f>"SANTA FE DO ARAGUAIA"</f>
        <v>SANTA FE DO ARAGUAIA</v>
      </c>
      <c r="B4632" s="3" t="str">
        <f>"TO"</f>
        <v>TO</v>
      </c>
      <c r="C4632" s="3" t="str">
        <f t="shared" si="179"/>
        <v>BRASIL</v>
      </c>
      <c r="D4632" s="4" t="str">
        <f>"TO115"</f>
        <v>TO115</v>
      </c>
    </row>
    <row r="4633" spans="1:4" x14ac:dyDescent="0.3">
      <c r="A4633" s="2" t="str">
        <f>"SANTA FE DO SUL"</f>
        <v>SANTA FE DO SUL</v>
      </c>
      <c r="B4633" s="3" t="str">
        <f>"SP"</f>
        <v>SP</v>
      </c>
      <c r="C4633" s="3" t="str">
        <f t="shared" si="179"/>
        <v>BRASIL</v>
      </c>
      <c r="D4633" s="4" t="str">
        <f>"SP522"</f>
        <v>SP522</v>
      </c>
    </row>
    <row r="4634" spans="1:4" x14ac:dyDescent="0.3">
      <c r="A4634" s="2" t="str">
        <f>"SANTA FILOMENA"</f>
        <v>SANTA FILOMENA</v>
      </c>
      <c r="B4634" s="3" t="str">
        <f>"PE"</f>
        <v>PE</v>
      </c>
      <c r="C4634" s="3" t="str">
        <f t="shared" si="179"/>
        <v>BRASIL</v>
      </c>
      <c r="D4634" s="4" t="str">
        <f>"PE144"</f>
        <v>PE144</v>
      </c>
    </row>
    <row r="4635" spans="1:4" x14ac:dyDescent="0.3">
      <c r="A4635" s="2" t="str">
        <f>"SANTA FILOMENA"</f>
        <v>SANTA FILOMENA</v>
      </c>
      <c r="B4635" s="3" t="str">
        <f>"PI"</f>
        <v>PI</v>
      </c>
      <c r="C4635" s="3" t="str">
        <f t="shared" si="179"/>
        <v>BRASIL</v>
      </c>
      <c r="D4635" s="4" t="str">
        <f>"PI176"</f>
        <v>PI176</v>
      </c>
    </row>
    <row r="4636" spans="1:4" x14ac:dyDescent="0.3">
      <c r="A4636" s="2" t="str">
        <f>"SANTA FILOMENA DO MARANHA"</f>
        <v>SANTA FILOMENA DO MARANHA</v>
      </c>
      <c r="B4636" s="3" t="str">
        <f>"MA"</f>
        <v>MA</v>
      </c>
      <c r="C4636" s="3" t="str">
        <f t="shared" si="179"/>
        <v>BRASIL</v>
      </c>
      <c r="D4636" s="4" t="str">
        <f>"MA161"</f>
        <v>MA161</v>
      </c>
    </row>
    <row r="4637" spans="1:4" x14ac:dyDescent="0.3">
      <c r="A4637" s="2" t="str">
        <f>"SANTA GERTRUDES"</f>
        <v>SANTA GERTRUDES</v>
      </c>
      <c r="B4637" s="3" t="str">
        <f>"SP"</f>
        <v>SP</v>
      </c>
      <c r="C4637" s="3" t="str">
        <f t="shared" si="179"/>
        <v>BRASIL</v>
      </c>
      <c r="D4637" s="4" t="str">
        <f>"SP523"</f>
        <v>SP523</v>
      </c>
    </row>
    <row r="4638" spans="1:4" x14ac:dyDescent="0.3">
      <c r="A4638" s="2" t="str">
        <f>"SANTA HELENA"</f>
        <v>SANTA HELENA</v>
      </c>
      <c r="B4638" s="3" t="str">
        <f>"MA"</f>
        <v>MA</v>
      </c>
      <c r="C4638" s="3" t="str">
        <f t="shared" si="179"/>
        <v>BRASIL</v>
      </c>
      <c r="D4638" s="4" t="str">
        <f>"MA162"</f>
        <v>MA162</v>
      </c>
    </row>
    <row r="4639" spans="1:4" x14ac:dyDescent="0.3">
      <c r="A4639" s="2" t="str">
        <f>"SANTA HELENA"</f>
        <v>SANTA HELENA</v>
      </c>
      <c r="B4639" s="3" t="str">
        <f>"PB"</f>
        <v>PB</v>
      </c>
      <c r="C4639" s="3" t="str">
        <f t="shared" si="179"/>
        <v>BRASIL</v>
      </c>
      <c r="D4639" s="4" t="str">
        <f>"PB169"</f>
        <v>PB169</v>
      </c>
    </row>
    <row r="4640" spans="1:4" x14ac:dyDescent="0.3">
      <c r="A4640" s="2" t="str">
        <f>"SANTA HELENA"</f>
        <v>SANTA HELENA</v>
      </c>
      <c r="B4640" s="3" t="str">
        <f>"PR"</f>
        <v>PR</v>
      </c>
      <c r="C4640" s="3" t="str">
        <f t="shared" si="179"/>
        <v>BRASIL</v>
      </c>
      <c r="D4640" s="4" t="str">
        <f>"PR323"</f>
        <v>PR323</v>
      </c>
    </row>
    <row r="4641" spans="1:4" x14ac:dyDescent="0.3">
      <c r="A4641" s="2" t="str">
        <f>"SANTA HELENA"</f>
        <v>SANTA HELENA</v>
      </c>
      <c r="B4641" s="3" t="str">
        <f>"SC"</f>
        <v>SC</v>
      </c>
      <c r="C4641" s="3" t="str">
        <f t="shared" si="179"/>
        <v>BRASIL</v>
      </c>
      <c r="D4641" s="4" t="str">
        <f>"SC229"</f>
        <v>SC229</v>
      </c>
    </row>
    <row r="4642" spans="1:4" x14ac:dyDescent="0.3">
      <c r="A4642" s="2" t="str">
        <f>"SANTA HELENA DE GOIAS"</f>
        <v>SANTA HELENA DE GOIAS</v>
      </c>
      <c r="B4642" s="3" t="str">
        <f>"GO"</f>
        <v>GO</v>
      </c>
      <c r="C4642" s="3" t="str">
        <f t="shared" si="179"/>
        <v>BRASIL</v>
      </c>
      <c r="D4642" s="4" t="str">
        <f>"GO204"</f>
        <v>GO204</v>
      </c>
    </row>
    <row r="4643" spans="1:4" x14ac:dyDescent="0.3">
      <c r="A4643" s="2" t="str">
        <f>"SANTA HELENA DE MINAS"</f>
        <v>SANTA HELENA DE MINAS</v>
      </c>
      <c r="B4643" s="3" t="str">
        <f>"MG"</f>
        <v>MG</v>
      </c>
      <c r="C4643" s="3" t="str">
        <f t="shared" si="179"/>
        <v>BRASIL</v>
      </c>
      <c r="D4643" s="4" t="str">
        <f>"MG673"</f>
        <v>MG673</v>
      </c>
    </row>
    <row r="4644" spans="1:4" x14ac:dyDescent="0.3">
      <c r="A4644" s="2" t="str">
        <f>"SANTA INES"</f>
        <v>SANTA INES</v>
      </c>
      <c r="B4644" s="3" t="str">
        <f>"BA"</f>
        <v>BA</v>
      </c>
      <c r="C4644" s="3" t="str">
        <f t="shared" si="179"/>
        <v>BRASIL</v>
      </c>
      <c r="D4644" s="4" t="str">
        <f>"BA341"</f>
        <v>BA341</v>
      </c>
    </row>
    <row r="4645" spans="1:4" x14ac:dyDescent="0.3">
      <c r="A4645" s="2" t="str">
        <f>"SANTA INES"</f>
        <v>SANTA INES</v>
      </c>
      <c r="B4645" s="3" t="str">
        <f>"MA"</f>
        <v>MA</v>
      </c>
      <c r="C4645" s="3" t="str">
        <f t="shared" si="179"/>
        <v>BRASIL</v>
      </c>
      <c r="D4645" s="4" t="str">
        <f>"MA163"</f>
        <v>MA163</v>
      </c>
    </row>
    <row r="4646" spans="1:4" x14ac:dyDescent="0.3">
      <c r="A4646" s="2" t="str">
        <f>"SANTA INES"</f>
        <v>SANTA INES</v>
      </c>
      <c r="B4646" s="3" t="str">
        <f>"PB"</f>
        <v>PB</v>
      </c>
      <c r="C4646" s="3" t="str">
        <f t="shared" si="179"/>
        <v>BRASIL</v>
      </c>
      <c r="D4646" s="4" t="str">
        <f>"PB170"</f>
        <v>PB170</v>
      </c>
    </row>
    <row r="4647" spans="1:4" x14ac:dyDescent="0.3">
      <c r="A4647" s="2" t="str">
        <f>"SANTA INES"</f>
        <v>SANTA INES</v>
      </c>
      <c r="B4647" s="3" t="str">
        <f>"PR"</f>
        <v>PR</v>
      </c>
      <c r="C4647" s="3" t="str">
        <f t="shared" si="179"/>
        <v>BRASIL</v>
      </c>
      <c r="D4647" s="4" t="str">
        <f>"PR324"</f>
        <v>PR324</v>
      </c>
    </row>
    <row r="4648" spans="1:4" x14ac:dyDescent="0.3">
      <c r="A4648" s="2" t="str">
        <f>"SANTA ISABEL"</f>
        <v>SANTA ISABEL</v>
      </c>
      <c r="B4648" s="3" t="str">
        <f>"GO"</f>
        <v>GO</v>
      </c>
      <c r="C4648" s="3" t="str">
        <f t="shared" ref="C4648:C4679" si="180">"BRASIL"</f>
        <v>BRASIL</v>
      </c>
      <c r="D4648" s="4" t="str">
        <f>"GO205"</f>
        <v>GO205</v>
      </c>
    </row>
    <row r="4649" spans="1:4" x14ac:dyDescent="0.3">
      <c r="A4649" s="2" t="str">
        <f>"SANTA ISABEL"</f>
        <v>SANTA ISABEL</v>
      </c>
      <c r="B4649" s="3" t="str">
        <f>"SP"</f>
        <v>SP</v>
      </c>
      <c r="C4649" s="3" t="str">
        <f t="shared" si="180"/>
        <v>BRASIL</v>
      </c>
      <c r="D4649" s="4" t="str">
        <f>"SP524"</f>
        <v>SP524</v>
      </c>
    </row>
    <row r="4650" spans="1:4" x14ac:dyDescent="0.3">
      <c r="A4650" s="2" t="str">
        <f>"SANTA ISABEL DO IVAI"</f>
        <v>SANTA ISABEL DO IVAI</v>
      </c>
      <c r="B4650" s="3" t="str">
        <f>"PR"</f>
        <v>PR</v>
      </c>
      <c r="C4650" s="3" t="str">
        <f t="shared" si="180"/>
        <v>BRASIL</v>
      </c>
      <c r="D4650" s="4" t="str">
        <f>"PR325"</f>
        <v>PR325</v>
      </c>
    </row>
    <row r="4651" spans="1:4" x14ac:dyDescent="0.3">
      <c r="A4651" s="2" t="str">
        <f>"SANTA ISABEL DO PARA"</f>
        <v>SANTA ISABEL DO PARA</v>
      </c>
      <c r="B4651" s="3" t="str">
        <f>"PA"</f>
        <v>PA</v>
      </c>
      <c r="C4651" s="3" t="str">
        <f t="shared" si="180"/>
        <v>BRASIL</v>
      </c>
      <c r="D4651" s="4" t="str">
        <f>"PA108"</f>
        <v>PA108</v>
      </c>
    </row>
    <row r="4652" spans="1:4" x14ac:dyDescent="0.3">
      <c r="A4652" s="2" t="str">
        <f>"SANTA ISABEL DO RIO NEGRO"</f>
        <v>SANTA ISABEL DO RIO NEGRO</v>
      </c>
      <c r="B4652" s="3" t="str">
        <f>"AM"</f>
        <v>AM</v>
      </c>
      <c r="C4652" s="3" t="str">
        <f t="shared" si="180"/>
        <v>BRASIL</v>
      </c>
      <c r="D4652" s="4" t="str">
        <f>"AM050"</f>
        <v>AM050</v>
      </c>
    </row>
    <row r="4653" spans="1:4" x14ac:dyDescent="0.3">
      <c r="A4653" s="2" t="str">
        <f>"SANTA IZABEL DO OESTE"</f>
        <v>SANTA IZABEL DO OESTE</v>
      </c>
      <c r="B4653" s="3" t="str">
        <f>"PR"</f>
        <v>PR</v>
      </c>
      <c r="C4653" s="3" t="str">
        <f t="shared" si="180"/>
        <v>BRASIL</v>
      </c>
      <c r="D4653" s="4" t="str">
        <f>"PR326"</f>
        <v>PR326</v>
      </c>
    </row>
    <row r="4654" spans="1:4" x14ac:dyDescent="0.3">
      <c r="A4654" s="2" t="str">
        <f>"SANTA JULIANA"</f>
        <v>SANTA JULIANA</v>
      </c>
      <c r="B4654" s="3" t="str">
        <f>"MG"</f>
        <v>MG</v>
      </c>
      <c r="C4654" s="3" t="str">
        <f t="shared" si="180"/>
        <v>BRASIL</v>
      </c>
      <c r="D4654" s="4" t="str">
        <f>"MG674"</f>
        <v>MG674</v>
      </c>
    </row>
    <row r="4655" spans="1:4" x14ac:dyDescent="0.3">
      <c r="A4655" s="2" t="str">
        <f>"SANTA LEOPOLDINA"</f>
        <v>SANTA LEOPOLDINA</v>
      </c>
      <c r="B4655" s="3" t="str">
        <f>"ES"</f>
        <v>ES</v>
      </c>
      <c r="C4655" s="3" t="str">
        <f t="shared" si="180"/>
        <v>BRASIL</v>
      </c>
      <c r="D4655" s="4" t="str">
        <f>"ES062"</f>
        <v>ES062</v>
      </c>
    </row>
    <row r="4656" spans="1:4" x14ac:dyDescent="0.3">
      <c r="A4656" s="2" t="str">
        <f>"SANTA LUCIA"</f>
        <v>SANTA LUCIA</v>
      </c>
      <c r="B4656" s="3" t="str">
        <f>"PR"</f>
        <v>PR</v>
      </c>
      <c r="C4656" s="3" t="str">
        <f t="shared" si="180"/>
        <v>BRASIL</v>
      </c>
      <c r="D4656" s="4" t="str">
        <f>"PR327"</f>
        <v>PR327</v>
      </c>
    </row>
    <row r="4657" spans="1:4" x14ac:dyDescent="0.3">
      <c r="A4657" s="2" t="str">
        <f>"SANTA LUCIA"</f>
        <v>SANTA LUCIA</v>
      </c>
      <c r="B4657" s="3" t="str">
        <f>"SP"</f>
        <v>SP</v>
      </c>
      <c r="C4657" s="3" t="str">
        <f t="shared" si="180"/>
        <v>BRASIL</v>
      </c>
      <c r="D4657" s="4" t="str">
        <f>"SP525"</f>
        <v>SP525</v>
      </c>
    </row>
    <row r="4658" spans="1:4" x14ac:dyDescent="0.3">
      <c r="A4658" s="2" t="str">
        <f>"SANTA LUZ"</f>
        <v>SANTA LUZ</v>
      </c>
      <c r="B4658" s="3" t="str">
        <f>"PI"</f>
        <v>PI</v>
      </c>
      <c r="C4658" s="3" t="str">
        <f t="shared" si="180"/>
        <v>BRASIL</v>
      </c>
      <c r="D4658" s="4" t="str">
        <f>"PI177"</f>
        <v>PI177</v>
      </c>
    </row>
    <row r="4659" spans="1:4" x14ac:dyDescent="0.3">
      <c r="A4659" s="2" t="str">
        <f>"SANTA LUZIA"</f>
        <v>SANTA LUZIA</v>
      </c>
      <c r="B4659" s="3" t="str">
        <f>"BA"</f>
        <v>BA</v>
      </c>
      <c r="C4659" s="3" t="str">
        <f t="shared" si="180"/>
        <v>BRASIL</v>
      </c>
      <c r="D4659" s="4" t="str">
        <f>"BA343"</f>
        <v>BA343</v>
      </c>
    </row>
    <row r="4660" spans="1:4" x14ac:dyDescent="0.3">
      <c r="A4660" s="2" t="str">
        <f>"SANTA LUZIA"</f>
        <v>SANTA LUZIA</v>
      </c>
      <c r="B4660" s="3" t="str">
        <f>"MA"</f>
        <v>MA</v>
      </c>
      <c r="C4660" s="3" t="str">
        <f t="shared" si="180"/>
        <v>BRASIL</v>
      </c>
      <c r="D4660" s="4" t="str">
        <f>"MA164"</f>
        <v>MA164</v>
      </c>
    </row>
    <row r="4661" spans="1:4" x14ac:dyDescent="0.3">
      <c r="A4661" s="2" t="str">
        <f>"SANTA LUZIA"</f>
        <v>SANTA LUZIA</v>
      </c>
      <c r="B4661" s="3" t="str">
        <f>"MG"</f>
        <v>MG</v>
      </c>
      <c r="C4661" s="3" t="str">
        <f t="shared" si="180"/>
        <v>BRASIL</v>
      </c>
      <c r="D4661" s="4" t="str">
        <f>"MG675"</f>
        <v>MG675</v>
      </c>
    </row>
    <row r="4662" spans="1:4" x14ac:dyDescent="0.3">
      <c r="A4662" s="2" t="str">
        <f>"SANTA LUZIA"</f>
        <v>SANTA LUZIA</v>
      </c>
      <c r="B4662" s="3" t="str">
        <f>"PB"</f>
        <v>PB</v>
      </c>
      <c r="C4662" s="3" t="str">
        <f t="shared" si="180"/>
        <v>BRASIL</v>
      </c>
      <c r="D4662" s="4" t="str">
        <f>"PB171"</f>
        <v>PB171</v>
      </c>
    </row>
    <row r="4663" spans="1:4" x14ac:dyDescent="0.3">
      <c r="A4663" s="2" t="str">
        <f>"SANTA LUZIA D'OESTE"</f>
        <v>SANTA LUZIA D'OESTE</v>
      </c>
      <c r="B4663" s="3" t="str">
        <f>"RO"</f>
        <v>RO</v>
      </c>
      <c r="C4663" s="3" t="str">
        <f t="shared" si="180"/>
        <v>BRASIL</v>
      </c>
      <c r="D4663" s="4" t="str">
        <f>"RO021"</f>
        <v>RO021</v>
      </c>
    </row>
    <row r="4664" spans="1:4" x14ac:dyDescent="0.3">
      <c r="A4664" s="2" t="str">
        <f>"SANTA LUZIA DO ITANHY"</f>
        <v>SANTA LUZIA DO ITANHY</v>
      </c>
      <c r="B4664" s="3" t="str">
        <f>"SE"</f>
        <v>SE</v>
      </c>
      <c r="C4664" s="3" t="str">
        <f t="shared" si="180"/>
        <v>BRASIL</v>
      </c>
      <c r="D4664" s="4" t="str">
        <f>"SE062"</f>
        <v>SE062</v>
      </c>
    </row>
    <row r="4665" spans="1:4" x14ac:dyDescent="0.3">
      <c r="A4665" s="2" t="str">
        <f>"SANTA LUZIA DO NORTE"</f>
        <v>SANTA LUZIA DO NORTE</v>
      </c>
      <c r="B4665" s="3" t="str">
        <f>"AL"</f>
        <v>AL</v>
      </c>
      <c r="C4665" s="3" t="str">
        <f t="shared" si="180"/>
        <v>BRASIL</v>
      </c>
      <c r="D4665" s="4" t="str">
        <f>"AL085"</f>
        <v>AL085</v>
      </c>
    </row>
    <row r="4666" spans="1:4" x14ac:dyDescent="0.3">
      <c r="A4666" s="2" t="str">
        <f>"SANTA LUZIA DO PARA"</f>
        <v>SANTA LUZIA DO PARA</v>
      </c>
      <c r="B4666" s="3" t="str">
        <f>"PA"</f>
        <v>PA</v>
      </c>
      <c r="C4666" s="3" t="str">
        <f t="shared" si="180"/>
        <v>BRASIL</v>
      </c>
      <c r="D4666" s="4" t="str">
        <f>"PA109"</f>
        <v>PA109</v>
      </c>
    </row>
    <row r="4667" spans="1:4" x14ac:dyDescent="0.3">
      <c r="A4667" s="2" t="str">
        <f>"SANTA LUZIA DO PARUA"</f>
        <v>SANTA LUZIA DO PARUA</v>
      </c>
      <c r="B4667" s="3" t="str">
        <f>"MA"</f>
        <v>MA</v>
      </c>
      <c r="C4667" s="3" t="str">
        <f t="shared" si="180"/>
        <v>BRASIL</v>
      </c>
      <c r="D4667" s="4" t="str">
        <f>"MA165"</f>
        <v>MA165</v>
      </c>
    </row>
    <row r="4668" spans="1:4" x14ac:dyDescent="0.3">
      <c r="A4668" s="2" t="str">
        <f>"SANTA MARGARIDA"</f>
        <v>SANTA MARGARIDA</v>
      </c>
      <c r="B4668" s="3" t="str">
        <f>"MG"</f>
        <v>MG</v>
      </c>
      <c r="C4668" s="3" t="str">
        <f t="shared" si="180"/>
        <v>BRASIL</v>
      </c>
      <c r="D4668" s="4" t="str">
        <f>"MG676"</f>
        <v>MG676</v>
      </c>
    </row>
    <row r="4669" spans="1:4" x14ac:dyDescent="0.3">
      <c r="A4669" s="2" t="str">
        <f>"SANTA MARGARIDA DO SUL"</f>
        <v>SANTA MARGARIDA DO SUL</v>
      </c>
      <c r="B4669" s="3" t="str">
        <f>"RS"</f>
        <v>RS</v>
      </c>
      <c r="C4669" s="3" t="str">
        <f t="shared" si="180"/>
        <v>BRASIL</v>
      </c>
      <c r="D4669" s="4" t="str">
        <f>"RS366"</f>
        <v>RS366</v>
      </c>
    </row>
    <row r="4670" spans="1:4" x14ac:dyDescent="0.3">
      <c r="A4670" s="2" t="str">
        <f>"SANTA MARIA"</f>
        <v>SANTA MARIA</v>
      </c>
      <c r="B4670" s="3" t="str">
        <f>"RN"</f>
        <v>RN</v>
      </c>
      <c r="C4670" s="3" t="str">
        <f t="shared" si="180"/>
        <v>BRASIL</v>
      </c>
      <c r="D4670" s="4" t="str">
        <f>"RN102"</f>
        <v>RN102</v>
      </c>
    </row>
    <row r="4671" spans="1:4" x14ac:dyDescent="0.3">
      <c r="A4671" s="2" t="str">
        <f>"SANTA MARIA"</f>
        <v>SANTA MARIA</v>
      </c>
      <c r="B4671" s="3" t="str">
        <f>"RS"</f>
        <v>RS</v>
      </c>
      <c r="C4671" s="3" t="str">
        <f t="shared" si="180"/>
        <v>BRASIL</v>
      </c>
      <c r="D4671" s="4" t="str">
        <f>"RS364"</f>
        <v>RS364</v>
      </c>
    </row>
    <row r="4672" spans="1:4" x14ac:dyDescent="0.3">
      <c r="A4672" s="2" t="str">
        <f>"SANTA MARIA DA BOA VISTA"</f>
        <v>SANTA MARIA DA BOA VISTA</v>
      </c>
      <c r="B4672" s="3" t="str">
        <f>"PE"</f>
        <v>PE</v>
      </c>
      <c r="C4672" s="3" t="str">
        <f t="shared" si="180"/>
        <v>BRASIL</v>
      </c>
      <c r="D4672" s="4" t="str">
        <f>"PE145"</f>
        <v>PE145</v>
      </c>
    </row>
    <row r="4673" spans="1:4" x14ac:dyDescent="0.3">
      <c r="A4673" s="2" t="str">
        <f>"SANTA MARIA DA SERRA"</f>
        <v>SANTA MARIA DA SERRA</v>
      </c>
      <c r="B4673" s="3" t="str">
        <f>"SP"</f>
        <v>SP</v>
      </c>
      <c r="C4673" s="3" t="str">
        <f t="shared" si="180"/>
        <v>BRASIL</v>
      </c>
      <c r="D4673" s="4" t="str">
        <f>"SP526"</f>
        <v>SP526</v>
      </c>
    </row>
    <row r="4674" spans="1:4" x14ac:dyDescent="0.3">
      <c r="A4674" s="2" t="str">
        <f>"SANTA MARIA DA VITORIA"</f>
        <v>SANTA MARIA DA VITORIA</v>
      </c>
      <c r="B4674" s="3" t="str">
        <f>"BA"</f>
        <v>BA</v>
      </c>
      <c r="C4674" s="3" t="str">
        <f t="shared" si="180"/>
        <v>BRASIL</v>
      </c>
      <c r="D4674" s="4" t="str">
        <f>"BA344"</f>
        <v>BA344</v>
      </c>
    </row>
    <row r="4675" spans="1:4" x14ac:dyDescent="0.3">
      <c r="A4675" s="2" t="str">
        <f>"SANTA MARIA DAS BARREIRAS"</f>
        <v>SANTA MARIA DAS BARREIRAS</v>
      </c>
      <c r="B4675" s="3" t="str">
        <f>"PA"</f>
        <v>PA</v>
      </c>
      <c r="C4675" s="3" t="str">
        <f t="shared" si="180"/>
        <v>BRASIL</v>
      </c>
      <c r="D4675" s="4" t="str">
        <f>"PA110"</f>
        <v>PA110</v>
      </c>
    </row>
    <row r="4676" spans="1:4" x14ac:dyDescent="0.3">
      <c r="A4676" s="2" t="str">
        <f>"SANTA MARIA DE ITABIRA"</f>
        <v>SANTA MARIA DE ITABIRA</v>
      </c>
      <c r="B4676" s="3" t="str">
        <f>"MG"</f>
        <v>MG</v>
      </c>
      <c r="C4676" s="3" t="str">
        <f t="shared" si="180"/>
        <v>BRASIL</v>
      </c>
      <c r="D4676" s="4" t="str">
        <f>"MG677"</f>
        <v>MG677</v>
      </c>
    </row>
    <row r="4677" spans="1:4" x14ac:dyDescent="0.3">
      <c r="A4677" s="2" t="str">
        <f>"SANTA MARIA DE JETIBA"</f>
        <v>SANTA MARIA DE JETIBA</v>
      </c>
      <c r="B4677" s="3" t="str">
        <f>"ES"</f>
        <v>ES</v>
      </c>
      <c r="C4677" s="3" t="str">
        <f t="shared" si="180"/>
        <v>BRASIL</v>
      </c>
      <c r="D4677" s="4" t="str">
        <f>"ES063"</f>
        <v>ES063</v>
      </c>
    </row>
    <row r="4678" spans="1:4" x14ac:dyDescent="0.3">
      <c r="A4678" s="2" t="str">
        <f>"SANTA MARIA DO CAMBUCA"</f>
        <v>SANTA MARIA DO CAMBUCA</v>
      </c>
      <c r="B4678" s="3" t="str">
        <f>"PE"</f>
        <v>PE</v>
      </c>
      <c r="C4678" s="3" t="str">
        <f t="shared" si="180"/>
        <v>BRASIL</v>
      </c>
      <c r="D4678" s="4" t="str">
        <f>"PE146"</f>
        <v>PE146</v>
      </c>
    </row>
    <row r="4679" spans="1:4" x14ac:dyDescent="0.3">
      <c r="A4679" s="2" t="str">
        <f>"SANTA MARIA DO HERVAL"</f>
        <v>SANTA MARIA DO HERVAL</v>
      </c>
      <c r="B4679" s="3" t="str">
        <f>"RS"</f>
        <v>RS</v>
      </c>
      <c r="C4679" s="3" t="str">
        <f t="shared" si="180"/>
        <v>BRASIL</v>
      </c>
      <c r="D4679" s="4" t="str">
        <f>"RS365"</f>
        <v>RS365</v>
      </c>
    </row>
    <row r="4680" spans="1:4" x14ac:dyDescent="0.3">
      <c r="A4680" s="2" t="str">
        <f>"SANTA MARIA DO OESTE"</f>
        <v>SANTA MARIA DO OESTE</v>
      </c>
      <c r="B4680" s="3" t="str">
        <f>"PR"</f>
        <v>PR</v>
      </c>
      <c r="C4680" s="3" t="str">
        <f t="shared" ref="C4680:C4711" si="181">"BRASIL"</f>
        <v>BRASIL</v>
      </c>
      <c r="D4680" s="4" t="str">
        <f>"PR328"</f>
        <v>PR328</v>
      </c>
    </row>
    <row r="4681" spans="1:4" x14ac:dyDescent="0.3">
      <c r="A4681" s="2" t="str">
        <f>"SANTA MARIA DO PARA"</f>
        <v>SANTA MARIA DO PARA</v>
      </c>
      <c r="B4681" s="3" t="str">
        <f>"PA"</f>
        <v>PA</v>
      </c>
      <c r="C4681" s="3" t="str">
        <f t="shared" si="181"/>
        <v>BRASIL</v>
      </c>
      <c r="D4681" s="4" t="str">
        <f>"PA111"</f>
        <v>PA111</v>
      </c>
    </row>
    <row r="4682" spans="1:4" x14ac:dyDescent="0.3">
      <c r="A4682" s="2" t="str">
        <f>"SANTA MARIA DO SALTO"</f>
        <v>SANTA MARIA DO SALTO</v>
      </c>
      <c r="B4682" s="3" t="str">
        <f>"MG"</f>
        <v>MG</v>
      </c>
      <c r="C4682" s="3" t="str">
        <f t="shared" si="181"/>
        <v>BRASIL</v>
      </c>
      <c r="D4682" s="4" t="str">
        <f>"MG678"</f>
        <v>MG678</v>
      </c>
    </row>
    <row r="4683" spans="1:4" x14ac:dyDescent="0.3">
      <c r="A4683" s="2" t="str">
        <f>"SANTA MARIA DO SUACUI"</f>
        <v>SANTA MARIA DO SUACUI</v>
      </c>
      <c r="B4683" s="3" t="str">
        <f>"MG"</f>
        <v>MG</v>
      </c>
      <c r="C4683" s="3" t="str">
        <f t="shared" si="181"/>
        <v>BRASIL</v>
      </c>
      <c r="D4683" s="4" t="str">
        <f>"MG679"</f>
        <v>MG679</v>
      </c>
    </row>
    <row r="4684" spans="1:4" x14ac:dyDescent="0.3">
      <c r="A4684" s="2" t="str">
        <f>"SANTA MARIA DO TOCANTINS"</f>
        <v>SANTA MARIA DO TOCANTINS</v>
      </c>
      <c r="B4684" s="3" t="str">
        <f>"TO"</f>
        <v>TO</v>
      </c>
      <c r="C4684" s="3" t="str">
        <f t="shared" si="181"/>
        <v>BRASIL</v>
      </c>
      <c r="D4684" s="4" t="str">
        <f>"TO116"</f>
        <v>TO116</v>
      </c>
    </row>
    <row r="4685" spans="1:4" x14ac:dyDescent="0.3">
      <c r="A4685" s="2" t="str">
        <f>"SANTA MARIA MADALENA"</f>
        <v>SANTA MARIA MADALENA</v>
      </c>
      <c r="B4685" s="3" t="str">
        <f>"RJ"</f>
        <v>RJ</v>
      </c>
      <c r="C4685" s="3" t="str">
        <f t="shared" si="181"/>
        <v>BRASIL</v>
      </c>
      <c r="D4685" s="4" t="str">
        <f>"RJ069"</f>
        <v>RJ069</v>
      </c>
    </row>
    <row r="4686" spans="1:4" x14ac:dyDescent="0.3">
      <c r="A4686" s="2" t="str">
        <f>"SANTA MARIANA"</f>
        <v>SANTA MARIANA</v>
      </c>
      <c r="B4686" s="3" t="str">
        <f>"PR"</f>
        <v>PR</v>
      </c>
      <c r="C4686" s="3" t="str">
        <f t="shared" si="181"/>
        <v>BRASIL</v>
      </c>
      <c r="D4686" s="4" t="str">
        <f>"PR329"</f>
        <v>PR329</v>
      </c>
    </row>
    <row r="4687" spans="1:4" x14ac:dyDescent="0.3">
      <c r="A4687" s="2" t="str">
        <f>"SANTA MERCEDES"</f>
        <v>SANTA MERCEDES</v>
      </c>
      <c r="B4687" s="3" t="str">
        <f>"SP"</f>
        <v>SP</v>
      </c>
      <c r="C4687" s="3" t="str">
        <f t="shared" si="181"/>
        <v>BRASIL</v>
      </c>
      <c r="D4687" s="4" t="str">
        <f>"SP527"</f>
        <v>SP527</v>
      </c>
    </row>
    <row r="4688" spans="1:4" x14ac:dyDescent="0.3">
      <c r="A4688" s="2" t="str">
        <f>"SANTA MONICA"</f>
        <v>SANTA MONICA</v>
      </c>
      <c r="B4688" s="3" t="str">
        <f>"PR"</f>
        <v>PR</v>
      </c>
      <c r="C4688" s="3" t="str">
        <f t="shared" si="181"/>
        <v>BRASIL</v>
      </c>
      <c r="D4688" s="4" t="str">
        <f>"PR330"</f>
        <v>PR330</v>
      </c>
    </row>
    <row r="4689" spans="1:4" x14ac:dyDescent="0.3">
      <c r="A4689" s="2" t="str">
        <f>"SANTA QUITERIA"</f>
        <v>SANTA QUITERIA</v>
      </c>
      <c r="B4689" s="3" t="str">
        <f>"CE"</f>
        <v>CE</v>
      </c>
      <c r="C4689" s="3" t="str">
        <f t="shared" si="181"/>
        <v>BRASIL</v>
      </c>
      <c r="D4689" s="4" t="str">
        <f>"CE160"</f>
        <v>CE160</v>
      </c>
    </row>
    <row r="4690" spans="1:4" x14ac:dyDescent="0.3">
      <c r="A4690" s="2" t="str">
        <f>"SANTA QUITERIA DO MARANHA"</f>
        <v>SANTA QUITERIA DO MARANHA</v>
      </c>
      <c r="B4690" s="3" t="str">
        <f>"MA"</f>
        <v>MA</v>
      </c>
      <c r="C4690" s="3" t="str">
        <f t="shared" si="181"/>
        <v>BRASIL</v>
      </c>
      <c r="D4690" s="4" t="str">
        <f>"MA166"</f>
        <v>MA166</v>
      </c>
    </row>
    <row r="4691" spans="1:4" x14ac:dyDescent="0.3">
      <c r="A4691" s="2" t="str">
        <f>"SANTA RITA"</f>
        <v>SANTA RITA</v>
      </c>
      <c r="B4691" s="3" t="str">
        <f>"MA"</f>
        <v>MA</v>
      </c>
      <c r="C4691" s="3" t="str">
        <f t="shared" si="181"/>
        <v>BRASIL</v>
      </c>
      <c r="D4691" s="4" t="str">
        <f>"MA167"</f>
        <v>MA167</v>
      </c>
    </row>
    <row r="4692" spans="1:4" x14ac:dyDescent="0.3">
      <c r="A4692" s="2" t="str">
        <f>"SANTA RITA"</f>
        <v>SANTA RITA</v>
      </c>
      <c r="B4692" s="3" t="str">
        <f>"PB"</f>
        <v>PB</v>
      </c>
      <c r="C4692" s="3" t="str">
        <f t="shared" si="181"/>
        <v>BRASIL</v>
      </c>
      <c r="D4692" s="4" t="str">
        <f>"PB175"</f>
        <v>PB175</v>
      </c>
    </row>
    <row r="4693" spans="1:4" x14ac:dyDescent="0.3">
      <c r="A4693" s="2" t="str">
        <f>"SANTA RITA D'OESTE"</f>
        <v>SANTA RITA D'OESTE</v>
      </c>
      <c r="B4693" s="3" t="str">
        <f>"SP"</f>
        <v>SP</v>
      </c>
      <c r="C4693" s="3" t="str">
        <f t="shared" si="181"/>
        <v>BRASIL</v>
      </c>
      <c r="D4693" s="4" t="str">
        <f>"SP530"</f>
        <v>SP530</v>
      </c>
    </row>
    <row r="4694" spans="1:4" x14ac:dyDescent="0.3">
      <c r="A4694" s="2" t="str">
        <f>"SANTA RITA DE CALDAS"</f>
        <v>SANTA RITA DE CALDAS</v>
      </c>
      <c r="B4694" s="3" t="str">
        <f>"MG"</f>
        <v>MG</v>
      </c>
      <c r="C4694" s="3" t="str">
        <f t="shared" si="181"/>
        <v>BRASIL</v>
      </c>
      <c r="D4694" s="4" t="str">
        <f>"MG690"</f>
        <v>MG690</v>
      </c>
    </row>
    <row r="4695" spans="1:4" x14ac:dyDescent="0.3">
      <c r="A4695" s="2" t="str">
        <f>"SANTA RITA DE CASSIA"</f>
        <v>SANTA RITA DE CASSIA</v>
      </c>
      <c r="B4695" s="3" t="str">
        <f>"BA"</f>
        <v>BA</v>
      </c>
      <c r="C4695" s="3" t="str">
        <f t="shared" si="181"/>
        <v>BRASIL</v>
      </c>
      <c r="D4695" s="4" t="str">
        <f>"BA347"</f>
        <v>BA347</v>
      </c>
    </row>
    <row r="4696" spans="1:4" x14ac:dyDescent="0.3">
      <c r="A4696" s="2" t="str">
        <f>"SANTA RITA DE IBITIPOCA"</f>
        <v>SANTA RITA DE IBITIPOCA</v>
      </c>
      <c r="B4696" s="3" t="str">
        <f>"MG"</f>
        <v>MG</v>
      </c>
      <c r="C4696" s="3" t="str">
        <f t="shared" si="181"/>
        <v>BRASIL</v>
      </c>
      <c r="D4696" s="4" t="str">
        <f>"MG693"</f>
        <v>MG693</v>
      </c>
    </row>
    <row r="4697" spans="1:4" x14ac:dyDescent="0.3">
      <c r="A4697" s="2" t="str">
        <f>"SANTA RITA DE JACUTINGA"</f>
        <v>SANTA RITA DE JACUTINGA</v>
      </c>
      <c r="B4697" s="3" t="str">
        <f>"MG"</f>
        <v>MG</v>
      </c>
      <c r="C4697" s="3" t="str">
        <f t="shared" si="181"/>
        <v>BRASIL</v>
      </c>
      <c r="D4697" s="4" t="str">
        <f>"MG691"</f>
        <v>MG691</v>
      </c>
    </row>
    <row r="4698" spans="1:4" x14ac:dyDescent="0.3">
      <c r="A4698" s="2" t="str">
        <f>"SANTA RITA DE MINAS"</f>
        <v>SANTA RITA DE MINAS</v>
      </c>
      <c r="B4698" s="3" t="str">
        <f>"MG"</f>
        <v>MG</v>
      </c>
      <c r="C4698" s="3" t="str">
        <f t="shared" si="181"/>
        <v>BRASIL</v>
      </c>
      <c r="D4698" s="4" t="str">
        <f>"MG692"</f>
        <v>MG692</v>
      </c>
    </row>
    <row r="4699" spans="1:4" x14ac:dyDescent="0.3">
      <c r="A4699" s="2" t="str">
        <f>"SANTA RITA DO ARAGUAIA"</f>
        <v>SANTA RITA DO ARAGUAIA</v>
      </c>
      <c r="B4699" s="3" t="str">
        <f>"GO"</f>
        <v>GO</v>
      </c>
      <c r="C4699" s="3" t="str">
        <f t="shared" si="181"/>
        <v>BRASIL</v>
      </c>
      <c r="D4699" s="4" t="str">
        <f>"GO206"</f>
        <v>GO206</v>
      </c>
    </row>
    <row r="4700" spans="1:4" x14ac:dyDescent="0.3">
      <c r="A4700" s="2" t="str">
        <f>"SANTA RITA DO ITUETO"</f>
        <v>SANTA RITA DO ITUETO</v>
      </c>
      <c r="B4700" s="3" t="str">
        <f>"MG"</f>
        <v>MG</v>
      </c>
      <c r="C4700" s="3" t="str">
        <f t="shared" si="181"/>
        <v>BRASIL</v>
      </c>
      <c r="D4700" s="4" t="str">
        <f>"MG694"</f>
        <v>MG694</v>
      </c>
    </row>
    <row r="4701" spans="1:4" x14ac:dyDescent="0.3">
      <c r="A4701" s="2" t="str">
        <f>"SANTA RITA DO NOVO DESTIN"</f>
        <v>SANTA RITA DO NOVO DESTIN</v>
      </c>
      <c r="B4701" s="3" t="str">
        <f>"GO"</f>
        <v>GO</v>
      </c>
      <c r="C4701" s="3" t="str">
        <f t="shared" si="181"/>
        <v>BRASIL</v>
      </c>
      <c r="D4701" s="4" t="str">
        <f>"GO207"</f>
        <v>GO207</v>
      </c>
    </row>
    <row r="4702" spans="1:4" x14ac:dyDescent="0.3">
      <c r="A4702" s="2" t="str">
        <f>"SANTA RITA DO PARDO"</f>
        <v>SANTA RITA DO PARDO</v>
      </c>
      <c r="B4702" s="3" t="str">
        <f>"MS"</f>
        <v>MS</v>
      </c>
      <c r="C4702" s="3" t="str">
        <f t="shared" si="181"/>
        <v>BRASIL</v>
      </c>
      <c r="D4702" s="4" t="str">
        <f>"MS068"</f>
        <v>MS068</v>
      </c>
    </row>
    <row r="4703" spans="1:4" x14ac:dyDescent="0.3">
      <c r="A4703" s="2" t="str">
        <f>"SANTA RITA DO PASSA QUATR"</f>
        <v>SANTA RITA DO PASSA QUATR</v>
      </c>
      <c r="B4703" s="3" t="str">
        <f>"SP"</f>
        <v>SP</v>
      </c>
      <c r="C4703" s="3" t="str">
        <f t="shared" si="181"/>
        <v>BRASIL</v>
      </c>
      <c r="D4703" s="4" t="str">
        <f>"SP531"</f>
        <v>SP531</v>
      </c>
    </row>
    <row r="4704" spans="1:4" x14ac:dyDescent="0.3">
      <c r="A4704" s="2" t="str">
        <f>"SANTA RITA DO SAPUCAI"</f>
        <v>SANTA RITA DO SAPUCAI</v>
      </c>
      <c r="B4704" s="3" t="str">
        <f>"MG"</f>
        <v>MG</v>
      </c>
      <c r="C4704" s="3" t="str">
        <f t="shared" si="181"/>
        <v>BRASIL</v>
      </c>
      <c r="D4704" s="4" t="str">
        <f>"MG695"</f>
        <v>MG695</v>
      </c>
    </row>
    <row r="4705" spans="1:4" x14ac:dyDescent="0.3">
      <c r="A4705" s="2" t="str">
        <f>"SANTA RITA DO TOCANTINS"</f>
        <v>SANTA RITA DO TOCANTINS</v>
      </c>
      <c r="B4705" s="3" t="str">
        <f>"TO"</f>
        <v>TO</v>
      </c>
      <c r="C4705" s="3" t="str">
        <f t="shared" si="181"/>
        <v>BRASIL</v>
      </c>
      <c r="D4705" s="4" t="str">
        <f>"TO117"</f>
        <v>TO117</v>
      </c>
    </row>
    <row r="4706" spans="1:4" x14ac:dyDescent="0.3">
      <c r="A4706" s="2" t="str">
        <f>"SANTA RITA DO TRIVELATO"</f>
        <v>SANTA RITA DO TRIVELATO</v>
      </c>
      <c r="B4706" s="3" t="str">
        <f>"MT"</f>
        <v>MT</v>
      </c>
      <c r="C4706" s="3" t="str">
        <f t="shared" si="181"/>
        <v>BRASIL</v>
      </c>
      <c r="D4706" s="4" t="str">
        <f>"MT118"</f>
        <v>MT118</v>
      </c>
    </row>
    <row r="4707" spans="1:4" x14ac:dyDescent="0.3">
      <c r="A4707" s="2" t="str">
        <f>"SANTA ROSA"</f>
        <v>SANTA ROSA</v>
      </c>
      <c r="B4707" s="3" t="str">
        <f>"RS"</f>
        <v>RS</v>
      </c>
      <c r="C4707" s="3" t="str">
        <f t="shared" si="181"/>
        <v>BRASIL</v>
      </c>
      <c r="D4707" s="4" t="str">
        <f>"RS369"</f>
        <v>RS369</v>
      </c>
    </row>
    <row r="4708" spans="1:4" x14ac:dyDescent="0.3">
      <c r="A4708" s="2" t="str">
        <f>"SANTA ROSA DA SERRA"</f>
        <v>SANTA ROSA DA SERRA</v>
      </c>
      <c r="B4708" s="3" t="str">
        <f>"MG"</f>
        <v>MG</v>
      </c>
      <c r="C4708" s="3" t="str">
        <f t="shared" si="181"/>
        <v>BRASIL</v>
      </c>
      <c r="D4708" s="4" t="str">
        <f>"MG696"</f>
        <v>MG696</v>
      </c>
    </row>
    <row r="4709" spans="1:4" x14ac:dyDescent="0.3">
      <c r="A4709" s="2" t="str">
        <f>"SANTA ROSA DE GOIAS"</f>
        <v>SANTA ROSA DE GOIAS</v>
      </c>
      <c r="B4709" s="3" t="str">
        <f>"GO"</f>
        <v>GO</v>
      </c>
      <c r="C4709" s="3" t="str">
        <f t="shared" si="181"/>
        <v>BRASIL</v>
      </c>
      <c r="D4709" s="4" t="str">
        <f>"GO208"</f>
        <v>GO208</v>
      </c>
    </row>
    <row r="4710" spans="1:4" x14ac:dyDescent="0.3">
      <c r="A4710" s="2" t="str">
        <f>"SANTA ROSA DE LIMA"</f>
        <v>SANTA ROSA DE LIMA</v>
      </c>
      <c r="B4710" s="3" t="str">
        <f>"SC"</f>
        <v>SC</v>
      </c>
      <c r="C4710" s="3" t="str">
        <f t="shared" si="181"/>
        <v>BRASIL</v>
      </c>
      <c r="D4710" s="4" t="str">
        <f>"SC230"</f>
        <v>SC230</v>
      </c>
    </row>
    <row r="4711" spans="1:4" x14ac:dyDescent="0.3">
      <c r="A4711" s="2" t="str">
        <f>"SANTA ROSA DE LIMA"</f>
        <v>SANTA ROSA DE LIMA</v>
      </c>
      <c r="B4711" s="3" t="str">
        <f>"SE"</f>
        <v>SE</v>
      </c>
      <c r="C4711" s="3" t="str">
        <f t="shared" si="181"/>
        <v>BRASIL</v>
      </c>
      <c r="D4711" s="4" t="str">
        <f>"SE064"</f>
        <v>SE064</v>
      </c>
    </row>
    <row r="4712" spans="1:4" x14ac:dyDescent="0.3">
      <c r="A4712" s="2" t="str">
        <f>"SANTA ROSA DE VITERBO"</f>
        <v>SANTA ROSA DE VITERBO</v>
      </c>
      <c r="B4712" s="3" t="str">
        <f>"SP"</f>
        <v>SP</v>
      </c>
      <c r="C4712" s="3" t="str">
        <f t="shared" ref="C4712:C4743" si="182">"BRASIL"</f>
        <v>BRASIL</v>
      </c>
      <c r="D4712" s="4" t="str">
        <f>"SP532"</f>
        <v>SP532</v>
      </c>
    </row>
    <row r="4713" spans="1:4" x14ac:dyDescent="0.3">
      <c r="A4713" s="2" t="str">
        <f>"SANTA ROSA DO PIAUI"</f>
        <v>SANTA ROSA DO PIAUI</v>
      </c>
      <c r="B4713" s="3" t="str">
        <f>"PI"</f>
        <v>PI</v>
      </c>
      <c r="C4713" s="3" t="str">
        <f t="shared" si="182"/>
        <v>BRASIL</v>
      </c>
      <c r="D4713" s="4" t="str">
        <f>"PI179"</f>
        <v>PI179</v>
      </c>
    </row>
    <row r="4714" spans="1:4" x14ac:dyDescent="0.3">
      <c r="A4714" s="2" t="str">
        <f>"SANTA ROSA DO PURUS"</f>
        <v>SANTA ROSA DO PURUS</v>
      </c>
      <c r="B4714" s="3" t="str">
        <f>"AC"</f>
        <v>AC</v>
      </c>
      <c r="C4714" s="3" t="str">
        <f t="shared" si="182"/>
        <v>BRASIL</v>
      </c>
      <c r="D4714" s="4" t="str">
        <f>"AC017"</f>
        <v>AC017</v>
      </c>
    </row>
    <row r="4715" spans="1:4" x14ac:dyDescent="0.3">
      <c r="A4715" s="2" t="str">
        <f>"SANTA ROSA DO SUL"</f>
        <v>SANTA ROSA DO SUL</v>
      </c>
      <c r="B4715" s="3" t="str">
        <f>"SC"</f>
        <v>SC</v>
      </c>
      <c r="C4715" s="3" t="str">
        <f t="shared" si="182"/>
        <v>BRASIL</v>
      </c>
      <c r="D4715" s="4" t="str">
        <f>"SC231"</f>
        <v>SC231</v>
      </c>
    </row>
    <row r="4716" spans="1:4" x14ac:dyDescent="0.3">
      <c r="A4716" s="2" t="str">
        <f>"SANTA ROSA DO TOCANTINS"</f>
        <v>SANTA ROSA DO TOCANTINS</v>
      </c>
      <c r="B4716" s="3" t="str">
        <f>"TO"</f>
        <v>TO</v>
      </c>
      <c r="C4716" s="3" t="str">
        <f t="shared" si="182"/>
        <v>BRASIL</v>
      </c>
      <c r="D4716" s="4" t="str">
        <f>"TO118"</f>
        <v>TO118</v>
      </c>
    </row>
    <row r="4717" spans="1:4" x14ac:dyDescent="0.3">
      <c r="A4717" s="2" t="str">
        <f>"SANTA SALETE"</f>
        <v>SANTA SALETE</v>
      </c>
      <c r="B4717" s="3" t="str">
        <f>"SP"</f>
        <v>SP</v>
      </c>
      <c r="C4717" s="3" t="str">
        <f t="shared" si="182"/>
        <v>BRASIL</v>
      </c>
      <c r="D4717" s="4" t="str">
        <f>"SP533"</f>
        <v>SP533</v>
      </c>
    </row>
    <row r="4718" spans="1:4" x14ac:dyDescent="0.3">
      <c r="A4718" s="2" t="str">
        <f>"SANTA TERESA"</f>
        <v>SANTA TERESA</v>
      </c>
      <c r="B4718" s="3" t="str">
        <f>"ES"</f>
        <v>ES</v>
      </c>
      <c r="C4718" s="3" t="str">
        <f t="shared" si="182"/>
        <v>BRASIL</v>
      </c>
      <c r="D4718" s="4" t="str">
        <f>"ES064"</f>
        <v>ES064</v>
      </c>
    </row>
    <row r="4719" spans="1:4" x14ac:dyDescent="0.3">
      <c r="A4719" s="2" t="str">
        <f>"SANTA TERESINHA"</f>
        <v>SANTA TERESINHA</v>
      </c>
      <c r="B4719" s="3" t="str">
        <f>"BA"</f>
        <v>BA</v>
      </c>
      <c r="C4719" s="3" t="str">
        <f t="shared" si="182"/>
        <v>BRASIL</v>
      </c>
      <c r="D4719" s="4" t="str">
        <f>"BA348"</f>
        <v>BA348</v>
      </c>
    </row>
    <row r="4720" spans="1:4" x14ac:dyDescent="0.3">
      <c r="A4720" s="2" t="str">
        <f>"SANTA TERESINHA"</f>
        <v>SANTA TERESINHA</v>
      </c>
      <c r="B4720" s="3" t="str">
        <f>"PB"</f>
        <v>PB</v>
      </c>
      <c r="C4720" s="3" t="str">
        <f t="shared" si="182"/>
        <v>BRASIL</v>
      </c>
      <c r="D4720" s="4" t="str">
        <f>"PB176"</f>
        <v>PB176</v>
      </c>
    </row>
    <row r="4721" spans="1:4" x14ac:dyDescent="0.3">
      <c r="A4721" s="2" t="str">
        <f>"SANTA TEREZA"</f>
        <v>SANTA TEREZA</v>
      </c>
      <c r="B4721" s="3" t="str">
        <f>"RS"</f>
        <v>RS</v>
      </c>
      <c r="C4721" s="3" t="str">
        <f t="shared" si="182"/>
        <v>BRASIL</v>
      </c>
      <c r="D4721" s="4" t="str">
        <f>"RS370"</f>
        <v>RS370</v>
      </c>
    </row>
    <row r="4722" spans="1:4" x14ac:dyDescent="0.3">
      <c r="A4722" s="2" t="str">
        <f>"SANTA TEREZA DE GOIAS"</f>
        <v>SANTA TEREZA DE GOIAS</v>
      </c>
      <c r="B4722" s="3" t="str">
        <f>"GO"</f>
        <v>GO</v>
      </c>
      <c r="C4722" s="3" t="str">
        <f t="shared" si="182"/>
        <v>BRASIL</v>
      </c>
      <c r="D4722" s="4" t="str">
        <f>"GO209"</f>
        <v>GO209</v>
      </c>
    </row>
    <row r="4723" spans="1:4" x14ac:dyDescent="0.3">
      <c r="A4723" s="2" t="str">
        <f>"SANTA TEREZA DO OESTE"</f>
        <v>SANTA TEREZA DO OESTE</v>
      </c>
      <c r="B4723" s="3" t="str">
        <f>"PR"</f>
        <v>PR</v>
      </c>
      <c r="C4723" s="3" t="str">
        <f t="shared" si="182"/>
        <v>BRASIL</v>
      </c>
      <c r="D4723" s="4" t="str">
        <f>"PR332"</f>
        <v>PR332</v>
      </c>
    </row>
    <row r="4724" spans="1:4" x14ac:dyDescent="0.3">
      <c r="A4724" s="2" t="str">
        <f>"SANTA TEREZA DO TOCANTINS"</f>
        <v>SANTA TEREZA DO TOCANTINS</v>
      </c>
      <c r="B4724" s="3" t="str">
        <f>"TO"</f>
        <v>TO</v>
      </c>
      <c r="C4724" s="3" t="str">
        <f t="shared" si="182"/>
        <v>BRASIL</v>
      </c>
      <c r="D4724" s="4" t="str">
        <f>"TO119"</f>
        <v>TO119</v>
      </c>
    </row>
    <row r="4725" spans="1:4" x14ac:dyDescent="0.3">
      <c r="A4725" s="2" t="str">
        <f>"SANTA TEREZINHA"</f>
        <v>SANTA TEREZINHA</v>
      </c>
      <c r="B4725" s="3" t="str">
        <f>"MT"</f>
        <v>MT</v>
      </c>
      <c r="C4725" s="3" t="str">
        <f t="shared" si="182"/>
        <v>BRASIL</v>
      </c>
      <c r="D4725" s="4" t="str">
        <f>"MT119"</f>
        <v>MT119</v>
      </c>
    </row>
    <row r="4726" spans="1:4" x14ac:dyDescent="0.3">
      <c r="A4726" s="2" t="str">
        <f>"SANTA TEREZINHA"</f>
        <v>SANTA TEREZINHA</v>
      </c>
      <c r="B4726" s="3" t="str">
        <f>"PE"</f>
        <v>PE</v>
      </c>
      <c r="C4726" s="3" t="str">
        <f t="shared" si="182"/>
        <v>BRASIL</v>
      </c>
      <c r="D4726" s="4" t="str">
        <f>"PE147"</f>
        <v>PE147</v>
      </c>
    </row>
    <row r="4727" spans="1:4" x14ac:dyDescent="0.3">
      <c r="A4727" s="2" t="str">
        <f>"SANTA TEREZINHA"</f>
        <v>SANTA TEREZINHA</v>
      </c>
      <c r="B4727" s="3" t="str">
        <f>"SC"</f>
        <v>SC</v>
      </c>
      <c r="C4727" s="3" t="str">
        <f t="shared" si="182"/>
        <v>BRASIL</v>
      </c>
      <c r="D4727" s="4" t="str">
        <f>"SC232"</f>
        <v>SC232</v>
      </c>
    </row>
    <row r="4728" spans="1:4" x14ac:dyDescent="0.3">
      <c r="A4728" s="2" t="str">
        <f>"SANTA TEREZINHA DE GOIAS"</f>
        <v>SANTA TEREZINHA DE GOIAS</v>
      </c>
      <c r="B4728" s="3" t="str">
        <f>"GO"</f>
        <v>GO</v>
      </c>
      <c r="C4728" s="3" t="str">
        <f t="shared" si="182"/>
        <v>BRASIL</v>
      </c>
      <c r="D4728" s="4" t="str">
        <f>"GO210"</f>
        <v>GO210</v>
      </c>
    </row>
    <row r="4729" spans="1:4" x14ac:dyDescent="0.3">
      <c r="A4729" s="2" t="str">
        <f>"SANTA TEREZINHA DE ITAIPU"</f>
        <v>SANTA TEREZINHA DE ITAIPU</v>
      </c>
      <c r="B4729" s="3" t="str">
        <f>"PR"</f>
        <v>PR</v>
      </c>
      <c r="C4729" s="3" t="str">
        <f t="shared" si="182"/>
        <v>BRASIL</v>
      </c>
      <c r="D4729" s="4" t="str">
        <f>"PR333"</f>
        <v>PR333</v>
      </c>
    </row>
    <row r="4730" spans="1:4" x14ac:dyDescent="0.3">
      <c r="A4730" s="2" t="str">
        <f>"SANTA TEREZINHA DO PROGRE"</f>
        <v>SANTA TEREZINHA DO PROGRE</v>
      </c>
      <c r="B4730" s="3" t="str">
        <f>"SC"</f>
        <v>SC</v>
      </c>
      <c r="C4730" s="3" t="str">
        <f t="shared" si="182"/>
        <v>BRASIL</v>
      </c>
      <c r="D4730" s="4" t="str">
        <f>"SC233"</f>
        <v>SC233</v>
      </c>
    </row>
    <row r="4731" spans="1:4" x14ac:dyDescent="0.3">
      <c r="A4731" s="2" t="str">
        <f>"SANTA TEREZINHA DO TOCANT"</f>
        <v>SANTA TEREZINHA DO TOCANT</v>
      </c>
      <c r="B4731" s="3" t="str">
        <f>"TO"</f>
        <v>TO</v>
      </c>
      <c r="C4731" s="3" t="str">
        <f t="shared" si="182"/>
        <v>BRASIL</v>
      </c>
      <c r="D4731" s="4" t="str">
        <f>"TO120"</f>
        <v>TO120</v>
      </c>
    </row>
    <row r="4732" spans="1:4" x14ac:dyDescent="0.3">
      <c r="A4732" s="2" t="str">
        <f>"SANTA VITORIA"</f>
        <v>SANTA VITORIA</v>
      </c>
      <c r="B4732" s="3" t="str">
        <f>"MG"</f>
        <v>MG</v>
      </c>
      <c r="C4732" s="3" t="str">
        <f t="shared" si="182"/>
        <v>BRASIL</v>
      </c>
      <c r="D4732" s="4" t="str">
        <f>"MG697"</f>
        <v>MG697</v>
      </c>
    </row>
    <row r="4733" spans="1:4" x14ac:dyDescent="0.3">
      <c r="A4733" s="2" t="str">
        <f>"SANTA VITORIA DO PALMAR"</f>
        <v>SANTA VITORIA DO PALMAR</v>
      </c>
      <c r="B4733" s="3" t="str">
        <f>"RS"</f>
        <v>RS</v>
      </c>
      <c r="C4733" s="3" t="str">
        <f t="shared" si="182"/>
        <v>BRASIL</v>
      </c>
      <c r="D4733" s="4" t="str">
        <f>"RS371"</f>
        <v>RS371</v>
      </c>
    </row>
    <row r="4734" spans="1:4" x14ac:dyDescent="0.3">
      <c r="A4734" s="2" t="str">
        <f>"SANTALUZ"</f>
        <v>SANTALUZ</v>
      </c>
      <c r="B4734" s="3" t="str">
        <f>"BA"</f>
        <v>BA</v>
      </c>
      <c r="C4734" s="3" t="str">
        <f t="shared" si="182"/>
        <v>BRASIL</v>
      </c>
      <c r="D4734" s="4" t="str">
        <f>"BA342"</f>
        <v>BA342</v>
      </c>
    </row>
    <row r="4735" spans="1:4" x14ac:dyDescent="0.3">
      <c r="A4735" s="2" t="str">
        <f>"SANTANA"</f>
        <v>SANTANA</v>
      </c>
      <c r="B4735" s="3" t="str">
        <f>"AP"</f>
        <v>AP</v>
      </c>
      <c r="C4735" s="3" t="str">
        <f t="shared" si="182"/>
        <v>BRASIL</v>
      </c>
      <c r="D4735" s="4" t="str">
        <f>"AP014"</f>
        <v>AP014</v>
      </c>
    </row>
    <row r="4736" spans="1:4" x14ac:dyDescent="0.3">
      <c r="A4736" s="2" t="str">
        <f>"SANTANA"</f>
        <v>SANTANA</v>
      </c>
      <c r="B4736" s="3" t="str">
        <f>"BA"</f>
        <v>BA</v>
      </c>
      <c r="C4736" s="3" t="str">
        <f t="shared" si="182"/>
        <v>BRASIL</v>
      </c>
      <c r="D4736" s="4" t="str">
        <f>"BA345"</f>
        <v>BA345</v>
      </c>
    </row>
    <row r="4737" spans="1:4" x14ac:dyDescent="0.3">
      <c r="A4737" s="2" t="str">
        <f>"SANTANA DA BOA VISTA"</f>
        <v>SANTANA DA BOA VISTA</v>
      </c>
      <c r="B4737" s="3" t="str">
        <f>"RS"</f>
        <v>RS</v>
      </c>
      <c r="C4737" s="3" t="str">
        <f t="shared" si="182"/>
        <v>BRASIL</v>
      </c>
      <c r="D4737" s="4" t="str">
        <f>"RS367"</f>
        <v>RS367</v>
      </c>
    </row>
    <row r="4738" spans="1:4" x14ac:dyDescent="0.3">
      <c r="A4738" s="2" t="str">
        <f>"SANTANA DA PONTE PENSA"</f>
        <v>SANTANA DA PONTE PENSA</v>
      </c>
      <c r="B4738" s="3" t="str">
        <f>"SP"</f>
        <v>SP</v>
      </c>
      <c r="C4738" s="3" t="str">
        <f t="shared" si="182"/>
        <v>BRASIL</v>
      </c>
      <c r="D4738" s="4" t="str">
        <f>"SP528"</f>
        <v>SP528</v>
      </c>
    </row>
    <row r="4739" spans="1:4" x14ac:dyDescent="0.3">
      <c r="A4739" s="2" t="str">
        <f>"SANTANA DA VARGEM"</f>
        <v>SANTANA DA VARGEM</v>
      </c>
      <c r="B4739" s="3" t="str">
        <f>"MG"</f>
        <v>MG</v>
      </c>
      <c r="C4739" s="3" t="str">
        <f t="shared" si="182"/>
        <v>BRASIL</v>
      </c>
      <c r="D4739" s="4" t="str">
        <f>"MG680"</f>
        <v>MG680</v>
      </c>
    </row>
    <row r="4740" spans="1:4" x14ac:dyDescent="0.3">
      <c r="A4740" s="2" t="str">
        <f>"SANTANA DE CATAGUASES"</f>
        <v>SANTANA DE CATAGUASES</v>
      </c>
      <c r="B4740" s="3" t="str">
        <f>"MG"</f>
        <v>MG</v>
      </c>
      <c r="C4740" s="3" t="str">
        <f t="shared" si="182"/>
        <v>BRASIL</v>
      </c>
      <c r="D4740" s="4" t="str">
        <f>"MG681"</f>
        <v>MG681</v>
      </c>
    </row>
    <row r="4741" spans="1:4" x14ac:dyDescent="0.3">
      <c r="A4741" s="2" t="str">
        <f>"SANTANA DE MANGUEIRA"</f>
        <v>SANTANA DE MANGUEIRA</v>
      </c>
      <c r="B4741" s="3" t="str">
        <f>"PB"</f>
        <v>PB</v>
      </c>
      <c r="C4741" s="3" t="str">
        <f t="shared" si="182"/>
        <v>BRASIL</v>
      </c>
      <c r="D4741" s="4" t="str">
        <f>"PB172"</f>
        <v>PB172</v>
      </c>
    </row>
    <row r="4742" spans="1:4" x14ac:dyDescent="0.3">
      <c r="A4742" s="2" t="str">
        <f>"SANTANA DE PARNAIBA"</f>
        <v>SANTANA DE PARNAIBA</v>
      </c>
      <c r="B4742" s="3" t="str">
        <f>"SP"</f>
        <v>SP</v>
      </c>
      <c r="C4742" s="3" t="str">
        <f t="shared" si="182"/>
        <v>BRASIL</v>
      </c>
      <c r="D4742" s="4" t="str">
        <f>"SP529"</f>
        <v>SP529</v>
      </c>
    </row>
    <row r="4743" spans="1:4" x14ac:dyDescent="0.3">
      <c r="A4743" s="2" t="str">
        <f>"SANTANA DE PIRAPAMA"</f>
        <v>SANTANA DE PIRAPAMA</v>
      </c>
      <c r="B4743" s="3" t="str">
        <f>"MG"</f>
        <v>MG</v>
      </c>
      <c r="C4743" s="3" t="str">
        <f t="shared" si="182"/>
        <v>BRASIL</v>
      </c>
      <c r="D4743" s="4" t="str">
        <f>"MG682"</f>
        <v>MG682</v>
      </c>
    </row>
    <row r="4744" spans="1:4" x14ac:dyDescent="0.3">
      <c r="A4744" s="2" t="str">
        <f>"SANTANA DO ACARAU"</f>
        <v>SANTANA DO ACARAU</v>
      </c>
      <c r="B4744" s="3" t="str">
        <f>"CE"</f>
        <v>CE</v>
      </c>
      <c r="C4744" s="3" t="str">
        <f t="shared" ref="C4744:C4766" si="183">"BRASIL"</f>
        <v>BRASIL</v>
      </c>
      <c r="D4744" s="4" t="str">
        <f>"CE158"</f>
        <v>CE158</v>
      </c>
    </row>
    <row r="4745" spans="1:4" x14ac:dyDescent="0.3">
      <c r="A4745" s="2" t="str">
        <f>"SANTANA DO ARAGUAIA"</f>
        <v>SANTANA DO ARAGUAIA</v>
      </c>
      <c r="B4745" s="3" t="str">
        <f>"PA"</f>
        <v>PA</v>
      </c>
      <c r="C4745" s="3" t="str">
        <f t="shared" si="183"/>
        <v>BRASIL</v>
      </c>
      <c r="D4745" s="4" t="str">
        <f>"PA112"</f>
        <v>PA112</v>
      </c>
    </row>
    <row r="4746" spans="1:4" x14ac:dyDescent="0.3">
      <c r="A4746" s="2" t="str">
        <f>"SANTANA DO CARIRI"</f>
        <v>SANTANA DO CARIRI</v>
      </c>
      <c r="B4746" s="3" t="str">
        <f>"CE"</f>
        <v>CE</v>
      </c>
      <c r="C4746" s="3" t="str">
        <f t="shared" si="183"/>
        <v>BRASIL</v>
      </c>
      <c r="D4746" s="4" t="str">
        <f>"CE159"</f>
        <v>CE159</v>
      </c>
    </row>
    <row r="4747" spans="1:4" x14ac:dyDescent="0.3">
      <c r="A4747" s="2" t="str">
        <f>"SANTANA DO DESERTO"</f>
        <v>SANTANA DO DESERTO</v>
      </c>
      <c r="B4747" s="3" t="str">
        <f>"MG"</f>
        <v>MG</v>
      </c>
      <c r="C4747" s="3" t="str">
        <f t="shared" si="183"/>
        <v>BRASIL</v>
      </c>
      <c r="D4747" s="4" t="str">
        <f>"MG683"</f>
        <v>MG683</v>
      </c>
    </row>
    <row r="4748" spans="1:4" x14ac:dyDescent="0.3">
      <c r="A4748" s="2" t="str">
        <f>"SANTANA DO GARAMBEU"</f>
        <v>SANTANA DO GARAMBEU</v>
      </c>
      <c r="B4748" s="3" t="str">
        <f>"MG"</f>
        <v>MG</v>
      </c>
      <c r="C4748" s="3" t="str">
        <f t="shared" si="183"/>
        <v>BRASIL</v>
      </c>
      <c r="D4748" s="4" t="str">
        <f>"MG684"</f>
        <v>MG684</v>
      </c>
    </row>
    <row r="4749" spans="1:4" x14ac:dyDescent="0.3">
      <c r="A4749" s="2" t="str">
        <f>"SANTANA DO IPANEMA"</f>
        <v>SANTANA DO IPANEMA</v>
      </c>
      <c r="B4749" s="3" t="str">
        <f>"AL"</f>
        <v>AL</v>
      </c>
      <c r="C4749" s="3" t="str">
        <f t="shared" si="183"/>
        <v>BRASIL</v>
      </c>
      <c r="D4749" s="4" t="str">
        <f>"AL086"</f>
        <v>AL086</v>
      </c>
    </row>
    <row r="4750" spans="1:4" x14ac:dyDescent="0.3">
      <c r="A4750" s="2" t="str">
        <f>"SANTANA DO ITARARE"</f>
        <v>SANTANA DO ITARARE</v>
      </c>
      <c r="B4750" s="3" t="str">
        <f>"PR"</f>
        <v>PR</v>
      </c>
      <c r="C4750" s="3" t="str">
        <f t="shared" si="183"/>
        <v>BRASIL</v>
      </c>
      <c r="D4750" s="4" t="str">
        <f>"PR331"</f>
        <v>PR331</v>
      </c>
    </row>
    <row r="4751" spans="1:4" x14ac:dyDescent="0.3">
      <c r="A4751" s="2" t="str">
        <f>"SANTANA DO JACARE"</f>
        <v>SANTANA DO JACARE</v>
      </c>
      <c r="B4751" s="3" t="str">
        <f>"MG"</f>
        <v>MG</v>
      </c>
      <c r="C4751" s="3" t="str">
        <f t="shared" si="183"/>
        <v>BRASIL</v>
      </c>
      <c r="D4751" s="4" t="str">
        <f>"MG685"</f>
        <v>MG685</v>
      </c>
    </row>
    <row r="4752" spans="1:4" x14ac:dyDescent="0.3">
      <c r="A4752" s="2" t="str">
        <f>"SANTANA DO MANHUACU"</f>
        <v>SANTANA DO MANHUACU</v>
      </c>
      <c r="B4752" s="3" t="str">
        <f>"MG"</f>
        <v>MG</v>
      </c>
      <c r="C4752" s="3" t="str">
        <f t="shared" si="183"/>
        <v>BRASIL</v>
      </c>
      <c r="D4752" s="4" t="str">
        <f>"MG686"</f>
        <v>MG686</v>
      </c>
    </row>
    <row r="4753" spans="1:4" x14ac:dyDescent="0.3">
      <c r="A4753" s="2" t="str">
        <f>"SANTANA DO MARANHAO"</f>
        <v>SANTANA DO MARANHAO</v>
      </c>
      <c r="B4753" s="3" t="str">
        <f>"MA"</f>
        <v>MA</v>
      </c>
      <c r="C4753" s="3" t="str">
        <f t="shared" si="183"/>
        <v>BRASIL</v>
      </c>
      <c r="D4753" s="4" t="str">
        <f>"MA168"</f>
        <v>MA168</v>
      </c>
    </row>
    <row r="4754" spans="1:4" x14ac:dyDescent="0.3">
      <c r="A4754" s="2" t="str">
        <f>"SANTANA DO MATOS"</f>
        <v>SANTANA DO MATOS</v>
      </c>
      <c r="B4754" s="3" t="str">
        <f>"RN"</f>
        <v>RN</v>
      </c>
      <c r="C4754" s="3" t="str">
        <f t="shared" si="183"/>
        <v>BRASIL</v>
      </c>
      <c r="D4754" s="4" t="str">
        <f>"RN124"</f>
        <v>RN124</v>
      </c>
    </row>
    <row r="4755" spans="1:4" x14ac:dyDescent="0.3">
      <c r="A4755" s="2" t="str">
        <f>"SANTANA DO MUNDAU"</f>
        <v>SANTANA DO MUNDAU</v>
      </c>
      <c r="B4755" s="3" t="str">
        <f>"AL"</f>
        <v>AL</v>
      </c>
      <c r="C4755" s="3" t="str">
        <f t="shared" si="183"/>
        <v>BRASIL</v>
      </c>
      <c r="D4755" s="4" t="str">
        <f>"AL087"</f>
        <v>AL087</v>
      </c>
    </row>
    <row r="4756" spans="1:4" x14ac:dyDescent="0.3">
      <c r="A4756" s="2" t="str">
        <f>"SANTANA DO PARAISO"</f>
        <v>SANTANA DO PARAISO</v>
      </c>
      <c r="B4756" s="3" t="str">
        <f>"MG"</f>
        <v>MG</v>
      </c>
      <c r="C4756" s="3" t="str">
        <f t="shared" si="183"/>
        <v>BRASIL</v>
      </c>
      <c r="D4756" s="4" t="str">
        <f>"MG687"</f>
        <v>MG687</v>
      </c>
    </row>
    <row r="4757" spans="1:4" x14ac:dyDescent="0.3">
      <c r="A4757" s="2" t="str">
        <f>"SANTANA DO PIAUI"</f>
        <v>SANTANA DO PIAUI</v>
      </c>
      <c r="B4757" s="3" t="str">
        <f>"PI"</f>
        <v>PI</v>
      </c>
      <c r="C4757" s="3" t="str">
        <f t="shared" si="183"/>
        <v>BRASIL</v>
      </c>
      <c r="D4757" s="4" t="str">
        <f>"PI178"</f>
        <v>PI178</v>
      </c>
    </row>
    <row r="4758" spans="1:4" x14ac:dyDescent="0.3">
      <c r="A4758" s="2" t="str">
        <f>"SANTANA DO RIACHO"</f>
        <v>SANTANA DO RIACHO</v>
      </c>
      <c r="B4758" s="3" t="str">
        <f>"MG"</f>
        <v>MG</v>
      </c>
      <c r="C4758" s="3" t="str">
        <f t="shared" si="183"/>
        <v>BRASIL</v>
      </c>
      <c r="D4758" s="4" t="str">
        <f>"MG688"</f>
        <v>MG688</v>
      </c>
    </row>
    <row r="4759" spans="1:4" x14ac:dyDescent="0.3">
      <c r="A4759" s="2" t="str">
        <f>"SANTANA DO SAO FRANCISCO"</f>
        <v>SANTANA DO SAO FRANCISCO</v>
      </c>
      <c r="B4759" s="3" t="str">
        <f>"SE"</f>
        <v>SE</v>
      </c>
      <c r="C4759" s="3" t="str">
        <f t="shared" si="183"/>
        <v>BRASIL</v>
      </c>
      <c r="D4759" s="4" t="str">
        <f>"SE063"</f>
        <v>SE063</v>
      </c>
    </row>
    <row r="4760" spans="1:4" x14ac:dyDescent="0.3">
      <c r="A4760" s="2" t="str">
        <f>"SANTANA DO SERIDO"</f>
        <v>SANTANA DO SERIDO</v>
      </c>
      <c r="B4760" s="3" t="str">
        <f>"RN"</f>
        <v>RN</v>
      </c>
      <c r="C4760" s="3" t="str">
        <f t="shared" si="183"/>
        <v>BRASIL</v>
      </c>
      <c r="D4760" s="4" t="str">
        <f>"RN125"</f>
        <v>RN125</v>
      </c>
    </row>
    <row r="4761" spans="1:4" x14ac:dyDescent="0.3">
      <c r="A4761" s="2" t="str">
        <f>"SANTANA DOS GARROTES"</f>
        <v>SANTANA DOS GARROTES</v>
      </c>
      <c r="B4761" s="3" t="str">
        <f>"PB"</f>
        <v>PB</v>
      </c>
      <c r="C4761" s="3" t="str">
        <f t="shared" si="183"/>
        <v>BRASIL</v>
      </c>
      <c r="D4761" s="4" t="str">
        <f>"PB173"</f>
        <v>PB173</v>
      </c>
    </row>
    <row r="4762" spans="1:4" x14ac:dyDescent="0.3">
      <c r="A4762" s="2" t="str">
        <f>"SANTANA DOS MONTES"</f>
        <v>SANTANA DOS MONTES</v>
      </c>
      <c r="B4762" s="3" t="str">
        <f>"MG"</f>
        <v>MG</v>
      </c>
      <c r="C4762" s="3" t="str">
        <f t="shared" si="183"/>
        <v>BRASIL</v>
      </c>
      <c r="D4762" s="4" t="str">
        <f>"MG689"</f>
        <v>MG689</v>
      </c>
    </row>
    <row r="4763" spans="1:4" x14ac:dyDescent="0.3">
      <c r="A4763" s="2" t="str">
        <f>"SANTANOPOLIS"</f>
        <v>SANTANOPOLIS</v>
      </c>
      <c r="B4763" s="3" t="str">
        <f>"BA"</f>
        <v>BA</v>
      </c>
      <c r="C4763" s="3" t="str">
        <f t="shared" si="183"/>
        <v>BRASIL</v>
      </c>
      <c r="D4763" s="4" t="str">
        <f>"BA346"</f>
        <v>BA346</v>
      </c>
    </row>
    <row r="4764" spans="1:4" x14ac:dyDescent="0.3">
      <c r="A4764" s="2" t="str">
        <f>"SANTAREM"</f>
        <v>SANTAREM</v>
      </c>
      <c r="B4764" s="3" t="str">
        <f>"PA"</f>
        <v>PA</v>
      </c>
      <c r="C4764" s="3" t="str">
        <f t="shared" si="183"/>
        <v>BRASIL</v>
      </c>
      <c r="D4764" s="4" t="str">
        <f>"PA113"</f>
        <v>PA113</v>
      </c>
    </row>
    <row r="4765" spans="1:4" x14ac:dyDescent="0.3">
      <c r="A4765" s="2" t="str">
        <f>"SANTAREM"</f>
        <v>SANTAREM</v>
      </c>
      <c r="B4765" s="3" t="str">
        <f>"PB"</f>
        <v>PB</v>
      </c>
      <c r="C4765" s="3" t="str">
        <f t="shared" si="183"/>
        <v>BRASIL</v>
      </c>
      <c r="D4765" s="4" t="str">
        <f>"PB174"</f>
        <v>PB174</v>
      </c>
    </row>
    <row r="4766" spans="1:4" x14ac:dyDescent="0.3">
      <c r="A4766" s="2" t="str">
        <f>"SANTAREM NOVO"</f>
        <v>SANTAREM NOVO</v>
      </c>
      <c r="B4766" s="3" t="str">
        <f>"PA"</f>
        <v>PA</v>
      </c>
      <c r="C4766" s="3" t="str">
        <f t="shared" si="183"/>
        <v>BRASIL</v>
      </c>
      <c r="D4766" s="4" t="str">
        <f>"PA114"</f>
        <v>PA114</v>
      </c>
    </row>
    <row r="4767" spans="1:4" x14ac:dyDescent="0.3">
      <c r="A4767" s="2" t="str">
        <f>"SANTIAGO"</f>
        <v>SANTIAGO</v>
      </c>
      <c r="B4767" s="3" t="str">
        <f>"EX"</f>
        <v>EX</v>
      </c>
      <c r="C4767" s="3" t="str">
        <f>"CHILE"</f>
        <v>CHILE</v>
      </c>
      <c r="D4767" s="4" t="str">
        <f>"SANT"</f>
        <v>SANT</v>
      </c>
    </row>
    <row r="4768" spans="1:4" x14ac:dyDescent="0.3">
      <c r="A4768" s="2" t="str">
        <f>"SANTIAGO"</f>
        <v>SANTIAGO</v>
      </c>
      <c r="B4768" s="3" t="str">
        <f>"RS"</f>
        <v>RS</v>
      </c>
      <c r="C4768" s="3" t="str">
        <f t="shared" ref="C4768:C4831" si="184">"BRASIL"</f>
        <v>BRASIL</v>
      </c>
      <c r="D4768" s="4" t="str">
        <f>"RS372"</f>
        <v>RS372</v>
      </c>
    </row>
    <row r="4769" spans="1:4" x14ac:dyDescent="0.3">
      <c r="A4769" s="2" t="str">
        <f>"SANTIAGO DO SUL"</f>
        <v>SANTIAGO DO SUL</v>
      </c>
      <c r="B4769" s="3" t="str">
        <f>"SC"</f>
        <v>SC</v>
      </c>
      <c r="C4769" s="3" t="str">
        <f t="shared" si="184"/>
        <v>BRASIL</v>
      </c>
      <c r="D4769" s="4" t="str">
        <f>"SC234"</f>
        <v>SC234</v>
      </c>
    </row>
    <row r="4770" spans="1:4" x14ac:dyDescent="0.3">
      <c r="A4770" s="2" t="str">
        <f>"SANTO AFONSO"</f>
        <v>SANTO AFONSO</v>
      </c>
      <c r="B4770" s="3" t="str">
        <f>"MT"</f>
        <v>MT</v>
      </c>
      <c r="C4770" s="3" t="str">
        <f t="shared" si="184"/>
        <v>BRASIL</v>
      </c>
      <c r="D4770" s="4" t="str">
        <f>"MT108"</f>
        <v>MT108</v>
      </c>
    </row>
    <row r="4771" spans="1:4" x14ac:dyDescent="0.3">
      <c r="A4771" s="2" t="str">
        <f>"SANTO AMARO"</f>
        <v>SANTO AMARO</v>
      </c>
      <c r="B4771" s="3" t="str">
        <f>"BA"</f>
        <v>BA</v>
      </c>
      <c r="C4771" s="3" t="str">
        <f t="shared" si="184"/>
        <v>BRASIL</v>
      </c>
      <c r="D4771" s="4" t="str">
        <f>"BA349"</f>
        <v>BA349</v>
      </c>
    </row>
    <row r="4772" spans="1:4" x14ac:dyDescent="0.3">
      <c r="A4772" s="2" t="str">
        <f>"SANTO AMARO DA IMPERATRIZ"</f>
        <v>SANTO AMARO DA IMPERATRIZ</v>
      </c>
      <c r="B4772" s="3" t="str">
        <f>"SC"</f>
        <v>SC</v>
      </c>
      <c r="C4772" s="3" t="str">
        <f t="shared" si="184"/>
        <v>BRASIL</v>
      </c>
      <c r="D4772" s="4" t="str">
        <f>"SC235"</f>
        <v>SC235</v>
      </c>
    </row>
    <row r="4773" spans="1:4" x14ac:dyDescent="0.3">
      <c r="A4773" s="2" t="str">
        <f>"SANTO AMARO DAS BROTAS"</f>
        <v>SANTO AMARO DAS BROTAS</v>
      </c>
      <c r="B4773" s="3" t="str">
        <f>"SE"</f>
        <v>SE</v>
      </c>
      <c r="C4773" s="3" t="str">
        <f t="shared" si="184"/>
        <v>BRASIL</v>
      </c>
      <c r="D4773" s="4" t="str">
        <f>"SE065"</f>
        <v>SE065</v>
      </c>
    </row>
    <row r="4774" spans="1:4" x14ac:dyDescent="0.3">
      <c r="A4774" s="2" t="str">
        <f>"SANTO AMARO DO MARANHAO"</f>
        <v>SANTO AMARO DO MARANHAO</v>
      </c>
      <c r="B4774" s="3" t="str">
        <f>"MA"</f>
        <v>MA</v>
      </c>
      <c r="C4774" s="3" t="str">
        <f t="shared" si="184"/>
        <v>BRASIL</v>
      </c>
      <c r="D4774" s="4" t="str">
        <f>"MA169"</f>
        <v>MA169</v>
      </c>
    </row>
    <row r="4775" spans="1:4" x14ac:dyDescent="0.3">
      <c r="A4775" s="2" t="str">
        <f>"SANTO ANASTACIO"</f>
        <v>SANTO ANASTACIO</v>
      </c>
      <c r="B4775" s="3" t="str">
        <f>"SP"</f>
        <v>SP</v>
      </c>
      <c r="C4775" s="3" t="str">
        <f t="shared" si="184"/>
        <v>BRASIL</v>
      </c>
      <c r="D4775" s="4" t="str">
        <f>"SP534"</f>
        <v>SP534</v>
      </c>
    </row>
    <row r="4776" spans="1:4" x14ac:dyDescent="0.3">
      <c r="A4776" s="2" t="str">
        <f>"SANTO ANDRE"</f>
        <v>SANTO ANDRE</v>
      </c>
      <c r="B4776" s="3" t="str">
        <f>"PB"</f>
        <v>PB</v>
      </c>
      <c r="C4776" s="3" t="str">
        <f t="shared" si="184"/>
        <v>BRASIL</v>
      </c>
      <c r="D4776" s="4" t="str">
        <f>"PB177"</f>
        <v>PB177</v>
      </c>
    </row>
    <row r="4777" spans="1:4" x14ac:dyDescent="0.3">
      <c r="A4777" s="2" t="str">
        <f>"SANTO ANDRE"</f>
        <v>SANTO ANDRE</v>
      </c>
      <c r="B4777" s="3" t="str">
        <f>"SP"</f>
        <v>SP</v>
      </c>
      <c r="C4777" s="3" t="str">
        <f t="shared" si="184"/>
        <v>BRASIL</v>
      </c>
      <c r="D4777" s="4" t="str">
        <f>"SP535"</f>
        <v>SP535</v>
      </c>
    </row>
    <row r="4778" spans="1:4" x14ac:dyDescent="0.3">
      <c r="A4778" s="2" t="str">
        <f>"SANTO ANGELO"</f>
        <v>SANTO ANGELO</v>
      </c>
      <c r="B4778" s="3" t="str">
        <f>"RS"</f>
        <v>RS</v>
      </c>
      <c r="C4778" s="3" t="str">
        <f t="shared" si="184"/>
        <v>BRASIL</v>
      </c>
      <c r="D4778" s="4" t="str">
        <f>"RS373"</f>
        <v>RS373</v>
      </c>
    </row>
    <row r="4779" spans="1:4" x14ac:dyDescent="0.3">
      <c r="A4779" s="2" t="str">
        <f>"SANTO ANTONIO"</f>
        <v>SANTO ANTONIO</v>
      </c>
      <c r="B4779" s="3" t="str">
        <f>"RN"</f>
        <v>RN</v>
      </c>
      <c r="C4779" s="3" t="str">
        <f t="shared" si="184"/>
        <v>BRASIL</v>
      </c>
      <c r="D4779" s="4" t="str">
        <f>"RN126"</f>
        <v>RN126</v>
      </c>
    </row>
    <row r="4780" spans="1:4" x14ac:dyDescent="0.3">
      <c r="A4780" s="2" t="str">
        <f>"SANTO ANTONIO DA ALEGRIA"</f>
        <v>SANTO ANTONIO DA ALEGRIA</v>
      </c>
      <c r="B4780" s="3" t="str">
        <f>"SP"</f>
        <v>SP</v>
      </c>
      <c r="C4780" s="3" t="str">
        <f t="shared" si="184"/>
        <v>BRASIL</v>
      </c>
      <c r="D4780" s="4" t="str">
        <f>"SP536"</f>
        <v>SP536</v>
      </c>
    </row>
    <row r="4781" spans="1:4" x14ac:dyDescent="0.3">
      <c r="A4781" s="2" t="str">
        <f>"SANTO ANTONIO DA BARRA"</f>
        <v>SANTO ANTONIO DA BARRA</v>
      </c>
      <c r="B4781" s="3" t="str">
        <f>"GO"</f>
        <v>GO</v>
      </c>
      <c r="C4781" s="3" t="str">
        <f t="shared" si="184"/>
        <v>BRASIL</v>
      </c>
      <c r="D4781" s="4" t="str">
        <f>"GO211"</f>
        <v>GO211</v>
      </c>
    </row>
    <row r="4782" spans="1:4" x14ac:dyDescent="0.3">
      <c r="A4782" s="2" t="str">
        <f>"SANTO ANTONIO DA PATRULHA"</f>
        <v>SANTO ANTONIO DA PATRULHA</v>
      </c>
      <c r="B4782" s="3" t="str">
        <f>"RS"</f>
        <v>RS</v>
      </c>
      <c r="C4782" s="3" t="str">
        <f t="shared" si="184"/>
        <v>BRASIL</v>
      </c>
      <c r="D4782" s="4" t="str">
        <f>"RS375"</f>
        <v>RS375</v>
      </c>
    </row>
    <row r="4783" spans="1:4" x14ac:dyDescent="0.3">
      <c r="A4783" s="2" t="str">
        <f>"SANTO ANTONIO DA PLATINA"</f>
        <v>SANTO ANTONIO DA PLATINA</v>
      </c>
      <c r="B4783" s="3" t="str">
        <f>"PR"</f>
        <v>PR</v>
      </c>
      <c r="C4783" s="3" t="str">
        <f t="shared" si="184"/>
        <v>BRASIL</v>
      </c>
      <c r="D4783" s="4" t="str">
        <f>"PR334"</f>
        <v>PR334</v>
      </c>
    </row>
    <row r="4784" spans="1:4" x14ac:dyDescent="0.3">
      <c r="A4784" s="2" t="str">
        <f>"SANTO ANTONIO DAS MISSÕES"</f>
        <v>SANTO ANTONIO DAS MISSÕES</v>
      </c>
      <c r="B4784" s="3" t="str">
        <f>"RS"</f>
        <v>RS</v>
      </c>
      <c r="C4784" s="3" t="str">
        <f t="shared" si="184"/>
        <v>BRASIL</v>
      </c>
      <c r="D4784" s="4" t="str">
        <f>"RS376"</f>
        <v>RS376</v>
      </c>
    </row>
    <row r="4785" spans="1:4" x14ac:dyDescent="0.3">
      <c r="A4785" s="2" t="str">
        <f>"SANTO ANTONIO DE GOIAS"</f>
        <v>SANTO ANTONIO DE GOIAS</v>
      </c>
      <c r="B4785" s="3" t="str">
        <f>"GO"</f>
        <v>GO</v>
      </c>
      <c r="C4785" s="3" t="str">
        <f t="shared" si="184"/>
        <v>BRASIL</v>
      </c>
      <c r="D4785" s="4" t="str">
        <f>"GO212"</f>
        <v>GO212</v>
      </c>
    </row>
    <row r="4786" spans="1:4" x14ac:dyDescent="0.3">
      <c r="A4786" s="2" t="str">
        <f>"SANTO ANTONIO DE JESUS"</f>
        <v>SANTO ANTONIO DE JESUS</v>
      </c>
      <c r="B4786" s="3" t="str">
        <f>"BA"</f>
        <v>BA</v>
      </c>
      <c r="C4786" s="3" t="str">
        <f t="shared" si="184"/>
        <v>BRASIL</v>
      </c>
      <c r="D4786" s="4" t="str">
        <f>"BA350"</f>
        <v>BA350</v>
      </c>
    </row>
    <row r="4787" spans="1:4" x14ac:dyDescent="0.3">
      <c r="A4787" s="2" t="str">
        <f>"SANTO ANTONIO DE LISBOA"</f>
        <v>SANTO ANTONIO DE LISBOA</v>
      </c>
      <c r="B4787" s="3" t="str">
        <f>"PI"</f>
        <v>PI</v>
      </c>
      <c r="C4787" s="3" t="str">
        <f t="shared" si="184"/>
        <v>BRASIL</v>
      </c>
      <c r="D4787" s="4" t="str">
        <f>"PI180"</f>
        <v>PI180</v>
      </c>
    </row>
    <row r="4788" spans="1:4" x14ac:dyDescent="0.3">
      <c r="A4788" s="2" t="str">
        <f>"SANTO ANTONIO DE PADUA"</f>
        <v>SANTO ANTONIO DE PADUA</v>
      </c>
      <c r="B4788" s="3" t="str">
        <f>"RJ"</f>
        <v>RJ</v>
      </c>
      <c r="C4788" s="3" t="str">
        <f t="shared" si="184"/>
        <v>BRASIL</v>
      </c>
      <c r="D4788" s="4" t="str">
        <f>"RJ070"</f>
        <v>RJ070</v>
      </c>
    </row>
    <row r="4789" spans="1:4" x14ac:dyDescent="0.3">
      <c r="A4789" s="2" t="str">
        <f>"SANTO ANTONIO DE POSSE"</f>
        <v>SANTO ANTONIO DE POSSE</v>
      </c>
      <c r="B4789" s="3" t="str">
        <f>"SP"</f>
        <v>SP</v>
      </c>
      <c r="C4789" s="3" t="str">
        <f t="shared" si="184"/>
        <v>BRASIL</v>
      </c>
      <c r="D4789" s="4" t="str">
        <f>"SP537"</f>
        <v>SP537</v>
      </c>
    </row>
    <row r="4790" spans="1:4" x14ac:dyDescent="0.3">
      <c r="A4790" s="2" t="str">
        <f>"SANTO ANTONIO DO AMPARO"</f>
        <v>SANTO ANTONIO DO AMPARO</v>
      </c>
      <c r="B4790" s="3" t="str">
        <f>"MG"</f>
        <v>MG</v>
      </c>
      <c r="C4790" s="3" t="str">
        <f t="shared" si="184"/>
        <v>BRASIL</v>
      </c>
      <c r="D4790" s="4" t="str">
        <f>"MG698"</f>
        <v>MG698</v>
      </c>
    </row>
    <row r="4791" spans="1:4" x14ac:dyDescent="0.3">
      <c r="A4791" s="2" t="str">
        <f>"SANTO ANTONIO DO ARACANGU"</f>
        <v>SANTO ANTONIO DO ARACANGU</v>
      </c>
      <c r="B4791" s="3" t="str">
        <f>"SP"</f>
        <v>SP</v>
      </c>
      <c r="C4791" s="3" t="str">
        <f t="shared" si="184"/>
        <v>BRASIL</v>
      </c>
      <c r="D4791" s="4" t="str">
        <f>"SP538"</f>
        <v>SP538</v>
      </c>
    </row>
    <row r="4792" spans="1:4" x14ac:dyDescent="0.3">
      <c r="A4792" s="2" t="str">
        <f>"SANTO ANTONIO DO AVENTURE"</f>
        <v>SANTO ANTONIO DO AVENTURE</v>
      </c>
      <c r="B4792" s="3" t="str">
        <f>"MG"</f>
        <v>MG</v>
      </c>
      <c r="C4792" s="3" t="str">
        <f t="shared" si="184"/>
        <v>BRASIL</v>
      </c>
      <c r="D4792" s="4" t="str">
        <f>"MG699"</f>
        <v>MG699</v>
      </c>
    </row>
    <row r="4793" spans="1:4" x14ac:dyDescent="0.3">
      <c r="A4793" s="2" t="str">
        <f>"SANTO ANTONIO DO CAIUA"</f>
        <v>SANTO ANTONIO DO CAIUA</v>
      </c>
      <c r="B4793" s="3" t="str">
        <f>"PR"</f>
        <v>PR</v>
      </c>
      <c r="C4793" s="3" t="str">
        <f t="shared" si="184"/>
        <v>BRASIL</v>
      </c>
      <c r="D4793" s="4" t="str">
        <f>"PR335"</f>
        <v>PR335</v>
      </c>
    </row>
    <row r="4794" spans="1:4" x14ac:dyDescent="0.3">
      <c r="A4794" s="2" t="str">
        <f>"SANTO ANTONIO DO DESCOBER"</f>
        <v>SANTO ANTONIO DO DESCOBER</v>
      </c>
      <c r="B4794" s="3" t="str">
        <f>"GO"</f>
        <v>GO</v>
      </c>
      <c r="C4794" s="3" t="str">
        <f t="shared" si="184"/>
        <v>BRASIL</v>
      </c>
      <c r="D4794" s="4" t="str">
        <f>"GO213"</f>
        <v>GO213</v>
      </c>
    </row>
    <row r="4795" spans="1:4" x14ac:dyDescent="0.3">
      <c r="A4795" s="2" t="str">
        <f>"SANTO ANTONIO DO GRAMA"</f>
        <v>SANTO ANTONIO DO GRAMA</v>
      </c>
      <c r="B4795" s="3" t="str">
        <f>"MG"</f>
        <v>MG</v>
      </c>
      <c r="C4795" s="3" t="str">
        <f t="shared" si="184"/>
        <v>BRASIL</v>
      </c>
      <c r="D4795" s="4" t="str">
        <f>"MG700"</f>
        <v>MG700</v>
      </c>
    </row>
    <row r="4796" spans="1:4" x14ac:dyDescent="0.3">
      <c r="A4796" s="2" t="str">
        <f>"SANTO ANTONIO DO ICA"</f>
        <v>SANTO ANTONIO DO ICA</v>
      </c>
      <c r="B4796" s="3" t="str">
        <f>"AM"</f>
        <v>AM</v>
      </c>
      <c r="C4796" s="3" t="str">
        <f t="shared" si="184"/>
        <v>BRASIL</v>
      </c>
      <c r="D4796" s="4" t="str">
        <f>"AM051"</f>
        <v>AM051</v>
      </c>
    </row>
    <row r="4797" spans="1:4" x14ac:dyDescent="0.3">
      <c r="A4797" s="2" t="str">
        <f>"SANTO ANTONIO DO ITAMBE"</f>
        <v>SANTO ANTONIO DO ITAMBE</v>
      </c>
      <c r="B4797" s="3" t="str">
        <f>"MG"</f>
        <v>MG</v>
      </c>
      <c r="C4797" s="3" t="str">
        <f t="shared" si="184"/>
        <v>BRASIL</v>
      </c>
      <c r="D4797" s="4" t="str">
        <f>"MG701"</f>
        <v>MG701</v>
      </c>
    </row>
    <row r="4798" spans="1:4" x14ac:dyDescent="0.3">
      <c r="A4798" s="2" t="str">
        <f>"SANTO ANTONIO DO JACINTO"</f>
        <v>SANTO ANTONIO DO JACINTO</v>
      </c>
      <c r="B4798" s="3" t="str">
        <f>"MG"</f>
        <v>MG</v>
      </c>
      <c r="C4798" s="3" t="str">
        <f t="shared" si="184"/>
        <v>BRASIL</v>
      </c>
      <c r="D4798" s="4" t="str">
        <f>"MG702"</f>
        <v>MG702</v>
      </c>
    </row>
    <row r="4799" spans="1:4" x14ac:dyDescent="0.3">
      <c r="A4799" s="2" t="str">
        <f>"SANTO ANTONIO DO JARDIM"</f>
        <v>SANTO ANTONIO DO JARDIM</v>
      </c>
      <c r="B4799" s="3" t="str">
        <f>"SP"</f>
        <v>SP</v>
      </c>
      <c r="C4799" s="3" t="str">
        <f t="shared" si="184"/>
        <v>BRASIL</v>
      </c>
      <c r="D4799" s="4" t="str">
        <f>"SP539"</f>
        <v>SP539</v>
      </c>
    </row>
    <row r="4800" spans="1:4" x14ac:dyDescent="0.3">
      <c r="A4800" s="2" t="str">
        <f>"SANTO ANTONIO DO LESTE"</f>
        <v>SANTO ANTONIO DO LESTE</v>
      </c>
      <c r="B4800" s="3" t="str">
        <f>"MT"</f>
        <v>MT</v>
      </c>
      <c r="C4800" s="3" t="str">
        <f t="shared" si="184"/>
        <v>BRASIL</v>
      </c>
      <c r="D4800" s="4" t="str">
        <f>"MT120"</f>
        <v>MT120</v>
      </c>
    </row>
    <row r="4801" spans="1:4" x14ac:dyDescent="0.3">
      <c r="A4801" s="2" t="str">
        <f>"SANTO ANTONIO DO LEVERGER"</f>
        <v>SANTO ANTONIO DO LEVERGER</v>
      </c>
      <c r="B4801" s="3" t="str">
        <f>"MT"</f>
        <v>MT</v>
      </c>
      <c r="C4801" s="3" t="str">
        <f t="shared" si="184"/>
        <v>BRASIL</v>
      </c>
      <c r="D4801" s="4" t="str">
        <f>"MT121"</f>
        <v>MT121</v>
      </c>
    </row>
    <row r="4802" spans="1:4" x14ac:dyDescent="0.3">
      <c r="A4802" s="2" t="str">
        <f>"SANTO ANTONIO DO MONTE"</f>
        <v>SANTO ANTONIO DO MONTE</v>
      </c>
      <c r="B4802" s="3" t="str">
        <f>"MG"</f>
        <v>MG</v>
      </c>
      <c r="C4802" s="3" t="str">
        <f t="shared" si="184"/>
        <v>BRASIL</v>
      </c>
      <c r="D4802" s="4" t="str">
        <f>"MG703"</f>
        <v>MG703</v>
      </c>
    </row>
    <row r="4803" spans="1:4" x14ac:dyDescent="0.3">
      <c r="A4803" s="2" t="str">
        <f>"SANTO ANTONIO DO PALMA"</f>
        <v>SANTO ANTONIO DO PALMA</v>
      </c>
      <c r="B4803" s="3" t="str">
        <f>"RS"</f>
        <v>RS</v>
      </c>
      <c r="C4803" s="3" t="str">
        <f t="shared" si="184"/>
        <v>BRASIL</v>
      </c>
      <c r="D4803" s="4" t="str">
        <f>"RS374"</f>
        <v>RS374</v>
      </c>
    </row>
    <row r="4804" spans="1:4" x14ac:dyDescent="0.3">
      <c r="A4804" s="2" t="str">
        <f>"SANTO ANTONIO DO PARAISO"</f>
        <v>SANTO ANTONIO DO PARAISO</v>
      </c>
      <c r="B4804" s="3" t="str">
        <f>"PR"</f>
        <v>PR</v>
      </c>
      <c r="C4804" s="3" t="str">
        <f t="shared" si="184"/>
        <v>BRASIL</v>
      </c>
      <c r="D4804" s="4" t="str">
        <f>"PR336"</f>
        <v>PR336</v>
      </c>
    </row>
    <row r="4805" spans="1:4" x14ac:dyDescent="0.3">
      <c r="A4805" s="2" t="str">
        <f>"SANTO ANTONIO DO PINHAL"</f>
        <v>SANTO ANTONIO DO PINHAL</v>
      </c>
      <c r="B4805" s="3" t="str">
        <f>"SP"</f>
        <v>SP</v>
      </c>
      <c r="C4805" s="3" t="str">
        <f t="shared" si="184"/>
        <v>BRASIL</v>
      </c>
      <c r="D4805" s="4" t="str">
        <f>"SP540"</f>
        <v>SP540</v>
      </c>
    </row>
    <row r="4806" spans="1:4" x14ac:dyDescent="0.3">
      <c r="A4806" s="2" t="str">
        <f>"SANTO ANTONIO DO PLANALTO"</f>
        <v>SANTO ANTONIO DO PLANALTO</v>
      </c>
      <c r="B4806" s="3" t="str">
        <f>"RS"</f>
        <v>RS</v>
      </c>
      <c r="C4806" s="3" t="str">
        <f t="shared" si="184"/>
        <v>BRASIL</v>
      </c>
      <c r="D4806" s="4" t="str">
        <f>"RS377"</f>
        <v>RS377</v>
      </c>
    </row>
    <row r="4807" spans="1:4" x14ac:dyDescent="0.3">
      <c r="A4807" s="2" t="str">
        <f>"SANTO ANTONIO DO RETIRO"</f>
        <v>SANTO ANTONIO DO RETIRO</v>
      </c>
      <c r="B4807" s="3" t="str">
        <f>"MG"</f>
        <v>MG</v>
      </c>
      <c r="C4807" s="3" t="str">
        <f t="shared" si="184"/>
        <v>BRASIL</v>
      </c>
      <c r="D4807" s="4" t="str">
        <f>"MG704"</f>
        <v>MG704</v>
      </c>
    </row>
    <row r="4808" spans="1:4" x14ac:dyDescent="0.3">
      <c r="A4808" s="2" t="str">
        <f>"SANTO ANTONIO DO RIO ABAI"</f>
        <v>SANTO ANTONIO DO RIO ABAI</v>
      </c>
      <c r="B4808" s="3" t="str">
        <f>"MG"</f>
        <v>MG</v>
      </c>
      <c r="C4808" s="3" t="str">
        <f t="shared" si="184"/>
        <v>BRASIL</v>
      </c>
      <c r="D4808" s="4" t="str">
        <f>"MG705"</f>
        <v>MG705</v>
      </c>
    </row>
    <row r="4809" spans="1:4" x14ac:dyDescent="0.3">
      <c r="A4809" s="2" t="str">
        <f>"SANTO ANTONIO DO SUDOESTE"</f>
        <v>SANTO ANTONIO DO SUDOESTE</v>
      </c>
      <c r="B4809" s="3" t="str">
        <f>"PR"</f>
        <v>PR</v>
      </c>
      <c r="C4809" s="3" t="str">
        <f t="shared" si="184"/>
        <v>BRASIL</v>
      </c>
      <c r="D4809" s="4" t="str">
        <f>"PR337"</f>
        <v>PR337</v>
      </c>
    </row>
    <row r="4810" spans="1:4" x14ac:dyDescent="0.3">
      <c r="A4810" s="2" t="str">
        <f>"SANTO ANTONIO DO TAUA"</f>
        <v>SANTO ANTONIO DO TAUA</v>
      </c>
      <c r="B4810" s="3" t="str">
        <f>"PA"</f>
        <v>PA</v>
      </c>
      <c r="C4810" s="3" t="str">
        <f t="shared" si="184"/>
        <v>BRASIL</v>
      </c>
      <c r="D4810" s="4" t="str">
        <f>"PA115"</f>
        <v>PA115</v>
      </c>
    </row>
    <row r="4811" spans="1:4" x14ac:dyDescent="0.3">
      <c r="A4811" s="2" t="str">
        <f>"SANTO ANTONIO DOS LOPES"</f>
        <v>SANTO ANTONIO DOS LOPES</v>
      </c>
      <c r="B4811" s="3" t="str">
        <f>"MA"</f>
        <v>MA</v>
      </c>
      <c r="C4811" s="3" t="str">
        <f t="shared" si="184"/>
        <v>BRASIL</v>
      </c>
      <c r="D4811" s="4" t="str">
        <f>"MA170"</f>
        <v>MA170</v>
      </c>
    </row>
    <row r="4812" spans="1:4" x14ac:dyDescent="0.3">
      <c r="A4812" s="2" t="str">
        <f>"SANTO ANTONIO DOS MILAGRE"</f>
        <v>SANTO ANTONIO DOS MILAGRE</v>
      </c>
      <c r="B4812" s="3" t="str">
        <f>"PI"</f>
        <v>PI</v>
      </c>
      <c r="C4812" s="3" t="str">
        <f t="shared" si="184"/>
        <v>BRASIL</v>
      </c>
      <c r="D4812" s="4" t="str">
        <f>"PI181"</f>
        <v>PI181</v>
      </c>
    </row>
    <row r="4813" spans="1:4" x14ac:dyDescent="0.3">
      <c r="A4813" s="2" t="str">
        <f>"SANTO AUGUSTO"</f>
        <v>SANTO AUGUSTO</v>
      </c>
      <c r="B4813" s="3" t="str">
        <f>"RS"</f>
        <v>RS</v>
      </c>
      <c r="C4813" s="3" t="str">
        <f t="shared" si="184"/>
        <v>BRASIL</v>
      </c>
      <c r="D4813" s="4" t="str">
        <f>"RS378"</f>
        <v>RS378</v>
      </c>
    </row>
    <row r="4814" spans="1:4" x14ac:dyDescent="0.3">
      <c r="A4814" s="2" t="str">
        <f>"SANTO CRISTO"</f>
        <v>SANTO CRISTO</v>
      </c>
      <c r="B4814" s="3" t="str">
        <f>"RS"</f>
        <v>RS</v>
      </c>
      <c r="C4814" s="3" t="str">
        <f t="shared" si="184"/>
        <v>BRASIL</v>
      </c>
      <c r="D4814" s="4" t="str">
        <f>"RS379"</f>
        <v>RS379</v>
      </c>
    </row>
    <row r="4815" spans="1:4" x14ac:dyDescent="0.3">
      <c r="A4815" s="2" t="str">
        <f>"SANTO ESTEVAO"</f>
        <v>SANTO ESTEVAO</v>
      </c>
      <c r="B4815" s="3" t="str">
        <f>"BA"</f>
        <v>BA</v>
      </c>
      <c r="C4815" s="3" t="str">
        <f t="shared" si="184"/>
        <v>BRASIL</v>
      </c>
      <c r="D4815" s="4" t="str">
        <f>"BA351"</f>
        <v>BA351</v>
      </c>
    </row>
    <row r="4816" spans="1:4" x14ac:dyDescent="0.3">
      <c r="A4816" s="2" t="str">
        <f>"SANTO EXPEDITO"</f>
        <v>SANTO EXPEDITO</v>
      </c>
      <c r="B4816" s="3" t="str">
        <f>"SP"</f>
        <v>SP</v>
      </c>
      <c r="C4816" s="3" t="str">
        <f t="shared" si="184"/>
        <v>BRASIL</v>
      </c>
      <c r="D4816" s="4" t="str">
        <f>"SP541"</f>
        <v>SP541</v>
      </c>
    </row>
    <row r="4817" spans="1:4" x14ac:dyDescent="0.3">
      <c r="A4817" s="2" t="str">
        <f>"SANTO EXPEDITO DO SUL"</f>
        <v>SANTO EXPEDITO DO SUL</v>
      </c>
      <c r="B4817" s="3" t="str">
        <f>"RS"</f>
        <v>RS</v>
      </c>
      <c r="C4817" s="3" t="str">
        <f t="shared" si="184"/>
        <v>BRASIL</v>
      </c>
      <c r="D4817" s="4" t="str">
        <f>"RS380"</f>
        <v>RS380</v>
      </c>
    </row>
    <row r="4818" spans="1:4" x14ac:dyDescent="0.3">
      <c r="A4818" s="2" t="str">
        <f>"SANTO HIPOLITO"</f>
        <v>SANTO HIPOLITO</v>
      </c>
      <c r="B4818" s="3" t="str">
        <f>"MG"</f>
        <v>MG</v>
      </c>
      <c r="C4818" s="3" t="str">
        <f t="shared" si="184"/>
        <v>BRASIL</v>
      </c>
      <c r="D4818" s="4" t="str">
        <f>"MG706"</f>
        <v>MG706</v>
      </c>
    </row>
    <row r="4819" spans="1:4" x14ac:dyDescent="0.3">
      <c r="A4819" s="2" t="str">
        <f>"SANTO INACIO"</f>
        <v>SANTO INACIO</v>
      </c>
      <c r="B4819" s="3" t="str">
        <f>"PR"</f>
        <v>PR</v>
      </c>
      <c r="C4819" s="3" t="str">
        <f t="shared" si="184"/>
        <v>BRASIL</v>
      </c>
      <c r="D4819" s="4" t="str">
        <f>"PR338"</f>
        <v>PR338</v>
      </c>
    </row>
    <row r="4820" spans="1:4" x14ac:dyDescent="0.3">
      <c r="A4820" s="2" t="str">
        <f>"SANTO INACIO DO PIAUI"</f>
        <v>SANTO INACIO DO PIAUI</v>
      </c>
      <c r="B4820" s="3" t="str">
        <f>"PI"</f>
        <v>PI</v>
      </c>
      <c r="C4820" s="3" t="str">
        <f t="shared" si="184"/>
        <v>BRASIL</v>
      </c>
      <c r="D4820" s="4" t="str">
        <f>"PI182"</f>
        <v>PI182</v>
      </c>
    </row>
    <row r="4821" spans="1:4" x14ac:dyDescent="0.3">
      <c r="A4821" s="2" t="str">
        <f>"SANTOPOLIS DO AGUAPEI"</f>
        <v>SANTOPOLIS DO AGUAPEI</v>
      </c>
      <c r="B4821" s="3" t="str">
        <f>"SP"</f>
        <v>SP</v>
      </c>
      <c r="C4821" s="3" t="str">
        <f t="shared" si="184"/>
        <v>BRASIL</v>
      </c>
      <c r="D4821" s="4" t="str">
        <f>"SP542"</f>
        <v>SP542</v>
      </c>
    </row>
    <row r="4822" spans="1:4" x14ac:dyDescent="0.3">
      <c r="A4822" s="2" t="str">
        <f>"SANTOS"</f>
        <v>SANTOS</v>
      </c>
      <c r="B4822" s="3" t="str">
        <f>"SP"</f>
        <v>SP</v>
      </c>
      <c r="C4822" s="3" t="str">
        <f t="shared" si="184"/>
        <v>BRASIL</v>
      </c>
      <c r="D4822" s="4" t="str">
        <f>"SP543"</f>
        <v>SP543</v>
      </c>
    </row>
    <row r="4823" spans="1:4" x14ac:dyDescent="0.3">
      <c r="A4823" s="2" t="str">
        <f>"SANTOS DUMONT"</f>
        <v>SANTOS DUMONT</v>
      </c>
      <c r="B4823" s="3" t="str">
        <f>"MG"</f>
        <v>MG</v>
      </c>
      <c r="C4823" s="3" t="str">
        <f t="shared" si="184"/>
        <v>BRASIL</v>
      </c>
      <c r="D4823" s="4" t="str">
        <f>"MG707"</f>
        <v>MG707</v>
      </c>
    </row>
    <row r="4824" spans="1:4" x14ac:dyDescent="0.3">
      <c r="A4824" s="2" t="str">
        <f>"SAO BENEDITO"</f>
        <v>SAO BENEDITO</v>
      </c>
      <c r="B4824" s="3" t="str">
        <f>"CE"</f>
        <v>CE</v>
      </c>
      <c r="C4824" s="3" t="str">
        <f t="shared" si="184"/>
        <v>BRASIL</v>
      </c>
      <c r="D4824" s="4" t="str">
        <f>"CE161"</f>
        <v>CE161</v>
      </c>
    </row>
    <row r="4825" spans="1:4" x14ac:dyDescent="0.3">
      <c r="A4825" s="2" t="str">
        <f>"SAO BENEDITO DO RIO PRETO"</f>
        <v>SAO BENEDITO DO RIO PRETO</v>
      </c>
      <c r="B4825" s="3" t="str">
        <f>"MA"</f>
        <v>MA</v>
      </c>
      <c r="C4825" s="3" t="str">
        <f t="shared" si="184"/>
        <v>BRASIL</v>
      </c>
      <c r="D4825" s="4" t="str">
        <f>"MA171"</f>
        <v>MA171</v>
      </c>
    </row>
    <row r="4826" spans="1:4" x14ac:dyDescent="0.3">
      <c r="A4826" s="2" t="str">
        <f>"SAO BENEDITO DO SUL"</f>
        <v>SAO BENEDITO DO SUL</v>
      </c>
      <c r="B4826" s="3" t="str">
        <f>"PE"</f>
        <v>PE</v>
      </c>
      <c r="C4826" s="3" t="str">
        <f t="shared" si="184"/>
        <v>BRASIL</v>
      </c>
      <c r="D4826" s="4" t="str">
        <f>"PE148"</f>
        <v>PE148</v>
      </c>
    </row>
    <row r="4827" spans="1:4" x14ac:dyDescent="0.3">
      <c r="A4827" s="2" t="str">
        <f>"SAO BENTINHO"</f>
        <v>SAO BENTINHO</v>
      </c>
      <c r="B4827" s="3" t="str">
        <f>"PB"</f>
        <v>PB</v>
      </c>
      <c r="C4827" s="3" t="str">
        <f t="shared" si="184"/>
        <v>BRASIL</v>
      </c>
      <c r="D4827" s="4" t="str">
        <f>"PB179"</f>
        <v>PB179</v>
      </c>
    </row>
    <row r="4828" spans="1:4" x14ac:dyDescent="0.3">
      <c r="A4828" s="2" t="str">
        <f>"SAO BENTO"</f>
        <v>SAO BENTO</v>
      </c>
      <c r="B4828" s="3" t="str">
        <f>"MA"</f>
        <v>MA</v>
      </c>
      <c r="C4828" s="3" t="str">
        <f t="shared" si="184"/>
        <v>BRASIL</v>
      </c>
      <c r="D4828" s="4" t="str">
        <f>"MA172"</f>
        <v>MA172</v>
      </c>
    </row>
    <row r="4829" spans="1:4" x14ac:dyDescent="0.3">
      <c r="A4829" s="2" t="str">
        <f>"SAO BENTO"</f>
        <v>SAO BENTO</v>
      </c>
      <c r="B4829" s="3" t="str">
        <f>"PB"</f>
        <v>PB</v>
      </c>
      <c r="C4829" s="3" t="str">
        <f t="shared" si="184"/>
        <v>BRASIL</v>
      </c>
      <c r="D4829" s="4" t="str">
        <f>"PB178"</f>
        <v>PB178</v>
      </c>
    </row>
    <row r="4830" spans="1:4" x14ac:dyDescent="0.3">
      <c r="A4830" s="2" t="str">
        <f>"SAO BENTO ABADE"</f>
        <v>SAO BENTO ABADE</v>
      </c>
      <c r="B4830" s="3" t="str">
        <f>"MG"</f>
        <v>MG</v>
      </c>
      <c r="C4830" s="3" t="str">
        <f t="shared" si="184"/>
        <v>BRASIL</v>
      </c>
      <c r="D4830" s="4" t="str">
        <f>"MG708"</f>
        <v>MG708</v>
      </c>
    </row>
    <row r="4831" spans="1:4" x14ac:dyDescent="0.3">
      <c r="A4831" s="2" t="str">
        <f>"SAO BENTO DO NORTE"</f>
        <v>SAO BENTO DO NORTE</v>
      </c>
      <c r="B4831" s="3" t="str">
        <f>"RN"</f>
        <v>RN</v>
      </c>
      <c r="C4831" s="3" t="str">
        <f t="shared" si="184"/>
        <v>BRASIL</v>
      </c>
      <c r="D4831" s="4" t="str">
        <f>"RN127"</f>
        <v>RN127</v>
      </c>
    </row>
    <row r="4832" spans="1:4" x14ac:dyDescent="0.3">
      <c r="A4832" s="2" t="str">
        <f>"SAO BENTO DO SAPUCAI"</f>
        <v>SAO BENTO DO SAPUCAI</v>
      </c>
      <c r="B4832" s="3" t="str">
        <f>"SP"</f>
        <v>SP</v>
      </c>
      <c r="C4832" s="3" t="str">
        <f t="shared" ref="C4832:C4895" si="185">"BRASIL"</f>
        <v>BRASIL</v>
      </c>
      <c r="D4832" s="4" t="str">
        <f>"SP544"</f>
        <v>SP544</v>
      </c>
    </row>
    <row r="4833" spans="1:4" x14ac:dyDescent="0.3">
      <c r="A4833" s="2" t="str">
        <f>"SAO BENTO DO SUL"</f>
        <v>SAO BENTO DO SUL</v>
      </c>
      <c r="B4833" s="3" t="str">
        <f>"SC"</f>
        <v>SC</v>
      </c>
      <c r="C4833" s="3" t="str">
        <f t="shared" si="185"/>
        <v>BRASIL</v>
      </c>
      <c r="D4833" s="4" t="str">
        <f>"SC237"</f>
        <v>SC237</v>
      </c>
    </row>
    <row r="4834" spans="1:4" x14ac:dyDescent="0.3">
      <c r="A4834" s="2" t="str">
        <f>"SAO BENTO DO TOCANTINS"</f>
        <v>SAO BENTO DO TOCANTINS</v>
      </c>
      <c r="B4834" s="3" t="str">
        <f>"TO"</f>
        <v>TO</v>
      </c>
      <c r="C4834" s="3" t="str">
        <f t="shared" si="185"/>
        <v>BRASIL</v>
      </c>
      <c r="D4834" s="4" t="str">
        <f>"TO121"</f>
        <v>TO121</v>
      </c>
    </row>
    <row r="4835" spans="1:4" x14ac:dyDescent="0.3">
      <c r="A4835" s="2" t="str">
        <f>"SAO BENTO DO TRAIRI"</f>
        <v>SAO BENTO DO TRAIRI</v>
      </c>
      <c r="B4835" s="3" t="str">
        <f>"RN"</f>
        <v>RN</v>
      </c>
      <c r="C4835" s="3" t="str">
        <f t="shared" si="185"/>
        <v>BRASIL</v>
      </c>
      <c r="D4835" s="4" t="str">
        <f>"RN128"</f>
        <v>RN128</v>
      </c>
    </row>
    <row r="4836" spans="1:4" x14ac:dyDescent="0.3">
      <c r="A4836" s="2" t="str">
        <f>"SAO BENTO DO UNA"</f>
        <v>SAO BENTO DO UNA</v>
      </c>
      <c r="B4836" s="3" t="str">
        <f>"PE"</f>
        <v>PE</v>
      </c>
      <c r="C4836" s="3" t="str">
        <f t="shared" si="185"/>
        <v>BRASIL</v>
      </c>
      <c r="D4836" s="4" t="str">
        <f>"PE149"</f>
        <v>PE149</v>
      </c>
    </row>
    <row r="4837" spans="1:4" x14ac:dyDescent="0.3">
      <c r="A4837" s="2" t="str">
        <f>"SAO BERNARDINO"</f>
        <v>SAO BERNARDINO</v>
      </c>
      <c r="B4837" s="3" t="str">
        <f>"SC"</f>
        <v>SC</v>
      </c>
      <c r="C4837" s="3" t="str">
        <f t="shared" si="185"/>
        <v>BRASIL</v>
      </c>
      <c r="D4837" s="4" t="str">
        <f>"SC236"</f>
        <v>SC236</v>
      </c>
    </row>
    <row r="4838" spans="1:4" x14ac:dyDescent="0.3">
      <c r="A4838" s="2" t="str">
        <f>"SAO BERNARDO"</f>
        <v>SAO BERNARDO</v>
      </c>
      <c r="B4838" s="3" t="str">
        <f>"MA"</f>
        <v>MA</v>
      </c>
      <c r="C4838" s="3" t="str">
        <f t="shared" si="185"/>
        <v>BRASIL</v>
      </c>
      <c r="D4838" s="4" t="str">
        <f>"MA173"</f>
        <v>MA173</v>
      </c>
    </row>
    <row r="4839" spans="1:4" x14ac:dyDescent="0.3">
      <c r="A4839" s="2" t="str">
        <f>"SAO BERNARDO DO CAMPO"</f>
        <v>SAO BERNARDO DO CAMPO</v>
      </c>
      <c r="B4839" s="3" t="str">
        <f>"SP"</f>
        <v>SP</v>
      </c>
      <c r="C4839" s="3" t="str">
        <f t="shared" si="185"/>
        <v>BRASIL</v>
      </c>
      <c r="D4839" s="4" t="str">
        <f>"SBC1"</f>
        <v>SBC1</v>
      </c>
    </row>
    <row r="4840" spans="1:4" x14ac:dyDescent="0.3">
      <c r="A4840" s="2" t="str">
        <f>"SAO BERNARDO DOS CAMPOS"</f>
        <v>SAO BERNARDO DOS CAMPOS</v>
      </c>
      <c r="B4840" s="3" t="str">
        <f>"SP"</f>
        <v>SP</v>
      </c>
      <c r="C4840" s="3" t="str">
        <f t="shared" si="185"/>
        <v>BRASIL</v>
      </c>
      <c r="D4840" s="4" t="str">
        <f>"SBC"</f>
        <v>SBC</v>
      </c>
    </row>
    <row r="4841" spans="1:4" x14ac:dyDescent="0.3">
      <c r="A4841" s="2" t="str">
        <f>"SAO BONIFACIO"</f>
        <v>SAO BONIFACIO</v>
      </c>
      <c r="B4841" s="3" t="str">
        <f>"SC"</f>
        <v>SC</v>
      </c>
      <c r="C4841" s="3" t="str">
        <f t="shared" si="185"/>
        <v>BRASIL</v>
      </c>
      <c r="D4841" s="4" t="str">
        <f>"SC238"</f>
        <v>SC238</v>
      </c>
    </row>
    <row r="4842" spans="1:4" x14ac:dyDescent="0.3">
      <c r="A4842" s="2" t="str">
        <f>"SAO BORJA"</f>
        <v>SAO BORJA</v>
      </c>
      <c r="B4842" s="3" t="str">
        <f>"RS"</f>
        <v>RS</v>
      </c>
      <c r="C4842" s="3" t="str">
        <f t="shared" si="185"/>
        <v>BRASIL</v>
      </c>
      <c r="D4842" s="4" t="str">
        <f>"RS381"</f>
        <v>RS381</v>
      </c>
    </row>
    <row r="4843" spans="1:4" x14ac:dyDescent="0.3">
      <c r="A4843" s="2" t="str">
        <f>"SAO BRAS"</f>
        <v>SAO BRAS</v>
      </c>
      <c r="B4843" s="3" t="str">
        <f>"AL"</f>
        <v>AL</v>
      </c>
      <c r="C4843" s="3" t="str">
        <f t="shared" si="185"/>
        <v>BRASIL</v>
      </c>
      <c r="D4843" s="4" t="str">
        <f>"AL088"</f>
        <v>AL088</v>
      </c>
    </row>
    <row r="4844" spans="1:4" x14ac:dyDescent="0.3">
      <c r="A4844" s="2" t="str">
        <f>"SAO BRAS DO SUACUI"</f>
        <v>SAO BRAS DO SUACUI</v>
      </c>
      <c r="B4844" s="3" t="str">
        <f>"MG"</f>
        <v>MG</v>
      </c>
      <c r="C4844" s="3" t="str">
        <f t="shared" si="185"/>
        <v>BRASIL</v>
      </c>
      <c r="D4844" s="4" t="str">
        <f>"MG709"</f>
        <v>MG709</v>
      </c>
    </row>
    <row r="4845" spans="1:4" x14ac:dyDescent="0.3">
      <c r="A4845" s="2" t="str">
        <f>"SAO BRAZ DO PIAUI"</f>
        <v>SAO BRAZ DO PIAUI</v>
      </c>
      <c r="B4845" s="3" t="str">
        <f>"PI"</f>
        <v>PI</v>
      </c>
      <c r="C4845" s="3" t="str">
        <f t="shared" si="185"/>
        <v>BRASIL</v>
      </c>
      <c r="D4845" s="4" t="str">
        <f>"PI183"</f>
        <v>PI183</v>
      </c>
    </row>
    <row r="4846" spans="1:4" x14ac:dyDescent="0.3">
      <c r="A4846" s="2" t="str">
        <f>"SAO CAETANO DE ODIVELAS"</f>
        <v>SAO CAETANO DE ODIVELAS</v>
      </c>
      <c r="B4846" s="3" t="str">
        <f>"PA"</f>
        <v>PA</v>
      </c>
      <c r="C4846" s="3" t="str">
        <f t="shared" si="185"/>
        <v>BRASIL</v>
      </c>
      <c r="D4846" s="4" t="str">
        <f>"PA116"</f>
        <v>PA116</v>
      </c>
    </row>
    <row r="4847" spans="1:4" x14ac:dyDescent="0.3">
      <c r="A4847" s="2" t="str">
        <f>"SAO CAETANO DO SUL"</f>
        <v>SAO CAETANO DO SUL</v>
      </c>
      <c r="B4847" s="3" t="str">
        <f>"SP"</f>
        <v>SP</v>
      </c>
      <c r="C4847" s="3" t="str">
        <f t="shared" si="185"/>
        <v>BRASIL</v>
      </c>
      <c r="D4847" s="4" t="str">
        <f>"SP546"</f>
        <v>SP546</v>
      </c>
    </row>
    <row r="4848" spans="1:4" x14ac:dyDescent="0.3">
      <c r="A4848" s="2" t="str">
        <f>"SAO CAITANO"</f>
        <v>SAO CAITANO</v>
      </c>
      <c r="B4848" s="3" t="str">
        <f>"PE"</f>
        <v>PE</v>
      </c>
      <c r="C4848" s="3" t="str">
        <f t="shared" si="185"/>
        <v>BRASIL</v>
      </c>
      <c r="D4848" s="4" t="str">
        <f>"PE150"</f>
        <v>PE150</v>
      </c>
    </row>
    <row r="4849" spans="1:4" x14ac:dyDescent="0.3">
      <c r="A4849" s="2" t="str">
        <f>"SAO CARLOS"</f>
        <v>SAO CARLOS</v>
      </c>
      <c r="B4849" s="3" t="str">
        <f>"SC"</f>
        <v>SC</v>
      </c>
      <c r="C4849" s="3" t="str">
        <f t="shared" si="185"/>
        <v>BRASIL</v>
      </c>
      <c r="D4849" s="4" t="str">
        <f>"SC239"</f>
        <v>SC239</v>
      </c>
    </row>
    <row r="4850" spans="1:4" x14ac:dyDescent="0.3">
      <c r="A4850" s="2" t="str">
        <f>"SAO CARLOS"</f>
        <v>SAO CARLOS</v>
      </c>
      <c r="B4850" s="3" t="str">
        <f>"SP"</f>
        <v>SP</v>
      </c>
      <c r="C4850" s="3" t="str">
        <f t="shared" si="185"/>
        <v>BRASIL</v>
      </c>
      <c r="D4850" s="4" t="str">
        <f>"SP547"</f>
        <v>SP547</v>
      </c>
    </row>
    <row r="4851" spans="1:4" x14ac:dyDescent="0.3">
      <c r="A4851" s="2" t="str">
        <f>"SAO CARLOS DO IVAI"</f>
        <v>SAO CARLOS DO IVAI</v>
      </c>
      <c r="B4851" s="3" t="str">
        <f>"PR"</f>
        <v>PR</v>
      </c>
      <c r="C4851" s="3" t="str">
        <f t="shared" si="185"/>
        <v>BRASIL</v>
      </c>
      <c r="D4851" s="4" t="str">
        <f>"PR339"</f>
        <v>PR339</v>
      </c>
    </row>
    <row r="4852" spans="1:4" x14ac:dyDescent="0.3">
      <c r="A4852" s="2" t="str">
        <f>"SAO CRISTOVAO"</f>
        <v>SAO CRISTOVAO</v>
      </c>
      <c r="B4852" s="3" t="str">
        <f>"SE"</f>
        <v>SE</v>
      </c>
      <c r="C4852" s="3" t="str">
        <f t="shared" si="185"/>
        <v>BRASIL</v>
      </c>
      <c r="D4852" s="4" t="str">
        <f>"SE066"</f>
        <v>SE066</v>
      </c>
    </row>
    <row r="4853" spans="1:4" x14ac:dyDescent="0.3">
      <c r="A4853" s="2" t="str">
        <f>"SAO CRISTOVAO DO SUL"</f>
        <v>SAO CRISTOVAO DO SUL</v>
      </c>
      <c r="B4853" s="3" t="str">
        <f>"SC"</f>
        <v>SC</v>
      </c>
      <c r="C4853" s="3" t="str">
        <f t="shared" si="185"/>
        <v>BRASIL</v>
      </c>
      <c r="D4853" s="4" t="str">
        <f>"SC240"</f>
        <v>SC240</v>
      </c>
    </row>
    <row r="4854" spans="1:4" x14ac:dyDescent="0.3">
      <c r="A4854" s="2" t="str">
        <f>"SAO DESIDERIO"</f>
        <v>SAO DESIDERIO</v>
      </c>
      <c r="B4854" s="3" t="str">
        <f>"BA"</f>
        <v>BA</v>
      </c>
      <c r="C4854" s="3" t="str">
        <f t="shared" si="185"/>
        <v>BRASIL</v>
      </c>
      <c r="D4854" s="4" t="str">
        <f>"BA352"</f>
        <v>BA352</v>
      </c>
    </row>
    <row r="4855" spans="1:4" x14ac:dyDescent="0.3">
      <c r="A4855" s="2" t="str">
        <f>"SAO DOMINGOS"</f>
        <v>SAO DOMINGOS</v>
      </c>
      <c r="B4855" s="3" t="str">
        <f>"BA"</f>
        <v>BA</v>
      </c>
      <c r="C4855" s="3" t="str">
        <f t="shared" si="185"/>
        <v>BRASIL</v>
      </c>
      <c r="D4855" s="4" t="str">
        <f>"BA353"</f>
        <v>BA353</v>
      </c>
    </row>
    <row r="4856" spans="1:4" x14ac:dyDescent="0.3">
      <c r="A4856" s="2" t="str">
        <f>"SAO DOMINGOS"</f>
        <v>SAO DOMINGOS</v>
      </c>
      <c r="B4856" s="3" t="str">
        <f>"GO"</f>
        <v>GO</v>
      </c>
      <c r="C4856" s="3" t="str">
        <f t="shared" si="185"/>
        <v>BRASIL</v>
      </c>
      <c r="D4856" s="4" t="str">
        <f>"GO214"</f>
        <v>GO214</v>
      </c>
    </row>
    <row r="4857" spans="1:4" x14ac:dyDescent="0.3">
      <c r="A4857" s="2" t="str">
        <f>"SAO DOMINGOS"</f>
        <v>SAO DOMINGOS</v>
      </c>
      <c r="B4857" s="3" t="str">
        <f>"PB"</f>
        <v>PB</v>
      </c>
      <c r="C4857" s="3" t="str">
        <f t="shared" si="185"/>
        <v>BRASIL</v>
      </c>
      <c r="D4857" s="4" t="str">
        <f>"PB181"</f>
        <v>PB181</v>
      </c>
    </row>
    <row r="4858" spans="1:4" x14ac:dyDescent="0.3">
      <c r="A4858" s="2" t="str">
        <f>"SAO DOMINGOS"</f>
        <v>SAO DOMINGOS</v>
      </c>
      <c r="B4858" s="3" t="str">
        <f>"SC"</f>
        <v>SC</v>
      </c>
      <c r="C4858" s="3" t="str">
        <f t="shared" si="185"/>
        <v>BRASIL</v>
      </c>
      <c r="D4858" s="4" t="str">
        <f>"SC241"</f>
        <v>SC241</v>
      </c>
    </row>
    <row r="4859" spans="1:4" x14ac:dyDescent="0.3">
      <c r="A4859" s="2" t="str">
        <f>"SAO DOMINGOS"</f>
        <v>SAO DOMINGOS</v>
      </c>
      <c r="B4859" s="3" t="str">
        <f>"SE"</f>
        <v>SE</v>
      </c>
      <c r="C4859" s="3" t="str">
        <f t="shared" si="185"/>
        <v>BRASIL</v>
      </c>
      <c r="D4859" s="4" t="str">
        <f>"SE067"</f>
        <v>SE067</v>
      </c>
    </row>
    <row r="4860" spans="1:4" x14ac:dyDescent="0.3">
      <c r="A4860" s="2" t="str">
        <f>"SAO DOMINGOS DAS DORES"</f>
        <v>SAO DOMINGOS DAS DORES</v>
      </c>
      <c r="B4860" s="3" t="str">
        <f>"MG"</f>
        <v>MG</v>
      </c>
      <c r="C4860" s="3" t="str">
        <f t="shared" si="185"/>
        <v>BRASIL</v>
      </c>
      <c r="D4860" s="4" t="str">
        <f>"MG710"</f>
        <v>MG710</v>
      </c>
    </row>
    <row r="4861" spans="1:4" x14ac:dyDescent="0.3">
      <c r="A4861" s="2" t="str">
        <f>"SAO DOMINGOS DO ARAGUAIA"</f>
        <v>SAO DOMINGOS DO ARAGUAIA</v>
      </c>
      <c r="B4861" s="3" t="str">
        <f>"PA"</f>
        <v>PA</v>
      </c>
      <c r="C4861" s="3" t="str">
        <f t="shared" si="185"/>
        <v>BRASIL</v>
      </c>
      <c r="D4861" s="4" t="str">
        <f>"PA117"</f>
        <v>PA117</v>
      </c>
    </row>
    <row r="4862" spans="1:4" x14ac:dyDescent="0.3">
      <c r="A4862" s="2" t="str">
        <f>"SAO DOMINGOS DO AZEITAO"</f>
        <v>SAO DOMINGOS DO AZEITAO</v>
      </c>
      <c r="B4862" s="3" t="str">
        <f>"MA"</f>
        <v>MA</v>
      </c>
      <c r="C4862" s="3" t="str">
        <f t="shared" si="185"/>
        <v>BRASIL</v>
      </c>
      <c r="D4862" s="4" t="str">
        <f>"MA174"</f>
        <v>MA174</v>
      </c>
    </row>
    <row r="4863" spans="1:4" x14ac:dyDescent="0.3">
      <c r="A4863" s="2" t="str">
        <f>"SAO DOMINGOS DO CAPIM"</f>
        <v>SAO DOMINGOS DO CAPIM</v>
      </c>
      <c r="B4863" s="3" t="str">
        <f>"PA"</f>
        <v>PA</v>
      </c>
      <c r="C4863" s="3" t="str">
        <f t="shared" si="185"/>
        <v>BRASIL</v>
      </c>
      <c r="D4863" s="4" t="str">
        <f>"PA118"</f>
        <v>PA118</v>
      </c>
    </row>
    <row r="4864" spans="1:4" x14ac:dyDescent="0.3">
      <c r="A4864" s="2" t="str">
        <f>"SAO DOMINGOS DO CARIRI"</f>
        <v>SAO DOMINGOS DO CARIRI</v>
      </c>
      <c r="B4864" s="3" t="str">
        <f>"PB"</f>
        <v>PB</v>
      </c>
      <c r="C4864" s="3" t="str">
        <f t="shared" si="185"/>
        <v>BRASIL</v>
      </c>
      <c r="D4864" s="4" t="str">
        <f>"PB180"</f>
        <v>PB180</v>
      </c>
    </row>
    <row r="4865" spans="1:4" x14ac:dyDescent="0.3">
      <c r="A4865" s="2" t="str">
        <f>"SAO DOMINGOS DO MARANHAO"</f>
        <v>SAO DOMINGOS DO MARANHAO</v>
      </c>
      <c r="B4865" s="3" t="str">
        <f>"MA"</f>
        <v>MA</v>
      </c>
      <c r="C4865" s="3" t="str">
        <f t="shared" si="185"/>
        <v>BRASIL</v>
      </c>
      <c r="D4865" s="4" t="str">
        <f>"MA175"</f>
        <v>MA175</v>
      </c>
    </row>
    <row r="4866" spans="1:4" x14ac:dyDescent="0.3">
      <c r="A4866" s="2" t="str">
        <f>"SAO DOMINGOS DO NORTE"</f>
        <v>SAO DOMINGOS DO NORTE</v>
      </c>
      <c r="B4866" s="3" t="str">
        <f>"ES"</f>
        <v>ES</v>
      </c>
      <c r="C4866" s="3" t="str">
        <f t="shared" si="185"/>
        <v>BRASIL</v>
      </c>
      <c r="D4866" s="4" t="str">
        <f>"ES065"</f>
        <v>ES065</v>
      </c>
    </row>
    <row r="4867" spans="1:4" x14ac:dyDescent="0.3">
      <c r="A4867" s="2" t="str">
        <f>"SAO DOMINGOS DO PRATA"</f>
        <v>SAO DOMINGOS DO PRATA</v>
      </c>
      <c r="B4867" s="3" t="str">
        <f>"MG"</f>
        <v>MG</v>
      </c>
      <c r="C4867" s="3" t="str">
        <f t="shared" si="185"/>
        <v>BRASIL</v>
      </c>
      <c r="D4867" s="4" t="str">
        <f>"MG711"</f>
        <v>MG711</v>
      </c>
    </row>
    <row r="4868" spans="1:4" x14ac:dyDescent="0.3">
      <c r="A4868" s="2" t="str">
        <f>"SAO DOMINGOS DO SUL"</f>
        <v>SAO DOMINGOS DO SUL</v>
      </c>
      <c r="B4868" s="3" t="str">
        <f>"RS"</f>
        <v>RS</v>
      </c>
      <c r="C4868" s="3" t="str">
        <f t="shared" si="185"/>
        <v>BRASIL</v>
      </c>
      <c r="D4868" s="4" t="str">
        <f>"RS382"</f>
        <v>RS382</v>
      </c>
    </row>
    <row r="4869" spans="1:4" x14ac:dyDescent="0.3">
      <c r="A4869" s="2" t="str">
        <f>"SAO FELIPE"</f>
        <v>SAO FELIPE</v>
      </c>
      <c r="B4869" s="3" t="str">
        <f>"BA"</f>
        <v>BA</v>
      </c>
      <c r="C4869" s="3" t="str">
        <f t="shared" si="185"/>
        <v>BRASIL</v>
      </c>
      <c r="D4869" s="4" t="str">
        <f>"BA356"</f>
        <v>BA356</v>
      </c>
    </row>
    <row r="4870" spans="1:4" x14ac:dyDescent="0.3">
      <c r="A4870" s="2" t="str">
        <f>"SAO FELIPE D'OESTE"</f>
        <v>SAO FELIPE D'OESTE</v>
      </c>
      <c r="B4870" s="3" t="str">
        <f>"RO"</f>
        <v>RO</v>
      </c>
      <c r="C4870" s="3" t="str">
        <f t="shared" si="185"/>
        <v>BRASIL</v>
      </c>
      <c r="D4870" s="4" t="str">
        <f>"RO045"</f>
        <v>RO045</v>
      </c>
    </row>
    <row r="4871" spans="1:4" x14ac:dyDescent="0.3">
      <c r="A4871" s="2" t="str">
        <f>"SAO FELIX"</f>
        <v>SAO FELIX</v>
      </c>
      <c r="B4871" s="3" t="str">
        <f>"BA"</f>
        <v>BA</v>
      </c>
      <c r="C4871" s="3" t="str">
        <f t="shared" si="185"/>
        <v>BRASIL</v>
      </c>
      <c r="D4871" s="4" t="str">
        <f>"BA354"</f>
        <v>BA354</v>
      </c>
    </row>
    <row r="4872" spans="1:4" x14ac:dyDescent="0.3">
      <c r="A4872" s="2" t="str">
        <f>"SAO FELIX DE BALSAS"</f>
        <v>SAO FELIX DE BALSAS</v>
      </c>
      <c r="B4872" s="3" t="str">
        <f>"MA"</f>
        <v>MA</v>
      </c>
      <c r="C4872" s="3" t="str">
        <f t="shared" si="185"/>
        <v>BRASIL</v>
      </c>
      <c r="D4872" s="4" t="str">
        <f>"MA176"</f>
        <v>MA176</v>
      </c>
    </row>
    <row r="4873" spans="1:4" x14ac:dyDescent="0.3">
      <c r="A4873" s="2" t="str">
        <f>"SAO FELIX DE MINAS"</f>
        <v>SAO FELIX DE MINAS</v>
      </c>
      <c r="B4873" s="3" t="str">
        <f>"MG"</f>
        <v>MG</v>
      </c>
      <c r="C4873" s="3" t="str">
        <f t="shared" si="185"/>
        <v>BRASIL</v>
      </c>
      <c r="D4873" s="4" t="str">
        <f>"MG712"</f>
        <v>MG712</v>
      </c>
    </row>
    <row r="4874" spans="1:4" x14ac:dyDescent="0.3">
      <c r="A4874" s="2" t="str">
        <f>"SAO FELIX DO ARAGUAIA"</f>
        <v>SAO FELIX DO ARAGUAIA</v>
      </c>
      <c r="B4874" s="3" t="str">
        <f>"MT"</f>
        <v>MT</v>
      </c>
      <c r="C4874" s="3" t="str">
        <f t="shared" si="185"/>
        <v>BRASIL</v>
      </c>
      <c r="D4874" s="4" t="str">
        <f>"MT122"</f>
        <v>MT122</v>
      </c>
    </row>
    <row r="4875" spans="1:4" x14ac:dyDescent="0.3">
      <c r="A4875" s="2" t="str">
        <f>"SAO FELIX DO CORIBE"</f>
        <v>SAO FELIX DO CORIBE</v>
      </c>
      <c r="B4875" s="3" t="str">
        <f>"BA"</f>
        <v>BA</v>
      </c>
      <c r="C4875" s="3" t="str">
        <f t="shared" si="185"/>
        <v>BRASIL</v>
      </c>
      <c r="D4875" s="4" t="str">
        <f>"BA355"</f>
        <v>BA355</v>
      </c>
    </row>
    <row r="4876" spans="1:4" x14ac:dyDescent="0.3">
      <c r="A4876" s="2" t="str">
        <f>"SAO FELIX DO PIAUI"</f>
        <v>SAO FELIX DO PIAUI</v>
      </c>
      <c r="B4876" s="3" t="str">
        <f>"PI"</f>
        <v>PI</v>
      </c>
      <c r="C4876" s="3" t="str">
        <f t="shared" si="185"/>
        <v>BRASIL</v>
      </c>
      <c r="D4876" s="4" t="str">
        <f>"PI184"</f>
        <v>PI184</v>
      </c>
    </row>
    <row r="4877" spans="1:4" x14ac:dyDescent="0.3">
      <c r="A4877" s="2" t="str">
        <f>"SAO FELIX DO TOCANTINS"</f>
        <v>SAO FELIX DO TOCANTINS</v>
      </c>
      <c r="B4877" s="3" t="str">
        <f>"TO"</f>
        <v>TO</v>
      </c>
      <c r="C4877" s="3" t="str">
        <f t="shared" si="185"/>
        <v>BRASIL</v>
      </c>
      <c r="D4877" s="4" t="str">
        <f>"TO122"</f>
        <v>TO122</v>
      </c>
    </row>
    <row r="4878" spans="1:4" x14ac:dyDescent="0.3">
      <c r="A4878" s="2" t="str">
        <f>"SAO FELIX DO XINGU"</f>
        <v>SAO FELIX DO XINGU</v>
      </c>
      <c r="B4878" s="3" t="str">
        <f>"PA"</f>
        <v>PA</v>
      </c>
      <c r="C4878" s="3" t="str">
        <f t="shared" si="185"/>
        <v>BRASIL</v>
      </c>
      <c r="D4878" s="4" t="str">
        <f>"PA119"</f>
        <v>PA119</v>
      </c>
    </row>
    <row r="4879" spans="1:4" x14ac:dyDescent="0.3">
      <c r="A4879" s="2" t="str">
        <f>"SAO FERNANDO"</f>
        <v>SAO FERNANDO</v>
      </c>
      <c r="B4879" s="3" t="str">
        <f>"RN"</f>
        <v>RN</v>
      </c>
      <c r="C4879" s="3" t="str">
        <f t="shared" si="185"/>
        <v>BRASIL</v>
      </c>
      <c r="D4879" s="4" t="str">
        <f>"RN129"</f>
        <v>RN129</v>
      </c>
    </row>
    <row r="4880" spans="1:4" x14ac:dyDescent="0.3">
      <c r="A4880" s="2" t="str">
        <f>"SAO FIDELIS"</f>
        <v>SAO FIDELIS</v>
      </c>
      <c r="B4880" s="3" t="str">
        <f>"RJ"</f>
        <v>RJ</v>
      </c>
      <c r="C4880" s="3" t="str">
        <f t="shared" si="185"/>
        <v>BRASIL</v>
      </c>
      <c r="D4880" s="4" t="str">
        <f>"RJ072"</f>
        <v>RJ072</v>
      </c>
    </row>
    <row r="4881" spans="1:4" x14ac:dyDescent="0.3">
      <c r="A4881" s="2" t="str">
        <f>"SAO FRANCISCO"</f>
        <v>SAO FRANCISCO</v>
      </c>
      <c r="B4881" s="3" t="str">
        <f>"MG"</f>
        <v>MG</v>
      </c>
      <c r="C4881" s="3" t="str">
        <f t="shared" si="185"/>
        <v>BRASIL</v>
      </c>
      <c r="D4881" s="4" t="str">
        <f>"MG713"</f>
        <v>MG713</v>
      </c>
    </row>
    <row r="4882" spans="1:4" x14ac:dyDescent="0.3">
      <c r="A4882" s="2" t="str">
        <f>"SAO FRANCISCO"</f>
        <v>SAO FRANCISCO</v>
      </c>
      <c r="B4882" s="3" t="str">
        <f>"PB"</f>
        <v>PB</v>
      </c>
      <c r="C4882" s="3" t="str">
        <f t="shared" si="185"/>
        <v>BRASIL</v>
      </c>
      <c r="D4882" s="4" t="str">
        <f>"PB182"</f>
        <v>PB182</v>
      </c>
    </row>
    <row r="4883" spans="1:4" x14ac:dyDescent="0.3">
      <c r="A4883" s="2" t="str">
        <f>"SAO FRANCISCO"</f>
        <v>SAO FRANCISCO</v>
      </c>
      <c r="B4883" s="3" t="str">
        <f>"SE"</f>
        <v>SE</v>
      </c>
      <c r="C4883" s="3" t="str">
        <f t="shared" si="185"/>
        <v>BRASIL</v>
      </c>
      <c r="D4883" s="4" t="str">
        <f>"SE068"</f>
        <v>SE068</v>
      </c>
    </row>
    <row r="4884" spans="1:4" x14ac:dyDescent="0.3">
      <c r="A4884" s="2" t="str">
        <f>"SAO FRANCISCO"</f>
        <v>SAO FRANCISCO</v>
      </c>
      <c r="B4884" s="3" t="str">
        <f>"SP"</f>
        <v>SP</v>
      </c>
      <c r="C4884" s="3" t="str">
        <f t="shared" si="185"/>
        <v>BRASIL</v>
      </c>
      <c r="D4884" s="4" t="str">
        <f>"SP548"</f>
        <v>SP548</v>
      </c>
    </row>
    <row r="4885" spans="1:4" x14ac:dyDescent="0.3">
      <c r="A4885" s="2" t="str">
        <f>"SAO FRANCISCO DE ASSIS"</f>
        <v>SAO FRANCISCO DE ASSIS</v>
      </c>
      <c r="B4885" s="3" t="str">
        <f>"RS"</f>
        <v>RS</v>
      </c>
      <c r="C4885" s="3" t="str">
        <f t="shared" si="185"/>
        <v>BRASIL</v>
      </c>
      <c r="D4885" s="4" t="str">
        <f>"RS383"</f>
        <v>RS383</v>
      </c>
    </row>
    <row r="4886" spans="1:4" x14ac:dyDescent="0.3">
      <c r="A4886" s="2" t="str">
        <f>"SAO FRANCISCO DE ASSIS DO"</f>
        <v>SAO FRANCISCO DE ASSIS DO</v>
      </c>
      <c r="B4886" s="3" t="str">
        <f>"PI"</f>
        <v>PI</v>
      </c>
      <c r="C4886" s="3" t="str">
        <f t="shared" si="185"/>
        <v>BRASIL</v>
      </c>
      <c r="D4886" s="4" t="str">
        <f>"PI185"</f>
        <v>PI185</v>
      </c>
    </row>
    <row r="4887" spans="1:4" x14ac:dyDescent="0.3">
      <c r="A4887" s="2" t="str">
        <f>"SAO FRANCISCO DE GOIAS"</f>
        <v>SAO FRANCISCO DE GOIAS</v>
      </c>
      <c r="B4887" s="3" t="str">
        <f>"GO"</f>
        <v>GO</v>
      </c>
      <c r="C4887" s="3" t="str">
        <f t="shared" si="185"/>
        <v>BRASIL</v>
      </c>
      <c r="D4887" s="4" t="str">
        <f>"GO215"</f>
        <v>GO215</v>
      </c>
    </row>
    <row r="4888" spans="1:4" x14ac:dyDescent="0.3">
      <c r="A4888" s="2" t="str">
        <f>"SAO FRANCISCO DE ITABAPOA"</f>
        <v>SAO FRANCISCO DE ITABAPOA</v>
      </c>
      <c r="B4888" s="3" t="str">
        <f>"RJ"</f>
        <v>RJ</v>
      </c>
      <c r="C4888" s="3" t="str">
        <f t="shared" si="185"/>
        <v>BRASIL</v>
      </c>
      <c r="D4888" s="4" t="str">
        <f>"RJ071"</f>
        <v>RJ071</v>
      </c>
    </row>
    <row r="4889" spans="1:4" x14ac:dyDescent="0.3">
      <c r="A4889" s="2" t="str">
        <f>"SAO FRANCISCO DE PAULA"</f>
        <v>SAO FRANCISCO DE PAULA</v>
      </c>
      <c r="B4889" s="3" t="str">
        <f>"MG"</f>
        <v>MG</v>
      </c>
      <c r="C4889" s="3" t="str">
        <f t="shared" si="185"/>
        <v>BRASIL</v>
      </c>
      <c r="D4889" s="4" t="str">
        <f>"MG714"</f>
        <v>MG714</v>
      </c>
    </row>
    <row r="4890" spans="1:4" x14ac:dyDescent="0.3">
      <c r="A4890" s="2" t="str">
        <f>"SAO FRANCISCO DE PAULA"</f>
        <v>SAO FRANCISCO DE PAULA</v>
      </c>
      <c r="B4890" s="3" t="str">
        <f>"RS"</f>
        <v>RS</v>
      </c>
      <c r="C4890" s="3" t="str">
        <f t="shared" si="185"/>
        <v>BRASIL</v>
      </c>
      <c r="D4890" s="4" t="str">
        <f>"RS384"</f>
        <v>RS384</v>
      </c>
    </row>
    <row r="4891" spans="1:4" x14ac:dyDescent="0.3">
      <c r="A4891" s="2" t="str">
        <f>"SAO FRANCISCO DE SALES"</f>
        <v>SAO FRANCISCO DE SALES</v>
      </c>
      <c r="B4891" s="3" t="str">
        <f>"MG"</f>
        <v>MG</v>
      </c>
      <c r="C4891" s="3" t="str">
        <f t="shared" si="185"/>
        <v>BRASIL</v>
      </c>
      <c r="D4891" s="4" t="str">
        <f>"MG715"</f>
        <v>MG715</v>
      </c>
    </row>
    <row r="4892" spans="1:4" x14ac:dyDescent="0.3">
      <c r="A4892" s="2" t="str">
        <f>"SAO FRANCISCO DO BREJAO"</f>
        <v>SAO FRANCISCO DO BREJAO</v>
      </c>
      <c r="B4892" s="3" t="str">
        <f>"MA"</f>
        <v>MA</v>
      </c>
      <c r="C4892" s="3" t="str">
        <f t="shared" si="185"/>
        <v>BRASIL</v>
      </c>
      <c r="D4892" s="4" t="str">
        <f>"MA177"</f>
        <v>MA177</v>
      </c>
    </row>
    <row r="4893" spans="1:4" x14ac:dyDescent="0.3">
      <c r="A4893" s="2" t="str">
        <f>"SAO FRANCISCO DO CONDE"</f>
        <v>SAO FRANCISCO DO CONDE</v>
      </c>
      <c r="B4893" s="3" t="str">
        <f>"BA"</f>
        <v>BA</v>
      </c>
      <c r="C4893" s="3" t="str">
        <f t="shared" si="185"/>
        <v>BRASIL</v>
      </c>
      <c r="D4893" s="4" t="str">
        <f>"BA357"</f>
        <v>BA357</v>
      </c>
    </row>
    <row r="4894" spans="1:4" x14ac:dyDescent="0.3">
      <c r="A4894" s="2" t="str">
        <f>"SAO FRANCISCO DO GLORIA"</f>
        <v>SAO FRANCISCO DO GLORIA</v>
      </c>
      <c r="B4894" s="3" t="str">
        <f>"MG"</f>
        <v>MG</v>
      </c>
      <c r="C4894" s="3" t="str">
        <f t="shared" si="185"/>
        <v>BRASIL</v>
      </c>
      <c r="D4894" s="4" t="str">
        <f>"MG716"</f>
        <v>MG716</v>
      </c>
    </row>
    <row r="4895" spans="1:4" x14ac:dyDescent="0.3">
      <c r="A4895" s="2" t="str">
        <f>"SAO FRANCISCO DO GUAPORE"</f>
        <v>SAO FRANCISCO DO GUAPORE</v>
      </c>
      <c r="B4895" s="3" t="str">
        <f>"RO"</f>
        <v>RO</v>
      </c>
      <c r="C4895" s="3" t="str">
        <f t="shared" si="185"/>
        <v>BRASIL</v>
      </c>
      <c r="D4895" s="4" t="str">
        <f>"RO046"</f>
        <v>RO046</v>
      </c>
    </row>
    <row r="4896" spans="1:4" x14ac:dyDescent="0.3">
      <c r="A4896" s="2" t="str">
        <f>"SAO FRANCISCO DO MARANHAO"</f>
        <v>SAO FRANCISCO DO MARANHAO</v>
      </c>
      <c r="B4896" s="3" t="str">
        <f>"MA"</f>
        <v>MA</v>
      </c>
      <c r="C4896" s="3" t="str">
        <f t="shared" ref="C4896:C4959" si="186">"BRASIL"</f>
        <v>BRASIL</v>
      </c>
      <c r="D4896" s="4" t="str">
        <f>"MA178"</f>
        <v>MA178</v>
      </c>
    </row>
    <row r="4897" spans="1:4" x14ac:dyDescent="0.3">
      <c r="A4897" s="2" t="str">
        <f>"SAO FRANCISCO DO OESTE"</f>
        <v>SAO FRANCISCO DO OESTE</v>
      </c>
      <c r="B4897" s="3" t="str">
        <f>"RN"</f>
        <v>RN</v>
      </c>
      <c r="C4897" s="3" t="str">
        <f t="shared" si="186"/>
        <v>BRASIL</v>
      </c>
      <c r="D4897" s="4" t="str">
        <f>"RN130"</f>
        <v>RN130</v>
      </c>
    </row>
    <row r="4898" spans="1:4" x14ac:dyDescent="0.3">
      <c r="A4898" s="2" t="str">
        <f>"SAO FRANCISCO DO PARA"</f>
        <v>SAO FRANCISCO DO PARA</v>
      </c>
      <c r="B4898" s="3" t="str">
        <f>"PA"</f>
        <v>PA</v>
      </c>
      <c r="C4898" s="3" t="str">
        <f t="shared" si="186"/>
        <v>BRASIL</v>
      </c>
      <c r="D4898" s="4" t="str">
        <f>"PA120"</f>
        <v>PA120</v>
      </c>
    </row>
    <row r="4899" spans="1:4" x14ac:dyDescent="0.3">
      <c r="A4899" s="2" t="str">
        <f>"SAO FRANCISCO DO PIAUI"</f>
        <v>SAO FRANCISCO DO PIAUI</v>
      </c>
      <c r="B4899" s="3" t="str">
        <f>"PI"</f>
        <v>PI</v>
      </c>
      <c r="C4899" s="3" t="str">
        <f t="shared" si="186"/>
        <v>BRASIL</v>
      </c>
      <c r="D4899" s="4" t="str">
        <f>"PI186"</f>
        <v>PI186</v>
      </c>
    </row>
    <row r="4900" spans="1:4" x14ac:dyDescent="0.3">
      <c r="A4900" s="2" t="str">
        <f>"SAO FRANCISCO DO SUL"</f>
        <v>SAO FRANCISCO DO SUL</v>
      </c>
      <c r="B4900" s="3" t="str">
        <f>"SC"</f>
        <v>SC</v>
      </c>
      <c r="C4900" s="3" t="str">
        <f t="shared" si="186"/>
        <v>BRASIL</v>
      </c>
      <c r="D4900" s="4" t="str">
        <f>"SC242"</f>
        <v>SC242</v>
      </c>
    </row>
    <row r="4901" spans="1:4" x14ac:dyDescent="0.3">
      <c r="A4901" s="2" t="str">
        <f>"SAO GABRIEL"</f>
        <v>SAO GABRIEL</v>
      </c>
      <c r="B4901" s="3" t="str">
        <f>"BA"</f>
        <v>BA</v>
      </c>
      <c r="C4901" s="3" t="str">
        <f t="shared" si="186"/>
        <v>BRASIL</v>
      </c>
      <c r="D4901" s="4" t="str">
        <f>"BA358"</f>
        <v>BA358</v>
      </c>
    </row>
    <row r="4902" spans="1:4" x14ac:dyDescent="0.3">
      <c r="A4902" s="2" t="str">
        <f>"SAO GABRIEL"</f>
        <v>SAO GABRIEL</v>
      </c>
      <c r="B4902" s="3" t="str">
        <f>"RS"</f>
        <v>RS</v>
      </c>
      <c r="C4902" s="3" t="str">
        <f t="shared" si="186"/>
        <v>BRASIL</v>
      </c>
      <c r="D4902" s="4" t="str">
        <f>"RS385"</f>
        <v>RS385</v>
      </c>
    </row>
    <row r="4903" spans="1:4" x14ac:dyDescent="0.3">
      <c r="A4903" s="2" t="str">
        <f>"SAO GABRIEL DA CACHOEIRA"</f>
        <v>SAO GABRIEL DA CACHOEIRA</v>
      </c>
      <c r="B4903" s="3" t="str">
        <f>"AM"</f>
        <v>AM</v>
      </c>
      <c r="C4903" s="3" t="str">
        <f t="shared" si="186"/>
        <v>BRASIL</v>
      </c>
      <c r="D4903" s="4" t="str">
        <f>"AM052"</f>
        <v>AM052</v>
      </c>
    </row>
    <row r="4904" spans="1:4" x14ac:dyDescent="0.3">
      <c r="A4904" s="2" t="str">
        <f>"SAO GABRIEL DA PALHA"</f>
        <v>SAO GABRIEL DA PALHA</v>
      </c>
      <c r="B4904" s="3" t="str">
        <f>"ES"</f>
        <v>ES</v>
      </c>
      <c r="C4904" s="3" t="str">
        <f t="shared" si="186"/>
        <v>BRASIL</v>
      </c>
      <c r="D4904" s="4" t="str">
        <f>"ES066"</f>
        <v>ES066</v>
      </c>
    </row>
    <row r="4905" spans="1:4" x14ac:dyDescent="0.3">
      <c r="A4905" s="2" t="str">
        <f>"SAO GABRIEL DO OESTE"</f>
        <v>SAO GABRIEL DO OESTE</v>
      </c>
      <c r="B4905" s="3" t="str">
        <f>"MS"</f>
        <v>MS</v>
      </c>
      <c r="C4905" s="3" t="str">
        <f t="shared" si="186"/>
        <v>BRASIL</v>
      </c>
      <c r="D4905" s="4" t="str">
        <f>"MS069"</f>
        <v>MS069</v>
      </c>
    </row>
    <row r="4906" spans="1:4" x14ac:dyDescent="0.3">
      <c r="A4906" s="2" t="str">
        <f>"SAO GERALDO"</f>
        <v>SAO GERALDO</v>
      </c>
      <c r="B4906" s="3" t="str">
        <f>"MG"</f>
        <v>MG</v>
      </c>
      <c r="C4906" s="3" t="str">
        <f t="shared" si="186"/>
        <v>BRASIL</v>
      </c>
      <c r="D4906" s="4" t="str">
        <f>"MG717"</f>
        <v>MG717</v>
      </c>
    </row>
    <row r="4907" spans="1:4" x14ac:dyDescent="0.3">
      <c r="A4907" s="2" t="str">
        <f>"SAO GERALDO DA PIEDADE"</f>
        <v>SAO GERALDO DA PIEDADE</v>
      </c>
      <c r="B4907" s="3" t="str">
        <f>"MG"</f>
        <v>MG</v>
      </c>
      <c r="C4907" s="3" t="str">
        <f t="shared" si="186"/>
        <v>BRASIL</v>
      </c>
      <c r="D4907" s="4" t="str">
        <f>"MG718"</f>
        <v>MG718</v>
      </c>
    </row>
    <row r="4908" spans="1:4" x14ac:dyDescent="0.3">
      <c r="A4908" s="2" t="str">
        <f>"SAO GERALDO DO ARAGUAIA"</f>
        <v>SAO GERALDO DO ARAGUAIA</v>
      </c>
      <c r="B4908" s="3" t="str">
        <f>"PA"</f>
        <v>PA</v>
      </c>
      <c r="C4908" s="3" t="str">
        <f t="shared" si="186"/>
        <v>BRASIL</v>
      </c>
      <c r="D4908" s="4" t="str">
        <f>"PA121"</f>
        <v>PA121</v>
      </c>
    </row>
    <row r="4909" spans="1:4" x14ac:dyDescent="0.3">
      <c r="A4909" s="2" t="str">
        <f>"SAO GERALDO DO BAIXIO"</f>
        <v>SAO GERALDO DO BAIXIO</v>
      </c>
      <c r="B4909" s="3" t="str">
        <f>"MG"</f>
        <v>MG</v>
      </c>
      <c r="C4909" s="3" t="str">
        <f t="shared" si="186"/>
        <v>BRASIL</v>
      </c>
      <c r="D4909" s="4" t="str">
        <f>"MG719"</f>
        <v>MG719</v>
      </c>
    </row>
    <row r="4910" spans="1:4" x14ac:dyDescent="0.3">
      <c r="A4910" s="2" t="str">
        <f>"SAO GONCALO"</f>
        <v>SAO GONCALO</v>
      </c>
      <c r="B4910" s="3" t="str">
        <f>"RJ"</f>
        <v>RJ</v>
      </c>
      <c r="C4910" s="3" t="str">
        <f t="shared" si="186"/>
        <v>BRASIL</v>
      </c>
      <c r="D4910" s="4" t="str">
        <f>"RJ073"</f>
        <v>RJ073</v>
      </c>
    </row>
    <row r="4911" spans="1:4" x14ac:dyDescent="0.3">
      <c r="A4911" s="2" t="str">
        <f>"SAO GONCALO DO ABAETE"</f>
        <v>SAO GONCALO DO ABAETE</v>
      </c>
      <c r="B4911" s="3" t="str">
        <f>"MG"</f>
        <v>MG</v>
      </c>
      <c r="C4911" s="3" t="str">
        <f t="shared" si="186"/>
        <v>BRASIL</v>
      </c>
      <c r="D4911" s="4" t="str">
        <f>"MG720"</f>
        <v>MG720</v>
      </c>
    </row>
    <row r="4912" spans="1:4" x14ac:dyDescent="0.3">
      <c r="A4912" s="2" t="str">
        <f>"SAO GONCALO DO AMARANTE"</f>
        <v>SAO GONCALO DO AMARANTE</v>
      </c>
      <c r="B4912" s="3" t="str">
        <f>"CE"</f>
        <v>CE</v>
      </c>
      <c r="C4912" s="3" t="str">
        <f t="shared" si="186"/>
        <v>BRASIL</v>
      </c>
      <c r="D4912" s="4" t="str">
        <f>"CE162"</f>
        <v>CE162</v>
      </c>
    </row>
    <row r="4913" spans="1:4" x14ac:dyDescent="0.3">
      <c r="A4913" s="2" t="str">
        <f>"SAO GONCALO DO AMARANTE"</f>
        <v>SAO GONCALO DO AMARANTE</v>
      </c>
      <c r="B4913" s="3" t="str">
        <f>"RN"</f>
        <v>RN</v>
      </c>
      <c r="C4913" s="3" t="str">
        <f t="shared" si="186"/>
        <v>BRASIL</v>
      </c>
      <c r="D4913" s="4" t="str">
        <f>"RN131"</f>
        <v>RN131</v>
      </c>
    </row>
    <row r="4914" spans="1:4" x14ac:dyDescent="0.3">
      <c r="A4914" s="2" t="str">
        <f>"SAO GONCALO DO GURGUEIA"</f>
        <v>SAO GONCALO DO GURGUEIA</v>
      </c>
      <c r="B4914" s="3" t="str">
        <f>"PI"</f>
        <v>PI</v>
      </c>
      <c r="C4914" s="3" t="str">
        <f t="shared" si="186"/>
        <v>BRASIL</v>
      </c>
      <c r="D4914" s="4" t="str">
        <f>"PI187"</f>
        <v>PI187</v>
      </c>
    </row>
    <row r="4915" spans="1:4" x14ac:dyDescent="0.3">
      <c r="A4915" s="2" t="str">
        <f>"SAO GONCALO DO PARA"</f>
        <v>SAO GONCALO DO PARA</v>
      </c>
      <c r="B4915" s="3" t="str">
        <f>"MG"</f>
        <v>MG</v>
      </c>
      <c r="C4915" s="3" t="str">
        <f t="shared" si="186"/>
        <v>BRASIL</v>
      </c>
      <c r="D4915" s="4" t="str">
        <f>"MG721"</f>
        <v>MG721</v>
      </c>
    </row>
    <row r="4916" spans="1:4" x14ac:dyDescent="0.3">
      <c r="A4916" s="2" t="str">
        <f>"SAO GONCALO DO PIAUI"</f>
        <v>SAO GONCALO DO PIAUI</v>
      </c>
      <c r="B4916" s="3" t="str">
        <f>"PI"</f>
        <v>PI</v>
      </c>
      <c r="C4916" s="3" t="str">
        <f t="shared" si="186"/>
        <v>BRASIL</v>
      </c>
      <c r="D4916" s="4" t="str">
        <f>"PI188"</f>
        <v>PI188</v>
      </c>
    </row>
    <row r="4917" spans="1:4" x14ac:dyDescent="0.3">
      <c r="A4917" s="2" t="str">
        <f>"SAO GONCALO DO RIO ABAIXO"</f>
        <v>SAO GONCALO DO RIO ABAIXO</v>
      </c>
      <c r="B4917" s="3" t="str">
        <f>"MG"</f>
        <v>MG</v>
      </c>
      <c r="C4917" s="3" t="str">
        <f t="shared" si="186"/>
        <v>BRASIL</v>
      </c>
      <c r="D4917" s="4" t="str">
        <f>"MG722"</f>
        <v>MG722</v>
      </c>
    </row>
    <row r="4918" spans="1:4" x14ac:dyDescent="0.3">
      <c r="A4918" s="2" t="str">
        <f>"SAO GONCALO DO RIO PRETO"</f>
        <v>SAO GONCALO DO RIO PRETO</v>
      </c>
      <c r="B4918" s="3" t="str">
        <f>"MG"</f>
        <v>MG</v>
      </c>
      <c r="C4918" s="3" t="str">
        <f t="shared" si="186"/>
        <v>BRASIL</v>
      </c>
      <c r="D4918" s="4" t="str">
        <f>"MG284"</f>
        <v>MG284</v>
      </c>
    </row>
    <row r="4919" spans="1:4" x14ac:dyDescent="0.3">
      <c r="A4919" s="2" t="str">
        <f>"SAO GONCALO DO SAPUCAI"</f>
        <v>SAO GONCALO DO SAPUCAI</v>
      </c>
      <c r="B4919" s="3" t="str">
        <f>"MG"</f>
        <v>MG</v>
      </c>
      <c r="C4919" s="3" t="str">
        <f t="shared" si="186"/>
        <v>BRASIL</v>
      </c>
      <c r="D4919" s="4" t="str">
        <f>"MG723"</f>
        <v>MG723</v>
      </c>
    </row>
    <row r="4920" spans="1:4" x14ac:dyDescent="0.3">
      <c r="A4920" s="2" t="str">
        <f>"SAO GONCALO DOS CAMPOS"</f>
        <v>SAO GONCALO DOS CAMPOS</v>
      </c>
      <c r="B4920" s="3" t="str">
        <f>"BA"</f>
        <v>BA</v>
      </c>
      <c r="C4920" s="3" t="str">
        <f t="shared" si="186"/>
        <v>BRASIL</v>
      </c>
      <c r="D4920" s="4" t="str">
        <f>"BA359"</f>
        <v>BA359</v>
      </c>
    </row>
    <row r="4921" spans="1:4" x14ac:dyDescent="0.3">
      <c r="A4921" s="2" t="str">
        <f>"SAO GOTARDO"</f>
        <v>SAO GOTARDO</v>
      </c>
      <c r="B4921" s="3" t="str">
        <f>"MG"</f>
        <v>MG</v>
      </c>
      <c r="C4921" s="3" t="str">
        <f t="shared" si="186"/>
        <v>BRASIL</v>
      </c>
      <c r="D4921" s="4" t="str">
        <f>"MG724"</f>
        <v>MG724</v>
      </c>
    </row>
    <row r="4922" spans="1:4" x14ac:dyDescent="0.3">
      <c r="A4922" s="2" t="str">
        <f>"SAO JERONIMO"</f>
        <v>SAO JERONIMO</v>
      </c>
      <c r="B4922" s="3" t="str">
        <f>"RS"</f>
        <v>RS</v>
      </c>
      <c r="C4922" s="3" t="str">
        <f t="shared" si="186"/>
        <v>BRASIL</v>
      </c>
      <c r="D4922" s="4" t="str">
        <f>"RS386"</f>
        <v>RS386</v>
      </c>
    </row>
    <row r="4923" spans="1:4" x14ac:dyDescent="0.3">
      <c r="A4923" s="2" t="str">
        <f>"SAO JERONIMO DA SERRA"</f>
        <v>SAO JERONIMO DA SERRA</v>
      </c>
      <c r="B4923" s="3" t="str">
        <f>"PR"</f>
        <v>PR</v>
      </c>
      <c r="C4923" s="3" t="str">
        <f t="shared" si="186"/>
        <v>BRASIL</v>
      </c>
      <c r="D4923" s="4" t="str">
        <f>"PR340"</f>
        <v>PR340</v>
      </c>
    </row>
    <row r="4924" spans="1:4" x14ac:dyDescent="0.3">
      <c r="A4924" s="2" t="str">
        <f>"SAO JOAO"</f>
        <v>SAO JOAO</v>
      </c>
      <c r="B4924" s="3" t="str">
        <f>"PE"</f>
        <v>PE</v>
      </c>
      <c r="C4924" s="3" t="str">
        <f t="shared" si="186"/>
        <v>BRASIL</v>
      </c>
      <c r="D4924" s="4" t="str">
        <f>"PE151"</f>
        <v>PE151</v>
      </c>
    </row>
    <row r="4925" spans="1:4" x14ac:dyDescent="0.3">
      <c r="A4925" s="2" t="str">
        <f>"SAO JOAO"</f>
        <v>SAO JOAO</v>
      </c>
      <c r="B4925" s="3" t="str">
        <f>"PR"</f>
        <v>PR</v>
      </c>
      <c r="C4925" s="3" t="str">
        <f t="shared" si="186"/>
        <v>BRASIL</v>
      </c>
      <c r="D4925" s="4" t="str">
        <f>"PR341"</f>
        <v>PR341</v>
      </c>
    </row>
    <row r="4926" spans="1:4" x14ac:dyDescent="0.3">
      <c r="A4926" s="2" t="str">
        <f>"SAO JOAO BATISTA"</f>
        <v>SAO JOAO BATISTA</v>
      </c>
      <c r="B4926" s="3" t="str">
        <f>"MA"</f>
        <v>MA</v>
      </c>
      <c r="C4926" s="3" t="str">
        <f t="shared" si="186"/>
        <v>BRASIL</v>
      </c>
      <c r="D4926" s="4" t="str">
        <f>"MA179"</f>
        <v>MA179</v>
      </c>
    </row>
    <row r="4927" spans="1:4" x14ac:dyDescent="0.3">
      <c r="A4927" s="2" t="str">
        <f>"SAO JOAO BATISTA"</f>
        <v>SAO JOAO BATISTA</v>
      </c>
      <c r="B4927" s="3" t="str">
        <f>"SC"</f>
        <v>SC</v>
      </c>
      <c r="C4927" s="3" t="str">
        <f t="shared" si="186"/>
        <v>BRASIL</v>
      </c>
      <c r="D4927" s="4" t="str">
        <f>"SC244"</f>
        <v>SC244</v>
      </c>
    </row>
    <row r="4928" spans="1:4" x14ac:dyDescent="0.3">
      <c r="A4928" s="2" t="str">
        <f>"SAO JOAO BATISTA DO GLORI"</f>
        <v>SAO JOAO BATISTA DO GLORI</v>
      </c>
      <c r="B4928" s="3" t="str">
        <f>"MG"</f>
        <v>MG</v>
      </c>
      <c r="C4928" s="3" t="str">
        <f t="shared" si="186"/>
        <v>BRASIL</v>
      </c>
      <c r="D4928" s="4" t="str">
        <f>"MG725"</f>
        <v>MG725</v>
      </c>
    </row>
    <row r="4929" spans="1:4" x14ac:dyDescent="0.3">
      <c r="A4929" s="2" t="str">
        <f>"SAO JOAO D'ALIANCA"</f>
        <v>SAO JOAO D'ALIANCA</v>
      </c>
      <c r="B4929" s="3" t="str">
        <f>"GO"</f>
        <v>GO</v>
      </c>
      <c r="C4929" s="3" t="str">
        <f t="shared" si="186"/>
        <v>BRASIL</v>
      </c>
      <c r="D4929" s="4" t="str">
        <f>"GO216"</f>
        <v>GO216</v>
      </c>
    </row>
    <row r="4930" spans="1:4" x14ac:dyDescent="0.3">
      <c r="A4930" s="2" t="str">
        <f>"SAO JOAO DA BALIZA"</f>
        <v>SAO JOAO DA BALIZA</v>
      </c>
      <c r="B4930" s="3" t="str">
        <f>"RR"</f>
        <v>RR</v>
      </c>
      <c r="C4930" s="3" t="str">
        <f t="shared" si="186"/>
        <v>BRASIL</v>
      </c>
      <c r="D4930" s="4" t="str">
        <f>"RR013"</f>
        <v>RR013</v>
      </c>
    </row>
    <row r="4931" spans="1:4" x14ac:dyDescent="0.3">
      <c r="A4931" s="2" t="str">
        <f>"SAO JOAO DA BARRA"</f>
        <v>SAO JOAO DA BARRA</v>
      </c>
      <c r="B4931" s="3" t="str">
        <f>"RJ"</f>
        <v>RJ</v>
      </c>
      <c r="C4931" s="3" t="str">
        <f t="shared" si="186"/>
        <v>BRASIL</v>
      </c>
      <c r="D4931" s="4" t="str">
        <f>"RJ074"</f>
        <v>RJ074</v>
      </c>
    </row>
    <row r="4932" spans="1:4" x14ac:dyDescent="0.3">
      <c r="A4932" s="2" t="str">
        <f>"SAO JOAO DA BOA VISTA"</f>
        <v>SAO JOAO DA BOA VISTA</v>
      </c>
      <c r="B4932" s="3" t="str">
        <f>"SP"</f>
        <v>SP</v>
      </c>
      <c r="C4932" s="3" t="str">
        <f t="shared" si="186"/>
        <v>BRASIL</v>
      </c>
      <c r="D4932" s="4" t="str">
        <f>"SP549"</f>
        <v>SP549</v>
      </c>
    </row>
    <row r="4933" spans="1:4" x14ac:dyDescent="0.3">
      <c r="A4933" s="2" t="str">
        <f>"SAO JOAO DA CANABRAVA"</f>
        <v>SAO JOAO DA CANABRAVA</v>
      </c>
      <c r="B4933" s="3" t="str">
        <f>"PI"</f>
        <v>PI</v>
      </c>
      <c r="C4933" s="3" t="str">
        <f t="shared" si="186"/>
        <v>BRASIL</v>
      </c>
      <c r="D4933" s="4" t="str">
        <f>"PI189"</f>
        <v>PI189</v>
      </c>
    </row>
    <row r="4934" spans="1:4" x14ac:dyDescent="0.3">
      <c r="A4934" s="2" t="str">
        <f>"SAO JOAO DA FRONTEIRA"</f>
        <v>SAO JOAO DA FRONTEIRA</v>
      </c>
      <c r="B4934" s="3" t="str">
        <f>"PI"</f>
        <v>PI</v>
      </c>
      <c r="C4934" s="3" t="str">
        <f t="shared" si="186"/>
        <v>BRASIL</v>
      </c>
      <c r="D4934" s="4" t="str">
        <f>"PI190"</f>
        <v>PI190</v>
      </c>
    </row>
    <row r="4935" spans="1:4" x14ac:dyDescent="0.3">
      <c r="A4935" s="2" t="str">
        <f>"SAO JOAO DA LAGOA"</f>
        <v>SAO JOAO DA LAGOA</v>
      </c>
      <c r="B4935" s="3" t="str">
        <f>"MG"</f>
        <v>MG</v>
      </c>
      <c r="C4935" s="3" t="str">
        <f t="shared" si="186"/>
        <v>BRASIL</v>
      </c>
      <c r="D4935" s="4" t="str">
        <f>"MG726"</f>
        <v>MG726</v>
      </c>
    </row>
    <row r="4936" spans="1:4" x14ac:dyDescent="0.3">
      <c r="A4936" s="2" t="str">
        <f>"SAO JOAO DA MATA"</f>
        <v>SAO JOAO DA MATA</v>
      </c>
      <c r="B4936" s="3" t="str">
        <f>"MG"</f>
        <v>MG</v>
      </c>
      <c r="C4936" s="3" t="str">
        <f t="shared" si="186"/>
        <v>BRASIL</v>
      </c>
      <c r="D4936" s="4" t="str">
        <f>"MG727"</f>
        <v>MG727</v>
      </c>
    </row>
    <row r="4937" spans="1:4" x14ac:dyDescent="0.3">
      <c r="A4937" s="2" t="str">
        <f>"SAO JOAO DA PARAUNA"</f>
        <v>SAO JOAO DA PARAUNA</v>
      </c>
      <c r="B4937" s="3" t="str">
        <f>"GO"</f>
        <v>GO</v>
      </c>
      <c r="C4937" s="3" t="str">
        <f t="shared" si="186"/>
        <v>BRASIL</v>
      </c>
      <c r="D4937" s="4" t="str">
        <f>"GO217"</f>
        <v>GO217</v>
      </c>
    </row>
    <row r="4938" spans="1:4" x14ac:dyDescent="0.3">
      <c r="A4938" s="2" t="str">
        <f>"SAO JOAO DA PONTA"</f>
        <v>SAO JOAO DA PONTA</v>
      </c>
      <c r="B4938" s="3" t="str">
        <f>"PA"</f>
        <v>PA</v>
      </c>
      <c r="C4938" s="3" t="str">
        <f t="shared" si="186"/>
        <v>BRASIL</v>
      </c>
      <c r="D4938" s="4" t="str">
        <f>"PA122"</f>
        <v>PA122</v>
      </c>
    </row>
    <row r="4939" spans="1:4" x14ac:dyDescent="0.3">
      <c r="A4939" s="2" t="str">
        <f>"SAO JOAO DA PONTE"</f>
        <v>SAO JOAO DA PONTE</v>
      </c>
      <c r="B4939" s="3" t="str">
        <f>"MG"</f>
        <v>MG</v>
      </c>
      <c r="C4939" s="3" t="str">
        <f t="shared" si="186"/>
        <v>BRASIL</v>
      </c>
      <c r="D4939" s="4" t="str">
        <f>"MG728"</f>
        <v>MG728</v>
      </c>
    </row>
    <row r="4940" spans="1:4" x14ac:dyDescent="0.3">
      <c r="A4940" s="2" t="str">
        <f>"SAO JOAO DA SERRA"</f>
        <v>SAO JOAO DA SERRA</v>
      </c>
      <c r="B4940" s="3" t="str">
        <f>"PI"</f>
        <v>PI</v>
      </c>
      <c r="C4940" s="3" t="str">
        <f t="shared" si="186"/>
        <v>BRASIL</v>
      </c>
      <c r="D4940" s="4" t="str">
        <f>"PI191"</f>
        <v>PI191</v>
      </c>
    </row>
    <row r="4941" spans="1:4" x14ac:dyDescent="0.3">
      <c r="A4941" s="2" t="str">
        <f>"SAO JOAO DA URTIGA"</f>
        <v>SAO JOAO DA URTIGA</v>
      </c>
      <c r="B4941" s="3" t="str">
        <f>"RS"</f>
        <v>RS</v>
      </c>
      <c r="C4941" s="3" t="str">
        <f t="shared" si="186"/>
        <v>BRASIL</v>
      </c>
      <c r="D4941" s="4" t="str">
        <f>"RS387"</f>
        <v>RS387</v>
      </c>
    </row>
    <row r="4942" spans="1:4" x14ac:dyDescent="0.3">
      <c r="A4942" s="2" t="str">
        <f>"SAO JOAO DA VARJOTA"</f>
        <v>SAO JOAO DA VARJOTA</v>
      </c>
      <c r="B4942" s="3" t="str">
        <f>"PI"</f>
        <v>PI</v>
      </c>
      <c r="C4942" s="3" t="str">
        <f t="shared" si="186"/>
        <v>BRASIL</v>
      </c>
      <c r="D4942" s="4" t="str">
        <f>"PI192"</f>
        <v>PI192</v>
      </c>
    </row>
    <row r="4943" spans="1:4" x14ac:dyDescent="0.3">
      <c r="A4943" s="2" t="str">
        <f>"SAO JOAO DAS DUAS PONTES"</f>
        <v>SAO JOAO DAS DUAS PONTES</v>
      </c>
      <c r="B4943" s="3" t="str">
        <f>"SP"</f>
        <v>SP</v>
      </c>
      <c r="C4943" s="3" t="str">
        <f t="shared" si="186"/>
        <v>BRASIL</v>
      </c>
      <c r="D4943" s="4" t="str">
        <f>"SP550"</f>
        <v>SP550</v>
      </c>
    </row>
    <row r="4944" spans="1:4" x14ac:dyDescent="0.3">
      <c r="A4944" s="2" t="str">
        <f>"SAO JOAO DAS MISSÕES"</f>
        <v>SAO JOAO DAS MISSÕES</v>
      </c>
      <c r="B4944" s="3" t="str">
        <f>"MG"</f>
        <v>MG</v>
      </c>
      <c r="C4944" s="3" t="str">
        <f t="shared" si="186"/>
        <v>BRASIL</v>
      </c>
      <c r="D4944" s="4" t="str">
        <f>"MG729"</f>
        <v>MG729</v>
      </c>
    </row>
    <row r="4945" spans="1:4" x14ac:dyDescent="0.3">
      <c r="A4945" s="2" t="str">
        <f>"SAO JOAO DE IRACEMA"</f>
        <v>SAO JOAO DE IRACEMA</v>
      </c>
      <c r="B4945" s="3" t="str">
        <f>"SP"</f>
        <v>SP</v>
      </c>
      <c r="C4945" s="3" t="str">
        <f t="shared" si="186"/>
        <v>BRASIL</v>
      </c>
      <c r="D4945" s="4" t="str">
        <f>"SP551"</f>
        <v>SP551</v>
      </c>
    </row>
    <row r="4946" spans="1:4" x14ac:dyDescent="0.3">
      <c r="A4946" s="2" t="str">
        <f>"SAO JOAO DE MERITI"</f>
        <v>SAO JOAO DE MERITI</v>
      </c>
      <c r="B4946" s="3" t="str">
        <f>"RJ"</f>
        <v>RJ</v>
      </c>
      <c r="C4946" s="3" t="str">
        <f t="shared" si="186"/>
        <v>BRASIL</v>
      </c>
      <c r="D4946" s="4" t="str">
        <f>"RJ075"</f>
        <v>RJ075</v>
      </c>
    </row>
    <row r="4947" spans="1:4" x14ac:dyDescent="0.3">
      <c r="A4947" s="2" t="str">
        <f>"SAO JOAO DE PIRABAS"</f>
        <v>SAO JOAO DE PIRABAS</v>
      </c>
      <c r="B4947" s="3" t="str">
        <f>"PA"</f>
        <v>PA</v>
      </c>
      <c r="C4947" s="3" t="str">
        <f t="shared" si="186"/>
        <v>BRASIL</v>
      </c>
      <c r="D4947" s="4" t="str">
        <f>"PA123"</f>
        <v>PA123</v>
      </c>
    </row>
    <row r="4948" spans="1:4" x14ac:dyDescent="0.3">
      <c r="A4948" s="2" t="str">
        <f>"SAO JOAO DEL REI"</f>
        <v>SAO JOAO DEL REI</v>
      </c>
      <c r="B4948" s="3" t="str">
        <f>"MG"</f>
        <v>MG</v>
      </c>
      <c r="C4948" s="3" t="str">
        <f t="shared" si="186"/>
        <v>BRASIL</v>
      </c>
      <c r="D4948" s="4" t="str">
        <f>"MG730"</f>
        <v>MG730</v>
      </c>
    </row>
    <row r="4949" spans="1:4" x14ac:dyDescent="0.3">
      <c r="A4949" s="2" t="str">
        <f>"SAO JOAO DO ARAGUAIA"</f>
        <v>SAO JOAO DO ARAGUAIA</v>
      </c>
      <c r="B4949" s="3" t="str">
        <f>"PA"</f>
        <v>PA</v>
      </c>
      <c r="C4949" s="3" t="str">
        <f t="shared" si="186"/>
        <v>BRASIL</v>
      </c>
      <c r="D4949" s="4" t="str">
        <f>"PA124"</f>
        <v>PA124</v>
      </c>
    </row>
    <row r="4950" spans="1:4" x14ac:dyDescent="0.3">
      <c r="A4950" s="2" t="str">
        <f>"SAO JOAO DO ARRAIAL"</f>
        <v>SAO JOAO DO ARRAIAL</v>
      </c>
      <c r="B4950" s="3" t="str">
        <f>"PI"</f>
        <v>PI</v>
      </c>
      <c r="C4950" s="3" t="str">
        <f t="shared" si="186"/>
        <v>BRASIL</v>
      </c>
      <c r="D4950" s="4" t="str">
        <f>"PI193"</f>
        <v>PI193</v>
      </c>
    </row>
    <row r="4951" spans="1:4" x14ac:dyDescent="0.3">
      <c r="A4951" s="2" t="str">
        <f>"SAO JOAO DO CAIUA"</f>
        <v>SAO JOAO DO CAIUA</v>
      </c>
      <c r="B4951" s="3" t="str">
        <f>"PR"</f>
        <v>PR</v>
      </c>
      <c r="C4951" s="3" t="str">
        <f t="shared" si="186"/>
        <v>BRASIL</v>
      </c>
      <c r="D4951" s="4" t="str">
        <f>"PR342"</f>
        <v>PR342</v>
      </c>
    </row>
    <row r="4952" spans="1:4" x14ac:dyDescent="0.3">
      <c r="A4952" s="2" t="str">
        <f>"SAO JOAO DO CARIRI"</f>
        <v>SAO JOAO DO CARIRI</v>
      </c>
      <c r="B4952" s="3" t="str">
        <f>"PB"</f>
        <v>PB</v>
      </c>
      <c r="C4952" s="3" t="str">
        <f t="shared" si="186"/>
        <v>BRASIL</v>
      </c>
      <c r="D4952" s="4" t="str">
        <f>"PB183"</f>
        <v>PB183</v>
      </c>
    </row>
    <row r="4953" spans="1:4" x14ac:dyDescent="0.3">
      <c r="A4953" s="2" t="str">
        <f>"SAO JOAO DO CARU"</f>
        <v>SAO JOAO DO CARU</v>
      </c>
      <c r="B4953" s="3" t="str">
        <f>"MA"</f>
        <v>MA</v>
      </c>
      <c r="C4953" s="3" t="str">
        <f t="shared" si="186"/>
        <v>BRASIL</v>
      </c>
      <c r="D4953" s="4" t="str">
        <f>"MA180"</f>
        <v>MA180</v>
      </c>
    </row>
    <row r="4954" spans="1:4" x14ac:dyDescent="0.3">
      <c r="A4954" s="2" t="str">
        <f>"SAO JOAO DO ITAPERIU"</f>
        <v>SAO JOAO DO ITAPERIU</v>
      </c>
      <c r="B4954" s="3" t="str">
        <f>"SC"</f>
        <v>SC</v>
      </c>
      <c r="C4954" s="3" t="str">
        <f t="shared" si="186"/>
        <v>BRASIL</v>
      </c>
      <c r="D4954" s="4" t="str">
        <f>"SC245"</f>
        <v>SC245</v>
      </c>
    </row>
    <row r="4955" spans="1:4" x14ac:dyDescent="0.3">
      <c r="A4955" s="2" t="str">
        <f>"SAO JOAO DO IVAI"</f>
        <v>SAO JOAO DO IVAI</v>
      </c>
      <c r="B4955" s="3" t="str">
        <f>"PR"</f>
        <v>PR</v>
      </c>
      <c r="C4955" s="3" t="str">
        <f t="shared" si="186"/>
        <v>BRASIL</v>
      </c>
      <c r="D4955" s="4" t="str">
        <f>"PR343"</f>
        <v>PR343</v>
      </c>
    </row>
    <row r="4956" spans="1:4" x14ac:dyDescent="0.3">
      <c r="A4956" s="2" t="str">
        <f>"SAO JOAO DO JAGUARIBE"</f>
        <v>SAO JOAO DO JAGUARIBE</v>
      </c>
      <c r="B4956" s="3" t="str">
        <f>"CE"</f>
        <v>CE</v>
      </c>
      <c r="C4956" s="3" t="str">
        <f t="shared" si="186"/>
        <v>BRASIL</v>
      </c>
      <c r="D4956" s="4" t="str">
        <f>"CE163"</f>
        <v>CE163</v>
      </c>
    </row>
    <row r="4957" spans="1:4" x14ac:dyDescent="0.3">
      <c r="A4957" s="2" t="str">
        <f>"SAO JOAO DO MANHUACU"</f>
        <v>SAO JOAO DO MANHUACU</v>
      </c>
      <c r="B4957" s="3" t="str">
        <f>"MG"</f>
        <v>MG</v>
      </c>
      <c r="C4957" s="3" t="str">
        <f t="shared" si="186"/>
        <v>BRASIL</v>
      </c>
      <c r="D4957" s="4" t="str">
        <f>"MG731"</f>
        <v>MG731</v>
      </c>
    </row>
    <row r="4958" spans="1:4" x14ac:dyDescent="0.3">
      <c r="A4958" s="2" t="str">
        <f>"SAO JOAO DO MANTENINHA"</f>
        <v>SAO JOAO DO MANTENINHA</v>
      </c>
      <c r="B4958" s="3" t="str">
        <f>"MG"</f>
        <v>MG</v>
      </c>
      <c r="C4958" s="3" t="str">
        <f t="shared" si="186"/>
        <v>BRASIL</v>
      </c>
      <c r="D4958" s="4" t="str">
        <f>"MG732"</f>
        <v>MG732</v>
      </c>
    </row>
    <row r="4959" spans="1:4" x14ac:dyDescent="0.3">
      <c r="A4959" s="2" t="str">
        <f>"SAO JOAO DO OESTE"</f>
        <v>SAO JOAO DO OESTE</v>
      </c>
      <c r="B4959" s="3" t="str">
        <f>"SC"</f>
        <v>SC</v>
      </c>
      <c r="C4959" s="3" t="str">
        <f t="shared" si="186"/>
        <v>BRASIL</v>
      </c>
      <c r="D4959" s="4" t="str">
        <f>"SC243"</f>
        <v>SC243</v>
      </c>
    </row>
    <row r="4960" spans="1:4" x14ac:dyDescent="0.3">
      <c r="A4960" s="2" t="str">
        <f>"SAO JOAO DO ORIENTE"</f>
        <v>SAO JOAO DO ORIENTE</v>
      </c>
      <c r="B4960" s="3" t="str">
        <f>"MG"</f>
        <v>MG</v>
      </c>
      <c r="C4960" s="3" t="str">
        <f t="shared" ref="C4960:C5023" si="187">"BRASIL"</f>
        <v>BRASIL</v>
      </c>
      <c r="D4960" s="4" t="str">
        <f>"MG733"</f>
        <v>MG733</v>
      </c>
    </row>
    <row r="4961" spans="1:4" x14ac:dyDescent="0.3">
      <c r="A4961" s="2" t="str">
        <f>"SAO JOAO DO PACUI"</f>
        <v>SAO JOAO DO PACUI</v>
      </c>
      <c r="B4961" s="3" t="str">
        <f>"MG"</f>
        <v>MG</v>
      </c>
      <c r="C4961" s="3" t="str">
        <f t="shared" si="187"/>
        <v>BRASIL</v>
      </c>
      <c r="D4961" s="4" t="str">
        <f>"MG734"</f>
        <v>MG734</v>
      </c>
    </row>
    <row r="4962" spans="1:4" x14ac:dyDescent="0.3">
      <c r="A4962" s="2" t="str">
        <f>"SAO JOAO DO PARAISO"</f>
        <v>SAO JOAO DO PARAISO</v>
      </c>
      <c r="B4962" s="3" t="str">
        <f>"MA"</f>
        <v>MA</v>
      </c>
      <c r="C4962" s="3" t="str">
        <f t="shared" si="187"/>
        <v>BRASIL</v>
      </c>
      <c r="D4962" s="4" t="str">
        <f>"MA181"</f>
        <v>MA181</v>
      </c>
    </row>
    <row r="4963" spans="1:4" x14ac:dyDescent="0.3">
      <c r="A4963" s="2" t="str">
        <f>"SAO JOAO DO PARAISO"</f>
        <v>SAO JOAO DO PARAISO</v>
      </c>
      <c r="B4963" s="3" t="str">
        <f>"MG"</f>
        <v>MG</v>
      </c>
      <c r="C4963" s="3" t="str">
        <f t="shared" si="187"/>
        <v>BRASIL</v>
      </c>
      <c r="D4963" s="4" t="str">
        <f>"MG735"</f>
        <v>MG735</v>
      </c>
    </row>
    <row r="4964" spans="1:4" x14ac:dyDescent="0.3">
      <c r="A4964" s="2" t="str">
        <f>"SAO JOAO DO PAU D'ALHO"</f>
        <v>SAO JOAO DO PAU D'ALHO</v>
      </c>
      <c r="B4964" s="3" t="str">
        <f>"SP"</f>
        <v>SP</v>
      </c>
      <c r="C4964" s="3" t="str">
        <f t="shared" si="187"/>
        <v>BRASIL</v>
      </c>
      <c r="D4964" s="4" t="str">
        <f>"SP552"</f>
        <v>SP552</v>
      </c>
    </row>
    <row r="4965" spans="1:4" x14ac:dyDescent="0.3">
      <c r="A4965" s="2" t="str">
        <f>"SAO JOAO DO PIAUI"</f>
        <v>SAO JOAO DO PIAUI</v>
      </c>
      <c r="B4965" s="3" t="str">
        <f>"PI"</f>
        <v>PI</v>
      </c>
      <c r="C4965" s="3" t="str">
        <f t="shared" si="187"/>
        <v>BRASIL</v>
      </c>
      <c r="D4965" s="4" t="str">
        <f>"PI194"</f>
        <v>PI194</v>
      </c>
    </row>
    <row r="4966" spans="1:4" x14ac:dyDescent="0.3">
      <c r="A4966" s="2" t="str">
        <f>"SAO JOAO DO POLESINE"</f>
        <v>SAO JOAO DO POLESINE</v>
      </c>
      <c r="B4966" s="3" t="str">
        <f>"RS"</f>
        <v>RS</v>
      </c>
      <c r="C4966" s="3" t="str">
        <f t="shared" si="187"/>
        <v>BRASIL</v>
      </c>
      <c r="D4966" s="4" t="str">
        <f>"RS388"</f>
        <v>RS388</v>
      </c>
    </row>
    <row r="4967" spans="1:4" x14ac:dyDescent="0.3">
      <c r="A4967" s="2" t="str">
        <f>"SAO JOAO DO RIO DO PEIXE"</f>
        <v>SAO JOAO DO RIO DO PEIXE</v>
      </c>
      <c r="B4967" s="3" t="str">
        <f>"PB"</f>
        <v>PB</v>
      </c>
      <c r="C4967" s="3" t="str">
        <f t="shared" si="187"/>
        <v>BRASIL</v>
      </c>
      <c r="D4967" s="4" t="str">
        <f>"PB009"</f>
        <v>PB009</v>
      </c>
    </row>
    <row r="4968" spans="1:4" x14ac:dyDescent="0.3">
      <c r="A4968" s="2" t="str">
        <f>"SAO JOAO DO SABUGI"</f>
        <v>SAO JOAO DO SABUGI</v>
      </c>
      <c r="B4968" s="3" t="str">
        <f>"RN"</f>
        <v>RN</v>
      </c>
      <c r="C4968" s="3" t="str">
        <f t="shared" si="187"/>
        <v>BRASIL</v>
      </c>
      <c r="D4968" s="4" t="str">
        <f>"RN132"</f>
        <v>RN132</v>
      </c>
    </row>
    <row r="4969" spans="1:4" x14ac:dyDescent="0.3">
      <c r="A4969" s="2" t="str">
        <f>"SAO JOAO DO SOTER"</f>
        <v>SAO JOAO DO SOTER</v>
      </c>
      <c r="B4969" s="3" t="str">
        <f>"MA"</f>
        <v>MA</v>
      </c>
      <c r="C4969" s="3" t="str">
        <f t="shared" si="187"/>
        <v>BRASIL</v>
      </c>
      <c r="D4969" s="4" t="str">
        <f>"MA182"</f>
        <v>MA182</v>
      </c>
    </row>
    <row r="4970" spans="1:4" x14ac:dyDescent="0.3">
      <c r="A4970" s="2" t="str">
        <f>"SAO JOAO DO SUL"</f>
        <v>SAO JOAO DO SUL</v>
      </c>
      <c r="B4970" s="3" t="str">
        <f>"SC"</f>
        <v>SC</v>
      </c>
      <c r="C4970" s="3" t="str">
        <f t="shared" si="187"/>
        <v>BRASIL</v>
      </c>
      <c r="D4970" s="4" t="str">
        <f>"SC246"</f>
        <v>SC246</v>
      </c>
    </row>
    <row r="4971" spans="1:4" x14ac:dyDescent="0.3">
      <c r="A4971" s="2" t="str">
        <f>"SAO JOAO DO TIGRE"</f>
        <v>SAO JOAO DO TIGRE</v>
      </c>
      <c r="B4971" s="3" t="str">
        <f>"PB"</f>
        <v>PB</v>
      </c>
      <c r="C4971" s="3" t="str">
        <f t="shared" si="187"/>
        <v>BRASIL</v>
      </c>
      <c r="D4971" s="4" t="str">
        <f>"PB184"</f>
        <v>PB184</v>
      </c>
    </row>
    <row r="4972" spans="1:4" x14ac:dyDescent="0.3">
      <c r="A4972" s="2" t="str">
        <f>"SAO JOAO DO TRIUNFO"</f>
        <v>SAO JOAO DO TRIUNFO</v>
      </c>
      <c r="B4972" s="3" t="str">
        <f>"PR"</f>
        <v>PR</v>
      </c>
      <c r="C4972" s="3" t="str">
        <f t="shared" si="187"/>
        <v>BRASIL</v>
      </c>
      <c r="D4972" s="4" t="str">
        <f>"PR344"</f>
        <v>PR344</v>
      </c>
    </row>
    <row r="4973" spans="1:4" x14ac:dyDescent="0.3">
      <c r="A4973" s="2" t="str">
        <f>"SAO JOAO DOS PATOS"</f>
        <v>SAO JOAO DOS PATOS</v>
      </c>
      <c r="B4973" s="3" t="str">
        <f>"MA"</f>
        <v>MA</v>
      </c>
      <c r="C4973" s="3" t="str">
        <f t="shared" si="187"/>
        <v>BRASIL</v>
      </c>
      <c r="D4973" s="4" t="str">
        <f>"MA183"</f>
        <v>MA183</v>
      </c>
    </row>
    <row r="4974" spans="1:4" x14ac:dyDescent="0.3">
      <c r="A4974" s="2" t="str">
        <f>"SAO JOAO EVANGELISTA"</f>
        <v>SAO JOAO EVANGELISTA</v>
      </c>
      <c r="B4974" s="3" t="str">
        <f>"MG"</f>
        <v>MG</v>
      </c>
      <c r="C4974" s="3" t="str">
        <f t="shared" si="187"/>
        <v>BRASIL</v>
      </c>
      <c r="D4974" s="4" t="str">
        <f>"MG736"</f>
        <v>MG736</v>
      </c>
    </row>
    <row r="4975" spans="1:4" x14ac:dyDescent="0.3">
      <c r="A4975" s="2" t="str">
        <f>"SAO JOAO NEPOMUCENO"</f>
        <v>SAO JOAO NEPOMUCENO</v>
      </c>
      <c r="B4975" s="3" t="str">
        <f>"MG"</f>
        <v>MG</v>
      </c>
      <c r="C4975" s="3" t="str">
        <f t="shared" si="187"/>
        <v>BRASIL</v>
      </c>
      <c r="D4975" s="4" t="str">
        <f>"MG737"</f>
        <v>MG737</v>
      </c>
    </row>
    <row r="4976" spans="1:4" x14ac:dyDescent="0.3">
      <c r="A4976" s="2" t="str">
        <f>"SAO JOAQUIM"</f>
        <v>SAO JOAQUIM</v>
      </c>
      <c r="B4976" s="3" t="str">
        <f>"SC"</f>
        <v>SC</v>
      </c>
      <c r="C4976" s="3" t="str">
        <f t="shared" si="187"/>
        <v>BRASIL</v>
      </c>
      <c r="D4976" s="4" t="str">
        <f>"SC247"</f>
        <v>SC247</v>
      </c>
    </row>
    <row r="4977" spans="1:4" x14ac:dyDescent="0.3">
      <c r="A4977" s="2" t="str">
        <f>"SAO JOAQUIM DA BARRA"</f>
        <v>SAO JOAQUIM DA BARRA</v>
      </c>
      <c r="B4977" s="3" t="str">
        <f>"SP"</f>
        <v>SP</v>
      </c>
      <c r="C4977" s="3" t="str">
        <f t="shared" si="187"/>
        <v>BRASIL</v>
      </c>
      <c r="D4977" s="4" t="str">
        <f>"SP553"</f>
        <v>SP553</v>
      </c>
    </row>
    <row r="4978" spans="1:4" x14ac:dyDescent="0.3">
      <c r="A4978" s="2" t="str">
        <f>"SAO JOAQUIM DE BICAS"</f>
        <v>SAO JOAQUIM DE BICAS</v>
      </c>
      <c r="B4978" s="3" t="str">
        <f>"MG"</f>
        <v>MG</v>
      </c>
      <c r="C4978" s="3" t="str">
        <f t="shared" si="187"/>
        <v>BRASIL</v>
      </c>
      <c r="D4978" s="4" t="str">
        <f>"MG738"</f>
        <v>MG738</v>
      </c>
    </row>
    <row r="4979" spans="1:4" x14ac:dyDescent="0.3">
      <c r="A4979" s="2" t="str">
        <f>"SAO JOAQUIM DO MONTE"</f>
        <v>SAO JOAQUIM DO MONTE</v>
      </c>
      <c r="B4979" s="3" t="str">
        <f>"PE"</f>
        <v>PE</v>
      </c>
      <c r="C4979" s="3" t="str">
        <f t="shared" si="187"/>
        <v>BRASIL</v>
      </c>
      <c r="D4979" s="4" t="str">
        <f>"PE152"</f>
        <v>PE152</v>
      </c>
    </row>
    <row r="4980" spans="1:4" x14ac:dyDescent="0.3">
      <c r="A4980" s="2" t="str">
        <f>"SAO JORGE"</f>
        <v>SAO JORGE</v>
      </c>
      <c r="B4980" s="3" t="str">
        <f>"RS"</f>
        <v>RS</v>
      </c>
      <c r="C4980" s="3" t="str">
        <f t="shared" si="187"/>
        <v>BRASIL</v>
      </c>
      <c r="D4980" s="4" t="str">
        <f>"RS389"</f>
        <v>RS389</v>
      </c>
    </row>
    <row r="4981" spans="1:4" x14ac:dyDescent="0.3">
      <c r="A4981" s="2" t="str">
        <f>"SAO JORGE D'OESTE"</f>
        <v>SAO JORGE D'OESTE</v>
      </c>
      <c r="B4981" s="3" t="str">
        <f>"PR"</f>
        <v>PR</v>
      </c>
      <c r="C4981" s="3" t="str">
        <f t="shared" si="187"/>
        <v>BRASIL</v>
      </c>
      <c r="D4981" s="4" t="str">
        <f>"PR345"</f>
        <v>PR345</v>
      </c>
    </row>
    <row r="4982" spans="1:4" x14ac:dyDescent="0.3">
      <c r="A4982" s="2" t="str">
        <f>"SAO JORGE DO IVAI"</f>
        <v>SAO JORGE DO IVAI</v>
      </c>
      <c r="B4982" s="3" t="str">
        <f>"PR"</f>
        <v>PR</v>
      </c>
      <c r="C4982" s="3" t="str">
        <f t="shared" si="187"/>
        <v>BRASIL</v>
      </c>
      <c r="D4982" s="4" t="str">
        <f>"PR346"</f>
        <v>PR346</v>
      </c>
    </row>
    <row r="4983" spans="1:4" x14ac:dyDescent="0.3">
      <c r="A4983" s="2" t="str">
        <f>"SAO JORGE DO PATROCINIO"</f>
        <v>SAO JORGE DO PATROCINIO</v>
      </c>
      <c r="B4983" s="3" t="str">
        <f>"PR"</f>
        <v>PR</v>
      </c>
      <c r="C4983" s="3" t="str">
        <f t="shared" si="187"/>
        <v>BRASIL</v>
      </c>
      <c r="D4983" s="4" t="str">
        <f>"PR347"</f>
        <v>PR347</v>
      </c>
    </row>
    <row r="4984" spans="1:4" x14ac:dyDescent="0.3">
      <c r="A4984" s="2" t="str">
        <f>"SAO JOSE"</f>
        <v>SAO JOSE</v>
      </c>
      <c r="B4984" s="3" t="str">
        <f>"SC"</f>
        <v>SC</v>
      </c>
      <c r="C4984" s="3" t="str">
        <f t="shared" si="187"/>
        <v>BRASIL</v>
      </c>
      <c r="D4984" s="4" t="str">
        <f>"SC248"</f>
        <v>SC248</v>
      </c>
    </row>
    <row r="4985" spans="1:4" x14ac:dyDescent="0.3">
      <c r="A4985" s="2" t="str">
        <f>"SAO JOSE DA BARRA"</f>
        <v>SAO JOSE DA BARRA</v>
      </c>
      <c r="B4985" s="3" t="str">
        <f>"MG"</f>
        <v>MG</v>
      </c>
      <c r="C4985" s="3" t="str">
        <f t="shared" si="187"/>
        <v>BRASIL</v>
      </c>
      <c r="D4985" s="4" t="str">
        <f>"MG739"</f>
        <v>MG739</v>
      </c>
    </row>
    <row r="4986" spans="1:4" x14ac:dyDescent="0.3">
      <c r="A4986" s="2" t="str">
        <f>"SAO JOSE DA BELA VISTA"</f>
        <v>SAO JOSE DA BELA VISTA</v>
      </c>
      <c r="B4986" s="3" t="str">
        <f>"SP"</f>
        <v>SP</v>
      </c>
      <c r="C4986" s="3" t="str">
        <f t="shared" si="187"/>
        <v>BRASIL</v>
      </c>
      <c r="D4986" s="4" t="str">
        <f>"SP554"</f>
        <v>SP554</v>
      </c>
    </row>
    <row r="4987" spans="1:4" x14ac:dyDescent="0.3">
      <c r="A4987" s="2" t="str">
        <f>"SAO JOSE DA BOA VISTA"</f>
        <v>SAO JOSE DA BOA VISTA</v>
      </c>
      <c r="B4987" s="3" t="str">
        <f>"PR"</f>
        <v>PR</v>
      </c>
      <c r="C4987" s="3" t="str">
        <f t="shared" si="187"/>
        <v>BRASIL</v>
      </c>
      <c r="D4987" s="4" t="str">
        <f>"PR348"</f>
        <v>PR348</v>
      </c>
    </row>
    <row r="4988" spans="1:4" x14ac:dyDescent="0.3">
      <c r="A4988" s="2" t="str">
        <f>"SAO JOSE DA COROA GRANDE"</f>
        <v>SAO JOSE DA COROA GRANDE</v>
      </c>
      <c r="B4988" s="3" t="str">
        <f>"PE"</f>
        <v>PE</v>
      </c>
      <c r="C4988" s="3" t="str">
        <f t="shared" si="187"/>
        <v>BRASIL</v>
      </c>
      <c r="D4988" s="4" t="str">
        <f>"PE153"</f>
        <v>PE153</v>
      </c>
    </row>
    <row r="4989" spans="1:4" x14ac:dyDescent="0.3">
      <c r="A4989" s="2" t="str">
        <f>"SAO JOSE DA LAGOA TAPADA"</f>
        <v>SAO JOSE DA LAGOA TAPADA</v>
      </c>
      <c r="B4989" s="3" t="str">
        <f>"PB"</f>
        <v>PB</v>
      </c>
      <c r="C4989" s="3" t="str">
        <f t="shared" si="187"/>
        <v>BRASIL</v>
      </c>
      <c r="D4989" s="4" t="str">
        <f>"PB185"</f>
        <v>PB185</v>
      </c>
    </row>
    <row r="4990" spans="1:4" x14ac:dyDescent="0.3">
      <c r="A4990" s="2" t="str">
        <f>"SAO JOSE DA LAJE"</f>
        <v>SAO JOSE DA LAJE</v>
      </c>
      <c r="B4990" s="3" t="str">
        <f>"AL"</f>
        <v>AL</v>
      </c>
      <c r="C4990" s="3" t="str">
        <f t="shared" si="187"/>
        <v>BRASIL</v>
      </c>
      <c r="D4990" s="4" t="str">
        <f>"AL089"</f>
        <v>AL089</v>
      </c>
    </row>
    <row r="4991" spans="1:4" x14ac:dyDescent="0.3">
      <c r="A4991" s="2" t="str">
        <f>"SAO JOSE DA LAPA"</f>
        <v>SAO JOSE DA LAPA</v>
      </c>
      <c r="B4991" s="3" t="str">
        <f>"MG"</f>
        <v>MG</v>
      </c>
      <c r="C4991" s="3" t="str">
        <f t="shared" si="187"/>
        <v>BRASIL</v>
      </c>
      <c r="D4991" s="4" t="str">
        <f>"MG740"</f>
        <v>MG740</v>
      </c>
    </row>
    <row r="4992" spans="1:4" x14ac:dyDescent="0.3">
      <c r="A4992" s="2" t="str">
        <f>"SAO JOSE DA SAFIRA"</f>
        <v>SAO JOSE DA SAFIRA</v>
      </c>
      <c r="B4992" s="3" t="str">
        <f>"MG"</f>
        <v>MG</v>
      </c>
      <c r="C4992" s="3" t="str">
        <f t="shared" si="187"/>
        <v>BRASIL</v>
      </c>
      <c r="D4992" s="4" t="str">
        <f>"MG741"</f>
        <v>MG741</v>
      </c>
    </row>
    <row r="4993" spans="1:4" x14ac:dyDescent="0.3">
      <c r="A4993" s="2" t="str">
        <f>"SAO JOSE DA TAPERA"</f>
        <v>SAO JOSE DA TAPERA</v>
      </c>
      <c r="B4993" s="3" t="str">
        <f>"AL"</f>
        <v>AL</v>
      </c>
      <c r="C4993" s="3" t="str">
        <f t="shared" si="187"/>
        <v>BRASIL</v>
      </c>
      <c r="D4993" s="4" t="str">
        <f>"AL090"</f>
        <v>AL090</v>
      </c>
    </row>
    <row r="4994" spans="1:4" x14ac:dyDescent="0.3">
      <c r="A4994" s="2" t="str">
        <f>"SAO JOSE DA VARGINHA"</f>
        <v>SAO JOSE DA VARGINHA</v>
      </c>
      <c r="B4994" s="3" t="str">
        <f>"MG"</f>
        <v>MG</v>
      </c>
      <c r="C4994" s="3" t="str">
        <f t="shared" si="187"/>
        <v>BRASIL</v>
      </c>
      <c r="D4994" s="4" t="str">
        <f>"MG742"</f>
        <v>MG742</v>
      </c>
    </row>
    <row r="4995" spans="1:4" x14ac:dyDescent="0.3">
      <c r="A4995" s="2" t="str">
        <f>"SAO JOSE DA VITORIA"</f>
        <v>SAO JOSE DA VITORIA</v>
      </c>
      <c r="B4995" s="3" t="str">
        <f>"BA"</f>
        <v>BA</v>
      </c>
      <c r="C4995" s="3" t="str">
        <f t="shared" si="187"/>
        <v>BRASIL</v>
      </c>
      <c r="D4995" s="4" t="str">
        <f>"BA360"</f>
        <v>BA360</v>
      </c>
    </row>
    <row r="4996" spans="1:4" x14ac:dyDescent="0.3">
      <c r="A4996" s="2" t="str">
        <f>"SAO JOSE DAS MISSÕES"</f>
        <v>SAO JOSE DAS MISSÕES</v>
      </c>
      <c r="B4996" s="3" t="str">
        <f>"RS"</f>
        <v>RS</v>
      </c>
      <c r="C4996" s="3" t="str">
        <f t="shared" si="187"/>
        <v>BRASIL</v>
      </c>
      <c r="D4996" s="4" t="str">
        <f>"RS390"</f>
        <v>RS390</v>
      </c>
    </row>
    <row r="4997" spans="1:4" x14ac:dyDescent="0.3">
      <c r="A4997" s="2" t="str">
        <f>"SAO JOSE DAS PALMEIRAS"</f>
        <v>SAO JOSE DAS PALMEIRAS</v>
      </c>
      <c r="B4997" s="3" t="str">
        <f>"PR"</f>
        <v>PR</v>
      </c>
      <c r="C4997" s="3" t="str">
        <f t="shared" si="187"/>
        <v>BRASIL</v>
      </c>
      <c r="D4997" s="4" t="str">
        <f>"PR349"</f>
        <v>PR349</v>
      </c>
    </row>
    <row r="4998" spans="1:4" x14ac:dyDescent="0.3">
      <c r="A4998" s="2" t="str">
        <f>"SAO JOSE DE CAIANA"</f>
        <v>SAO JOSE DE CAIANA</v>
      </c>
      <c r="B4998" s="3" t="str">
        <f>"PB"</f>
        <v>PB</v>
      </c>
      <c r="C4998" s="3" t="str">
        <f t="shared" si="187"/>
        <v>BRASIL</v>
      </c>
      <c r="D4998" s="4" t="str">
        <f>"PB186"</f>
        <v>PB186</v>
      </c>
    </row>
    <row r="4999" spans="1:4" x14ac:dyDescent="0.3">
      <c r="A4999" s="2" t="str">
        <f>"SAO JOSE DE ESPINHARAS"</f>
        <v>SAO JOSE DE ESPINHARAS</v>
      </c>
      <c r="B4999" s="3" t="str">
        <f>"PB"</f>
        <v>PB</v>
      </c>
      <c r="C4999" s="3" t="str">
        <f t="shared" si="187"/>
        <v>BRASIL</v>
      </c>
      <c r="D4999" s="4" t="str">
        <f>"PB187"</f>
        <v>PB187</v>
      </c>
    </row>
    <row r="5000" spans="1:4" x14ac:dyDescent="0.3">
      <c r="A5000" s="2" t="str">
        <f>"SAO JOSE DE MIPIBU"</f>
        <v>SAO JOSE DE MIPIBU</v>
      </c>
      <c r="B5000" s="3" t="str">
        <f>"RN"</f>
        <v>RN</v>
      </c>
      <c r="C5000" s="3" t="str">
        <f t="shared" si="187"/>
        <v>BRASIL</v>
      </c>
      <c r="D5000" s="4" t="str">
        <f>"RN133"</f>
        <v>RN133</v>
      </c>
    </row>
    <row r="5001" spans="1:4" x14ac:dyDescent="0.3">
      <c r="A5001" s="2" t="str">
        <f>"SAO JOSE DE PIRANHAS"</f>
        <v>SAO JOSE DE PIRANHAS</v>
      </c>
      <c r="B5001" s="3" t="str">
        <f>"PB"</f>
        <v>PB</v>
      </c>
      <c r="C5001" s="3" t="str">
        <f t="shared" si="187"/>
        <v>BRASIL</v>
      </c>
      <c r="D5001" s="4" t="str">
        <f>"PB189"</f>
        <v>PB189</v>
      </c>
    </row>
    <row r="5002" spans="1:4" x14ac:dyDescent="0.3">
      <c r="A5002" s="2" t="str">
        <f>"SAO JOSE DE PRINCESA"</f>
        <v>SAO JOSE DE PRINCESA</v>
      </c>
      <c r="B5002" s="3" t="str">
        <f>"PB"</f>
        <v>PB</v>
      </c>
      <c r="C5002" s="3" t="str">
        <f t="shared" si="187"/>
        <v>BRASIL</v>
      </c>
      <c r="D5002" s="4" t="str">
        <f>"PB190"</f>
        <v>PB190</v>
      </c>
    </row>
    <row r="5003" spans="1:4" x14ac:dyDescent="0.3">
      <c r="A5003" s="2" t="str">
        <f>"SAO JOSE DE RIBAMAR"</f>
        <v>SAO JOSE DE RIBAMAR</v>
      </c>
      <c r="B5003" s="3" t="str">
        <f>"MA"</f>
        <v>MA</v>
      </c>
      <c r="C5003" s="3" t="str">
        <f t="shared" si="187"/>
        <v>BRASIL</v>
      </c>
      <c r="D5003" s="4" t="str">
        <f>"MA184"</f>
        <v>MA184</v>
      </c>
    </row>
    <row r="5004" spans="1:4" x14ac:dyDescent="0.3">
      <c r="A5004" s="2" t="str">
        <f>"SAO JOSE DE UBA"</f>
        <v>SAO JOSE DE UBA</v>
      </c>
      <c r="B5004" s="3" t="str">
        <f>"RJ"</f>
        <v>RJ</v>
      </c>
      <c r="C5004" s="3" t="str">
        <f t="shared" si="187"/>
        <v>BRASIL</v>
      </c>
      <c r="D5004" s="4" t="str">
        <f>"RJ076"</f>
        <v>RJ076</v>
      </c>
    </row>
    <row r="5005" spans="1:4" x14ac:dyDescent="0.3">
      <c r="A5005" s="2" t="str">
        <f>"SAO JOSE DO ALEGRE"</f>
        <v>SAO JOSE DO ALEGRE</v>
      </c>
      <c r="B5005" s="3" t="str">
        <f>"MG"</f>
        <v>MG</v>
      </c>
      <c r="C5005" s="3" t="str">
        <f t="shared" si="187"/>
        <v>BRASIL</v>
      </c>
      <c r="D5005" s="4" t="str">
        <f>"MG743"</f>
        <v>MG743</v>
      </c>
    </row>
    <row r="5006" spans="1:4" x14ac:dyDescent="0.3">
      <c r="A5006" s="2" t="str">
        <f>"SAO JOSE DO BARREIRO"</f>
        <v>SAO JOSE DO BARREIRO</v>
      </c>
      <c r="B5006" s="3" t="str">
        <f>"SP"</f>
        <v>SP</v>
      </c>
      <c r="C5006" s="3" t="str">
        <f t="shared" si="187"/>
        <v>BRASIL</v>
      </c>
      <c r="D5006" s="4" t="str">
        <f>"SP555"</f>
        <v>SP555</v>
      </c>
    </row>
    <row r="5007" spans="1:4" x14ac:dyDescent="0.3">
      <c r="A5007" s="2" t="str">
        <f>"SAO JOSE DO BELMONTE"</f>
        <v>SAO JOSE DO BELMONTE</v>
      </c>
      <c r="B5007" s="3" t="str">
        <f>"PE"</f>
        <v>PE</v>
      </c>
      <c r="C5007" s="3" t="str">
        <f t="shared" si="187"/>
        <v>BRASIL</v>
      </c>
      <c r="D5007" s="4" t="str">
        <f>"PE154"</f>
        <v>PE154</v>
      </c>
    </row>
    <row r="5008" spans="1:4" x14ac:dyDescent="0.3">
      <c r="A5008" s="2" t="str">
        <f>"SAO JOSE DO BONFIM"</f>
        <v>SAO JOSE DO BONFIM</v>
      </c>
      <c r="B5008" s="3" t="str">
        <f>"PB"</f>
        <v>PB</v>
      </c>
      <c r="C5008" s="3" t="str">
        <f t="shared" si="187"/>
        <v>BRASIL</v>
      </c>
      <c r="D5008" s="4" t="str">
        <f>"PB191"</f>
        <v>PB191</v>
      </c>
    </row>
    <row r="5009" spans="1:4" x14ac:dyDescent="0.3">
      <c r="A5009" s="2" t="str">
        <f>"SAO JOSE DO BREJO DO CRUZ"</f>
        <v>SAO JOSE DO BREJO DO CRUZ</v>
      </c>
      <c r="B5009" s="3" t="str">
        <f>"PB"</f>
        <v>PB</v>
      </c>
      <c r="C5009" s="3" t="str">
        <f t="shared" si="187"/>
        <v>BRASIL</v>
      </c>
      <c r="D5009" s="4" t="str">
        <f>"PB192"</f>
        <v>PB192</v>
      </c>
    </row>
    <row r="5010" spans="1:4" x14ac:dyDescent="0.3">
      <c r="A5010" s="2" t="str">
        <f>"SAO JOSE DO CALCADO"</f>
        <v>SAO JOSE DO CALCADO</v>
      </c>
      <c r="B5010" s="3" t="str">
        <f>"ES"</f>
        <v>ES</v>
      </c>
      <c r="C5010" s="3" t="str">
        <f t="shared" si="187"/>
        <v>BRASIL</v>
      </c>
      <c r="D5010" s="4" t="str">
        <f>"ES067"</f>
        <v>ES067</v>
      </c>
    </row>
    <row r="5011" spans="1:4" x14ac:dyDescent="0.3">
      <c r="A5011" s="2" t="str">
        <f>"SAO JOSE DO CAMPESTRE"</f>
        <v>SAO JOSE DO CAMPESTRE</v>
      </c>
      <c r="B5011" s="3" t="str">
        <f>"RN"</f>
        <v>RN</v>
      </c>
      <c r="C5011" s="3" t="str">
        <f t="shared" si="187"/>
        <v>BRASIL</v>
      </c>
      <c r="D5011" s="4" t="str">
        <f>"RN134"</f>
        <v>RN134</v>
      </c>
    </row>
    <row r="5012" spans="1:4" x14ac:dyDescent="0.3">
      <c r="A5012" s="2" t="str">
        <f>"SAO JOSE DO CEDRO"</f>
        <v>SAO JOSE DO CEDRO</v>
      </c>
      <c r="B5012" s="3" t="str">
        <f>"SC"</f>
        <v>SC</v>
      </c>
      <c r="C5012" s="3" t="str">
        <f t="shared" si="187"/>
        <v>BRASIL</v>
      </c>
      <c r="D5012" s="4" t="str">
        <f>"SC249"</f>
        <v>SC249</v>
      </c>
    </row>
    <row r="5013" spans="1:4" x14ac:dyDescent="0.3">
      <c r="A5013" s="2" t="str">
        <f>"SAO JOSE DO CERRITO"</f>
        <v>SAO JOSE DO CERRITO</v>
      </c>
      <c r="B5013" s="3" t="str">
        <f>"SC"</f>
        <v>SC</v>
      </c>
      <c r="C5013" s="3" t="str">
        <f t="shared" si="187"/>
        <v>BRASIL</v>
      </c>
      <c r="D5013" s="4" t="str">
        <f>"SC250"</f>
        <v>SC250</v>
      </c>
    </row>
    <row r="5014" spans="1:4" x14ac:dyDescent="0.3">
      <c r="A5014" s="2" t="str">
        <f>"SAO JOSE DO DIVINO"</f>
        <v>SAO JOSE DO DIVINO</v>
      </c>
      <c r="B5014" s="3" t="str">
        <f>"MG"</f>
        <v>MG</v>
      </c>
      <c r="C5014" s="3" t="str">
        <f t="shared" si="187"/>
        <v>BRASIL</v>
      </c>
      <c r="D5014" s="4" t="str">
        <f>"MG744"</f>
        <v>MG744</v>
      </c>
    </row>
    <row r="5015" spans="1:4" x14ac:dyDescent="0.3">
      <c r="A5015" s="2" t="str">
        <f>"SAO JOSE DO DIVINO"</f>
        <v>SAO JOSE DO DIVINO</v>
      </c>
      <c r="B5015" s="3" t="str">
        <f>"PI"</f>
        <v>PI</v>
      </c>
      <c r="C5015" s="3" t="str">
        <f t="shared" si="187"/>
        <v>BRASIL</v>
      </c>
      <c r="D5015" s="4" t="str">
        <f>"PI195"</f>
        <v>PI195</v>
      </c>
    </row>
    <row r="5016" spans="1:4" x14ac:dyDescent="0.3">
      <c r="A5016" s="2" t="str">
        <f>"SAO JOSE DO EGITO"</f>
        <v>SAO JOSE DO EGITO</v>
      </c>
      <c r="B5016" s="3" t="str">
        <f>"PE"</f>
        <v>PE</v>
      </c>
      <c r="C5016" s="3" t="str">
        <f t="shared" si="187"/>
        <v>BRASIL</v>
      </c>
      <c r="D5016" s="4" t="str">
        <f>"PE155"</f>
        <v>PE155</v>
      </c>
    </row>
    <row r="5017" spans="1:4" x14ac:dyDescent="0.3">
      <c r="A5017" s="2" t="str">
        <f>"SAO JOSE DO GOIABAL"</f>
        <v>SAO JOSE DO GOIABAL</v>
      </c>
      <c r="B5017" s="3" t="str">
        <f>"MG"</f>
        <v>MG</v>
      </c>
      <c r="C5017" s="3" t="str">
        <f t="shared" si="187"/>
        <v>BRASIL</v>
      </c>
      <c r="D5017" s="4" t="str">
        <f>"MG745"</f>
        <v>MG745</v>
      </c>
    </row>
    <row r="5018" spans="1:4" x14ac:dyDescent="0.3">
      <c r="A5018" s="2" t="str">
        <f>"SAO JOSE DO HERVAL"</f>
        <v>SAO JOSE DO HERVAL</v>
      </c>
      <c r="B5018" s="3" t="str">
        <f>"RS"</f>
        <v>RS</v>
      </c>
      <c r="C5018" s="3" t="str">
        <f t="shared" si="187"/>
        <v>BRASIL</v>
      </c>
      <c r="D5018" s="4" t="str">
        <f>"RS391"</f>
        <v>RS391</v>
      </c>
    </row>
    <row r="5019" spans="1:4" x14ac:dyDescent="0.3">
      <c r="A5019" s="2" t="str">
        <f>"SAO JOSE DO HORTENCIO"</f>
        <v>SAO JOSE DO HORTENCIO</v>
      </c>
      <c r="B5019" s="3" t="str">
        <f>"RS"</f>
        <v>RS</v>
      </c>
      <c r="C5019" s="3" t="str">
        <f t="shared" si="187"/>
        <v>BRASIL</v>
      </c>
      <c r="D5019" s="4" t="str">
        <f>"RS392"</f>
        <v>RS392</v>
      </c>
    </row>
    <row r="5020" spans="1:4" x14ac:dyDescent="0.3">
      <c r="A5020" s="2" t="str">
        <f>"SAO JOSE DO INHACORA"</f>
        <v>SAO JOSE DO INHACORA</v>
      </c>
      <c r="B5020" s="3" t="str">
        <f>"RS"</f>
        <v>RS</v>
      </c>
      <c r="C5020" s="3" t="str">
        <f t="shared" si="187"/>
        <v>BRASIL</v>
      </c>
      <c r="D5020" s="4" t="str">
        <f>"RS393"</f>
        <v>RS393</v>
      </c>
    </row>
    <row r="5021" spans="1:4" x14ac:dyDescent="0.3">
      <c r="A5021" s="2" t="str">
        <f>"SAO JOSE DO JACUIPE"</f>
        <v>SAO JOSE DO JACUIPE</v>
      </c>
      <c r="B5021" s="3" t="str">
        <f>"BA"</f>
        <v>BA</v>
      </c>
      <c r="C5021" s="3" t="str">
        <f t="shared" si="187"/>
        <v>BRASIL</v>
      </c>
      <c r="D5021" s="4" t="str">
        <f>"BA361"</f>
        <v>BA361</v>
      </c>
    </row>
    <row r="5022" spans="1:4" x14ac:dyDescent="0.3">
      <c r="A5022" s="2" t="str">
        <f>"SAO JOSE DO JACURI"</f>
        <v>SAO JOSE DO JACURI</v>
      </c>
      <c r="B5022" s="3" t="str">
        <f>"MG"</f>
        <v>MG</v>
      </c>
      <c r="C5022" s="3" t="str">
        <f t="shared" si="187"/>
        <v>BRASIL</v>
      </c>
      <c r="D5022" s="4" t="str">
        <f>"MG746"</f>
        <v>MG746</v>
      </c>
    </row>
    <row r="5023" spans="1:4" x14ac:dyDescent="0.3">
      <c r="A5023" s="2" t="str">
        <f>"SAO JOSE DO MANTIMENTO"</f>
        <v>SAO JOSE DO MANTIMENTO</v>
      </c>
      <c r="B5023" s="3" t="str">
        <f>"MG"</f>
        <v>MG</v>
      </c>
      <c r="C5023" s="3" t="str">
        <f t="shared" si="187"/>
        <v>BRASIL</v>
      </c>
      <c r="D5023" s="4" t="str">
        <f>"MG747"</f>
        <v>MG747</v>
      </c>
    </row>
    <row r="5024" spans="1:4" x14ac:dyDescent="0.3">
      <c r="A5024" s="2" t="str">
        <f>"SAO JOSE DO NORTE"</f>
        <v>SAO JOSE DO NORTE</v>
      </c>
      <c r="B5024" s="3" t="str">
        <f>"RS"</f>
        <v>RS</v>
      </c>
      <c r="C5024" s="3" t="str">
        <f t="shared" ref="C5024:C5040" si="188">"BRASIL"</f>
        <v>BRASIL</v>
      </c>
      <c r="D5024" s="4" t="str">
        <f>"RS394"</f>
        <v>RS394</v>
      </c>
    </row>
    <row r="5025" spans="1:4" x14ac:dyDescent="0.3">
      <c r="A5025" s="2" t="str">
        <f>"SAO JOSE DO OURO"</f>
        <v>SAO JOSE DO OURO</v>
      </c>
      <c r="B5025" s="3" t="str">
        <f>"RS"</f>
        <v>RS</v>
      </c>
      <c r="C5025" s="3" t="str">
        <f t="shared" si="188"/>
        <v>BRASIL</v>
      </c>
      <c r="D5025" s="4" t="str">
        <f>"RS395"</f>
        <v>RS395</v>
      </c>
    </row>
    <row r="5026" spans="1:4" x14ac:dyDescent="0.3">
      <c r="A5026" s="2" t="str">
        <f>"SAO JOSE DO PEIXE"</f>
        <v>SAO JOSE DO PEIXE</v>
      </c>
      <c r="B5026" s="3" t="str">
        <f>"PI"</f>
        <v>PI</v>
      </c>
      <c r="C5026" s="3" t="str">
        <f t="shared" si="188"/>
        <v>BRASIL</v>
      </c>
      <c r="D5026" s="4" t="str">
        <f>"PI196"</f>
        <v>PI196</v>
      </c>
    </row>
    <row r="5027" spans="1:4" x14ac:dyDescent="0.3">
      <c r="A5027" s="2" t="str">
        <f>"SAO JOSE DO PIAUI"</f>
        <v>SAO JOSE DO PIAUI</v>
      </c>
      <c r="B5027" s="3" t="str">
        <f>"PI"</f>
        <v>PI</v>
      </c>
      <c r="C5027" s="3" t="str">
        <f t="shared" si="188"/>
        <v>BRASIL</v>
      </c>
      <c r="D5027" s="4" t="str">
        <f>"PI197"</f>
        <v>PI197</v>
      </c>
    </row>
    <row r="5028" spans="1:4" x14ac:dyDescent="0.3">
      <c r="A5028" s="2" t="str">
        <f>"SAO JOSE DO POVO"</f>
        <v>SAO JOSE DO POVO</v>
      </c>
      <c r="B5028" s="3" t="str">
        <f>"MT"</f>
        <v>MT</v>
      </c>
      <c r="C5028" s="3" t="str">
        <f t="shared" si="188"/>
        <v>BRASIL</v>
      </c>
      <c r="D5028" s="4" t="str">
        <f>"MT109"</f>
        <v>MT109</v>
      </c>
    </row>
    <row r="5029" spans="1:4" x14ac:dyDescent="0.3">
      <c r="A5029" s="2" t="str">
        <f>"SAO JOSE DO RIO CLARO"</f>
        <v>SAO JOSE DO RIO CLARO</v>
      </c>
      <c r="B5029" s="3" t="str">
        <f>"MT"</f>
        <v>MT</v>
      </c>
      <c r="C5029" s="3" t="str">
        <f t="shared" si="188"/>
        <v>BRASIL</v>
      </c>
      <c r="D5029" s="4" t="str">
        <f>"MT110"</f>
        <v>MT110</v>
      </c>
    </row>
    <row r="5030" spans="1:4" x14ac:dyDescent="0.3">
      <c r="A5030" s="2" t="str">
        <f>"SAO JOSE DO RIO PARDO"</f>
        <v>SAO JOSE DO RIO PARDO</v>
      </c>
      <c r="B5030" s="3" t="str">
        <f>"SP"</f>
        <v>SP</v>
      </c>
      <c r="C5030" s="3" t="str">
        <f t="shared" si="188"/>
        <v>BRASIL</v>
      </c>
      <c r="D5030" s="4" t="str">
        <f>"SP556"</f>
        <v>SP556</v>
      </c>
    </row>
    <row r="5031" spans="1:4" x14ac:dyDescent="0.3">
      <c r="A5031" s="2" t="str">
        <f>"SAO JOSE DO RIO PRETO"</f>
        <v>SAO JOSE DO RIO PRETO</v>
      </c>
      <c r="B5031" s="3" t="str">
        <f>"SP"</f>
        <v>SP</v>
      </c>
      <c r="C5031" s="3" t="str">
        <f t="shared" si="188"/>
        <v>BRASIL</v>
      </c>
      <c r="D5031" s="4" t="str">
        <f>"SP557"</f>
        <v>SP557</v>
      </c>
    </row>
    <row r="5032" spans="1:4" x14ac:dyDescent="0.3">
      <c r="A5032" s="2" t="str">
        <f>"SAO JOSE DO SABUGI"</f>
        <v>SAO JOSE DO SABUGI</v>
      </c>
      <c r="B5032" s="3" t="str">
        <f>"PB"</f>
        <v>PB</v>
      </c>
      <c r="C5032" s="3" t="str">
        <f t="shared" si="188"/>
        <v>BRASIL</v>
      </c>
      <c r="D5032" s="4" t="str">
        <f>"PB193"</f>
        <v>PB193</v>
      </c>
    </row>
    <row r="5033" spans="1:4" x14ac:dyDescent="0.3">
      <c r="A5033" s="2" t="str">
        <f>"SAO JOSE DO SERIDO"</f>
        <v>SAO JOSE DO SERIDO</v>
      </c>
      <c r="B5033" s="3" t="str">
        <f>"RN"</f>
        <v>RN</v>
      </c>
      <c r="C5033" s="3" t="str">
        <f t="shared" si="188"/>
        <v>BRASIL</v>
      </c>
      <c r="D5033" s="4" t="str">
        <f>"RN135"</f>
        <v>RN135</v>
      </c>
    </row>
    <row r="5034" spans="1:4" x14ac:dyDescent="0.3">
      <c r="A5034" s="2" t="str">
        <f>"SAO JOSE DO SUL"</f>
        <v>SAO JOSE DO SUL</v>
      </c>
      <c r="B5034" s="3" t="str">
        <f>"RS"</f>
        <v>RS</v>
      </c>
      <c r="C5034" s="3" t="str">
        <f t="shared" si="188"/>
        <v>BRASIL</v>
      </c>
      <c r="D5034" s="4" t="str">
        <f>"RS396"</f>
        <v>RS396</v>
      </c>
    </row>
    <row r="5035" spans="1:4" x14ac:dyDescent="0.3">
      <c r="A5035" s="2" t="str">
        <f>"SAO JOSE DO VALE DO RIO P"</f>
        <v>SAO JOSE DO VALE DO RIO P</v>
      </c>
      <c r="B5035" s="3" t="str">
        <f>"RJ"</f>
        <v>RJ</v>
      </c>
      <c r="C5035" s="3" t="str">
        <f t="shared" si="188"/>
        <v>BRASIL</v>
      </c>
      <c r="D5035" s="4" t="str">
        <f>"RJ077"</f>
        <v>RJ077</v>
      </c>
    </row>
    <row r="5036" spans="1:4" x14ac:dyDescent="0.3">
      <c r="A5036" s="2" t="str">
        <f>"SAO JOSE DO XINGU"</f>
        <v>SAO JOSE DO XINGU</v>
      </c>
      <c r="B5036" s="3" t="str">
        <f>"MT"</f>
        <v>MT</v>
      </c>
      <c r="C5036" s="3" t="str">
        <f t="shared" si="188"/>
        <v>BRASIL</v>
      </c>
      <c r="D5036" s="4" t="str">
        <f>"MT111"</f>
        <v>MT111</v>
      </c>
    </row>
    <row r="5037" spans="1:4" x14ac:dyDescent="0.3">
      <c r="A5037" s="2" t="str">
        <f>"SAO JOSE DOS AUSENTES"</f>
        <v>SAO JOSE DOS AUSENTES</v>
      </c>
      <c r="B5037" s="3" t="str">
        <f>"RS"</f>
        <v>RS</v>
      </c>
      <c r="C5037" s="3" t="str">
        <f t="shared" si="188"/>
        <v>BRASIL</v>
      </c>
      <c r="D5037" s="4" t="str">
        <f>"RS397"</f>
        <v>RS397</v>
      </c>
    </row>
    <row r="5038" spans="1:4" x14ac:dyDescent="0.3">
      <c r="A5038" s="2" t="str">
        <f>"SAO JOSE DOS BASILIOS"</f>
        <v>SAO JOSE DOS BASILIOS</v>
      </c>
      <c r="B5038" s="3" t="str">
        <f>"MA"</f>
        <v>MA</v>
      </c>
      <c r="C5038" s="3" t="str">
        <f t="shared" si="188"/>
        <v>BRASIL</v>
      </c>
      <c r="D5038" s="4" t="str">
        <f>"MA185"</f>
        <v>MA185</v>
      </c>
    </row>
    <row r="5039" spans="1:4" x14ac:dyDescent="0.3">
      <c r="A5039" s="2" t="str">
        <f>"SAO JOSE DOS CAMPOS"</f>
        <v>SAO JOSE DOS CAMPOS</v>
      </c>
      <c r="B5039" s="3" t="str">
        <f>"SP"</f>
        <v>SP</v>
      </c>
      <c r="C5039" s="3" t="str">
        <f t="shared" si="188"/>
        <v>BRASIL</v>
      </c>
      <c r="D5039" s="4" t="str">
        <f>"SP558"</f>
        <v>SP558</v>
      </c>
    </row>
    <row r="5040" spans="1:4" x14ac:dyDescent="0.3">
      <c r="A5040" s="2" t="str">
        <f>"SAO JOSE DOS CORDEIROS"</f>
        <v>SAO JOSE DOS CORDEIROS</v>
      </c>
      <c r="B5040" s="3" t="str">
        <f>"PB"</f>
        <v>PB</v>
      </c>
      <c r="C5040" s="3" t="str">
        <f t="shared" si="188"/>
        <v>BRASIL</v>
      </c>
      <c r="D5040" s="4" t="str">
        <f>"PB194"</f>
        <v>PB194</v>
      </c>
    </row>
    <row r="5041" spans="1:4" x14ac:dyDescent="0.3">
      <c r="A5041" s="2" t="str">
        <f>"SAO JOSE DOS PINHAIS"</f>
        <v>SAO JOSE DOS PINHAIS</v>
      </c>
      <c r="B5041" s="3" t="str">
        <f>"PR"</f>
        <v>PR</v>
      </c>
      <c r="C5041" s="3" t="str">
        <f>"Brasil"</f>
        <v>Brasil</v>
      </c>
      <c r="D5041" s="4" t="str">
        <f>"SJP"</f>
        <v>SJP</v>
      </c>
    </row>
    <row r="5042" spans="1:4" x14ac:dyDescent="0.3">
      <c r="A5042" s="2" t="str">
        <f>"SAO JOSE DOS QUATRO MARCO"</f>
        <v>SAO JOSE DOS QUATRO MARCO</v>
      </c>
      <c r="B5042" s="3" t="str">
        <f>"MT"</f>
        <v>MT</v>
      </c>
      <c r="C5042" s="3" t="str">
        <f t="shared" ref="C5042:C5073" si="189">"BRASIL"</f>
        <v>BRASIL</v>
      </c>
      <c r="D5042" s="4" t="str">
        <f>"MT102"</f>
        <v>MT102</v>
      </c>
    </row>
    <row r="5043" spans="1:4" x14ac:dyDescent="0.3">
      <c r="A5043" s="2" t="str">
        <f>"SAO JOSE DOS RAMOS"</f>
        <v>SAO JOSE DOS RAMOS</v>
      </c>
      <c r="B5043" s="3" t="str">
        <f>"PB"</f>
        <v>PB</v>
      </c>
      <c r="C5043" s="3" t="str">
        <f t="shared" si="189"/>
        <v>BRASIL</v>
      </c>
      <c r="D5043" s="4" t="str">
        <f>"PB188"</f>
        <v>PB188</v>
      </c>
    </row>
    <row r="5044" spans="1:4" x14ac:dyDescent="0.3">
      <c r="A5044" s="2" t="str">
        <f>"SAO JULIAO"</f>
        <v>SAO JULIAO</v>
      </c>
      <c r="B5044" s="3" t="str">
        <f>"PI"</f>
        <v>PI</v>
      </c>
      <c r="C5044" s="3" t="str">
        <f t="shared" si="189"/>
        <v>BRASIL</v>
      </c>
      <c r="D5044" s="4" t="str">
        <f>"PI198"</f>
        <v>PI198</v>
      </c>
    </row>
    <row r="5045" spans="1:4" x14ac:dyDescent="0.3">
      <c r="A5045" s="2" t="str">
        <f>"SAO LEOPOLDO"</f>
        <v>SAO LEOPOLDO</v>
      </c>
      <c r="B5045" s="3" t="str">
        <f>"RS"</f>
        <v>RS</v>
      </c>
      <c r="C5045" s="3" t="str">
        <f t="shared" si="189"/>
        <v>BRASIL</v>
      </c>
      <c r="D5045" s="4" t="str">
        <f>"RS398"</f>
        <v>RS398</v>
      </c>
    </row>
    <row r="5046" spans="1:4" x14ac:dyDescent="0.3">
      <c r="A5046" s="2" t="str">
        <f>"SAO LOURENCO"</f>
        <v>SAO LOURENCO</v>
      </c>
      <c r="B5046" s="3" t="str">
        <f>"MG"</f>
        <v>MG</v>
      </c>
      <c r="C5046" s="3" t="str">
        <f t="shared" si="189"/>
        <v>BRASIL</v>
      </c>
      <c r="D5046" s="4" t="str">
        <f>"MG748"</f>
        <v>MG748</v>
      </c>
    </row>
    <row r="5047" spans="1:4" x14ac:dyDescent="0.3">
      <c r="A5047" s="2" t="str">
        <f>"SAO LOURENCO DA MATA"</f>
        <v>SAO LOURENCO DA MATA</v>
      </c>
      <c r="B5047" s="3" t="str">
        <f>"PE"</f>
        <v>PE</v>
      </c>
      <c r="C5047" s="3" t="str">
        <f t="shared" si="189"/>
        <v>BRASIL</v>
      </c>
      <c r="D5047" s="4" t="str">
        <f>"PE156"</f>
        <v>PE156</v>
      </c>
    </row>
    <row r="5048" spans="1:4" x14ac:dyDescent="0.3">
      <c r="A5048" s="2" t="str">
        <f>"SAO LOURENCO DA SERRA"</f>
        <v>SAO LOURENCO DA SERRA</v>
      </c>
      <c r="B5048" s="3" t="str">
        <f>"SP"</f>
        <v>SP</v>
      </c>
      <c r="C5048" s="3" t="str">
        <f t="shared" si="189"/>
        <v>BRASIL</v>
      </c>
      <c r="D5048" s="4" t="str">
        <f>"SP559"</f>
        <v>SP559</v>
      </c>
    </row>
    <row r="5049" spans="1:4" x14ac:dyDescent="0.3">
      <c r="A5049" s="2" t="str">
        <f>"SAO LOURENCO DO OESTE"</f>
        <v>SAO LOURENCO DO OESTE</v>
      </c>
      <c r="B5049" s="3" t="str">
        <f>"SC"</f>
        <v>SC</v>
      </c>
      <c r="C5049" s="3" t="str">
        <f t="shared" si="189"/>
        <v>BRASIL</v>
      </c>
      <c r="D5049" s="4" t="str">
        <f>"SC251"</f>
        <v>SC251</v>
      </c>
    </row>
    <row r="5050" spans="1:4" x14ac:dyDescent="0.3">
      <c r="A5050" s="2" t="str">
        <f>"SAO LOURENCO DO PIAUI"</f>
        <v>SAO LOURENCO DO PIAUI</v>
      </c>
      <c r="B5050" s="3" t="str">
        <f>"PI"</f>
        <v>PI</v>
      </c>
      <c r="C5050" s="3" t="str">
        <f t="shared" si="189"/>
        <v>BRASIL</v>
      </c>
      <c r="D5050" s="4" t="str">
        <f>"PI199"</f>
        <v>PI199</v>
      </c>
    </row>
    <row r="5051" spans="1:4" x14ac:dyDescent="0.3">
      <c r="A5051" s="2" t="str">
        <f>"SAO LOURENCO DO SUL"</f>
        <v>SAO LOURENCO DO SUL</v>
      </c>
      <c r="B5051" s="3" t="str">
        <f>"RS"</f>
        <v>RS</v>
      </c>
      <c r="C5051" s="3" t="str">
        <f t="shared" si="189"/>
        <v>BRASIL</v>
      </c>
      <c r="D5051" s="4" t="str">
        <f>"RS399"</f>
        <v>RS399</v>
      </c>
    </row>
    <row r="5052" spans="1:4" x14ac:dyDescent="0.3">
      <c r="A5052" s="2" t="str">
        <f>"SAO LUDGERO"</f>
        <v>SAO LUDGERO</v>
      </c>
      <c r="B5052" s="3" t="str">
        <f>"SC"</f>
        <v>SC</v>
      </c>
      <c r="C5052" s="3" t="str">
        <f t="shared" si="189"/>
        <v>BRASIL</v>
      </c>
      <c r="D5052" s="4" t="str">
        <f>"SC252"</f>
        <v>SC252</v>
      </c>
    </row>
    <row r="5053" spans="1:4" x14ac:dyDescent="0.3">
      <c r="A5053" s="2" t="str">
        <f>"SAO LUIS"</f>
        <v>SAO LUIS</v>
      </c>
      <c r="B5053" s="3" t="str">
        <f>"MA"</f>
        <v>MA</v>
      </c>
      <c r="C5053" s="3" t="str">
        <f t="shared" si="189"/>
        <v>BRASIL</v>
      </c>
      <c r="D5053" s="4" t="str">
        <f>"MA186"</f>
        <v>MA186</v>
      </c>
    </row>
    <row r="5054" spans="1:4" x14ac:dyDescent="0.3">
      <c r="A5054" s="2" t="str">
        <f>"SAO LUIS DE MONTES BELOS"</f>
        <v>SAO LUIS DE MONTES BELOS</v>
      </c>
      <c r="B5054" s="3" t="str">
        <f>"GO"</f>
        <v>GO</v>
      </c>
      <c r="C5054" s="3" t="str">
        <f t="shared" si="189"/>
        <v>BRASIL</v>
      </c>
      <c r="D5054" s="4" t="str">
        <f>"GO218"</f>
        <v>GO218</v>
      </c>
    </row>
    <row r="5055" spans="1:4" x14ac:dyDescent="0.3">
      <c r="A5055" s="2" t="str">
        <f>"SAO LUIS DO CURU"</f>
        <v>SAO LUIS DO CURU</v>
      </c>
      <c r="B5055" s="3" t="str">
        <f>"CE"</f>
        <v>CE</v>
      </c>
      <c r="C5055" s="3" t="str">
        <f t="shared" si="189"/>
        <v>BRASIL</v>
      </c>
      <c r="D5055" s="4" t="str">
        <f>"CE164"</f>
        <v>CE164</v>
      </c>
    </row>
    <row r="5056" spans="1:4" x14ac:dyDescent="0.3">
      <c r="A5056" s="2" t="str">
        <f>"SAO LUIS DO PARAITINGA"</f>
        <v>SAO LUIS DO PARAITINGA</v>
      </c>
      <c r="B5056" s="3" t="str">
        <f>"SP"</f>
        <v>SP</v>
      </c>
      <c r="C5056" s="3" t="str">
        <f t="shared" si="189"/>
        <v>BRASIL</v>
      </c>
      <c r="D5056" s="4" t="str">
        <f>"SP560"</f>
        <v>SP560</v>
      </c>
    </row>
    <row r="5057" spans="1:4" x14ac:dyDescent="0.3">
      <c r="A5057" s="2" t="str">
        <f>"SAO LUIS DO PIAUI"</f>
        <v>SAO LUIS DO PIAUI</v>
      </c>
      <c r="B5057" s="3" t="str">
        <f>"PI"</f>
        <v>PI</v>
      </c>
      <c r="C5057" s="3" t="str">
        <f t="shared" si="189"/>
        <v>BRASIL</v>
      </c>
      <c r="D5057" s="4" t="str">
        <f>"PI200"</f>
        <v>PI200</v>
      </c>
    </row>
    <row r="5058" spans="1:4" x14ac:dyDescent="0.3">
      <c r="A5058" s="2" t="str">
        <f>"SAO LUIS DO QUITUNDE"</f>
        <v>SAO LUIS DO QUITUNDE</v>
      </c>
      <c r="B5058" s="3" t="str">
        <f>"AL"</f>
        <v>AL</v>
      </c>
      <c r="C5058" s="3" t="str">
        <f t="shared" si="189"/>
        <v>BRASIL</v>
      </c>
      <c r="D5058" s="4" t="str">
        <f>"AL091"</f>
        <v>AL091</v>
      </c>
    </row>
    <row r="5059" spans="1:4" x14ac:dyDescent="0.3">
      <c r="A5059" s="2" t="str">
        <f>"SAO LUIS GONZAGA DO MARAN"</f>
        <v>SAO LUIS GONZAGA DO MARAN</v>
      </c>
      <c r="B5059" s="3" t="str">
        <f>"MA"</f>
        <v>MA</v>
      </c>
      <c r="C5059" s="3" t="str">
        <f t="shared" si="189"/>
        <v>BRASIL</v>
      </c>
      <c r="D5059" s="4" t="str">
        <f>"MA187"</f>
        <v>MA187</v>
      </c>
    </row>
    <row r="5060" spans="1:4" x14ac:dyDescent="0.3">
      <c r="A5060" s="2" t="str">
        <f>"SAO LUIZ"</f>
        <v>SAO LUIZ</v>
      </c>
      <c r="B5060" s="3" t="str">
        <f>"RR"</f>
        <v>RR</v>
      </c>
      <c r="C5060" s="3" t="str">
        <f t="shared" si="189"/>
        <v>BRASIL</v>
      </c>
      <c r="D5060" s="4" t="str">
        <f>"RR014"</f>
        <v>RR014</v>
      </c>
    </row>
    <row r="5061" spans="1:4" x14ac:dyDescent="0.3">
      <c r="A5061" s="2" t="str">
        <f>"SAO LUIZ DO NORTE"</f>
        <v>SAO LUIZ DO NORTE</v>
      </c>
      <c r="B5061" s="3" t="str">
        <f>"GO"</f>
        <v>GO</v>
      </c>
      <c r="C5061" s="3" t="str">
        <f t="shared" si="189"/>
        <v>BRASIL</v>
      </c>
      <c r="D5061" s="4" t="str">
        <f>"GO219"</f>
        <v>GO219</v>
      </c>
    </row>
    <row r="5062" spans="1:4" x14ac:dyDescent="0.3">
      <c r="A5062" s="2" t="str">
        <f>"SAO LUIZ GONZAGA"</f>
        <v>SAO LUIZ GONZAGA</v>
      </c>
      <c r="B5062" s="3" t="str">
        <f>"RS"</f>
        <v>RS</v>
      </c>
      <c r="C5062" s="3" t="str">
        <f t="shared" si="189"/>
        <v>BRASIL</v>
      </c>
      <c r="D5062" s="4" t="str">
        <f>"RS400"</f>
        <v>RS400</v>
      </c>
    </row>
    <row r="5063" spans="1:4" x14ac:dyDescent="0.3">
      <c r="A5063" s="2" t="str">
        <f>"SAO MAMEDE"</f>
        <v>SAO MAMEDE</v>
      </c>
      <c r="B5063" s="3" t="str">
        <f>"PB"</f>
        <v>PB</v>
      </c>
      <c r="C5063" s="3" t="str">
        <f t="shared" si="189"/>
        <v>BRASIL</v>
      </c>
      <c r="D5063" s="4" t="str">
        <f>"PB195"</f>
        <v>PB195</v>
      </c>
    </row>
    <row r="5064" spans="1:4" x14ac:dyDescent="0.3">
      <c r="A5064" s="2" t="str">
        <f>"SAO MANOEL DO PARANA"</f>
        <v>SAO MANOEL DO PARANA</v>
      </c>
      <c r="B5064" s="3" t="str">
        <f>"PR"</f>
        <v>PR</v>
      </c>
      <c r="C5064" s="3" t="str">
        <f t="shared" si="189"/>
        <v>BRASIL</v>
      </c>
      <c r="D5064" s="4" t="str">
        <f>"PR351"</f>
        <v>PR351</v>
      </c>
    </row>
    <row r="5065" spans="1:4" x14ac:dyDescent="0.3">
      <c r="A5065" s="2" t="str">
        <f>"SAO MANUEL"</f>
        <v>SAO MANUEL</v>
      </c>
      <c r="B5065" s="3" t="str">
        <f>"SP"</f>
        <v>SP</v>
      </c>
      <c r="C5065" s="3" t="str">
        <f t="shared" si="189"/>
        <v>BRASIL</v>
      </c>
      <c r="D5065" s="4" t="str">
        <f>"SP561"</f>
        <v>SP561</v>
      </c>
    </row>
    <row r="5066" spans="1:4" x14ac:dyDescent="0.3">
      <c r="A5066" s="2" t="str">
        <f>"SAO MARCOS"</f>
        <v>SAO MARCOS</v>
      </c>
      <c r="B5066" s="3" t="str">
        <f>"RS"</f>
        <v>RS</v>
      </c>
      <c r="C5066" s="3" t="str">
        <f t="shared" si="189"/>
        <v>BRASIL</v>
      </c>
      <c r="D5066" s="4" t="str">
        <f>"RS401"</f>
        <v>RS401</v>
      </c>
    </row>
    <row r="5067" spans="1:4" x14ac:dyDescent="0.3">
      <c r="A5067" s="2" t="str">
        <f>"SAO MARTINHO"</f>
        <v>SAO MARTINHO</v>
      </c>
      <c r="B5067" s="3" t="str">
        <f>"RS"</f>
        <v>RS</v>
      </c>
      <c r="C5067" s="3" t="str">
        <f t="shared" si="189"/>
        <v>BRASIL</v>
      </c>
      <c r="D5067" s="4" t="str">
        <f>"RS402"</f>
        <v>RS402</v>
      </c>
    </row>
    <row r="5068" spans="1:4" x14ac:dyDescent="0.3">
      <c r="A5068" s="2" t="str">
        <f>"SAO MARTINHO"</f>
        <v>SAO MARTINHO</v>
      </c>
      <c r="B5068" s="3" t="str">
        <f>"SC"</f>
        <v>SC</v>
      </c>
      <c r="C5068" s="3" t="str">
        <f t="shared" si="189"/>
        <v>BRASIL</v>
      </c>
      <c r="D5068" s="4" t="str">
        <f>"SC253"</f>
        <v>SC253</v>
      </c>
    </row>
    <row r="5069" spans="1:4" x14ac:dyDescent="0.3">
      <c r="A5069" s="2" t="str">
        <f>"SAO MARTINHO DA SERRA"</f>
        <v>SAO MARTINHO DA SERRA</v>
      </c>
      <c r="B5069" s="3" t="str">
        <f>"RS"</f>
        <v>RS</v>
      </c>
      <c r="C5069" s="3" t="str">
        <f t="shared" si="189"/>
        <v>BRASIL</v>
      </c>
      <c r="D5069" s="4" t="str">
        <f>"RS403"</f>
        <v>RS403</v>
      </c>
    </row>
    <row r="5070" spans="1:4" x14ac:dyDescent="0.3">
      <c r="A5070" s="2" t="str">
        <f>"SAO MATEUS"</f>
        <v>SAO MATEUS</v>
      </c>
      <c r="B5070" s="3" t="str">
        <f>"ES"</f>
        <v>ES</v>
      </c>
      <c r="C5070" s="3" t="str">
        <f t="shared" si="189"/>
        <v>BRASIL</v>
      </c>
      <c r="D5070" s="4" t="str">
        <f>"ES068"</f>
        <v>ES068</v>
      </c>
    </row>
    <row r="5071" spans="1:4" x14ac:dyDescent="0.3">
      <c r="A5071" s="2" t="str">
        <f>"SAO MATEUS DO MARANHAO"</f>
        <v>SAO MATEUS DO MARANHAO</v>
      </c>
      <c r="B5071" s="3" t="str">
        <f>"MA"</f>
        <v>MA</v>
      </c>
      <c r="C5071" s="3" t="str">
        <f t="shared" si="189"/>
        <v>BRASIL</v>
      </c>
      <c r="D5071" s="4" t="str">
        <f>"MA188"</f>
        <v>MA188</v>
      </c>
    </row>
    <row r="5072" spans="1:4" x14ac:dyDescent="0.3">
      <c r="A5072" s="2" t="str">
        <f>"SAO MATEUS DO SUL"</f>
        <v>SAO MATEUS DO SUL</v>
      </c>
      <c r="B5072" s="3" t="str">
        <f>"PR"</f>
        <v>PR</v>
      </c>
      <c r="C5072" s="3" t="str">
        <f t="shared" si="189"/>
        <v>BRASIL</v>
      </c>
      <c r="D5072" s="4" t="str">
        <f>"PR352"</f>
        <v>PR352</v>
      </c>
    </row>
    <row r="5073" spans="1:4" x14ac:dyDescent="0.3">
      <c r="A5073" s="2" t="str">
        <f>"SAO MIGUEL"</f>
        <v>SAO MIGUEL</v>
      </c>
      <c r="B5073" s="3" t="str">
        <f>"RN"</f>
        <v>RN</v>
      </c>
      <c r="C5073" s="3" t="str">
        <f t="shared" si="189"/>
        <v>BRASIL</v>
      </c>
      <c r="D5073" s="4" t="str">
        <f>"RN136"</f>
        <v>RN136</v>
      </c>
    </row>
    <row r="5074" spans="1:4" x14ac:dyDescent="0.3">
      <c r="A5074" s="2" t="str">
        <f>"SAO MIGUEL ARCANJO"</f>
        <v>SAO MIGUEL ARCANJO</v>
      </c>
      <c r="B5074" s="3" t="str">
        <f>"SP"</f>
        <v>SP</v>
      </c>
      <c r="C5074" s="3" t="str">
        <f t="shared" ref="C5074:C5095" si="190">"BRASIL"</f>
        <v>BRASIL</v>
      </c>
      <c r="D5074" s="4" t="str">
        <f>"SP562"</f>
        <v>SP562</v>
      </c>
    </row>
    <row r="5075" spans="1:4" x14ac:dyDescent="0.3">
      <c r="A5075" s="2" t="str">
        <f>"SAO MIGUEL DA BAIXA GRAND"</f>
        <v>SAO MIGUEL DA BAIXA GRAND</v>
      </c>
      <c r="B5075" s="3" t="str">
        <f>"PI"</f>
        <v>PI</v>
      </c>
      <c r="C5075" s="3" t="str">
        <f t="shared" si="190"/>
        <v>BRASIL</v>
      </c>
      <c r="D5075" s="4" t="str">
        <f>"PI201"</f>
        <v>PI201</v>
      </c>
    </row>
    <row r="5076" spans="1:4" x14ac:dyDescent="0.3">
      <c r="A5076" s="2" t="str">
        <f>"SAO MIGUEL DA BOA VISTA"</f>
        <v>SAO MIGUEL DA BOA VISTA</v>
      </c>
      <c r="B5076" s="3" t="str">
        <f>"SC"</f>
        <v>SC</v>
      </c>
      <c r="C5076" s="3" t="str">
        <f t="shared" si="190"/>
        <v>BRASIL</v>
      </c>
      <c r="D5076" s="4" t="str">
        <f>"SC254"</f>
        <v>SC254</v>
      </c>
    </row>
    <row r="5077" spans="1:4" x14ac:dyDescent="0.3">
      <c r="A5077" s="2" t="str">
        <f>"SAO MIGUEL DAS MATAS"</f>
        <v>SAO MIGUEL DAS MATAS</v>
      </c>
      <c r="B5077" s="3" t="str">
        <f>"BA"</f>
        <v>BA</v>
      </c>
      <c r="C5077" s="3" t="str">
        <f t="shared" si="190"/>
        <v>BRASIL</v>
      </c>
      <c r="D5077" s="4" t="str">
        <f>"BA362"</f>
        <v>BA362</v>
      </c>
    </row>
    <row r="5078" spans="1:4" x14ac:dyDescent="0.3">
      <c r="A5078" s="2" t="str">
        <f>"SAO MIGUEL DAS MISSÕES"</f>
        <v>SAO MIGUEL DAS MISSÕES</v>
      </c>
      <c r="B5078" s="3" t="str">
        <f>"RS"</f>
        <v>RS</v>
      </c>
      <c r="C5078" s="3" t="str">
        <f t="shared" si="190"/>
        <v>BRASIL</v>
      </c>
      <c r="D5078" s="4" t="str">
        <f>"RS404"</f>
        <v>RS404</v>
      </c>
    </row>
    <row r="5079" spans="1:4" x14ac:dyDescent="0.3">
      <c r="A5079" s="2" t="str">
        <f>"SAO MIGUEL DE TAIPU"</f>
        <v>SAO MIGUEL DE TAIPU</v>
      </c>
      <c r="B5079" s="3" t="str">
        <f>"PB"</f>
        <v>PB</v>
      </c>
      <c r="C5079" s="3" t="str">
        <f t="shared" si="190"/>
        <v>BRASIL</v>
      </c>
      <c r="D5079" s="4" t="str">
        <f>"PB196"</f>
        <v>PB196</v>
      </c>
    </row>
    <row r="5080" spans="1:4" x14ac:dyDescent="0.3">
      <c r="A5080" s="2" t="str">
        <f>"SAO MIGUEL DO ALEIXO"</f>
        <v>SAO MIGUEL DO ALEIXO</v>
      </c>
      <c r="B5080" s="3" t="str">
        <f>"SE"</f>
        <v>SE</v>
      </c>
      <c r="C5080" s="3" t="str">
        <f t="shared" si="190"/>
        <v>BRASIL</v>
      </c>
      <c r="D5080" s="4" t="str">
        <f>"SE069"</f>
        <v>SE069</v>
      </c>
    </row>
    <row r="5081" spans="1:4" x14ac:dyDescent="0.3">
      <c r="A5081" s="2" t="str">
        <f>"SAO MIGUEL DO ANTA"</f>
        <v>SAO MIGUEL DO ANTA</v>
      </c>
      <c r="B5081" s="3" t="str">
        <f>"MG"</f>
        <v>MG</v>
      </c>
      <c r="C5081" s="3" t="str">
        <f t="shared" si="190"/>
        <v>BRASIL</v>
      </c>
      <c r="D5081" s="4" t="str">
        <f>"MG749"</f>
        <v>MG749</v>
      </c>
    </row>
    <row r="5082" spans="1:4" x14ac:dyDescent="0.3">
      <c r="A5082" s="2" t="str">
        <f>"SAO MIGUEL DO ARAGUAIA"</f>
        <v>SAO MIGUEL DO ARAGUAIA</v>
      </c>
      <c r="B5082" s="3" t="str">
        <f>"GO"</f>
        <v>GO</v>
      </c>
      <c r="C5082" s="3" t="str">
        <f t="shared" si="190"/>
        <v>BRASIL</v>
      </c>
      <c r="D5082" s="4" t="str">
        <f>"GO220"</f>
        <v>GO220</v>
      </c>
    </row>
    <row r="5083" spans="1:4" x14ac:dyDescent="0.3">
      <c r="A5083" s="2" t="str">
        <f>"SAO MIGUEL DO FIDALGO"</f>
        <v>SAO MIGUEL DO FIDALGO</v>
      </c>
      <c r="B5083" s="3" t="str">
        <f>"PI"</f>
        <v>PI</v>
      </c>
      <c r="C5083" s="3" t="str">
        <f t="shared" si="190"/>
        <v>BRASIL</v>
      </c>
      <c r="D5083" s="4" t="str">
        <f>"PI202"</f>
        <v>PI202</v>
      </c>
    </row>
    <row r="5084" spans="1:4" x14ac:dyDescent="0.3">
      <c r="A5084" s="2" t="str">
        <f>"SAO MIGUEL DO GOSTOSO"</f>
        <v>SAO MIGUEL DO GOSTOSO</v>
      </c>
      <c r="B5084" s="3" t="str">
        <f>"RN"</f>
        <v>RN</v>
      </c>
      <c r="C5084" s="3" t="str">
        <f t="shared" si="190"/>
        <v>BRASIL</v>
      </c>
      <c r="D5084" s="4" t="str">
        <f>"RN137"</f>
        <v>RN137</v>
      </c>
    </row>
    <row r="5085" spans="1:4" x14ac:dyDescent="0.3">
      <c r="A5085" s="2" t="str">
        <f>"SAO MIGUEL DO GUAMA"</f>
        <v>SAO MIGUEL DO GUAMA</v>
      </c>
      <c r="B5085" s="3" t="str">
        <f>"PA"</f>
        <v>PA</v>
      </c>
      <c r="C5085" s="3" t="str">
        <f t="shared" si="190"/>
        <v>BRASIL</v>
      </c>
      <c r="D5085" s="4" t="str">
        <f>"PA125"</f>
        <v>PA125</v>
      </c>
    </row>
    <row r="5086" spans="1:4" x14ac:dyDescent="0.3">
      <c r="A5086" s="2" t="str">
        <f>"SAO MIGUEL DO GUAPORE"</f>
        <v>SAO MIGUEL DO GUAPORE</v>
      </c>
      <c r="B5086" s="3" t="str">
        <f>"RO"</f>
        <v>RO</v>
      </c>
      <c r="C5086" s="3" t="str">
        <f t="shared" si="190"/>
        <v>BRASIL</v>
      </c>
      <c r="D5086" s="4" t="str">
        <f>"RO023"</f>
        <v>RO023</v>
      </c>
    </row>
    <row r="5087" spans="1:4" x14ac:dyDescent="0.3">
      <c r="A5087" s="2" t="str">
        <f>"SAO MIGUEL DO IGUACU"</f>
        <v>SAO MIGUEL DO IGUACU</v>
      </c>
      <c r="B5087" s="3" t="str">
        <f>"PR"</f>
        <v>PR</v>
      </c>
      <c r="C5087" s="3" t="str">
        <f t="shared" si="190"/>
        <v>BRASIL</v>
      </c>
      <c r="D5087" s="4" t="str">
        <f>"PR353"</f>
        <v>PR353</v>
      </c>
    </row>
    <row r="5088" spans="1:4" x14ac:dyDescent="0.3">
      <c r="A5088" s="2" t="str">
        <f>"SAO MIGUEL DO OESTE"</f>
        <v>SAO MIGUEL DO OESTE</v>
      </c>
      <c r="B5088" s="3" t="str">
        <f>"SC"</f>
        <v>SC</v>
      </c>
      <c r="C5088" s="3" t="str">
        <f t="shared" si="190"/>
        <v>BRASIL</v>
      </c>
      <c r="D5088" s="4" t="str">
        <f>"SC255"</f>
        <v>SC255</v>
      </c>
    </row>
    <row r="5089" spans="1:4" x14ac:dyDescent="0.3">
      <c r="A5089" s="2" t="str">
        <f>"SAO MIGUEL DO PASSA QUATR"</f>
        <v>SAO MIGUEL DO PASSA QUATR</v>
      </c>
      <c r="B5089" s="3" t="str">
        <f>"GO"</f>
        <v>GO</v>
      </c>
      <c r="C5089" s="3" t="str">
        <f t="shared" si="190"/>
        <v>BRASIL</v>
      </c>
      <c r="D5089" s="4" t="str">
        <f>"GO221"</f>
        <v>GO221</v>
      </c>
    </row>
    <row r="5090" spans="1:4" x14ac:dyDescent="0.3">
      <c r="A5090" s="2" t="str">
        <f>"SAO MIGUEL DO TAPUIO"</f>
        <v>SAO MIGUEL DO TAPUIO</v>
      </c>
      <c r="B5090" s="3" t="str">
        <f>"PI"</f>
        <v>PI</v>
      </c>
      <c r="C5090" s="3" t="str">
        <f t="shared" si="190"/>
        <v>BRASIL</v>
      </c>
      <c r="D5090" s="4" t="str">
        <f>"PI203"</f>
        <v>PI203</v>
      </c>
    </row>
    <row r="5091" spans="1:4" x14ac:dyDescent="0.3">
      <c r="A5091" s="2" t="str">
        <f>"SAO MIGUEL DO TOCANTINS"</f>
        <v>SAO MIGUEL DO TOCANTINS</v>
      </c>
      <c r="B5091" s="3" t="str">
        <f>"TO"</f>
        <v>TO</v>
      </c>
      <c r="C5091" s="3" t="str">
        <f t="shared" si="190"/>
        <v>BRASIL</v>
      </c>
      <c r="D5091" s="4" t="str">
        <f>"TO123"</f>
        <v>TO123</v>
      </c>
    </row>
    <row r="5092" spans="1:4" x14ac:dyDescent="0.3">
      <c r="A5092" s="2" t="str">
        <f>"SAO MIGUEL DOS CAMPOS"</f>
        <v>SAO MIGUEL DOS CAMPOS</v>
      </c>
      <c r="B5092" s="3" t="str">
        <f>"AL"</f>
        <v>AL</v>
      </c>
      <c r="C5092" s="3" t="str">
        <f t="shared" si="190"/>
        <v>BRASIL</v>
      </c>
      <c r="D5092" s="4" t="str">
        <f>"AL092"</f>
        <v>AL092</v>
      </c>
    </row>
    <row r="5093" spans="1:4" x14ac:dyDescent="0.3">
      <c r="A5093" s="2" t="str">
        <f>"SAO MIGUEL DOS MILAGRES"</f>
        <v>SAO MIGUEL DOS MILAGRES</v>
      </c>
      <c r="B5093" s="3" t="str">
        <f>"AL"</f>
        <v>AL</v>
      </c>
      <c r="C5093" s="3" t="str">
        <f t="shared" si="190"/>
        <v>BRASIL</v>
      </c>
      <c r="D5093" s="4" t="str">
        <f>"AL093"</f>
        <v>AL093</v>
      </c>
    </row>
    <row r="5094" spans="1:4" x14ac:dyDescent="0.3">
      <c r="A5094" s="2" t="str">
        <f>"SAO NICOLAU"</f>
        <v>SAO NICOLAU</v>
      </c>
      <c r="B5094" s="3" t="str">
        <f>"RS"</f>
        <v>RS</v>
      </c>
      <c r="C5094" s="3" t="str">
        <f t="shared" si="190"/>
        <v>BRASIL</v>
      </c>
      <c r="D5094" s="4" t="str">
        <f>"RS405"</f>
        <v>RS405</v>
      </c>
    </row>
    <row r="5095" spans="1:4" x14ac:dyDescent="0.3">
      <c r="A5095" s="2" t="str">
        <f>"SAO PATRICIO"</f>
        <v>SAO PATRICIO</v>
      </c>
      <c r="B5095" s="3" t="str">
        <f>"GO"</f>
        <v>GO</v>
      </c>
      <c r="C5095" s="3" t="str">
        <f t="shared" si="190"/>
        <v>BRASIL</v>
      </c>
      <c r="D5095" s="4" t="str">
        <f>"GO222"</f>
        <v>GO222</v>
      </c>
    </row>
    <row r="5096" spans="1:4" x14ac:dyDescent="0.3">
      <c r="A5096" s="2" t="str">
        <f>"SAO PAULO"</f>
        <v>SAO PAULO</v>
      </c>
      <c r="B5096" s="3" t="str">
        <f>"SP"</f>
        <v>SP</v>
      </c>
      <c r="C5096" s="3" t="str">
        <f>"Brasil"</f>
        <v>Brasil</v>
      </c>
      <c r="D5096" s="4" t="str">
        <f>"SPO"</f>
        <v>SPO</v>
      </c>
    </row>
    <row r="5097" spans="1:4" x14ac:dyDescent="0.3">
      <c r="A5097" s="2" t="str">
        <f>"SAO PAULO DAS MISSÕES"</f>
        <v>SAO PAULO DAS MISSÕES</v>
      </c>
      <c r="B5097" s="3" t="str">
        <f>"RS"</f>
        <v>RS</v>
      </c>
      <c r="C5097" s="3" t="str">
        <f t="shared" ref="C5097:C5128" si="191">"BRASIL"</f>
        <v>BRASIL</v>
      </c>
      <c r="D5097" s="4" t="str">
        <f>"RS406"</f>
        <v>RS406</v>
      </c>
    </row>
    <row r="5098" spans="1:4" x14ac:dyDescent="0.3">
      <c r="A5098" s="2" t="str">
        <f>"SAO PAULO DE OLIVENCA"</f>
        <v>SAO PAULO DE OLIVENCA</v>
      </c>
      <c r="B5098" s="3" t="str">
        <f>"AM"</f>
        <v>AM</v>
      </c>
      <c r="C5098" s="3" t="str">
        <f t="shared" si="191"/>
        <v>BRASIL</v>
      </c>
      <c r="D5098" s="4" t="str">
        <f>"AM053"</f>
        <v>AM053</v>
      </c>
    </row>
    <row r="5099" spans="1:4" x14ac:dyDescent="0.3">
      <c r="A5099" s="2" t="str">
        <f>"SAO PAULO DO POTENGI"</f>
        <v>SAO PAULO DO POTENGI</v>
      </c>
      <c r="B5099" s="3" t="str">
        <f>"RN"</f>
        <v>RN</v>
      </c>
      <c r="C5099" s="3" t="str">
        <f t="shared" si="191"/>
        <v>BRASIL</v>
      </c>
      <c r="D5099" s="4" t="str">
        <f>"RN138"</f>
        <v>RN138</v>
      </c>
    </row>
    <row r="5100" spans="1:4" x14ac:dyDescent="0.3">
      <c r="A5100" s="2" t="str">
        <f>"SAO PEDRO"</f>
        <v>SAO PEDRO</v>
      </c>
      <c r="B5100" s="3" t="str">
        <f>"RN"</f>
        <v>RN</v>
      </c>
      <c r="C5100" s="3" t="str">
        <f t="shared" si="191"/>
        <v>BRASIL</v>
      </c>
      <c r="D5100" s="4" t="str">
        <f>"RN139"</f>
        <v>RN139</v>
      </c>
    </row>
    <row r="5101" spans="1:4" x14ac:dyDescent="0.3">
      <c r="A5101" s="2" t="str">
        <f>"SAO PEDRO"</f>
        <v>SAO PEDRO</v>
      </c>
      <c r="B5101" s="3" t="str">
        <f>"SP"</f>
        <v>SP</v>
      </c>
      <c r="C5101" s="3" t="str">
        <f t="shared" si="191"/>
        <v>BRASIL</v>
      </c>
      <c r="D5101" s="4" t="str">
        <f>"SP564"</f>
        <v>SP564</v>
      </c>
    </row>
    <row r="5102" spans="1:4" x14ac:dyDescent="0.3">
      <c r="A5102" s="2" t="str">
        <f>"SAO PEDRO DA AGUA BRANCA"</f>
        <v>SAO PEDRO DA AGUA BRANCA</v>
      </c>
      <c r="B5102" s="3" t="str">
        <f>"MA"</f>
        <v>MA</v>
      </c>
      <c r="C5102" s="3" t="str">
        <f t="shared" si="191"/>
        <v>BRASIL</v>
      </c>
      <c r="D5102" s="4" t="str">
        <f>"MA189"</f>
        <v>MA189</v>
      </c>
    </row>
    <row r="5103" spans="1:4" x14ac:dyDescent="0.3">
      <c r="A5103" s="2" t="str">
        <f>"SAO PEDRO DA ALDEIA"</f>
        <v>SAO PEDRO DA ALDEIA</v>
      </c>
      <c r="B5103" s="3" t="str">
        <f>"RJ"</f>
        <v>RJ</v>
      </c>
      <c r="C5103" s="3" t="str">
        <f t="shared" si="191"/>
        <v>BRASIL</v>
      </c>
      <c r="D5103" s="4" t="str">
        <f>"RJ078"</f>
        <v>RJ078</v>
      </c>
    </row>
    <row r="5104" spans="1:4" x14ac:dyDescent="0.3">
      <c r="A5104" s="2" t="str">
        <f>"SAO PEDRO DA CIPA"</f>
        <v>SAO PEDRO DA CIPA</v>
      </c>
      <c r="B5104" s="3" t="str">
        <f>"MT"</f>
        <v>MT</v>
      </c>
      <c r="C5104" s="3" t="str">
        <f t="shared" si="191"/>
        <v>BRASIL</v>
      </c>
      <c r="D5104" s="4" t="str">
        <f>"MT112"</f>
        <v>MT112</v>
      </c>
    </row>
    <row r="5105" spans="1:4" x14ac:dyDescent="0.3">
      <c r="A5105" s="2" t="str">
        <f>"SAO PEDRO DA SERRA"</f>
        <v>SAO PEDRO DA SERRA</v>
      </c>
      <c r="B5105" s="3" t="str">
        <f>"RS"</f>
        <v>RS</v>
      </c>
      <c r="C5105" s="3" t="str">
        <f t="shared" si="191"/>
        <v>BRASIL</v>
      </c>
      <c r="D5105" s="4" t="str">
        <f>"RS407"</f>
        <v>RS407</v>
      </c>
    </row>
    <row r="5106" spans="1:4" x14ac:dyDescent="0.3">
      <c r="A5106" s="2" t="str">
        <f>"SAO PEDRO DA UNIAO"</f>
        <v>SAO PEDRO DA UNIAO</v>
      </c>
      <c r="B5106" s="3" t="str">
        <f>"MG"</f>
        <v>MG</v>
      </c>
      <c r="C5106" s="3" t="str">
        <f t="shared" si="191"/>
        <v>BRASIL</v>
      </c>
      <c r="D5106" s="4" t="str">
        <f>"MG750"</f>
        <v>MG750</v>
      </c>
    </row>
    <row r="5107" spans="1:4" x14ac:dyDescent="0.3">
      <c r="A5107" s="2" t="str">
        <f>"SAO PEDRO DAS MISSÕES"</f>
        <v>SAO PEDRO DAS MISSÕES</v>
      </c>
      <c r="B5107" s="3" t="str">
        <f>"RS"</f>
        <v>RS</v>
      </c>
      <c r="C5107" s="3" t="str">
        <f t="shared" si="191"/>
        <v>BRASIL</v>
      </c>
      <c r="D5107" s="4" t="str">
        <f>"RS408"</f>
        <v>RS408</v>
      </c>
    </row>
    <row r="5108" spans="1:4" x14ac:dyDescent="0.3">
      <c r="A5108" s="2" t="str">
        <f>"SAO PEDRO DE ALCANTARA"</f>
        <v>SAO PEDRO DE ALCANTARA</v>
      </c>
      <c r="B5108" s="3" t="str">
        <f>"SC"</f>
        <v>SC</v>
      </c>
      <c r="C5108" s="3" t="str">
        <f t="shared" si="191"/>
        <v>BRASIL</v>
      </c>
      <c r="D5108" s="4" t="str">
        <f>"SC256"</f>
        <v>SC256</v>
      </c>
    </row>
    <row r="5109" spans="1:4" x14ac:dyDescent="0.3">
      <c r="A5109" s="2" t="str">
        <f>"SAO PEDRO DO BUTIA"</f>
        <v>SAO PEDRO DO BUTIA</v>
      </c>
      <c r="B5109" s="3" t="str">
        <f>"RS"</f>
        <v>RS</v>
      </c>
      <c r="C5109" s="3" t="str">
        <f t="shared" si="191"/>
        <v>BRASIL</v>
      </c>
      <c r="D5109" s="4" t="str">
        <f>"RS409"</f>
        <v>RS409</v>
      </c>
    </row>
    <row r="5110" spans="1:4" x14ac:dyDescent="0.3">
      <c r="A5110" s="2" t="str">
        <f>"SAO PEDRO DO IGUACU"</f>
        <v>SAO PEDRO DO IGUACU</v>
      </c>
      <c r="B5110" s="3" t="str">
        <f>"PR"</f>
        <v>PR</v>
      </c>
      <c r="C5110" s="3" t="str">
        <f t="shared" si="191"/>
        <v>BRASIL</v>
      </c>
      <c r="D5110" s="4" t="str">
        <f>"PR354"</f>
        <v>PR354</v>
      </c>
    </row>
    <row r="5111" spans="1:4" x14ac:dyDescent="0.3">
      <c r="A5111" s="2" t="str">
        <f>"SAO PEDRO DO IVAI"</f>
        <v>SAO PEDRO DO IVAI</v>
      </c>
      <c r="B5111" s="3" t="str">
        <f>"PR"</f>
        <v>PR</v>
      </c>
      <c r="C5111" s="3" t="str">
        <f t="shared" si="191"/>
        <v>BRASIL</v>
      </c>
      <c r="D5111" s="4" t="str">
        <f>"PR355"</f>
        <v>PR355</v>
      </c>
    </row>
    <row r="5112" spans="1:4" x14ac:dyDescent="0.3">
      <c r="A5112" s="2" t="str">
        <f>"SAO PEDRO DO PARANA"</f>
        <v>SAO PEDRO DO PARANA</v>
      </c>
      <c r="B5112" s="3" t="str">
        <f>"PR"</f>
        <v>PR</v>
      </c>
      <c r="C5112" s="3" t="str">
        <f t="shared" si="191"/>
        <v>BRASIL</v>
      </c>
      <c r="D5112" s="4" t="str">
        <f>"PR356"</f>
        <v>PR356</v>
      </c>
    </row>
    <row r="5113" spans="1:4" x14ac:dyDescent="0.3">
      <c r="A5113" s="2" t="str">
        <f>"SAO PEDRO DO PIAUI"</f>
        <v>SAO PEDRO DO PIAUI</v>
      </c>
      <c r="B5113" s="3" t="str">
        <f>"PI"</f>
        <v>PI</v>
      </c>
      <c r="C5113" s="3" t="str">
        <f t="shared" si="191"/>
        <v>BRASIL</v>
      </c>
      <c r="D5113" s="4" t="str">
        <f>"PI204"</f>
        <v>PI204</v>
      </c>
    </row>
    <row r="5114" spans="1:4" x14ac:dyDescent="0.3">
      <c r="A5114" s="2" t="str">
        <f>"SAO PEDRO DO SUACUI"</f>
        <v>SAO PEDRO DO SUACUI</v>
      </c>
      <c r="B5114" s="3" t="str">
        <f>"MG"</f>
        <v>MG</v>
      </c>
      <c r="C5114" s="3" t="str">
        <f t="shared" si="191"/>
        <v>BRASIL</v>
      </c>
      <c r="D5114" s="4" t="str">
        <f>"MG752"</f>
        <v>MG752</v>
      </c>
    </row>
    <row r="5115" spans="1:4" x14ac:dyDescent="0.3">
      <c r="A5115" s="2" t="str">
        <f>"SAO PEDRO DO SUL"</f>
        <v>SAO PEDRO DO SUL</v>
      </c>
      <c r="B5115" s="3" t="str">
        <f>"RS"</f>
        <v>RS</v>
      </c>
      <c r="C5115" s="3" t="str">
        <f t="shared" si="191"/>
        <v>BRASIL</v>
      </c>
      <c r="D5115" s="4" t="str">
        <f>"RS410"</f>
        <v>RS410</v>
      </c>
    </row>
    <row r="5116" spans="1:4" x14ac:dyDescent="0.3">
      <c r="A5116" s="2" t="str">
        <f>"SAO PEDRO DO TURVO"</f>
        <v>SAO PEDRO DO TURVO</v>
      </c>
      <c r="B5116" s="3" t="str">
        <f>"SP"</f>
        <v>SP</v>
      </c>
      <c r="C5116" s="3" t="str">
        <f t="shared" si="191"/>
        <v>BRASIL</v>
      </c>
      <c r="D5116" s="4" t="str">
        <f>"SP565"</f>
        <v>SP565</v>
      </c>
    </row>
    <row r="5117" spans="1:4" x14ac:dyDescent="0.3">
      <c r="A5117" s="2" t="str">
        <f>"SAO PEDRO DOS CRENTES"</f>
        <v>SAO PEDRO DOS CRENTES</v>
      </c>
      <c r="B5117" s="3" t="str">
        <f>"MA"</f>
        <v>MA</v>
      </c>
      <c r="C5117" s="3" t="str">
        <f t="shared" si="191"/>
        <v>BRASIL</v>
      </c>
      <c r="D5117" s="4" t="str">
        <f>"MA190"</f>
        <v>MA190</v>
      </c>
    </row>
    <row r="5118" spans="1:4" x14ac:dyDescent="0.3">
      <c r="A5118" s="2" t="str">
        <f>"SAO PEDRO DOS FERROS"</f>
        <v>SAO PEDRO DOS FERROS</v>
      </c>
      <c r="B5118" s="3" t="str">
        <f>"MG"</f>
        <v>MG</v>
      </c>
      <c r="C5118" s="3" t="str">
        <f t="shared" si="191"/>
        <v>BRASIL</v>
      </c>
      <c r="D5118" s="4" t="str">
        <f>"MG751"</f>
        <v>MG751</v>
      </c>
    </row>
    <row r="5119" spans="1:4" x14ac:dyDescent="0.3">
      <c r="A5119" s="2" t="str">
        <f>"SAO RAFAEL"</f>
        <v>SAO RAFAEL</v>
      </c>
      <c r="B5119" s="3" t="str">
        <f>"RN"</f>
        <v>RN</v>
      </c>
      <c r="C5119" s="3" t="str">
        <f t="shared" si="191"/>
        <v>BRASIL</v>
      </c>
      <c r="D5119" s="4" t="str">
        <f>"RN140"</f>
        <v>RN140</v>
      </c>
    </row>
    <row r="5120" spans="1:4" x14ac:dyDescent="0.3">
      <c r="A5120" s="2" t="str">
        <f>"SAO RAIMUNDO DAS MANGABEI"</f>
        <v>SAO RAIMUNDO DAS MANGABEI</v>
      </c>
      <c r="B5120" s="3" t="str">
        <f>"MA"</f>
        <v>MA</v>
      </c>
      <c r="C5120" s="3" t="str">
        <f t="shared" si="191"/>
        <v>BRASIL</v>
      </c>
      <c r="D5120" s="4" t="str">
        <f>"MA191"</f>
        <v>MA191</v>
      </c>
    </row>
    <row r="5121" spans="1:4" x14ac:dyDescent="0.3">
      <c r="A5121" s="2" t="str">
        <f>"SAO RAIMUNDO DO DOCA BEZE"</f>
        <v>SAO RAIMUNDO DO DOCA BEZE</v>
      </c>
      <c r="B5121" s="3" t="str">
        <f>"MA"</f>
        <v>MA</v>
      </c>
      <c r="C5121" s="3" t="str">
        <f t="shared" si="191"/>
        <v>BRASIL</v>
      </c>
      <c r="D5121" s="4" t="str">
        <f>"MA192"</f>
        <v>MA192</v>
      </c>
    </row>
    <row r="5122" spans="1:4" x14ac:dyDescent="0.3">
      <c r="A5122" s="2" t="str">
        <f>"SAO RAIMUNDO NONATO"</f>
        <v>SAO RAIMUNDO NONATO</v>
      </c>
      <c r="B5122" s="3" t="str">
        <f>"PI"</f>
        <v>PI</v>
      </c>
      <c r="C5122" s="3" t="str">
        <f t="shared" si="191"/>
        <v>BRASIL</v>
      </c>
      <c r="D5122" s="4" t="str">
        <f>"PI205"</f>
        <v>PI205</v>
      </c>
    </row>
    <row r="5123" spans="1:4" x14ac:dyDescent="0.3">
      <c r="A5123" s="2" t="str">
        <f>"SAO ROBERTO"</f>
        <v>SAO ROBERTO</v>
      </c>
      <c r="B5123" s="3" t="str">
        <f>"MA"</f>
        <v>MA</v>
      </c>
      <c r="C5123" s="3" t="str">
        <f t="shared" si="191"/>
        <v>BRASIL</v>
      </c>
      <c r="D5123" s="4" t="str">
        <f>"MA193"</f>
        <v>MA193</v>
      </c>
    </row>
    <row r="5124" spans="1:4" x14ac:dyDescent="0.3">
      <c r="A5124" s="2" t="str">
        <f>"SAO ROMAO"</f>
        <v>SAO ROMAO</v>
      </c>
      <c r="B5124" s="3" t="str">
        <f>"MG"</f>
        <v>MG</v>
      </c>
      <c r="C5124" s="3" t="str">
        <f t="shared" si="191"/>
        <v>BRASIL</v>
      </c>
      <c r="D5124" s="4" t="str">
        <f>"MG753"</f>
        <v>MG753</v>
      </c>
    </row>
    <row r="5125" spans="1:4" x14ac:dyDescent="0.3">
      <c r="A5125" s="2" t="str">
        <f>"SAO ROQUE"</f>
        <v>SAO ROQUE</v>
      </c>
      <c r="B5125" s="3" t="str">
        <f>"SP"</f>
        <v>SP</v>
      </c>
      <c r="C5125" s="3" t="str">
        <f t="shared" si="191"/>
        <v>BRASIL</v>
      </c>
      <c r="D5125" s="4" t="str">
        <f>"SP566"</f>
        <v>SP566</v>
      </c>
    </row>
    <row r="5126" spans="1:4" x14ac:dyDescent="0.3">
      <c r="A5126" s="2" t="str">
        <f>"SAO ROQUE DE MINAS"</f>
        <v>SAO ROQUE DE MINAS</v>
      </c>
      <c r="B5126" s="3" t="str">
        <f>"MG"</f>
        <v>MG</v>
      </c>
      <c r="C5126" s="3" t="str">
        <f t="shared" si="191"/>
        <v>BRASIL</v>
      </c>
      <c r="D5126" s="4" t="str">
        <f>"MG754"</f>
        <v>MG754</v>
      </c>
    </row>
    <row r="5127" spans="1:4" x14ac:dyDescent="0.3">
      <c r="A5127" s="2" t="str">
        <f>"SAO ROQUE DO CANAA"</f>
        <v>SAO ROQUE DO CANAA</v>
      </c>
      <c r="B5127" s="3" t="str">
        <f>"ES"</f>
        <v>ES</v>
      </c>
      <c r="C5127" s="3" t="str">
        <f t="shared" si="191"/>
        <v>BRASIL</v>
      </c>
      <c r="D5127" s="4" t="str">
        <f>"ES069"</f>
        <v>ES069</v>
      </c>
    </row>
    <row r="5128" spans="1:4" x14ac:dyDescent="0.3">
      <c r="A5128" s="2" t="str">
        <f>"SAO SALVADOR DO TOCANTINS"</f>
        <v>SAO SALVADOR DO TOCANTINS</v>
      </c>
      <c r="B5128" s="3" t="str">
        <f>"TO"</f>
        <v>TO</v>
      </c>
      <c r="C5128" s="3" t="str">
        <f t="shared" si="191"/>
        <v>BRASIL</v>
      </c>
      <c r="D5128" s="4" t="str">
        <f>"TO124"</f>
        <v>TO124</v>
      </c>
    </row>
    <row r="5129" spans="1:4" x14ac:dyDescent="0.3">
      <c r="A5129" s="2" t="str">
        <f>"SAO SEBASTIAO"</f>
        <v>SAO SEBASTIAO</v>
      </c>
      <c r="B5129" s="3" t="str">
        <f>"AL"</f>
        <v>AL</v>
      </c>
      <c r="C5129" s="3" t="str">
        <f t="shared" ref="C5129:C5160" si="192">"BRASIL"</f>
        <v>BRASIL</v>
      </c>
      <c r="D5129" s="4" t="str">
        <f>"AL094"</f>
        <v>AL094</v>
      </c>
    </row>
    <row r="5130" spans="1:4" x14ac:dyDescent="0.3">
      <c r="A5130" s="2" t="str">
        <f>"SAO SEBASTIAO"</f>
        <v>SAO SEBASTIAO</v>
      </c>
      <c r="B5130" s="3" t="str">
        <f>"SP"</f>
        <v>SP</v>
      </c>
      <c r="C5130" s="3" t="str">
        <f t="shared" si="192"/>
        <v>BRASIL</v>
      </c>
      <c r="D5130" s="4" t="str">
        <f>"SP567"</f>
        <v>SP567</v>
      </c>
    </row>
    <row r="5131" spans="1:4" x14ac:dyDescent="0.3">
      <c r="A5131" s="2" t="str">
        <f>"SAO SEBASTIAO DA AMOREIRA"</f>
        <v>SAO SEBASTIAO DA AMOREIRA</v>
      </c>
      <c r="B5131" s="3" t="str">
        <f>"PR"</f>
        <v>PR</v>
      </c>
      <c r="C5131" s="3" t="str">
        <f t="shared" si="192"/>
        <v>BRASIL</v>
      </c>
      <c r="D5131" s="4" t="str">
        <f>"PR357"</f>
        <v>PR357</v>
      </c>
    </row>
    <row r="5132" spans="1:4" x14ac:dyDescent="0.3">
      <c r="A5132" s="2" t="str">
        <f>"SAO SEBASTIAO DA BELA VIS"</f>
        <v>SAO SEBASTIAO DA BELA VIS</v>
      </c>
      <c r="B5132" s="3" t="str">
        <f>"MG"</f>
        <v>MG</v>
      </c>
      <c r="C5132" s="3" t="str">
        <f t="shared" si="192"/>
        <v>BRASIL</v>
      </c>
      <c r="D5132" s="4" t="str">
        <f>"MG755"</f>
        <v>MG755</v>
      </c>
    </row>
    <row r="5133" spans="1:4" x14ac:dyDescent="0.3">
      <c r="A5133" s="2" t="str">
        <f>"SAO SEBASTIAO DA BOA VIST"</f>
        <v>SAO SEBASTIAO DA BOA VIST</v>
      </c>
      <c r="B5133" s="3" t="str">
        <f>"PA"</f>
        <v>PA</v>
      </c>
      <c r="C5133" s="3" t="str">
        <f t="shared" si="192"/>
        <v>BRASIL</v>
      </c>
      <c r="D5133" s="4" t="str">
        <f>"PA126"</f>
        <v>PA126</v>
      </c>
    </row>
    <row r="5134" spans="1:4" x14ac:dyDescent="0.3">
      <c r="A5134" s="2" t="str">
        <f>"SAO SEBASTIAO DA GRAMA"</f>
        <v>SAO SEBASTIAO DA GRAMA</v>
      </c>
      <c r="B5134" s="3" t="str">
        <f>"SP"</f>
        <v>SP</v>
      </c>
      <c r="C5134" s="3" t="str">
        <f t="shared" si="192"/>
        <v>BRASIL</v>
      </c>
      <c r="D5134" s="4" t="str">
        <f>"SP568"</f>
        <v>SP568</v>
      </c>
    </row>
    <row r="5135" spans="1:4" x14ac:dyDescent="0.3">
      <c r="A5135" s="2" t="str">
        <f>"SAO SEBASTIAO DA VARGEM A"</f>
        <v>SAO SEBASTIAO DA VARGEM A</v>
      </c>
      <c r="B5135" s="3" t="str">
        <f>"MG"</f>
        <v>MG</v>
      </c>
      <c r="C5135" s="3" t="str">
        <f t="shared" si="192"/>
        <v>BRASIL</v>
      </c>
      <c r="D5135" s="4" t="str">
        <f>"MG756"</f>
        <v>MG756</v>
      </c>
    </row>
    <row r="5136" spans="1:4" x14ac:dyDescent="0.3">
      <c r="A5136" s="2" t="str">
        <f>"SAO SEBASTIAO DE LAGOA DE"</f>
        <v>SAO SEBASTIAO DE LAGOA DE</v>
      </c>
      <c r="B5136" s="3" t="str">
        <f>"PB"</f>
        <v>PB</v>
      </c>
      <c r="C5136" s="3" t="str">
        <f t="shared" si="192"/>
        <v>BRASIL</v>
      </c>
      <c r="D5136" s="4" t="str">
        <f>"PB197"</f>
        <v>PB197</v>
      </c>
    </row>
    <row r="5137" spans="1:4" x14ac:dyDescent="0.3">
      <c r="A5137" s="2" t="str">
        <f>"SAO SEBASTIAO DO ALTO"</f>
        <v>SAO SEBASTIAO DO ALTO</v>
      </c>
      <c r="B5137" s="3" t="str">
        <f>"RJ"</f>
        <v>RJ</v>
      </c>
      <c r="C5137" s="3" t="str">
        <f t="shared" si="192"/>
        <v>BRASIL</v>
      </c>
      <c r="D5137" s="4" t="str">
        <f>"RJ079"</f>
        <v>RJ079</v>
      </c>
    </row>
    <row r="5138" spans="1:4" x14ac:dyDescent="0.3">
      <c r="A5138" s="2" t="str">
        <f>"SAO SEBASTIAO DO ANTA"</f>
        <v>SAO SEBASTIAO DO ANTA</v>
      </c>
      <c r="B5138" s="3" t="str">
        <f>"MG"</f>
        <v>MG</v>
      </c>
      <c r="C5138" s="3" t="str">
        <f t="shared" si="192"/>
        <v>BRASIL</v>
      </c>
      <c r="D5138" s="4" t="str">
        <f>"MG757"</f>
        <v>MG757</v>
      </c>
    </row>
    <row r="5139" spans="1:4" x14ac:dyDescent="0.3">
      <c r="A5139" s="2" t="str">
        <f>"SAO SEBASTIAO DO CAI"</f>
        <v>SAO SEBASTIAO DO CAI</v>
      </c>
      <c r="B5139" s="3" t="str">
        <f>"RS"</f>
        <v>RS</v>
      </c>
      <c r="C5139" s="3" t="str">
        <f t="shared" si="192"/>
        <v>BRASIL</v>
      </c>
      <c r="D5139" s="4" t="str">
        <f>"RS411"</f>
        <v>RS411</v>
      </c>
    </row>
    <row r="5140" spans="1:4" x14ac:dyDescent="0.3">
      <c r="A5140" s="2" t="str">
        <f>"SAO SEBASTIAO DO MARANHAO"</f>
        <v>SAO SEBASTIAO DO MARANHAO</v>
      </c>
      <c r="B5140" s="3" t="str">
        <f>"MG"</f>
        <v>MG</v>
      </c>
      <c r="C5140" s="3" t="str">
        <f t="shared" si="192"/>
        <v>BRASIL</v>
      </c>
      <c r="D5140" s="4" t="str">
        <f>"MG758"</f>
        <v>MG758</v>
      </c>
    </row>
    <row r="5141" spans="1:4" x14ac:dyDescent="0.3">
      <c r="A5141" s="2" t="str">
        <f>"SAO SEBASTIAO DO OESTE"</f>
        <v>SAO SEBASTIAO DO OESTE</v>
      </c>
      <c r="B5141" s="3" t="str">
        <f>"MG"</f>
        <v>MG</v>
      </c>
      <c r="C5141" s="3" t="str">
        <f t="shared" si="192"/>
        <v>BRASIL</v>
      </c>
      <c r="D5141" s="4" t="str">
        <f>"MG759"</f>
        <v>MG759</v>
      </c>
    </row>
    <row r="5142" spans="1:4" x14ac:dyDescent="0.3">
      <c r="A5142" s="2" t="str">
        <f>"SAO SEBASTIAO DO PARAISO"</f>
        <v>SAO SEBASTIAO DO PARAISO</v>
      </c>
      <c r="B5142" s="3" t="str">
        <f>"MG"</f>
        <v>MG</v>
      </c>
      <c r="C5142" s="3" t="str">
        <f t="shared" si="192"/>
        <v>BRASIL</v>
      </c>
      <c r="D5142" s="4" t="str">
        <f>"MG760"</f>
        <v>MG760</v>
      </c>
    </row>
    <row r="5143" spans="1:4" x14ac:dyDescent="0.3">
      <c r="A5143" s="2" t="str">
        <f>"SAO SEBASTIAO DO PASSE"</f>
        <v>SAO SEBASTIAO DO PASSE</v>
      </c>
      <c r="B5143" s="3" t="str">
        <f>"BA"</f>
        <v>BA</v>
      </c>
      <c r="C5143" s="3" t="str">
        <f t="shared" si="192"/>
        <v>BRASIL</v>
      </c>
      <c r="D5143" s="4" t="str">
        <f>"BA363"</f>
        <v>BA363</v>
      </c>
    </row>
    <row r="5144" spans="1:4" x14ac:dyDescent="0.3">
      <c r="A5144" s="2" t="str">
        <f>"SAO SEBASTIAO DO RIO PRET"</f>
        <v>SAO SEBASTIAO DO RIO PRET</v>
      </c>
      <c r="B5144" s="3" t="str">
        <f>"MG"</f>
        <v>MG</v>
      </c>
      <c r="C5144" s="3" t="str">
        <f t="shared" si="192"/>
        <v>BRASIL</v>
      </c>
      <c r="D5144" s="4" t="str">
        <f>"MG761"</f>
        <v>MG761</v>
      </c>
    </row>
    <row r="5145" spans="1:4" x14ac:dyDescent="0.3">
      <c r="A5145" s="2" t="str">
        <f>"SAO SEBASTIAO DO RIO VERD"</f>
        <v>SAO SEBASTIAO DO RIO VERD</v>
      </c>
      <c r="B5145" s="3" t="str">
        <f>"MG"</f>
        <v>MG</v>
      </c>
      <c r="C5145" s="3" t="str">
        <f t="shared" si="192"/>
        <v>BRASIL</v>
      </c>
      <c r="D5145" s="4" t="str">
        <f>"MG762"</f>
        <v>MG762</v>
      </c>
    </row>
    <row r="5146" spans="1:4" x14ac:dyDescent="0.3">
      <c r="A5146" s="2" t="str">
        <f>"SAO SEBASTIAO DO TOCANTIN"</f>
        <v>SAO SEBASTIAO DO TOCANTIN</v>
      </c>
      <c r="B5146" s="3" t="str">
        <f>"TO"</f>
        <v>TO</v>
      </c>
      <c r="C5146" s="3" t="str">
        <f t="shared" si="192"/>
        <v>BRASIL</v>
      </c>
      <c r="D5146" s="4" t="str">
        <f>"TO125"</f>
        <v>TO125</v>
      </c>
    </row>
    <row r="5147" spans="1:4" x14ac:dyDescent="0.3">
      <c r="A5147" s="2" t="str">
        <f>"SAO SEBASTIAO DO UATUMA"</f>
        <v>SAO SEBASTIAO DO UATUMA</v>
      </c>
      <c r="B5147" s="3" t="str">
        <f>"AM"</f>
        <v>AM</v>
      </c>
      <c r="C5147" s="3" t="str">
        <f t="shared" si="192"/>
        <v>BRASIL</v>
      </c>
      <c r="D5147" s="4" t="str">
        <f>"AM054"</f>
        <v>AM054</v>
      </c>
    </row>
    <row r="5148" spans="1:4" x14ac:dyDescent="0.3">
      <c r="A5148" s="2" t="str">
        <f>"SAO SEBASTIAO DO UMBUZEIR"</f>
        <v>SAO SEBASTIAO DO UMBUZEIR</v>
      </c>
      <c r="B5148" s="3" t="str">
        <f>"PB"</f>
        <v>PB</v>
      </c>
      <c r="C5148" s="3" t="str">
        <f t="shared" si="192"/>
        <v>BRASIL</v>
      </c>
      <c r="D5148" s="4" t="str">
        <f>"PB198"</f>
        <v>PB198</v>
      </c>
    </row>
    <row r="5149" spans="1:4" x14ac:dyDescent="0.3">
      <c r="A5149" s="2" t="str">
        <f>"SAO SEPE"</f>
        <v>SAO SEPE</v>
      </c>
      <c r="B5149" s="3" t="str">
        <f>"RS"</f>
        <v>RS</v>
      </c>
      <c r="C5149" s="3" t="str">
        <f t="shared" si="192"/>
        <v>BRASIL</v>
      </c>
      <c r="D5149" s="4" t="str">
        <f>"RS412"</f>
        <v>RS412</v>
      </c>
    </row>
    <row r="5150" spans="1:4" x14ac:dyDescent="0.3">
      <c r="A5150" s="2" t="str">
        <f>"SAO SIMAO"</f>
        <v>SAO SIMAO</v>
      </c>
      <c r="B5150" s="3" t="str">
        <f>"GO"</f>
        <v>GO</v>
      </c>
      <c r="C5150" s="3" t="str">
        <f t="shared" si="192"/>
        <v>BRASIL</v>
      </c>
      <c r="D5150" s="4" t="str">
        <f>"GO223"</f>
        <v>GO223</v>
      </c>
    </row>
    <row r="5151" spans="1:4" x14ac:dyDescent="0.3">
      <c r="A5151" s="2" t="str">
        <f>"SAO SIMAO"</f>
        <v>SAO SIMAO</v>
      </c>
      <c r="B5151" s="3" t="str">
        <f>"SP"</f>
        <v>SP</v>
      </c>
      <c r="C5151" s="3" t="str">
        <f t="shared" si="192"/>
        <v>BRASIL</v>
      </c>
      <c r="D5151" s="4" t="str">
        <f>"SP569"</f>
        <v>SP569</v>
      </c>
    </row>
    <row r="5152" spans="1:4" x14ac:dyDescent="0.3">
      <c r="A5152" s="2" t="str">
        <f>"SAO THOME DAS LETRAS"</f>
        <v>SAO THOME DAS LETRAS</v>
      </c>
      <c r="B5152" s="3" t="str">
        <f>"MG"</f>
        <v>MG</v>
      </c>
      <c r="C5152" s="3" t="str">
        <f t="shared" si="192"/>
        <v>BRASIL</v>
      </c>
      <c r="D5152" s="4" t="str">
        <f>"MG765"</f>
        <v>MG765</v>
      </c>
    </row>
    <row r="5153" spans="1:4" x14ac:dyDescent="0.3">
      <c r="A5153" s="2" t="str">
        <f>"SAO TIAGO"</f>
        <v>SAO TIAGO</v>
      </c>
      <c r="B5153" s="3" t="str">
        <f>"MG"</f>
        <v>MG</v>
      </c>
      <c r="C5153" s="3" t="str">
        <f t="shared" si="192"/>
        <v>BRASIL</v>
      </c>
      <c r="D5153" s="4" t="str">
        <f>"MG763"</f>
        <v>MG763</v>
      </c>
    </row>
    <row r="5154" spans="1:4" x14ac:dyDescent="0.3">
      <c r="A5154" s="2" t="str">
        <f>"SAO TOMAS DE AQUINO"</f>
        <v>SAO TOMAS DE AQUINO</v>
      </c>
      <c r="B5154" s="3" t="str">
        <f>"MG"</f>
        <v>MG</v>
      </c>
      <c r="C5154" s="3" t="str">
        <f t="shared" si="192"/>
        <v>BRASIL</v>
      </c>
      <c r="D5154" s="4" t="str">
        <f>"MG764"</f>
        <v>MG764</v>
      </c>
    </row>
    <row r="5155" spans="1:4" x14ac:dyDescent="0.3">
      <c r="A5155" s="2" t="str">
        <f>"SAO TOME"</f>
        <v>SAO TOME</v>
      </c>
      <c r="B5155" s="3" t="str">
        <f>"PR"</f>
        <v>PR</v>
      </c>
      <c r="C5155" s="3" t="str">
        <f t="shared" si="192"/>
        <v>BRASIL</v>
      </c>
      <c r="D5155" s="4" t="str">
        <f>"PR358"</f>
        <v>PR358</v>
      </c>
    </row>
    <row r="5156" spans="1:4" x14ac:dyDescent="0.3">
      <c r="A5156" s="2" t="str">
        <f>"SAO TOME"</f>
        <v>SAO TOME</v>
      </c>
      <c r="B5156" s="3" t="str">
        <f>"RN"</f>
        <v>RN</v>
      </c>
      <c r="C5156" s="3" t="str">
        <f t="shared" si="192"/>
        <v>BRASIL</v>
      </c>
      <c r="D5156" s="4" t="str">
        <f>"RN141"</f>
        <v>RN141</v>
      </c>
    </row>
    <row r="5157" spans="1:4" x14ac:dyDescent="0.3">
      <c r="A5157" s="2" t="str">
        <f>"SAO VALENTIM"</f>
        <v>SAO VALENTIM</v>
      </c>
      <c r="B5157" s="3" t="str">
        <f>"RS"</f>
        <v>RS</v>
      </c>
      <c r="C5157" s="3" t="str">
        <f t="shared" si="192"/>
        <v>BRASIL</v>
      </c>
      <c r="D5157" s="4" t="str">
        <f>"RS413"</f>
        <v>RS413</v>
      </c>
    </row>
    <row r="5158" spans="1:4" x14ac:dyDescent="0.3">
      <c r="A5158" s="2" t="str">
        <f>"SAO VALENTIM DO SUL"</f>
        <v>SAO VALENTIM DO SUL</v>
      </c>
      <c r="B5158" s="3" t="str">
        <f>"RS"</f>
        <v>RS</v>
      </c>
      <c r="C5158" s="3" t="str">
        <f t="shared" si="192"/>
        <v>BRASIL</v>
      </c>
      <c r="D5158" s="4" t="str">
        <f>"RS414"</f>
        <v>RS414</v>
      </c>
    </row>
    <row r="5159" spans="1:4" x14ac:dyDescent="0.3">
      <c r="A5159" s="2" t="str">
        <f>"SAO VALERIO DA NATIVIDADE"</f>
        <v>SAO VALERIO DA NATIVIDADE</v>
      </c>
      <c r="B5159" s="3" t="str">
        <f>"TO"</f>
        <v>TO</v>
      </c>
      <c r="C5159" s="3" t="str">
        <f t="shared" si="192"/>
        <v>BRASIL</v>
      </c>
      <c r="D5159" s="4" t="str">
        <f>"TO126"</f>
        <v>TO126</v>
      </c>
    </row>
    <row r="5160" spans="1:4" x14ac:dyDescent="0.3">
      <c r="A5160" s="2" t="str">
        <f>"SAO VALERIO DO SUL"</f>
        <v>SAO VALERIO DO SUL</v>
      </c>
      <c r="B5160" s="3" t="str">
        <f>"RS"</f>
        <v>RS</v>
      </c>
      <c r="C5160" s="3" t="str">
        <f t="shared" si="192"/>
        <v>BRASIL</v>
      </c>
      <c r="D5160" s="4" t="str">
        <f>"RS415"</f>
        <v>RS415</v>
      </c>
    </row>
    <row r="5161" spans="1:4" x14ac:dyDescent="0.3">
      <c r="A5161" s="2" t="str">
        <f>"SAO VENDELINO"</f>
        <v>SAO VENDELINO</v>
      </c>
      <c r="B5161" s="3" t="str">
        <f>"RS"</f>
        <v>RS</v>
      </c>
      <c r="C5161" s="3" t="str">
        <f t="shared" ref="C5161:C5183" si="193">"BRASIL"</f>
        <v>BRASIL</v>
      </c>
      <c r="D5161" s="4" t="str">
        <f>"RS416"</f>
        <v>RS416</v>
      </c>
    </row>
    <row r="5162" spans="1:4" x14ac:dyDescent="0.3">
      <c r="A5162" s="2" t="str">
        <f>"SAO VICENTE"</f>
        <v>SAO VICENTE</v>
      </c>
      <c r="B5162" s="3" t="str">
        <f>"RN"</f>
        <v>RN</v>
      </c>
      <c r="C5162" s="3" t="str">
        <f t="shared" si="193"/>
        <v>BRASIL</v>
      </c>
      <c r="D5162" s="4" t="str">
        <f>"RN142"</f>
        <v>RN142</v>
      </c>
    </row>
    <row r="5163" spans="1:4" x14ac:dyDescent="0.3">
      <c r="A5163" s="2" t="str">
        <f>"SAO VICENTE"</f>
        <v>SAO VICENTE</v>
      </c>
      <c r="B5163" s="3" t="str">
        <f>"SP"</f>
        <v>SP</v>
      </c>
      <c r="C5163" s="3" t="str">
        <f t="shared" si="193"/>
        <v>BRASIL</v>
      </c>
      <c r="D5163" s="4" t="str">
        <f>"SP570"</f>
        <v>SP570</v>
      </c>
    </row>
    <row r="5164" spans="1:4" x14ac:dyDescent="0.3">
      <c r="A5164" s="2" t="str">
        <f>"SAO VICENTE DE MINAS"</f>
        <v>SAO VICENTE DE MINAS</v>
      </c>
      <c r="B5164" s="3" t="str">
        <f>"MG"</f>
        <v>MG</v>
      </c>
      <c r="C5164" s="3" t="str">
        <f t="shared" si="193"/>
        <v>BRASIL</v>
      </c>
      <c r="D5164" s="4" t="str">
        <f>"MG766"</f>
        <v>MG766</v>
      </c>
    </row>
    <row r="5165" spans="1:4" x14ac:dyDescent="0.3">
      <c r="A5165" s="2" t="str">
        <f>"SAO VICENTE DO SUL"</f>
        <v>SAO VICENTE DO SUL</v>
      </c>
      <c r="B5165" s="3" t="str">
        <f>"RS"</f>
        <v>RS</v>
      </c>
      <c r="C5165" s="3" t="str">
        <f t="shared" si="193"/>
        <v>BRASIL</v>
      </c>
      <c r="D5165" s="4" t="str">
        <f>"RS417"</f>
        <v>RS417</v>
      </c>
    </row>
    <row r="5166" spans="1:4" x14ac:dyDescent="0.3">
      <c r="A5166" s="2" t="str">
        <f>"SAO VICENTE FERRER"</f>
        <v>SAO VICENTE FERRER</v>
      </c>
      <c r="B5166" s="3" t="str">
        <f>"MA"</f>
        <v>MA</v>
      </c>
      <c r="C5166" s="3" t="str">
        <f t="shared" si="193"/>
        <v>BRASIL</v>
      </c>
      <c r="D5166" s="4" t="str">
        <f>"MA194"</f>
        <v>MA194</v>
      </c>
    </row>
    <row r="5167" spans="1:4" x14ac:dyDescent="0.3">
      <c r="A5167" s="2" t="str">
        <f>"SAO VICENTE FERRER"</f>
        <v>SAO VICENTE FERRER</v>
      </c>
      <c r="B5167" s="3" t="str">
        <f>"PE"</f>
        <v>PE</v>
      </c>
      <c r="C5167" s="3" t="str">
        <f t="shared" si="193"/>
        <v>BRASIL</v>
      </c>
      <c r="D5167" s="4" t="str">
        <f>"PE157"</f>
        <v>PE157</v>
      </c>
    </row>
    <row r="5168" spans="1:4" x14ac:dyDescent="0.3">
      <c r="A5168" s="2" t="str">
        <f>"SAPE"</f>
        <v>SAPE</v>
      </c>
      <c r="B5168" s="3" t="str">
        <f>"PB"</f>
        <v>PB</v>
      </c>
      <c r="C5168" s="3" t="str">
        <f t="shared" si="193"/>
        <v>BRASIL</v>
      </c>
      <c r="D5168" s="4" t="str">
        <f>"PB199"</f>
        <v>PB199</v>
      </c>
    </row>
    <row r="5169" spans="1:4" x14ac:dyDescent="0.3">
      <c r="A5169" s="2" t="str">
        <f>"SAPEACU"</f>
        <v>SAPEACU</v>
      </c>
      <c r="B5169" s="3" t="str">
        <f>"BA"</f>
        <v>BA</v>
      </c>
      <c r="C5169" s="3" t="str">
        <f t="shared" si="193"/>
        <v>BRASIL</v>
      </c>
      <c r="D5169" s="4" t="str">
        <f>"BA364"</f>
        <v>BA364</v>
      </c>
    </row>
    <row r="5170" spans="1:4" x14ac:dyDescent="0.3">
      <c r="A5170" s="2" t="str">
        <f>"SAPEZAL"</f>
        <v>SAPEZAL</v>
      </c>
      <c r="B5170" s="3" t="str">
        <f>"MT"</f>
        <v>MT</v>
      </c>
      <c r="C5170" s="3" t="str">
        <f t="shared" si="193"/>
        <v>BRASIL</v>
      </c>
      <c r="D5170" s="4" t="str">
        <f>"MT123"</f>
        <v>MT123</v>
      </c>
    </row>
    <row r="5171" spans="1:4" x14ac:dyDescent="0.3">
      <c r="A5171" s="2" t="str">
        <f>"SAPIRANGA"</f>
        <v>SAPIRANGA</v>
      </c>
      <c r="B5171" s="3" t="str">
        <f>"RS"</f>
        <v>RS</v>
      </c>
      <c r="C5171" s="3" t="str">
        <f t="shared" si="193"/>
        <v>BRASIL</v>
      </c>
      <c r="D5171" s="4" t="str">
        <f>"RS418"</f>
        <v>RS418</v>
      </c>
    </row>
    <row r="5172" spans="1:4" x14ac:dyDescent="0.3">
      <c r="A5172" s="2" t="str">
        <f>"SAPOPEMA"</f>
        <v>SAPOPEMA</v>
      </c>
      <c r="B5172" s="3" t="str">
        <f>"PR"</f>
        <v>PR</v>
      </c>
      <c r="C5172" s="3" t="str">
        <f t="shared" si="193"/>
        <v>BRASIL</v>
      </c>
      <c r="D5172" s="4" t="str">
        <f>"PR359"</f>
        <v>PR359</v>
      </c>
    </row>
    <row r="5173" spans="1:4" x14ac:dyDescent="0.3">
      <c r="A5173" s="2" t="str">
        <f>"SAPUCAI-MIRIM"</f>
        <v>SAPUCAI-MIRIM</v>
      </c>
      <c r="B5173" s="3" t="str">
        <f>"MG"</f>
        <v>MG</v>
      </c>
      <c r="C5173" s="3" t="str">
        <f t="shared" si="193"/>
        <v>BRASIL</v>
      </c>
      <c r="D5173" s="4" t="str">
        <f>"MG767"</f>
        <v>MG767</v>
      </c>
    </row>
    <row r="5174" spans="1:4" x14ac:dyDescent="0.3">
      <c r="A5174" s="2" t="str">
        <f>"SAPUCAIA"</f>
        <v>SAPUCAIA</v>
      </c>
      <c r="B5174" s="3" t="str">
        <f>"PA"</f>
        <v>PA</v>
      </c>
      <c r="C5174" s="3" t="str">
        <f t="shared" si="193"/>
        <v>BRASIL</v>
      </c>
      <c r="D5174" s="4" t="str">
        <f>"PA127"</f>
        <v>PA127</v>
      </c>
    </row>
    <row r="5175" spans="1:4" x14ac:dyDescent="0.3">
      <c r="A5175" s="2" t="str">
        <f>"SAPUCAIA"</f>
        <v>SAPUCAIA</v>
      </c>
      <c r="B5175" s="3" t="str">
        <f>"RJ"</f>
        <v>RJ</v>
      </c>
      <c r="C5175" s="3" t="str">
        <f t="shared" si="193"/>
        <v>BRASIL</v>
      </c>
      <c r="D5175" s="4" t="str">
        <f>"RJ080"</f>
        <v>RJ080</v>
      </c>
    </row>
    <row r="5176" spans="1:4" x14ac:dyDescent="0.3">
      <c r="A5176" s="2" t="str">
        <f>"SAPUCAIA DO SUL"</f>
        <v>SAPUCAIA DO SUL</v>
      </c>
      <c r="B5176" s="3" t="str">
        <f>"RS"</f>
        <v>RS</v>
      </c>
      <c r="C5176" s="3" t="str">
        <f t="shared" si="193"/>
        <v>BRASIL</v>
      </c>
      <c r="D5176" s="4" t="str">
        <f>"RS419"</f>
        <v>RS419</v>
      </c>
    </row>
    <row r="5177" spans="1:4" x14ac:dyDescent="0.3">
      <c r="A5177" s="2" t="str">
        <f>"SAQUAREMA"</f>
        <v>SAQUAREMA</v>
      </c>
      <c r="B5177" s="3" t="str">
        <f>"RJ"</f>
        <v>RJ</v>
      </c>
      <c r="C5177" s="3" t="str">
        <f t="shared" si="193"/>
        <v>BRASIL</v>
      </c>
      <c r="D5177" s="4" t="str">
        <f>"RJ081"</f>
        <v>RJ081</v>
      </c>
    </row>
    <row r="5178" spans="1:4" x14ac:dyDescent="0.3">
      <c r="A5178" s="2" t="str">
        <f>"SARANDI"</f>
        <v>SARANDI</v>
      </c>
      <c r="B5178" s="3" t="str">
        <f>"PR"</f>
        <v>PR</v>
      </c>
      <c r="C5178" s="3" t="str">
        <f t="shared" si="193"/>
        <v>BRASIL</v>
      </c>
      <c r="D5178" s="4" t="str">
        <f>"PR360"</f>
        <v>PR360</v>
      </c>
    </row>
    <row r="5179" spans="1:4" x14ac:dyDescent="0.3">
      <c r="A5179" s="2" t="str">
        <f>"SARANDI"</f>
        <v>SARANDI</v>
      </c>
      <c r="B5179" s="3" t="str">
        <f>"RS"</f>
        <v>RS</v>
      </c>
      <c r="C5179" s="3" t="str">
        <f t="shared" si="193"/>
        <v>BRASIL</v>
      </c>
      <c r="D5179" s="4" t="str">
        <f>"RS420"</f>
        <v>RS420</v>
      </c>
    </row>
    <row r="5180" spans="1:4" x14ac:dyDescent="0.3">
      <c r="A5180" s="2" t="str">
        <f>"SARAPUI"</f>
        <v>SARAPUI</v>
      </c>
      <c r="B5180" s="3" t="str">
        <f>"SP"</f>
        <v>SP</v>
      </c>
      <c r="C5180" s="3" t="str">
        <f t="shared" si="193"/>
        <v>BRASIL</v>
      </c>
      <c r="D5180" s="4" t="str">
        <f>"SP571"</f>
        <v>SP571</v>
      </c>
    </row>
    <row r="5181" spans="1:4" x14ac:dyDescent="0.3">
      <c r="A5181" s="2" t="str">
        <f>"SARDOA"</f>
        <v>SARDOA</v>
      </c>
      <c r="B5181" s="3" t="str">
        <f>"MG"</f>
        <v>MG</v>
      </c>
      <c r="C5181" s="3" t="str">
        <f t="shared" si="193"/>
        <v>BRASIL</v>
      </c>
      <c r="D5181" s="4" t="str">
        <f>"MG768"</f>
        <v>MG768</v>
      </c>
    </row>
    <row r="5182" spans="1:4" x14ac:dyDescent="0.3">
      <c r="A5182" s="2" t="str">
        <f>"SARUTAIA"</f>
        <v>SARUTAIA</v>
      </c>
      <c r="B5182" s="3" t="str">
        <f>"SP"</f>
        <v>SP</v>
      </c>
      <c r="C5182" s="3" t="str">
        <f t="shared" si="193"/>
        <v>BRASIL</v>
      </c>
      <c r="D5182" s="4" t="str">
        <f>"SP572"</f>
        <v>SP572</v>
      </c>
    </row>
    <row r="5183" spans="1:4" x14ac:dyDescent="0.3">
      <c r="A5183" s="2" t="str">
        <f>"SARZEDO"</f>
        <v>SARZEDO</v>
      </c>
      <c r="B5183" s="3" t="str">
        <f>"MG"</f>
        <v>MG</v>
      </c>
      <c r="C5183" s="3" t="str">
        <f t="shared" si="193"/>
        <v>BRASIL</v>
      </c>
      <c r="D5183" s="4" t="str">
        <f>"MG769"</f>
        <v>MG769</v>
      </c>
    </row>
    <row r="5184" spans="1:4" x14ac:dyDescent="0.3">
      <c r="A5184" s="2" t="str">
        <f>"SASSENBERG"</f>
        <v>SASSENBERG</v>
      </c>
      <c r="B5184" s="3" t="str">
        <f>"GER"</f>
        <v>GER</v>
      </c>
      <c r="C5184" s="3" t="str">
        <f>"ALEMANHA"</f>
        <v>ALEMANHA</v>
      </c>
      <c r="D5184" s="4" t="str">
        <f>"SASSE"</f>
        <v>SASSE</v>
      </c>
    </row>
    <row r="5185" spans="1:4" x14ac:dyDescent="0.3">
      <c r="A5185" s="2" t="str">
        <f>"SATIRO DIAS"</f>
        <v>SATIRO DIAS</v>
      </c>
      <c r="B5185" s="3" t="str">
        <f>"BA"</f>
        <v>BA</v>
      </c>
      <c r="C5185" s="3" t="str">
        <f t="shared" ref="C5185:C5216" si="194">"BRASIL"</f>
        <v>BRASIL</v>
      </c>
      <c r="D5185" s="4" t="str">
        <f>"BA365"</f>
        <v>BA365</v>
      </c>
    </row>
    <row r="5186" spans="1:4" x14ac:dyDescent="0.3">
      <c r="A5186" s="2" t="str">
        <f>"SATUBA"</f>
        <v>SATUBA</v>
      </c>
      <c r="B5186" s="3" t="str">
        <f>"AL"</f>
        <v>AL</v>
      </c>
      <c r="C5186" s="3" t="str">
        <f t="shared" si="194"/>
        <v>BRASIL</v>
      </c>
      <c r="D5186" s="4" t="str">
        <f>"AL095"</f>
        <v>AL095</v>
      </c>
    </row>
    <row r="5187" spans="1:4" x14ac:dyDescent="0.3">
      <c r="A5187" s="2" t="str">
        <f>"SATUBINHA"</f>
        <v>SATUBINHA</v>
      </c>
      <c r="B5187" s="3" t="str">
        <f>"MA"</f>
        <v>MA</v>
      </c>
      <c r="C5187" s="3" t="str">
        <f t="shared" si="194"/>
        <v>BRASIL</v>
      </c>
      <c r="D5187" s="4" t="str">
        <f>"MA195"</f>
        <v>MA195</v>
      </c>
    </row>
    <row r="5188" spans="1:4" x14ac:dyDescent="0.3">
      <c r="A5188" s="2" t="str">
        <f>"SAUBARA"</f>
        <v>SAUBARA</v>
      </c>
      <c r="B5188" s="3" t="str">
        <f>"BA"</f>
        <v>BA</v>
      </c>
      <c r="C5188" s="3" t="str">
        <f t="shared" si="194"/>
        <v>BRASIL</v>
      </c>
      <c r="D5188" s="4" t="str">
        <f>"BA366"</f>
        <v>BA366</v>
      </c>
    </row>
    <row r="5189" spans="1:4" x14ac:dyDescent="0.3">
      <c r="A5189" s="2" t="str">
        <f>"SAUDADE DO IGUACU"</f>
        <v>SAUDADE DO IGUACU</v>
      </c>
      <c r="B5189" s="3" t="str">
        <f>"PR"</f>
        <v>PR</v>
      </c>
      <c r="C5189" s="3" t="str">
        <f t="shared" si="194"/>
        <v>BRASIL</v>
      </c>
      <c r="D5189" s="4" t="str">
        <f>"PR361"</f>
        <v>PR361</v>
      </c>
    </row>
    <row r="5190" spans="1:4" x14ac:dyDescent="0.3">
      <c r="A5190" s="2" t="str">
        <f>"SAUDADES"</f>
        <v>SAUDADES</v>
      </c>
      <c r="B5190" s="3" t="str">
        <f>"SC"</f>
        <v>SC</v>
      </c>
      <c r="C5190" s="3" t="str">
        <f t="shared" si="194"/>
        <v>BRASIL</v>
      </c>
      <c r="D5190" s="4" t="str">
        <f>"SC257"</f>
        <v>SC257</v>
      </c>
    </row>
    <row r="5191" spans="1:4" x14ac:dyDescent="0.3">
      <c r="A5191" s="2" t="str">
        <f>"SAUDE"</f>
        <v>SAUDE</v>
      </c>
      <c r="B5191" s="3" t="str">
        <f>"BA"</f>
        <v>BA</v>
      </c>
      <c r="C5191" s="3" t="str">
        <f t="shared" si="194"/>
        <v>BRASIL</v>
      </c>
      <c r="D5191" s="4" t="str">
        <f>"BA367"</f>
        <v>BA367</v>
      </c>
    </row>
    <row r="5192" spans="1:4" x14ac:dyDescent="0.3">
      <c r="A5192" s="2" t="str">
        <f>"SCHROEDER"</f>
        <v>SCHROEDER</v>
      </c>
      <c r="B5192" s="3" t="str">
        <f>"SC"</f>
        <v>SC</v>
      </c>
      <c r="C5192" s="3" t="str">
        <f t="shared" si="194"/>
        <v>BRASIL</v>
      </c>
      <c r="D5192" s="4" t="str">
        <f>"SC258"</f>
        <v>SC258</v>
      </c>
    </row>
    <row r="5193" spans="1:4" x14ac:dyDescent="0.3">
      <c r="A5193" s="2" t="str">
        <f>"SEABRA"</f>
        <v>SEABRA</v>
      </c>
      <c r="B5193" s="3" t="str">
        <f>"BA"</f>
        <v>BA</v>
      </c>
      <c r="C5193" s="3" t="str">
        <f t="shared" si="194"/>
        <v>BRASIL</v>
      </c>
      <c r="D5193" s="4" t="str">
        <f>"BA368"</f>
        <v>BA368</v>
      </c>
    </row>
    <row r="5194" spans="1:4" x14ac:dyDescent="0.3">
      <c r="A5194" s="2" t="str">
        <f>"SEARA"</f>
        <v>SEARA</v>
      </c>
      <c r="B5194" s="3" t="str">
        <f>"SC"</f>
        <v>SC</v>
      </c>
      <c r="C5194" s="3" t="str">
        <f t="shared" si="194"/>
        <v>BRASIL</v>
      </c>
      <c r="D5194" s="4" t="str">
        <f>"SC259"</f>
        <v>SC259</v>
      </c>
    </row>
    <row r="5195" spans="1:4" x14ac:dyDescent="0.3">
      <c r="A5195" s="2" t="str">
        <f>"SEBASTIANOPOLIS DO SUL"</f>
        <v>SEBASTIANOPOLIS DO SUL</v>
      </c>
      <c r="B5195" s="3" t="str">
        <f>"SP"</f>
        <v>SP</v>
      </c>
      <c r="C5195" s="3" t="str">
        <f t="shared" si="194"/>
        <v>BRASIL</v>
      </c>
      <c r="D5195" s="4" t="str">
        <f>"SP573"</f>
        <v>SP573</v>
      </c>
    </row>
    <row r="5196" spans="1:4" x14ac:dyDescent="0.3">
      <c r="A5196" s="2" t="str">
        <f>"SEBASTIAO BARROS"</f>
        <v>SEBASTIAO BARROS</v>
      </c>
      <c r="B5196" s="3" t="str">
        <f>"PI"</f>
        <v>PI</v>
      </c>
      <c r="C5196" s="3" t="str">
        <f t="shared" si="194"/>
        <v>BRASIL</v>
      </c>
      <c r="D5196" s="4" t="str">
        <f>"PI206"</f>
        <v>PI206</v>
      </c>
    </row>
    <row r="5197" spans="1:4" x14ac:dyDescent="0.3">
      <c r="A5197" s="2" t="str">
        <f>"SEBASTIAO LARANJEIRAS"</f>
        <v>SEBASTIAO LARANJEIRAS</v>
      </c>
      <c r="B5197" s="3" t="str">
        <f>"BA"</f>
        <v>BA</v>
      </c>
      <c r="C5197" s="3" t="str">
        <f t="shared" si="194"/>
        <v>BRASIL</v>
      </c>
      <c r="D5197" s="4" t="str">
        <f>"BA369"</f>
        <v>BA369</v>
      </c>
    </row>
    <row r="5198" spans="1:4" x14ac:dyDescent="0.3">
      <c r="A5198" s="2" t="str">
        <f>"SEBASTIAO LEAL"</f>
        <v>SEBASTIAO LEAL</v>
      </c>
      <c r="B5198" s="3" t="str">
        <f>"PI"</f>
        <v>PI</v>
      </c>
      <c r="C5198" s="3" t="str">
        <f t="shared" si="194"/>
        <v>BRASIL</v>
      </c>
      <c r="D5198" s="4" t="str">
        <f>"PI207"</f>
        <v>PI207</v>
      </c>
    </row>
    <row r="5199" spans="1:4" x14ac:dyDescent="0.3">
      <c r="A5199" s="2" t="str">
        <f>"SEBERI"</f>
        <v>SEBERI</v>
      </c>
      <c r="B5199" s="3" t="str">
        <f>"RS"</f>
        <v>RS</v>
      </c>
      <c r="C5199" s="3" t="str">
        <f t="shared" si="194"/>
        <v>BRASIL</v>
      </c>
      <c r="D5199" s="4" t="str">
        <f>"RS421"</f>
        <v>RS421</v>
      </c>
    </row>
    <row r="5200" spans="1:4" x14ac:dyDescent="0.3">
      <c r="A5200" s="2" t="str">
        <f>"SEDE NOVA"</f>
        <v>SEDE NOVA</v>
      </c>
      <c r="B5200" s="3" t="str">
        <f>"RS"</f>
        <v>RS</v>
      </c>
      <c r="C5200" s="3" t="str">
        <f t="shared" si="194"/>
        <v>BRASIL</v>
      </c>
      <c r="D5200" s="4" t="str">
        <f>"RS422"</f>
        <v>RS422</v>
      </c>
    </row>
    <row r="5201" spans="1:4" x14ac:dyDescent="0.3">
      <c r="A5201" s="2" t="str">
        <f>"SEGREDO"</f>
        <v>SEGREDO</v>
      </c>
      <c r="B5201" s="3" t="str">
        <f>"RS"</f>
        <v>RS</v>
      </c>
      <c r="C5201" s="3" t="str">
        <f t="shared" si="194"/>
        <v>BRASIL</v>
      </c>
      <c r="D5201" s="4" t="str">
        <f>"RS423"</f>
        <v>RS423</v>
      </c>
    </row>
    <row r="5202" spans="1:4" x14ac:dyDescent="0.3">
      <c r="A5202" s="2" t="str">
        <f>"SELBACH"</f>
        <v>SELBACH</v>
      </c>
      <c r="B5202" s="3" t="str">
        <f>"RS"</f>
        <v>RS</v>
      </c>
      <c r="C5202" s="3" t="str">
        <f t="shared" si="194"/>
        <v>BRASIL</v>
      </c>
      <c r="D5202" s="4" t="str">
        <f>"RS424"</f>
        <v>RS424</v>
      </c>
    </row>
    <row r="5203" spans="1:4" x14ac:dyDescent="0.3">
      <c r="A5203" s="2" t="str">
        <f>"SELVIRIA"</f>
        <v>SELVIRIA</v>
      </c>
      <c r="B5203" s="3" t="str">
        <f>"MS"</f>
        <v>MS</v>
      </c>
      <c r="C5203" s="3" t="str">
        <f t="shared" si="194"/>
        <v>BRASIL</v>
      </c>
      <c r="D5203" s="4" t="str">
        <f>"MS071"</f>
        <v>MS071</v>
      </c>
    </row>
    <row r="5204" spans="1:4" x14ac:dyDescent="0.3">
      <c r="A5204" s="2" t="str">
        <f>"SEM-PEIXE"</f>
        <v>SEM-PEIXE</v>
      </c>
      <c r="B5204" s="3" t="str">
        <f>"MG"</f>
        <v>MG</v>
      </c>
      <c r="C5204" s="3" t="str">
        <f t="shared" si="194"/>
        <v>BRASIL</v>
      </c>
      <c r="D5204" s="4" t="str">
        <f>"MG771"</f>
        <v>MG771</v>
      </c>
    </row>
    <row r="5205" spans="1:4" x14ac:dyDescent="0.3">
      <c r="A5205" s="2" t="str">
        <f>"SENA MADUREIRA"</f>
        <v>SENA MADUREIRA</v>
      </c>
      <c r="B5205" s="3" t="str">
        <f>"AC"</f>
        <v>AC</v>
      </c>
      <c r="C5205" s="3" t="str">
        <f t="shared" si="194"/>
        <v>BRASIL</v>
      </c>
      <c r="D5205" s="4" t="str">
        <f>"AC019"</f>
        <v>AC019</v>
      </c>
    </row>
    <row r="5206" spans="1:4" x14ac:dyDescent="0.3">
      <c r="A5206" s="2" t="str">
        <f>"SENADOR ALEXANDRE COSTA"</f>
        <v>SENADOR ALEXANDRE COSTA</v>
      </c>
      <c r="B5206" s="3" t="str">
        <f>"MA"</f>
        <v>MA</v>
      </c>
      <c r="C5206" s="3" t="str">
        <f t="shared" si="194"/>
        <v>BRASIL</v>
      </c>
      <c r="D5206" s="4" t="str">
        <f>"MA196"</f>
        <v>MA196</v>
      </c>
    </row>
    <row r="5207" spans="1:4" x14ac:dyDescent="0.3">
      <c r="A5207" s="2" t="str">
        <f>"SENADOR AMARAL"</f>
        <v>SENADOR AMARAL</v>
      </c>
      <c r="B5207" s="3" t="str">
        <f>"MG"</f>
        <v>MG</v>
      </c>
      <c r="C5207" s="3" t="str">
        <f t="shared" si="194"/>
        <v>BRASIL</v>
      </c>
      <c r="D5207" s="4" t="str">
        <f>"MG772"</f>
        <v>MG772</v>
      </c>
    </row>
    <row r="5208" spans="1:4" x14ac:dyDescent="0.3">
      <c r="A5208" s="2" t="str">
        <f>"SENADOR CANEDO"</f>
        <v>SENADOR CANEDO</v>
      </c>
      <c r="B5208" s="3" t="str">
        <f>"GO"</f>
        <v>GO</v>
      </c>
      <c r="C5208" s="3" t="str">
        <f t="shared" si="194"/>
        <v>BRASIL</v>
      </c>
      <c r="D5208" s="4" t="str">
        <f>"GO224"</f>
        <v>GO224</v>
      </c>
    </row>
    <row r="5209" spans="1:4" x14ac:dyDescent="0.3">
      <c r="A5209" s="2" t="str">
        <f>"SENADOR CORTES"</f>
        <v>SENADOR CORTES</v>
      </c>
      <c r="B5209" s="3" t="str">
        <f>"MG"</f>
        <v>MG</v>
      </c>
      <c r="C5209" s="3" t="str">
        <f t="shared" si="194"/>
        <v>BRASIL</v>
      </c>
      <c r="D5209" s="4" t="str">
        <f>"MG773"</f>
        <v>MG773</v>
      </c>
    </row>
    <row r="5210" spans="1:4" x14ac:dyDescent="0.3">
      <c r="A5210" s="2" t="str">
        <f>"SENADOR ELOI DE SOUZA"</f>
        <v>SENADOR ELOI DE SOUZA</v>
      </c>
      <c r="B5210" s="3" t="str">
        <f>"RN"</f>
        <v>RN</v>
      </c>
      <c r="C5210" s="3" t="str">
        <f t="shared" si="194"/>
        <v>BRASIL</v>
      </c>
      <c r="D5210" s="4" t="str">
        <f>"RN143"</f>
        <v>RN143</v>
      </c>
    </row>
    <row r="5211" spans="1:4" x14ac:dyDescent="0.3">
      <c r="A5211" s="2" t="str">
        <f>"SENADOR FIRMINO"</f>
        <v>SENADOR FIRMINO</v>
      </c>
      <c r="B5211" s="3" t="str">
        <f>"MG"</f>
        <v>MG</v>
      </c>
      <c r="C5211" s="3" t="str">
        <f t="shared" si="194"/>
        <v>BRASIL</v>
      </c>
      <c r="D5211" s="4" t="str">
        <f>"MG774"</f>
        <v>MG774</v>
      </c>
    </row>
    <row r="5212" spans="1:4" x14ac:dyDescent="0.3">
      <c r="A5212" s="2" t="str">
        <f>"SENADOR GEORGINO AVELINO"</f>
        <v>SENADOR GEORGINO AVELINO</v>
      </c>
      <c r="B5212" s="3" t="str">
        <f>"RN"</f>
        <v>RN</v>
      </c>
      <c r="C5212" s="3" t="str">
        <f t="shared" si="194"/>
        <v>BRASIL</v>
      </c>
      <c r="D5212" s="4" t="str">
        <f>"RN144"</f>
        <v>RN144</v>
      </c>
    </row>
    <row r="5213" spans="1:4" x14ac:dyDescent="0.3">
      <c r="A5213" s="2" t="str">
        <f>"SENADOR GUIOMARD"</f>
        <v>SENADOR GUIOMARD</v>
      </c>
      <c r="B5213" s="3" t="str">
        <f>"AC"</f>
        <v>AC</v>
      </c>
      <c r="C5213" s="3" t="str">
        <f t="shared" si="194"/>
        <v>BRASIL</v>
      </c>
      <c r="D5213" s="4" t="str">
        <f>"AC018"</f>
        <v>AC018</v>
      </c>
    </row>
    <row r="5214" spans="1:4" x14ac:dyDescent="0.3">
      <c r="A5214" s="2" t="str">
        <f>"SENADOR JOSE BENTO"</f>
        <v>SENADOR JOSE BENTO</v>
      </c>
      <c r="B5214" s="3" t="str">
        <f>"MG"</f>
        <v>MG</v>
      </c>
      <c r="C5214" s="3" t="str">
        <f t="shared" si="194"/>
        <v>BRASIL</v>
      </c>
      <c r="D5214" s="4" t="str">
        <f>"MG775"</f>
        <v>MG775</v>
      </c>
    </row>
    <row r="5215" spans="1:4" x14ac:dyDescent="0.3">
      <c r="A5215" s="2" t="str">
        <f>"SENADOR JOSE PORFIRIO"</f>
        <v>SENADOR JOSE PORFIRIO</v>
      </c>
      <c r="B5215" s="3" t="str">
        <f>"PA"</f>
        <v>PA</v>
      </c>
      <c r="C5215" s="3" t="str">
        <f t="shared" si="194"/>
        <v>BRASIL</v>
      </c>
      <c r="D5215" s="4" t="str">
        <f>"PA128"</f>
        <v>PA128</v>
      </c>
    </row>
    <row r="5216" spans="1:4" x14ac:dyDescent="0.3">
      <c r="A5216" s="2" t="str">
        <f>"SENADOR LA ROCQUE"</f>
        <v>SENADOR LA ROCQUE</v>
      </c>
      <c r="B5216" s="3" t="str">
        <f>"MA"</f>
        <v>MA</v>
      </c>
      <c r="C5216" s="3" t="str">
        <f t="shared" si="194"/>
        <v>BRASIL</v>
      </c>
      <c r="D5216" s="4" t="str">
        <f>"MA197"</f>
        <v>MA197</v>
      </c>
    </row>
    <row r="5217" spans="1:4" x14ac:dyDescent="0.3">
      <c r="A5217" s="2" t="str">
        <f>"SENADOR MODESTINO GONCALV"</f>
        <v>SENADOR MODESTINO GONCALV</v>
      </c>
      <c r="B5217" s="3" t="str">
        <f>"MG"</f>
        <v>MG</v>
      </c>
      <c r="C5217" s="3" t="str">
        <f t="shared" ref="C5217:C5248" si="195">"BRASIL"</f>
        <v>BRASIL</v>
      </c>
      <c r="D5217" s="4" t="str">
        <f>"MG776"</f>
        <v>MG776</v>
      </c>
    </row>
    <row r="5218" spans="1:4" x14ac:dyDescent="0.3">
      <c r="A5218" s="2" t="str">
        <f>"SENADOR POMPEU"</f>
        <v>SENADOR POMPEU</v>
      </c>
      <c r="B5218" s="3" t="str">
        <f>"CE"</f>
        <v>CE</v>
      </c>
      <c r="C5218" s="3" t="str">
        <f t="shared" si="195"/>
        <v>BRASIL</v>
      </c>
      <c r="D5218" s="4" t="str">
        <f>"CE165"</f>
        <v>CE165</v>
      </c>
    </row>
    <row r="5219" spans="1:4" x14ac:dyDescent="0.3">
      <c r="A5219" s="2" t="str">
        <f>"SENADOR RUI PALMEIRA"</f>
        <v>SENADOR RUI PALMEIRA</v>
      </c>
      <c r="B5219" s="3" t="str">
        <f>"AL"</f>
        <v>AL</v>
      </c>
      <c r="C5219" s="3" t="str">
        <f t="shared" si="195"/>
        <v>BRASIL</v>
      </c>
      <c r="D5219" s="4" t="str">
        <f>"AL096"</f>
        <v>AL096</v>
      </c>
    </row>
    <row r="5220" spans="1:4" x14ac:dyDescent="0.3">
      <c r="A5220" s="2" t="str">
        <f>"SENADOR SA"</f>
        <v>SENADOR SA</v>
      </c>
      <c r="B5220" s="3" t="str">
        <f>"CE"</f>
        <v>CE</v>
      </c>
      <c r="C5220" s="3" t="str">
        <f t="shared" si="195"/>
        <v>BRASIL</v>
      </c>
      <c r="D5220" s="4" t="str">
        <f>"CE166"</f>
        <v>CE166</v>
      </c>
    </row>
    <row r="5221" spans="1:4" x14ac:dyDescent="0.3">
      <c r="A5221" s="2" t="str">
        <f>"SENADOR SALGADO FILHO"</f>
        <v>SENADOR SALGADO FILHO</v>
      </c>
      <c r="B5221" s="3" t="str">
        <f>"RS"</f>
        <v>RS</v>
      </c>
      <c r="C5221" s="3" t="str">
        <f t="shared" si="195"/>
        <v>BRASIL</v>
      </c>
      <c r="D5221" s="4" t="str">
        <f>"RS425"</f>
        <v>RS425</v>
      </c>
    </row>
    <row r="5222" spans="1:4" x14ac:dyDescent="0.3">
      <c r="A5222" s="2" t="str">
        <f>"SENGES"</f>
        <v>SENGES</v>
      </c>
      <c r="B5222" s="3" t="str">
        <f>"PR"</f>
        <v>PR</v>
      </c>
      <c r="C5222" s="3" t="str">
        <f t="shared" si="195"/>
        <v>BRASIL</v>
      </c>
      <c r="D5222" s="4" t="str">
        <f>"PR362"</f>
        <v>PR362</v>
      </c>
    </row>
    <row r="5223" spans="1:4" x14ac:dyDescent="0.3">
      <c r="A5223" s="2" t="str">
        <f>"SENHOR DO BONFIM"</f>
        <v>SENHOR DO BONFIM</v>
      </c>
      <c r="B5223" s="3" t="str">
        <f>"BA"</f>
        <v>BA</v>
      </c>
      <c r="C5223" s="3" t="str">
        <f t="shared" si="195"/>
        <v>BRASIL</v>
      </c>
      <c r="D5223" s="4" t="str">
        <f>"BA370"</f>
        <v>BA370</v>
      </c>
    </row>
    <row r="5224" spans="1:4" x14ac:dyDescent="0.3">
      <c r="A5224" s="2" t="str">
        <f>"SENHORA DE OLIVEIRA"</f>
        <v>SENHORA DE OLIVEIRA</v>
      </c>
      <c r="B5224" s="3" t="str">
        <f>"MG"</f>
        <v>MG</v>
      </c>
      <c r="C5224" s="3" t="str">
        <f t="shared" si="195"/>
        <v>BRASIL</v>
      </c>
      <c r="D5224" s="4" t="str">
        <f>"MG777"</f>
        <v>MG777</v>
      </c>
    </row>
    <row r="5225" spans="1:4" x14ac:dyDescent="0.3">
      <c r="A5225" s="2" t="str">
        <f>"SENHORA DO PORTO"</f>
        <v>SENHORA DO PORTO</v>
      </c>
      <c r="B5225" s="3" t="str">
        <f>"MG"</f>
        <v>MG</v>
      </c>
      <c r="C5225" s="3" t="str">
        <f t="shared" si="195"/>
        <v>BRASIL</v>
      </c>
      <c r="D5225" s="4" t="str">
        <f>"MG778"</f>
        <v>MG778</v>
      </c>
    </row>
    <row r="5226" spans="1:4" x14ac:dyDescent="0.3">
      <c r="A5226" s="2" t="str">
        <f>"SENHORA DOS REMEDIOS"</f>
        <v>SENHORA DOS REMEDIOS</v>
      </c>
      <c r="B5226" s="3" t="str">
        <f>"MG"</f>
        <v>MG</v>
      </c>
      <c r="C5226" s="3" t="str">
        <f t="shared" si="195"/>
        <v>BRASIL</v>
      </c>
      <c r="D5226" s="4" t="str">
        <f>"MG779"</f>
        <v>MG779</v>
      </c>
    </row>
    <row r="5227" spans="1:4" x14ac:dyDescent="0.3">
      <c r="A5227" s="2" t="str">
        <f>"SENTINELA DO SUL"</f>
        <v>SENTINELA DO SUL</v>
      </c>
      <c r="B5227" s="3" t="str">
        <f>"RS"</f>
        <v>RS</v>
      </c>
      <c r="C5227" s="3" t="str">
        <f t="shared" si="195"/>
        <v>BRASIL</v>
      </c>
      <c r="D5227" s="4" t="str">
        <f>"RS426"</f>
        <v>RS426</v>
      </c>
    </row>
    <row r="5228" spans="1:4" x14ac:dyDescent="0.3">
      <c r="A5228" s="2" t="str">
        <f>"SENTO SE"</f>
        <v>SENTO SE</v>
      </c>
      <c r="B5228" s="3" t="str">
        <f>"BA"</f>
        <v>BA</v>
      </c>
      <c r="C5228" s="3" t="str">
        <f t="shared" si="195"/>
        <v>BRASIL</v>
      </c>
      <c r="D5228" s="4" t="str">
        <f>"BA372"</f>
        <v>BA372</v>
      </c>
    </row>
    <row r="5229" spans="1:4" x14ac:dyDescent="0.3">
      <c r="A5229" s="2" t="str">
        <f>"SERAFINA CORREA"</f>
        <v>SERAFINA CORREA</v>
      </c>
      <c r="B5229" s="3" t="str">
        <f>"RS"</f>
        <v>RS</v>
      </c>
      <c r="C5229" s="3" t="str">
        <f t="shared" si="195"/>
        <v>BRASIL</v>
      </c>
      <c r="D5229" s="4" t="str">
        <f>"RS427"</f>
        <v>RS427</v>
      </c>
    </row>
    <row r="5230" spans="1:4" x14ac:dyDescent="0.3">
      <c r="A5230" s="2" t="str">
        <f>"SERICITA"</f>
        <v>SERICITA</v>
      </c>
      <c r="B5230" s="3" t="str">
        <f>"MG"</f>
        <v>MG</v>
      </c>
      <c r="C5230" s="3" t="str">
        <f t="shared" si="195"/>
        <v>BRASIL</v>
      </c>
      <c r="D5230" s="4" t="str">
        <f>"MG780"</f>
        <v>MG780</v>
      </c>
    </row>
    <row r="5231" spans="1:4" x14ac:dyDescent="0.3">
      <c r="A5231" s="2" t="str">
        <f>"SERIDO"</f>
        <v>SERIDO</v>
      </c>
      <c r="B5231" s="3" t="str">
        <f>"PB"</f>
        <v>PB</v>
      </c>
      <c r="C5231" s="3" t="str">
        <f t="shared" si="195"/>
        <v>BRASIL</v>
      </c>
      <c r="D5231" s="4" t="str">
        <f>"PB200"</f>
        <v>PB200</v>
      </c>
    </row>
    <row r="5232" spans="1:4" x14ac:dyDescent="0.3">
      <c r="A5232" s="2" t="str">
        <f>"SERINGUEIRAS"</f>
        <v>SERINGUEIRAS</v>
      </c>
      <c r="B5232" s="3" t="str">
        <f>"RO"</f>
        <v>RO</v>
      </c>
      <c r="C5232" s="3" t="str">
        <f t="shared" si="195"/>
        <v>BRASIL</v>
      </c>
      <c r="D5232" s="4" t="str">
        <f>"RO047"</f>
        <v>RO047</v>
      </c>
    </row>
    <row r="5233" spans="1:4" x14ac:dyDescent="0.3">
      <c r="A5233" s="2" t="str">
        <f>"SERIO"</f>
        <v>SERIO</v>
      </c>
      <c r="B5233" s="3" t="str">
        <f>"RS"</f>
        <v>RS</v>
      </c>
      <c r="C5233" s="3" t="str">
        <f t="shared" si="195"/>
        <v>BRASIL</v>
      </c>
      <c r="D5233" s="4" t="str">
        <f>"RS428"</f>
        <v>RS428</v>
      </c>
    </row>
    <row r="5234" spans="1:4" x14ac:dyDescent="0.3">
      <c r="A5234" s="2" t="str">
        <f>"SERITINGA"</f>
        <v>SERITINGA</v>
      </c>
      <c r="B5234" s="3" t="str">
        <f>"MG"</f>
        <v>MG</v>
      </c>
      <c r="C5234" s="3" t="str">
        <f t="shared" si="195"/>
        <v>BRASIL</v>
      </c>
      <c r="D5234" s="4" t="str">
        <f>"MG781"</f>
        <v>MG781</v>
      </c>
    </row>
    <row r="5235" spans="1:4" x14ac:dyDescent="0.3">
      <c r="A5235" s="2" t="str">
        <f>"SEROPEDICA"</f>
        <v>SEROPEDICA</v>
      </c>
      <c r="B5235" s="3" t="str">
        <f>"RJ"</f>
        <v>RJ</v>
      </c>
      <c r="C5235" s="3" t="str">
        <f t="shared" si="195"/>
        <v>BRASIL</v>
      </c>
      <c r="D5235" s="4" t="str">
        <f>"RJ082"</f>
        <v>RJ082</v>
      </c>
    </row>
    <row r="5236" spans="1:4" x14ac:dyDescent="0.3">
      <c r="A5236" s="2" t="str">
        <f>"SERRA"</f>
        <v>SERRA</v>
      </c>
      <c r="B5236" s="3" t="str">
        <f>"ES"</f>
        <v>ES</v>
      </c>
      <c r="C5236" s="3" t="str">
        <f t="shared" si="195"/>
        <v>BRASIL</v>
      </c>
      <c r="D5236" s="4" t="str">
        <f>"ES070"</f>
        <v>ES070</v>
      </c>
    </row>
    <row r="5237" spans="1:4" x14ac:dyDescent="0.3">
      <c r="A5237" s="2" t="str">
        <f>"SERRA ALTA"</f>
        <v>SERRA ALTA</v>
      </c>
      <c r="B5237" s="3" t="str">
        <f>"SC"</f>
        <v>SC</v>
      </c>
      <c r="C5237" s="3" t="str">
        <f t="shared" si="195"/>
        <v>BRASIL</v>
      </c>
      <c r="D5237" s="4" t="str">
        <f>"SC260"</f>
        <v>SC260</v>
      </c>
    </row>
    <row r="5238" spans="1:4" x14ac:dyDescent="0.3">
      <c r="A5238" s="2" t="str">
        <f>"SERRA AZUL"</f>
        <v>SERRA AZUL</v>
      </c>
      <c r="B5238" s="3" t="str">
        <f>"SP"</f>
        <v>SP</v>
      </c>
      <c r="C5238" s="3" t="str">
        <f t="shared" si="195"/>
        <v>BRASIL</v>
      </c>
      <c r="D5238" s="4" t="str">
        <f>"SP574"</f>
        <v>SP574</v>
      </c>
    </row>
    <row r="5239" spans="1:4" x14ac:dyDescent="0.3">
      <c r="A5239" s="2" t="str">
        <f>"SERRA AZUL DE MINAS"</f>
        <v>SERRA AZUL DE MINAS</v>
      </c>
      <c r="B5239" s="3" t="str">
        <f>"MG"</f>
        <v>MG</v>
      </c>
      <c r="C5239" s="3" t="str">
        <f t="shared" si="195"/>
        <v>BRASIL</v>
      </c>
      <c r="D5239" s="4" t="str">
        <f>"MG782"</f>
        <v>MG782</v>
      </c>
    </row>
    <row r="5240" spans="1:4" x14ac:dyDescent="0.3">
      <c r="A5240" s="2" t="str">
        <f>"SERRA BRANCA"</f>
        <v>SERRA BRANCA</v>
      </c>
      <c r="B5240" s="3" t="str">
        <f>"PB"</f>
        <v>PB</v>
      </c>
      <c r="C5240" s="3" t="str">
        <f t="shared" si="195"/>
        <v>BRASIL</v>
      </c>
      <c r="D5240" s="4" t="str">
        <f>"PB201"</f>
        <v>PB201</v>
      </c>
    </row>
    <row r="5241" spans="1:4" x14ac:dyDescent="0.3">
      <c r="A5241" s="2" t="str">
        <f>"SERRA DA RAIZ"</f>
        <v>SERRA DA RAIZ</v>
      </c>
      <c r="B5241" s="3" t="str">
        <f>"PB"</f>
        <v>PB</v>
      </c>
      <c r="C5241" s="3" t="str">
        <f t="shared" si="195"/>
        <v>BRASIL</v>
      </c>
      <c r="D5241" s="4" t="str">
        <f>"PB202"</f>
        <v>PB202</v>
      </c>
    </row>
    <row r="5242" spans="1:4" x14ac:dyDescent="0.3">
      <c r="A5242" s="2" t="str">
        <f>"SERRA DA SAUDADE"</f>
        <v>SERRA DA SAUDADE</v>
      </c>
      <c r="B5242" s="3" t="str">
        <f>"MG"</f>
        <v>MG</v>
      </c>
      <c r="C5242" s="3" t="str">
        <f t="shared" si="195"/>
        <v>BRASIL</v>
      </c>
      <c r="D5242" s="4" t="str">
        <f>"MG783"</f>
        <v>MG783</v>
      </c>
    </row>
    <row r="5243" spans="1:4" x14ac:dyDescent="0.3">
      <c r="A5243" s="2" t="str">
        <f>"SERRA DE SAO BENTO"</f>
        <v>SERRA DE SAO BENTO</v>
      </c>
      <c r="B5243" s="3" t="str">
        <f>"RN"</f>
        <v>RN</v>
      </c>
      <c r="C5243" s="3" t="str">
        <f t="shared" si="195"/>
        <v>BRASIL</v>
      </c>
      <c r="D5243" s="4" t="str">
        <f>"RN145"</f>
        <v>RN145</v>
      </c>
    </row>
    <row r="5244" spans="1:4" x14ac:dyDescent="0.3">
      <c r="A5244" s="2" t="str">
        <f>"SERRA DO MEL"</f>
        <v>SERRA DO MEL</v>
      </c>
      <c r="B5244" s="3" t="str">
        <f>"RN"</f>
        <v>RN</v>
      </c>
      <c r="C5244" s="3" t="str">
        <f t="shared" si="195"/>
        <v>BRASIL</v>
      </c>
      <c r="D5244" s="4" t="str">
        <f>"RN146"</f>
        <v>RN146</v>
      </c>
    </row>
    <row r="5245" spans="1:4" x14ac:dyDescent="0.3">
      <c r="A5245" s="2" t="str">
        <f>"SERRA DO NAVIO"</f>
        <v>SERRA DO NAVIO</v>
      </c>
      <c r="B5245" s="3" t="str">
        <f>"AP"</f>
        <v>AP</v>
      </c>
      <c r="C5245" s="3" t="str">
        <f t="shared" si="195"/>
        <v>BRASIL</v>
      </c>
      <c r="D5245" s="4" t="str">
        <f>"AP001"</f>
        <v>AP001</v>
      </c>
    </row>
    <row r="5246" spans="1:4" x14ac:dyDescent="0.3">
      <c r="A5246" s="2" t="str">
        <f>"SERRA DO RAMALHO"</f>
        <v>SERRA DO RAMALHO</v>
      </c>
      <c r="B5246" s="3" t="str">
        <f>"BA"</f>
        <v>BA</v>
      </c>
      <c r="C5246" s="3" t="str">
        <f t="shared" si="195"/>
        <v>BRASIL</v>
      </c>
      <c r="D5246" s="4" t="str">
        <f>"BA371"</f>
        <v>BA371</v>
      </c>
    </row>
    <row r="5247" spans="1:4" x14ac:dyDescent="0.3">
      <c r="A5247" s="2" t="str">
        <f>"SERRA DO SALITRE"</f>
        <v>SERRA DO SALITRE</v>
      </c>
      <c r="B5247" s="3" t="str">
        <f>"MG"</f>
        <v>MG</v>
      </c>
      <c r="C5247" s="3" t="str">
        <f t="shared" si="195"/>
        <v>BRASIL</v>
      </c>
      <c r="D5247" s="4" t="str">
        <f>"MG785"</f>
        <v>MG785</v>
      </c>
    </row>
    <row r="5248" spans="1:4" x14ac:dyDescent="0.3">
      <c r="A5248" s="2" t="str">
        <f>"SERRA DOS AIMORES"</f>
        <v>SERRA DOS AIMORES</v>
      </c>
      <c r="B5248" s="3" t="str">
        <f>"MG"</f>
        <v>MG</v>
      </c>
      <c r="C5248" s="3" t="str">
        <f t="shared" si="195"/>
        <v>BRASIL</v>
      </c>
      <c r="D5248" s="4" t="str">
        <f>"MG784"</f>
        <v>MG784</v>
      </c>
    </row>
    <row r="5249" spans="1:4" x14ac:dyDescent="0.3">
      <c r="A5249" s="2" t="str">
        <f>"SERRA DOURADA"</f>
        <v>SERRA DOURADA</v>
      </c>
      <c r="B5249" s="3" t="str">
        <f>"BA"</f>
        <v>BA</v>
      </c>
      <c r="C5249" s="3" t="str">
        <f t="shared" ref="C5249:C5285" si="196">"BRASIL"</f>
        <v>BRASIL</v>
      </c>
      <c r="D5249" s="4" t="str">
        <f>"BA373"</f>
        <v>BA373</v>
      </c>
    </row>
    <row r="5250" spans="1:4" x14ac:dyDescent="0.3">
      <c r="A5250" s="2" t="str">
        <f>"SERRA GRANDE"</f>
        <v>SERRA GRANDE</v>
      </c>
      <c r="B5250" s="3" t="str">
        <f>"PB"</f>
        <v>PB</v>
      </c>
      <c r="C5250" s="3" t="str">
        <f t="shared" si="196"/>
        <v>BRASIL</v>
      </c>
      <c r="D5250" s="4" t="str">
        <f>"PB203"</f>
        <v>PB203</v>
      </c>
    </row>
    <row r="5251" spans="1:4" x14ac:dyDescent="0.3">
      <c r="A5251" s="2" t="str">
        <f>"SERRA NEGRA"</f>
        <v>SERRA NEGRA</v>
      </c>
      <c r="B5251" s="3" t="str">
        <f>"SP"</f>
        <v>SP</v>
      </c>
      <c r="C5251" s="3" t="str">
        <f t="shared" si="196"/>
        <v>BRASIL</v>
      </c>
      <c r="D5251" s="4" t="str">
        <f>"SP576"</f>
        <v>SP576</v>
      </c>
    </row>
    <row r="5252" spans="1:4" x14ac:dyDescent="0.3">
      <c r="A5252" s="2" t="str">
        <f>"SERRA NEGRA DO NORTE"</f>
        <v>SERRA NEGRA DO NORTE</v>
      </c>
      <c r="B5252" s="3" t="str">
        <f>"RN"</f>
        <v>RN</v>
      </c>
      <c r="C5252" s="3" t="str">
        <f t="shared" si="196"/>
        <v>BRASIL</v>
      </c>
      <c r="D5252" s="4" t="str">
        <f>"RN147"</f>
        <v>RN147</v>
      </c>
    </row>
    <row r="5253" spans="1:4" x14ac:dyDescent="0.3">
      <c r="A5253" s="2" t="str">
        <f>"SERRA NOVA DOURADA"</f>
        <v>SERRA NOVA DOURADA</v>
      </c>
      <c r="B5253" s="3" t="str">
        <f>"MT"</f>
        <v>MT</v>
      </c>
      <c r="C5253" s="3" t="str">
        <f t="shared" si="196"/>
        <v>BRASIL</v>
      </c>
      <c r="D5253" s="4" t="str">
        <f>"MT124"</f>
        <v>MT124</v>
      </c>
    </row>
    <row r="5254" spans="1:4" x14ac:dyDescent="0.3">
      <c r="A5254" s="2" t="str">
        <f>"SERRA PRETA"</f>
        <v>SERRA PRETA</v>
      </c>
      <c r="B5254" s="3" t="str">
        <f>"BA"</f>
        <v>BA</v>
      </c>
      <c r="C5254" s="3" t="str">
        <f t="shared" si="196"/>
        <v>BRASIL</v>
      </c>
      <c r="D5254" s="4" t="str">
        <f>"BA374"</f>
        <v>BA374</v>
      </c>
    </row>
    <row r="5255" spans="1:4" x14ac:dyDescent="0.3">
      <c r="A5255" s="2" t="str">
        <f>"SERRA REDONDA"</f>
        <v>SERRA REDONDA</v>
      </c>
      <c r="B5255" s="3" t="str">
        <f>"PB"</f>
        <v>PB</v>
      </c>
      <c r="C5255" s="3" t="str">
        <f t="shared" si="196"/>
        <v>BRASIL</v>
      </c>
      <c r="D5255" s="4" t="str">
        <f>"PB204"</f>
        <v>PB204</v>
      </c>
    </row>
    <row r="5256" spans="1:4" x14ac:dyDescent="0.3">
      <c r="A5256" s="2" t="str">
        <f>"SERRA TALHADA"</f>
        <v>SERRA TALHADA</v>
      </c>
      <c r="B5256" s="3" t="str">
        <f>"PE"</f>
        <v>PE</v>
      </c>
      <c r="C5256" s="3" t="str">
        <f t="shared" si="196"/>
        <v>BRASIL</v>
      </c>
      <c r="D5256" s="4" t="str">
        <f>"PE158"</f>
        <v>PE158</v>
      </c>
    </row>
    <row r="5257" spans="1:4" x14ac:dyDescent="0.3">
      <c r="A5257" s="2" t="str">
        <f>"SERRANA"</f>
        <v>SERRANA</v>
      </c>
      <c r="B5257" s="3" t="str">
        <f>"SP"</f>
        <v>SP</v>
      </c>
      <c r="C5257" s="3" t="str">
        <f t="shared" si="196"/>
        <v>BRASIL</v>
      </c>
      <c r="D5257" s="4" t="str">
        <f>"SP575"</f>
        <v>SP575</v>
      </c>
    </row>
    <row r="5258" spans="1:4" x14ac:dyDescent="0.3">
      <c r="A5258" s="2" t="str">
        <f>"SERRANIA"</f>
        <v>SERRANIA</v>
      </c>
      <c r="B5258" s="3" t="str">
        <f>"MG"</f>
        <v>MG</v>
      </c>
      <c r="C5258" s="3" t="str">
        <f t="shared" si="196"/>
        <v>BRASIL</v>
      </c>
      <c r="D5258" s="4" t="str">
        <f>"MG786"</f>
        <v>MG786</v>
      </c>
    </row>
    <row r="5259" spans="1:4" x14ac:dyDescent="0.3">
      <c r="A5259" s="2" t="str">
        <f>"SERRANO DO MARANHAO"</f>
        <v>SERRANO DO MARANHAO</v>
      </c>
      <c r="B5259" s="3" t="str">
        <f>"MA"</f>
        <v>MA</v>
      </c>
      <c r="C5259" s="3" t="str">
        <f t="shared" si="196"/>
        <v>BRASIL</v>
      </c>
      <c r="D5259" s="4" t="str">
        <f>"MA198"</f>
        <v>MA198</v>
      </c>
    </row>
    <row r="5260" spans="1:4" x14ac:dyDescent="0.3">
      <c r="A5260" s="2" t="str">
        <f>"SERRANOPOLIS"</f>
        <v>SERRANOPOLIS</v>
      </c>
      <c r="B5260" s="3" t="str">
        <f>"GO"</f>
        <v>GO</v>
      </c>
      <c r="C5260" s="3" t="str">
        <f t="shared" si="196"/>
        <v>BRASIL</v>
      </c>
      <c r="D5260" s="4" t="str">
        <f>"GO225"</f>
        <v>GO225</v>
      </c>
    </row>
    <row r="5261" spans="1:4" x14ac:dyDescent="0.3">
      <c r="A5261" s="2" t="str">
        <f>"SERRANOPOLIS DE MINAS"</f>
        <v>SERRANOPOLIS DE MINAS</v>
      </c>
      <c r="B5261" s="3" t="str">
        <f>"MG"</f>
        <v>MG</v>
      </c>
      <c r="C5261" s="3" t="str">
        <f t="shared" si="196"/>
        <v>BRASIL</v>
      </c>
      <c r="D5261" s="4" t="str">
        <f>"MG787"</f>
        <v>MG787</v>
      </c>
    </row>
    <row r="5262" spans="1:4" x14ac:dyDescent="0.3">
      <c r="A5262" s="2" t="str">
        <f>"SERRANOPOLIS DO IGUACU"</f>
        <v>SERRANOPOLIS DO IGUACU</v>
      </c>
      <c r="B5262" s="3" t="str">
        <f>"PR"</f>
        <v>PR</v>
      </c>
      <c r="C5262" s="3" t="str">
        <f t="shared" si="196"/>
        <v>BRASIL</v>
      </c>
      <c r="D5262" s="4" t="str">
        <f>"PR363"</f>
        <v>PR363</v>
      </c>
    </row>
    <row r="5263" spans="1:4" x14ac:dyDescent="0.3">
      <c r="A5263" s="2" t="str">
        <f>"SERRANOS"</f>
        <v>SERRANOS</v>
      </c>
      <c r="B5263" s="3" t="str">
        <f>"MG"</f>
        <v>MG</v>
      </c>
      <c r="C5263" s="3" t="str">
        <f t="shared" si="196"/>
        <v>BRASIL</v>
      </c>
      <c r="D5263" s="4" t="str">
        <f>"MG788"</f>
        <v>MG788</v>
      </c>
    </row>
    <row r="5264" spans="1:4" x14ac:dyDescent="0.3">
      <c r="A5264" s="2" t="str">
        <f>"SERRARIA"</f>
        <v>SERRARIA</v>
      </c>
      <c r="B5264" s="3" t="str">
        <f>"PB"</f>
        <v>PB</v>
      </c>
      <c r="C5264" s="3" t="str">
        <f t="shared" si="196"/>
        <v>BRASIL</v>
      </c>
      <c r="D5264" s="4" t="str">
        <f>"PB205"</f>
        <v>PB205</v>
      </c>
    </row>
    <row r="5265" spans="1:4" x14ac:dyDescent="0.3">
      <c r="A5265" s="2" t="str">
        <f>"SERRINHA"</f>
        <v>SERRINHA</v>
      </c>
      <c r="B5265" s="3" t="str">
        <f>"BA"</f>
        <v>BA</v>
      </c>
      <c r="C5265" s="3" t="str">
        <f t="shared" si="196"/>
        <v>BRASIL</v>
      </c>
      <c r="D5265" s="4" t="str">
        <f>"BA375"</f>
        <v>BA375</v>
      </c>
    </row>
    <row r="5266" spans="1:4" x14ac:dyDescent="0.3">
      <c r="A5266" s="2" t="str">
        <f>"SERRINHA"</f>
        <v>SERRINHA</v>
      </c>
      <c r="B5266" s="3" t="str">
        <f>"RN"</f>
        <v>RN</v>
      </c>
      <c r="C5266" s="3" t="str">
        <f t="shared" si="196"/>
        <v>BRASIL</v>
      </c>
      <c r="D5266" s="4" t="str">
        <f>"RN148"</f>
        <v>RN148</v>
      </c>
    </row>
    <row r="5267" spans="1:4" x14ac:dyDescent="0.3">
      <c r="A5267" s="2" t="str">
        <f>"SERRINHA DOS PINTOS"</f>
        <v>SERRINHA DOS PINTOS</v>
      </c>
      <c r="B5267" s="3" t="str">
        <f>"RN"</f>
        <v>RN</v>
      </c>
      <c r="C5267" s="3" t="str">
        <f t="shared" si="196"/>
        <v>BRASIL</v>
      </c>
      <c r="D5267" s="4" t="str">
        <f>"RN149"</f>
        <v>RN149</v>
      </c>
    </row>
    <row r="5268" spans="1:4" x14ac:dyDescent="0.3">
      <c r="A5268" s="2" t="str">
        <f>"SERRITA"</f>
        <v>SERRITA</v>
      </c>
      <c r="B5268" s="3" t="str">
        <f>"PE"</f>
        <v>PE</v>
      </c>
      <c r="C5268" s="3" t="str">
        <f t="shared" si="196"/>
        <v>BRASIL</v>
      </c>
      <c r="D5268" s="4" t="str">
        <f>"PE159"</f>
        <v>PE159</v>
      </c>
    </row>
    <row r="5269" spans="1:4" x14ac:dyDescent="0.3">
      <c r="A5269" s="2" t="str">
        <f>"SERRO"</f>
        <v>SERRO</v>
      </c>
      <c r="B5269" s="3" t="str">
        <f>"MG"</f>
        <v>MG</v>
      </c>
      <c r="C5269" s="3" t="str">
        <f t="shared" si="196"/>
        <v>BRASIL</v>
      </c>
      <c r="D5269" s="4" t="str">
        <f>"MG789"</f>
        <v>MG789</v>
      </c>
    </row>
    <row r="5270" spans="1:4" x14ac:dyDescent="0.3">
      <c r="A5270" s="2" t="str">
        <f>"SERROLANDIA"</f>
        <v>SERROLANDIA</v>
      </c>
      <c r="B5270" s="3" t="str">
        <f>"BA"</f>
        <v>BA</v>
      </c>
      <c r="C5270" s="3" t="str">
        <f t="shared" si="196"/>
        <v>BRASIL</v>
      </c>
      <c r="D5270" s="4" t="str">
        <f>"BA376"</f>
        <v>BA376</v>
      </c>
    </row>
    <row r="5271" spans="1:4" x14ac:dyDescent="0.3">
      <c r="A5271" s="2" t="str">
        <f>"SERTANEJA"</f>
        <v>SERTANEJA</v>
      </c>
      <c r="B5271" s="3" t="str">
        <f>"PR"</f>
        <v>PR</v>
      </c>
      <c r="C5271" s="3" t="str">
        <f t="shared" si="196"/>
        <v>BRASIL</v>
      </c>
      <c r="D5271" s="4" t="str">
        <f>"PR364"</f>
        <v>PR364</v>
      </c>
    </row>
    <row r="5272" spans="1:4" x14ac:dyDescent="0.3">
      <c r="A5272" s="2" t="str">
        <f>"SERTANIA"</f>
        <v>SERTANIA</v>
      </c>
      <c r="B5272" s="3" t="str">
        <f>"PE"</f>
        <v>PE</v>
      </c>
      <c r="C5272" s="3" t="str">
        <f t="shared" si="196"/>
        <v>BRASIL</v>
      </c>
      <c r="D5272" s="4" t="str">
        <f>"PE160"</f>
        <v>PE160</v>
      </c>
    </row>
    <row r="5273" spans="1:4" x14ac:dyDescent="0.3">
      <c r="A5273" s="2" t="str">
        <f>"SERTANOPOLIS"</f>
        <v>SERTANOPOLIS</v>
      </c>
      <c r="B5273" s="3" t="str">
        <f>"PR"</f>
        <v>PR</v>
      </c>
      <c r="C5273" s="3" t="str">
        <f t="shared" si="196"/>
        <v>BRASIL</v>
      </c>
      <c r="D5273" s="4" t="str">
        <f>"PR365"</f>
        <v>PR365</v>
      </c>
    </row>
    <row r="5274" spans="1:4" x14ac:dyDescent="0.3">
      <c r="A5274" s="2" t="str">
        <f>"SERTAO"</f>
        <v>SERTAO</v>
      </c>
      <c r="B5274" s="3" t="str">
        <f>"RS"</f>
        <v>RS</v>
      </c>
      <c r="C5274" s="3" t="str">
        <f t="shared" si="196"/>
        <v>BRASIL</v>
      </c>
      <c r="D5274" s="4" t="str">
        <f>"RS429"</f>
        <v>RS429</v>
      </c>
    </row>
    <row r="5275" spans="1:4" x14ac:dyDescent="0.3">
      <c r="A5275" s="2" t="str">
        <f>"SERTAO SANTANA"</f>
        <v>SERTAO SANTANA</v>
      </c>
      <c r="B5275" s="3" t="str">
        <f>"RS"</f>
        <v>RS</v>
      </c>
      <c r="C5275" s="3" t="str">
        <f t="shared" si="196"/>
        <v>BRASIL</v>
      </c>
      <c r="D5275" s="4" t="str">
        <f>"RS430"</f>
        <v>RS430</v>
      </c>
    </row>
    <row r="5276" spans="1:4" x14ac:dyDescent="0.3">
      <c r="A5276" s="2" t="str">
        <f>"SERTAOZINHO"</f>
        <v>SERTAOZINHO</v>
      </c>
      <c r="B5276" s="3" t="str">
        <f>"PB"</f>
        <v>PB</v>
      </c>
      <c r="C5276" s="3" t="str">
        <f t="shared" si="196"/>
        <v>BRASIL</v>
      </c>
      <c r="D5276" s="4" t="str">
        <f>"PB206"</f>
        <v>PB206</v>
      </c>
    </row>
    <row r="5277" spans="1:4" x14ac:dyDescent="0.3">
      <c r="A5277" s="2" t="str">
        <f>"SERTAOZINHO"</f>
        <v>SERTAOZINHO</v>
      </c>
      <c r="B5277" s="3" t="str">
        <f>"SP"</f>
        <v>SP</v>
      </c>
      <c r="C5277" s="3" t="str">
        <f t="shared" si="196"/>
        <v>BRASIL</v>
      </c>
      <c r="D5277" s="4" t="str">
        <f>"SP577"</f>
        <v>SP577</v>
      </c>
    </row>
    <row r="5278" spans="1:4" x14ac:dyDescent="0.3">
      <c r="A5278" s="2" t="str">
        <f>"SETE BARRAS"</f>
        <v>SETE BARRAS</v>
      </c>
      <c r="B5278" s="3" t="str">
        <f>"SP"</f>
        <v>SP</v>
      </c>
      <c r="C5278" s="3" t="str">
        <f t="shared" si="196"/>
        <v>BRASIL</v>
      </c>
      <c r="D5278" s="4" t="str">
        <f>"SP578"</f>
        <v>SP578</v>
      </c>
    </row>
    <row r="5279" spans="1:4" x14ac:dyDescent="0.3">
      <c r="A5279" s="2" t="str">
        <f>"SETE DE SETEMBRO"</f>
        <v>SETE DE SETEMBRO</v>
      </c>
      <c r="B5279" s="3" t="str">
        <f>"RS"</f>
        <v>RS</v>
      </c>
      <c r="C5279" s="3" t="str">
        <f t="shared" si="196"/>
        <v>BRASIL</v>
      </c>
      <c r="D5279" s="4" t="str">
        <f>"RS431"</f>
        <v>RS431</v>
      </c>
    </row>
    <row r="5280" spans="1:4" x14ac:dyDescent="0.3">
      <c r="A5280" s="2" t="str">
        <f>"SETE LAGOAS"</f>
        <v>SETE LAGOAS</v>
      </c>
      <c r="B5280" s="3" t="str">
        <f>"MG"</f>
        <v>MG</v>
      </c>
      <c r="C5280" s="3" t="str">
        <f t="shared" si="196"/>
        <v>BRASIL</v>
      </c>
      <c r="D5280" s="4" t="str">
        <f>"MG790"</f>
        <v>MG790</v>
      </c>
    </row>
    <row r="5281" spans="1:4" x14ac:dyDescent="0.3">
      <c r="A5281" s="2" t="str">
        <f>"SETE QUEDAS"</f>
        <v>SETE QUEDAS</v>
      </c>
      <c r="B5281" s="3" t="str">
        <f>"MS"</f>
        <v>MS</v>
      </c>
      <c r="C5281" s="3" t="str">
        <f t="shared" si="196"/>
        <v>BRASIL</v>
      </c>
      <c r="D5281" s="4" t="str">
        <f>"MS070"</f>
        <v>MS070</v>
      </c>
    </row>
    <row r="5282" spans="1:4" x14ac:dyDescent="0.3">
      <c r="A5282" s="2" t="str">
        <f>"SETUBINHA"</f>
        <v>SETUBINHA</v>
      </c>
      <c r="B5282" s="3" t="str">
        <f>"MG"</f>
        <v>MG</v>
      </c>
      <c r="C5282" s="3" t="str">
        <f t="shared" si="196"/>
        <v>BRASIL</v>
      </c>
      <c r="D5282" s="4" t="str">
        <f>"MG770"</f>
        <v>MG770</v>
      </c>
    </row>
    <row r="5283" spans="1:4" x14ac:dyDescent="0.3">
      <c r="A5283" s="2" t="str">
        <f>"SEVERIANO DE ALMEIDA"</f>
        <v>SEVERIANO DE ALMEIDA</v>
      </c>
      <c r="B5283" s="3" t="str">
        <f>"RS"</f>
        <v>RS</v>
      </c>
      <c r="C5283" s="3" t="str">
        <f t="shared" si="196"/>
        <v>BRASIL</v>
      </c>
      <c r="D5283" s="4" t="str">
        <f>"RS432"</f>
        <v>RS432</v>
      </c>
    </row>
    <row r="5284" spans="1:4" x14ac:dyDescent="0.3">
      <c r="A5284" s="2" t="str">
        <f>"SEVERIANO MELO"</f>
        <v>SEVERIANO MELO</v>
      </c>
      <c r="B5284" s="3" t="str">
        <f>"RN"</f>
        <v>RN</v>
      </c>
      <c r="C5284" s="3" t="str">
        <f t="shared" si="196"/>
        <v>BRASIL</v>
      </c>
      <c r="D5284" s="4" t="str">
        <f>"RN150"</f>
        <v>RN150</v>
      </c>
    </row>
    <row r="5285" spans="1:4" x14ac:dyDescent="0.3">
      <c r="A5285" s="2" t="str">
        <f>"SEVERINIA"</f>
        <v>SEVERINIA</v>
      </c>
      <c r="B5285" s="3" t="str">
        <f>"SP"</f>
        <v>SP</v>
      </c>
      <c r="C5285" s="3" t="str">
        <f t="shared" si="196"/>
        <v>BRASIL</v>
      </c>
      <c r="D5285" s="4" t="str">
        <f>"SP579"</f>
        <v>SP579</v>
      </c>
    </row>
    <row r="5286" spans="1:4" x14ac:dyDescent="0.3">
      <c r="A5286" s="2" t="str">
        <f>"SHANDONG"</f>
        <v>SHANDONG</v>
      </c>
      <c r="B5286" s="3" t="str">
        <f t="shared" ref="B5286:B5291" si="197">"EX"</f>
        <v>EX</v>
      </c>
      <c r="C5286" s="3" t="str">
        <f>"CHINA"</f>
        <v>CHINA</v>
      </c>
      <c r="D5286" s="4" t="str">
        <f>"SHAND"</f>
        <v>SHAND</v>
      </c>
    </row>
    <row r="5287" spans="1:4" x14ac:dyDescent="0.3">
      <c r="A5287" s="2" t="str">
        <f>"SHANGHAI"</f>
        <v>SHANGHAI</v>
      </c>
      <c r="B5287" s="3" t="str">
        <f t="shared" si="197"/>
        <v>EX</v>
      </c>
      <c r="C5287" s="3" t="str">
        <f>"CHINA"</f>
        <v>CHINA</v>
      </c>
      <c r="D5287" s="4" t="str">
        <f>"SHANG"</f>
        <v>SHANG</v>
      </c>
    </row>
    <row r="5288" spans="1:4" x14ac:dyDescent="0.3">
      <c r="A5288" s="2" t="str">
        <f>"SHIZUOKA"</f>
        <v>SHIZUOKA</v>
      </c>
      <c r="B5288" s="3" t="str">
        <f t="shared" si="197"/>
        <v>EX</v>
      </c>
      <c r="C5288" s="3" t="str">
        <f>"JAPAO"</f>
        <v>JAPAO</v>
      </c>
      <c r="D5288" s="4" t="str">
        <f>"SHIZU"</f>
        <v>SHIZU</v>
      </c>
    </row>
    <row r="5289" spans="1:4" x14ac:dyDescent="0.3">
      <c r="A5289" s="2" t="str">
        <f>"SHOUGUANG CITY"</f>
        <v>SHOUGUANG CITY</v>
      </c>
      <c r="B5289" s="3" t="str">
        <f t="shared" si="197"/>
        <v>EX</v>
      </c>
      <c r="C5289" s="3" t="str">
        <f>"CHINA"</f>
        <v>CHINA</v>
      </c>
      <c r="D5289" s="4" t="str">
        <f>"SHOU"</f>
        <v>SHOU</v>
      </c>
    </row>
    <row r="5290" spans="1:4" x14ac:dyDescent="0.3">
      <c r="A5290" s="2" t="str">
        <f>"SI HUI"</f>
        <v>SI HUI</v>
      </c>
      <c r="B5290" s="3" t="str">
        <f t="shared" si="197"/>
        <v>EX</v>
      </c>
      <c r="C5290" s="3" t="str">
        <f>"CHINA"</f>
        <v>CHINA</v>
      </c>
      <c r="D5290" s="4" t="str">
        <f>"SI HU"</f>
        <v>SI HU</v>
      </c>
    </row>
    <row r="5291" spans="1:4" x14ac:dyDescent="0.3">
      <c r="A5291" s="2" t="str">
        <f>"SICHUAN"</f>
        <v>SICHUAN</v>
      </c>
      <c r="B5291" s="3" t="str">
        <f t="shared" si="197"/>
        <v>EX</v>
      </c>
      <c r="C5291" s="3" t="str">
        <f>"CHINA"</f>
        <v>CHINA</v>
      </c>
      <c r="D5291" s="4" t="str">
        <f>"SICHU"</f>
        <v>SICHU</v>
      </c>
    </row>
    <row r="5292" spans="1:4" x14ac:dyDescent="0.3">
      <c r="A5292" s="2" t="str">
        <f>"SIDEROPOLIS"</f>
        <v>SIDEROPOLIS</v>
      </c>
      <c r="B5292" s="3" t="str">
        <f>"SC"</f>
        <v>SC</v>
      </c>
      <c r="C5292" s="3" t="str">
        <f t="shared" ref="C5292:C5323" si="198">"BRASIL"</f>
        <v>BRASIL</v>
      </c>
      <c r="D5292" s="4" t="str">
        <f>"SC261"</f>
        <v>SC261</v>
      </c>
    </row>
    <row r="5293" spans="1:4" x14ac:dyDescent="0.3">
      <c r="A5293" s="2" t="str">
        <f>"SIDROLANDIA"</f>
        <v>SIDROLANDIA</v>
      </c>
      <c r="B5293" s="3" t="str">
        <f>"MS"</f>
        <v>MS</v>
      </c>
      <c r="C5293" s="3" t="str">
        <f t="shared" si="198"/>
        <v>BRASIL</v>
      </c>
      <c r="D5293" s="4" t="str">
        <f>"MS072"</f>
        <v>MS072</v>
      </c>
    </row>
    <row r="5294" spans="1:4" x14ac:dyDescent="0.3">
      <c r="A5294" s="2" t="str">
        <f>"SIGEFREDO PACHECO"</f>
        <v>SIGEFREDO PACHECO</v>
      </c>
      <c r="B5294" s="3" t="str">
        <f>"PI"</f>
        <v>PI</v>
      </c>
      <c r="C5294" s="3" t="str">
        <f t="shared" si="198"/>
        <v>BRASIL</v>
      </c>
      <c r="D5294" s="4" t="str">
        <f>"PI208"</f>
        <v>PI208</v>
      </c>
    </row>
    <row r="5295" spans="1:4" x14ac:dyDescent="0.3">
      <c r="A5295" s="2" t="str">
        <f>"SILVA JARDIM"</f>
        <v>SILVA JARDIM</v>
      </c>
      <c r="B5295" s="3" t="str">
        <f>"RJ"</f>
        <v>RJ</v>
      </c>
      <c r="C5295" s="3" t="str">
        <f t="shared" si="198"/>
        <v>BRASIL</v>
      </c>
      <c r="D5295" s="4" t="str">
        <f>"RJ083"</f>
        <v>RJ083</v>
      </c>
    </row>
    <row r="5296" spans="1:4" x14ac:dyDescent="0.3">
      <c r="A5296" s="2" t="str">
        <f>"SILVANIA"</f>
        <v>SILVANIA</v>
      </c>
      <c r="B5296" s="3" t="str">
        <f>"GO"</f>
        <v>GO</v>
      </c>
      <c r="C5296" s="3" t="str">
        <f t="shared" si="198"/>
        <v>BRASIL</v>
      </c>
      <c r="D5296" s="4" t="str">
        <f>"GO226"</f>
        <v>GO226</v>
      </c>
    </row>
    <row r="5297" spans="1:4" x14ac:dyDescent="0.3">
      <c r="A5297" s="2" t="str">
        <f>"SILVANOPOLIS"</f>
        <v>SILVANOPOLIS</v>
      </c>
      <c r="B5297" s="3" t="str">
        <f>"TO"</f>
        <v>TO</v>
      </c>
      <c r="C5297" s="3" t="str">
        <f t="shared" si="198"/>
        <v>BRASIL</v>
      </c>
      <c r="D5297" s="4" t="str">
        <f>"TO127"</f>
        <v>TO127</v>
      </c>
    </row>
    <row r="5298" spans="1:4" x14ac:dyDescent="0.3">
      <c r="A5298" s="2" t="str">
        <f>"SILVEIRA MARTINS"</f>
        <v>SILVEIRA MARTINS</v>
      </c>
      <c r="B5298" s="3" t="str">
        <f>"RS"</f>
        <v>RS</v>
      </c>
      <c r="C5298" s="3" t="str">
        <f t="shared" si="198"/>
        <v>BRASIL</v>
      </c>
      <c r="D5298" s="4" t="str">
        <f>"RS433"</f>
        <v>RS433</v>
      </c>
    </row>
    <row r="5299" spans="1:4" x14ac:dyDescent="0.3">
      <c r="A5299" s="2" t="str">
        <f>"SILVEIRANIA"</f>
        <v>SILVEIRANIA</v>
      </c>
      <c r="B5299" s="3" t="str">
        <f>"MG"</f>
        <v>MG</v>
      </c>
      <c r="C5299" s="3" t="str">
        <f t="shared" si="198"/>
        <v>BRASIL</v>
      </c>
      <c r="D5299" s="4" t="str">
        <f>"MG791"</f>
        <v>MG791</v>
      </c>
    </row>
    <row r="5300" spans="1:4" x14ac:dyDescent="0.3">
      <c r="A5300" s="2" t="str">
        <f>"SILVEIRAS"</f>
        <v>SILVEIRAS</v>
      </c>
      <c r="B5300" s="3" t="str">
        <f>"SP"</f>
        <v>SP</v>
      </c>
      <c r="C5300" s="3" t="str">
        <f t="shared" si="198"/>
        <v>BRASIL</v>
      </c>
      <c r="D5300" s="4" t="str">
        <f>"SP580"</f>
        <v>SP580</v>
      </c>
    </row>
    <row r="5301" spans="1:4" x14ac:dyDescent="0.3">
      <c r="A5301" s="2" t="str">
        <f>"SILVES"</f>
        <v>SILVES</v>
      </c>
      <c r="B5301" s="3" t="str">
        <f>"AM"</f>
        <v>AM</v>
      </c>
      <c r="C5301" s="3" t="str">
        <f t="shared" si="198"/>
        <v>BRASIL</v>
      </c>
      <c r="D5301" s="4" t="str">
        <f>"AM055"</f>
        <v>AM055</v>
      </c>
    </row>
    <row r="5302" spans="1:4" x14ac:dyDescent="0.3">
      <c r="A5302" s="2" t="str">
        <f>"SILVIANOPOLIS"</f>
        <v>SILVIANOPOLIS</v>
      </c>
      <c r="B5302" s="3" t="str">
        <f>"MG"</f>
        <v>MG</v>
      </c>
      <c r="C5302" s="3" t="str">
        <f t="shared" si="198"/>
        <v>BRASIL</v>
      </c>
      <c r="D5302" s="4" t="str">
        <f>"MG792"</f>
        <v>MG792</v>
      </c>
    </row>
    <row r="5303" spans="1:4" x14ac:dyDescent="0.3">
      <c r="A5303" s="2" t="str">
        <f>"SIMAO DIAS"</f>
        <v>SIMAO DIAS</v>
      </c>
      <c r="B5303" s="3" t="str">
        <f>"SE"</f>
        <v>SE</v>
      </c>
      <c r="C5303" s="3" t="str">
        <f t="shared" si="198"/>
        <v>BRASIL</v>
      </c>
      <c r="D5303" s="4" t="str">
        <f>"SE070"</f>
        <v>SE070</v>
      </c>
    </row>
    <row r="5304" spans="1:4" x14ac:dyDescent="0.3">
      <c r="A5304" s="2" t="str">
        <f>"SIMAO PEREIRA"</f>
        <v>SIMAO PEREIRA</v>
      </c>
      <c r="B5304" s="3" t="str">
        <f>"MG"</f>
        <v>MG</v>
      </c>
      <c r="C5304" s="3" t="str">
        <f t="shared" si="198"/>
        <v>BRASIL</v>
      </c>
      <c r="D5304" s="4" t="str">
        <f>"MG793"</f>
        <v>MG793</v>
      </c>
    </row>
    <row r="5305" spans="1:4" x14ac:dyDescent="0.3">
      <c r="A5305" s="2" t="str">
        <f>"SIMÕES"</f>
        <v>SIMÕES</v>
      </c>
      <c r="B5305" s="3" t="str">
        <f>"PI"</f>
        <v>PI</v>
      </c>
      <c r="C5305" s="3" t="str">
        <f t="shared" si="198"/>
        <v>BRASIL</v>
      </c>
      <c r="D5305" s="4" t="str">
        <f>"PI209"</f>
        <v>PI209</v>
      </c>
    </row>
    <row r="5306" spans="1:4" x14ac:dyDescent="0.3">
      <c r="A5306" s="2" t="str">
        <f>"SIMÕES FILHO"</f>
        <v>SIMÕES FILHO</v>
      </c>
      <c r="B5306" s="3" t="str">
        <f>"BA"</f>
        <v>BA</v>
      </c>
      <c r="C5306" s="3" t="str">
        <f t="shared" si="198"/>
        <v>BRASIL</v>
      </c>
      <c r="D5306" s="4" t="str">
        <f>"BA377"</f>
        <v>BA377</v>
      </c>
    </row>
    <row r="5307" spans="1:4" x14ac:dyDescent="0.3">
      <c r="A5307" s="2" t="str">
        <f>"SIMOLANDIA"</f>
        <v>SIMOLANDIA</v>
      </c>
      <c r="B5307" s="3" t="str">
        <f>"GO"</f>
        <v>GO</v>
      </c>
      <c r="C5307" s="3" t="str">
        <f t="shared" si="198"/>
        <v>BRASIL</v>
      </c>
      <c r="D5307" s="4" t="str">
        <f>"GO227"</f>
        <v>GO227</v>
      </c>
    </row>
    <row r="5308" spans="1:4" x14ac:dyDescent="0.3">
      <c r="A5308" s="2" t="str">
        <f>"SIMONESIA"</f>
        <v>SIMONESIA</v>
      </c>
      <c r="B5308" s="3" t="str">
        <f>"MG"</f>
        <v>MG</v>
      </c>
      <c r="C5308" s="3" t="str">
        <f t="shared" si="198"/>
        <v>BRASIL</v>
      </c>
      <c r="D5308" s="4" t="str">
        <f>"MG794"</f>
        <v>MG794</v>
      </c>
    </row>
    <row r="5309" spans="1:4" x14ac:dyDescent="0.3">
      <c r="A5309" s="2" t="str">
        <f>"SIMPLICIO MENDES"</f>
        <v>SIMPLICIO MENDES</v>
      </c>
      <c r="B5309" s="3" t="str">
        <f>"PI"</f>
        <v>PI</v>
      </c>
      <c r="C5309" s="3" t="str">
        <f t="shared" si="198"/>
        <v>BRASIL</v>
      </c>
      <c r="D5309" s="4" t="str">
        <f>"PI210"</f>
        <v>PI210</v>
      </c>
    </row>
    <row r="5310" spans="1:4" x14ac:dyDescent="0.3">
      <c r="A5310" s="2" t="str">
        <f>"SINIMBU"</f>
        <v>SINIMBU</v>
      </c>
      <c r="B5310" s="3" t="str">
        <f>"RS"</f>
        <v>RS</v>
      </c>
      <c r="C5310" s="3" t="str">
        <f t="shared" si="198"/>
        <v>BRASIL</v>
      </c>
      <c r="D5310" s="4" t="str">
        <f>"RS434"</f>
        <v>RS434</v>
      </c>
    </row>
    <row r="5311" spans="1:4" x14ac:dyDescent="0.3">
      <c r="A5311" s="2" t="str">
        <f>"SINOP"</f>
        <v>SINOP</v>
      </c>
      <c r="B5311" s="3" t="str">
        <f>"MT"</f>
        <v>MT</v>
      </c>
      <c r="C5311" s="3" t="str">
        <f t="shared" si="198"/>
        <v>BRASIL</v>
      </c>
      <c r="D5311" s="4" t="str">
        <f>"MT125"</f>
        <v>MT125</v>
      </c>
    </row>
    <row r="5312" spans="1:4" x14ac:dyDescent="0.3">
      <c r="A5312" s="2" t="str">
        <f>"SIQUEIRA CAMPOS"</f>
        <v>SIQUEIRA CAMPOS</v>
      </c>
      <c r="B5312" s="3" t="str">
        <f>"PR"</f>
        <v>PR</v>
      </c>
      <c r="C5312" s="3" t="str">
        <f t="shared" si="198"/>
        <v>BRASIL</v>
      </c>
      <c r="D5312" s="4" t="str">
        <f>"PR366"</f>
        <v>PR366</v>
      </c>
    </row>
    <row r="5313" spans="1:4" x14ac:dyDescent="0.3">
      <c r="A5313" s="2" t="str">
        <f>"SIRINHAEM"</f>
        <v>SIRINHAEM</v>
      </c>
      <c r="B5313" s="3" t="str">
        <f>"PE"</f>
        <v>PE</v>
      </c>
      <c r="C5313" s="3" t="str">
        <f t="shared" si="198"/>
        <v>BRASIL</v>
      </c>
      <c r="D5313" s="4" t="str">
        <f>"PE161"</f>
        <v>PE161</v>
      </c>
    </row>
    <row r="5314" spans="1:4" x14ac:dyDescent="0.3">
      <c r="A5314" s="2" t="str">
        <f>"SIRIRI"</f>
        <v>SIRIRI</v>
      </c>
      <c r="B5314" s="3" t="str">
        <f>"SE"</f>
        <v>SE</v>
      </c>
      <c r="C5314" s="3" t="str">
        <f t="shared" si="198"/>
        <v>BRASIL</v>
      </c>
      <c r="D5314" s="4" t="str">
        <f>"SE071"</f>
        <v>SE071</v>
      </c>
    </row>
    <row r="5315" spans="1:4" x14ac:dyDescent="0.3">
      <c r="A5315" s="2" t="str">
        <f>"SITIO D'ABADIA"</f>
        <v>SITIO D'ABADIA</v>
      </c>
      <c r="B5315" s="3" t="str">
        <f>"GO"</f>
        <v>GO</v>
      </c>
      <c r="C5315" s="3" t="str">
        <f t="shared" si="198"/>
        <v>BRASIL</v>
      </c>
      <c r="D5315" s="4" t="str">
        <f>"GO228"</f>
        <v>GO228</v>
      </c>
    </row>
    <row r="5316" spans="1:4" x14ac:dyDescent="0.3">
      <c r="A5316" s="2" t="str">
        <f>"SITIO DO MATO"</f>
        <v>SITIO DO MATO</v>
      </c>
      <c r="B5316" s="3" t="str">
        <f>"BA"</f>
        <v>BA</v>
      </c>
      <c r="C5316" s="3" t="str">
        <f t="shared" si="198"/>
        <v>BRASIL</v>
      </c>
      <c r="D5316" s="4" t="str">
        <f>"BA378"</f>
        <v>BA378</v>
      </c>
    </row>
    <row r="5317" spans="1:4" x14ac:dyDescent="0.3">
      <c r="A5317" s="2" t="str">
        <f>"SITIO DO QUINTO"</f>
        <v>SITIO DO QUINTO</v>
      </c>
      <c r="B5317" s="3" t="str">
        <f>"BA"</f>
        <v>BA</v>
      </c>
      <c r="C5317" s="3" t="str">
        <f t="shared" si="198"/>
        <v>BRASIL</v>
      </c>
      <c r="D5317" s="4" t="str">
        <f>"BA379"</f>
        <v>BA379</v>
      </c>
    </row>
    <row r="5318" spans="1:4" x14ac:dyDescent="0.3">
      <c r="A5318" s="2" t="str">
        <f>"SITIO NOVO"</f>
        <v>SITIO NOVO</v>
      </c>
      <c r="B5318" s="3" t="str">
        <f>"MA"</f>
        <v>MA</v>
      </c>
      <c r="C5318" s="3" t="str">
        <f t="shared" si="198"/>
        <v>BRASIL</v>
      </c>
      <c r="D5318" s="4" t="str">
        <f>"MA199"</f>
        <v>MA199</v>
      </c>
    </row>
    <row r="5319" spans="1:4" x14ac:dyDescent="0.3">
      <c r="A5319" s="2" t="str">
        <f>"SITIO NOVO"</f>
        <v>SITIO NOVO</v>
      </c>
      <c r="B5319" s="3" t="str">
        <f>"RN"</f>
        <v>RN</v>
      </c>
      <c r="C5319" s="3" t="str">
        <f t="shared" si="198"/>
        <v>BRASIL</v>
      </c>
      <c r="D5319" s="4" t="str">
        <f>"RN151"</f>
        <v>RN151</v>
      </c>
    </row>
    <row r="5320" spans="1:4" x14ac:dyDescent="0.3">
      <c r="A5320" s="2" t="str">
        <f>"SITIO NOVO DO TOCANTINS"</f>
        <v>SITIO NOVO DO TOCANTINS</v>
      </c>
      <c r="B5320" s="3" t="str">
        <f>"TO"</f>
        <v>TO</v>
      </c>
      <c r="C5320" s="3" t="str">
        <f t="shared" si="198"/>
        <v>BRASIL</v>
      </c>
      <c r="D5320" s="4" t="str">
        <f>"TO128"</f>
        <v>TO128</v>
      </c>
    </row>
    <row r="5321" spans="1:4" x14ac:dyDescent="0.3">
      <c r="A5321" s="2" t="str">
        <f>"SOBRADINHO"</f>
        <v>SOBRADINHO</v>
      </c>
      <c r="B5321" s="3" t="str">
        <f>"BA"</f>
        <v>BA</v>
      </c>
      <c r="C5321" s="3" t="str">
        <f t="shared" si="198"/>
        <v>BRASIL</v>
      </c>
      <c r="D5321" s="4" t="str">
        <f>"BA380"</f>
        <v>BA380</v>
      </c>
    </row>
    <row r="5322" spans="1:4" x14ac:dyDescent="0.3">
      <c r="A5322" s="2" t="str">
        <f>"SOBRADINHO"</f>
        <v>SOBRADINHO</v>
      </c>
      <c r="B5322" s="3" t="str">
        <f>"RS"</f>
        <v>RS</v>
      </c>
      <c r="C5322" s="3" t="str">
        <f t="shared" si="198"/>
        <v>BRASIL</v>
      </c>
      <c r="D5322" s="4" t="str">
        <f>"RS435"</f>
        <v>RS435</v>
      </c>
    </row>
    <row r="5323" spans="1:4" x14ac:dyDescent="0.3">
      <c r="A5323" s="2" t="str">
        <f>"SOBRADO"</f>
        <v>SOBRADO</v>
      </c>
      <c r="B5323" s="3" t="str">
        <f>"PB"</f>
        <v>PB</v>
      </c>
      <c r="C5323" s="3" t="str">
        <f t="shared" si="198"/>
        <v>BRASIL</v>
      </c>
      <c r="D5323" s="4" t="str">
        <f>"PB207"</f>
        <v>PB207</v>
      </c>
    </row>
    <row r="5324" spans="1:4" x14ac:dyDescent="0.3">
      <c r="A5324" s="2" t="str">
        <f>"SOBRAL"</f>
        <v>SOBRAL</v>
      </c>
      <c r="B5324" s="3" t="str">
        <f>"CE"</f>
        <v>CE</v>
      </c>
      <c r="C5324" s="3" t="str">
        <f t="shared" ref="C5324:C5342" si="199">"BRASIL"</f>
        <v>BRASIL</v>
      </c>
      <c r="D5324" s="4" t="str">
        <f>"CE167"</f>
        <v>CE167</v>
      </c>
    </row>
    <row r="5325" spans="1:4" x14ac:dyDescent="0.3">
      <c r="A5325" s="2" t="str">
        <f>"SOBRALIA"</f>
        <v>SOBRALIA</v>
      </c>
      <c r="B5325" s="3" t="str">
        <f>"MG"</f>
        <v>MG</v>
      </c>
      <c r="C5325" s="3" t="str">
        <f t="shared" si="199"/>
        <v>BRASIL</v>
      </c>
      <c r="D5325" s="4" t="str">
        <f>"MG795"</f>
        <v>MG795</v>
      </c>
    </row>
    <row r="5326" spans="1:4" x14ac:dyDescent="0.3">
      <c r="A5326" s="2" t="str">
        <f>"SOCORRO"</f>
        <v>SOCORRO</v>
      </c>
      <c r="B5326" s="3" t="str">
        <f>"SP"</f>
        <v>SP</v>
      </c>
      <c r="C5326" s="3" t="str">
        <f t="shared" si="199"/>
        <v>BRASIL</v>
      </c>
      <c r="D5326" s="4" t="str">
        <f>"SP581"</f>
        <v>SP581</v>
      </c>
    </row>
    <row r="5327" spans="1:4" x14ac:dyDescent="0.3">
      <c r="A5327" s="2" t="str">
        <f>"SOCORRO DO PIAUI"</f>
        <v>SOCORRO DO PIAUI</v>
      </c>
      <c r="B5327" s="3" t="str">
        <f>"PI"</f>
        <v>PI</v>
      </c>
      <c r="C5327" s="3" t="str">
        <f t="shared" si="199"/>
        <v>BRASIL</v>
      </c>
      <c r="D5327" s="4" t="str">
        <f>"PI211"</f>
        <v>PI211</v>
      </c>
    </row>
    <row r="5328" spans="1:4" x14ac:dyDescent="0.3">
      <c r="A5328" s="2" t="str">
        <f>"SOLANEA"</f>
        <v>SOLANEA</v>
      </c>
      <c r="B5328" s="3" t="str">
        <f>"PB"</f>
        <v>PB</v>
      </c>
      <c r="C5328" s="3" t="str">
        <f t="shared" si="199"/>
        <v>BRASIL</v>
      </c>
      <c r="D5328" s="4" t="str">
        <f>"PB208"</f>
        <v>PB208</v>
      </c>
    </row>
    <row r="5329" spans="1:4" x14ac:dyDescent="0.3">
      <c r="A5329" s="2" t="str">
        <f>"SOLEDADE"</f>
        <v>SOLEDADE</v>
      </c>
      <c r="B5329" s="3" t="str">
        <f>"PB"</f>
        <v>PB</v>
      </c>
      <c r="C5329" s="3" t="str">
        <f t="shared" si="199"/>
        <v>BRASIL</v>
      </c>
      <c r="D5329" s="4" t="str">
        <f>"PB209"</f>
        <v>PB209</v>
      </c>
    </row>
    <row r="5330" spans="1:4" x14ac:dyDescent="0.3">
      <c r="A5330" s="2" t="str">
        <f>"SOLEDADE"</f>
        <v>SOLEDADE</v>
      </c>
      <c r="B5330" s="3" t="str">
        <f>"RS"</f>
        <v>RS</v>
      </c>
      <c r="C5330" s="3" t="str">
        <f t="shared" si="199"/>
        <v>BRASIL</v>
      </c>
      <c r="D5330" s="4" t="str">
        <f>"RS436"</f>
        <v>RS436</v>
      </c>
    </row>
    <row r="5331" spans="1:4" x14ac:dyDescent="0.3">
      <c r="A5331" s="2" t="str">
        <f>"SOLEDADE DE MINAS"</f>
        <v>SOLEDADE DE MINAS</v>
      </c>
      <c r="B5331" s="3" t="str">
        <f>"MG"</f>
        <v>MG</v>
      </c>
      <c r="C5331" s="3" t="str">
        <f t="shared" si="199"/>
        <v>BRASIL</v>
      </c>
      <c r="D5331" s="4" t="str">
        <f>"MG796"</f>
        <v>MG796</v>
      </c>
    </row>
    <row r="5332" spans="1:4" x14ac:dyDescent="0.3">
      <c r="A5332" s="2" t="str">
        <f>"SOLIDAO"</f>
        <v>SOLIDAO</v>
      </c>
      <c r="B5332" s="3" t="str">
        <f>"PE"</f>
        <v>PE</v>
      </c>
      <c r="C5332" s="3" t="str">
        <f t="shared" si="199"/>
        <v>BRASIL</v>
      </c>
      <c r="D5332" s="4" t="str">
        <f>"PE163"</f>
        <v>PE163</v>
      </c>
    </row>
    <row r="5333" spans="1:4" x14ac:dyDescent="0.3">
      <c r="A5333" s="2" t="str">
        <f>"SOLONOPOLE"</f>
        <v>SOLONOPOLE</v>
      </c>
      <c r="B5333" s="3" t="str">
        <f>"CE"</f>
        <v>CE</v>
      </c>
      <c r="C5333" s="3" t="str">
        <f t="shared" si="199"/>
        <v>BRASIL</v>
      </c>
      <c r="D5333" s="4" t="str">
        <f>"CE168"</f>
        <v>CE168</v>
      </c>
    </row>
    <row r="5334" spans="1:4" x14ac:dyDescent="0.3">
      <c r="A5334" s="2" t="str">
        <f>"SOMBRIO"</f>
        <v>SOMBRIO</v>
      </c>
      <c r="B5334" s="3" t="str">
        <f>"SC"</f>
        <v>SC</v>
      </c>
      <c r="C5334" s="3" t="str">
        <f t="shared" si="199"/>
        <v>BRASIL</v>
      </c>
      <c r="D5334" s="4" t="str">
        <f>"SC262"</f>
        <v>SC262</v>
      </c>
    </row>
    <row r="5335" spans="1:4" x14ac:dyDescent="0.3">
      <c r="A5335" s="2" t="str">
        <f>"SONORA"</f>
        <v>SONORA</v>
      </c>
      <c r="B5335" s="3" t="str">
        <f>"MS"</f>
        <v>MS</v>
      </c>
      <c r="C5335" s="3" t="str">
        <f t="shared" si="199"/>
        <v>BRASIL</v>
      </c>
      <c r="D5335" s="4" t="str">
        <f>"MS073"</f>
        <v>MS073</v>
      </c>
    </row>
    <row r="5336" spans="1:4" x14ac:dyDescent="0.3">
      <c r="A5336" s="2" t="str">
        <f>"SOORETAMA"</f>
        <v>SOORETAMA</v>
      </c>
      <c r="B5336" s="3" t="str">
        <f>"ES"</f>
        <v>ES</v>
      </c>
      <c r="C5336" s="3" t="str">
        <f t="shared" si="199"/>
        <v>BRASIL</v>
      </c>
      <c r="D5336" s="4" t="str">
        <f>"ES071"</f>
        <v>ES071</v>
      </c>
    </row>
    <row r="5337" spans="1:4" x14ac:dyDescent="0.3">
      <c r="A5337" s="2" t="str">
        <f>"SOROCABA"</f>
        <v>SOROCABA</v>
      </c>
      <c r="B5337" s="3" t="str">
        <f>"SP"</f>
        <v>SP</v>
      </c>
      <c r="C5337" s="3" t="str">
        <f t="shared" si="199"/>
        <v>BRASIL</v>
      </c>
      <c r="D5337" s="4" t="str">
        <f>"SP582"</f>
        <v>SP582</v>
      </c>
    </row>
    <row r="5338" spans="1:4" x14ac:dyDescent="0.3">
      <c r="A5338" s="2" t="str">
        <f>"SORRISO"</f>
        <v>SORRISO</v>
      </c>
      <c r="B5338" s="3" t="str">
        <f>"MT"</f>
        <v>MT</v>
      </c>
      <c r="C5338" s="3" t="str">
        <f t="shared" si="199"/>
        <v>BRASIL</v>
      </c>
      <c r="D5338" s="4" t="str">
        <f>"MT126"</f>
        <v>MT126</v>
      </c>
    </row>
    <row r="5339" spans="1:4" x14ac:dyDescent="0.3">
      <c r="A5339" s="2" t="str">
        <f>"SOSSEGO"</f>
        <v>SOSSEGO</v>
      </c>
      <c r="B5339" s="3" t="str">
        <f>"PB"</f>
        <v>PB</v>
      </c>
      <c r="C5339" s="3" t="str">
        <f t="shared" si="199"/>
        <v>BRASIL</v>
      </c>
      <c r="D5339" s="4" t="str">
        <f>"PB210"</f>
        <v>PB210</v>
      </c>
    </row>
    <row r="5340" spans="1:4" x14ac:dyDescent="0.3">
      <c r="A5340" s="2" t="str">
        <f>"SOURE"</f>
        <v>SOURE</v>
      </c>
      <c r="B5340" s="3" t="str">
        <f>"PA"</f>
        <v>PA</v>
      </c>
      <c r="C5340" s="3" t="str">
        <f t="shared" si="199"/>
        <v>BRASIL</v>
      </c>
      <c r="D5340" s="4" t="str">
        <f>"PA129"</f>
        <v>PA129</v>
      </c>
    </row>
    <row r="5341" spans="1:4" x14ac:dyDescent="0.3">
      <c r="A5341" s="2" t="str">
        <f>"SOUSA"</f>
        <v>SOUSA</v>
      </c>
      <c r="B5341" s="3" t="str">
        <f>"PB"</f>
        <v>PB</v>
      </c>
      <c r="C5341" s="3" t="str">
        <f t="shared" si="199"/>
        <v>BRASIL</v>
      </c>
      <c r="D5341" s="4" t="str">
        <f>"PB211"</f>
        <v>PB211</v>
      </c>
    </row>
    <row r="5342" spans="1:4" x14ac:dyDescent="0.3">
      <c r="A5342" s="2" t="str">
        <f>"SOUTO SOARES"</f>
        <v>SOUTO SOARES</v>
      </c>
      <c r="B5342" s="3" t="str">
        <f>"BA"</f>
        <v>BA</v>
      </c>
      <c r="C5342" s="3" t="str">
        <f t="shared" si="199"/>
        <v>BRASIL</v>
      </c>
      <c r="D5342" s="4" t="str">
        <f>"BA381"</f>
        <v>BA381</v>
      </c>
    </row>
    <row r="5343" spans="1:4" x14ac:dyDescent="0.3">
      <c r="A5343" s="2" t="str">
        <f>"SPRINGFIELD"</f>
        <v>SPRINGFIELD</v>
      </c>
      <c r="B5343" s="3" t="str">
        <f>"EX"</f>
        <v>EX</v>
      </c>
      <c r="C5343" s="3" t="str">
        <f>"ESTADOS UNIDOS"</f>
        <v>ESTADOS UNIDOS</v>
      </c>
      <c r="D5343" s="4" t="str">
        <f>"SPRIN"</f>
        <v>SPRIN</v>
      </c>
    </row>
    <row r="5344" spans="1:4" x14ac:dyDescent="0.3">
      <c r="A5344" s="2" t="str">
        <f>"ST.VEIT/GLAN"</f>
        <v>ST.VEIT/GLAN</v>
      </c>
      <c r="B5344" s="3" t="str">
        <f>"AUT"</f>
        <v>AUT</v>
      </c>
      <c r="C5344" s="3" t="str">
        <f>"AUSTRIA"</f>
        <v>AUSTRIA</v>
      </c>
      <c r="D5344" s="4" t="str">
        <f>"STVG"</f>
        <v>STVG</v>
      </c>
    </row>
    <row r="5345" spans="1:4" x14ac:dyDescent="0.3">
      <c r="A5345" s="2" t="str">
        <f>"ST.VEIT/GLAN"</f>
        <v>ST.VEIT/GLAN</v>
      </c>
      <c r="B5345" s="3" t="str">
        <f>"EX"</f>
        <v>EX</v>
      </c>
      <c r="C5345" s="3" t="str">
        <f>"AUSTRIA"</f>
        <v>AUSTRIA</v>
      </c>
      <c r="D5345" s="4" t="str">
        <f>"ST.VE"</f>
        <v>ST.VE</v>
      </c>
    </row>
    <row r="5346" spans="1:4" x14ac:dyDescent="0.3">
      <c r="A5346" s="2" t="str">
        <f>"STAFFORD"</f>
        <v>STAFFORD</v>
      </c>
      <c r="B5346" s="3" t="str">
        <f>"EX"</f>
        <v>EX</v>
      </c>
      <c r="C5346" s="3" t="str">
        <f>"REINO UNIDO"</f>
        <v>REINO UNIDO</v>
      </c>
      <c r="D5346" s="4" t="str">
        <f>"STAFF"</f>
        <v>STAFF</v>
      </c>
    </row>
    <row r="5347" spans="1:4" x14ac:dyDescent="0.3">
      <c r="A5347" s="2" t="str">
        <f>"STAPELFELD"</f>
        <v>STAPELFELD</v>
      </c>
      <c r="B5347" s="3" t="str">
        <f>"EX"</f>
        <v>EX</v>
      </c>
      <c r="C5347" s="3" t="str">
        <f>"ALEMANHA"</f>
        <v>ALEMANHA</v>
      </c>
      <c r="D5347" s="4" t="str">
        <f>"STAPE"</f>
        <v>STAPE</v>
      </c>
    </row>
    <row r="5348" spans="1:4" x14ac:dyDescent="0.3">
      <c r="A5348" s="2" t="str">
        <f>"STOLLWERCKTRABE"</f>
        <v>STOLLWERCKTRABE</v>
      </c>
      <c r="B5348" s="3" t="str">
        <f>"EX"</f>
        <v>EX</v>
      </c>
      <c r="C5348" s="3" t="str">
        <f>"ALEMANHA"</f>
        <v>ALEMANHA</v>
      </c>
      <c r="D5348" s="4" t="str">
        <f>"STOLL"</f>
        <v>STOLL</v>
      </c>
    </row>
    <row r="5349" spans="1:4" x14ac:dyDescent="0.3">
      <c r="A5349" s="2" t="str">
        <f>"STRÁZOV"</f>
        <v>STRÁZOV</v>
      </c>
      <c r="B5349" s="3" t="str">
        <f>"EX"</f>
        <v>EX</v>
      </c>
      <c r="C5349" s="3" t="str">
        <f>"REPUBLICA TCHECA"</f>
        <v>REPUBLICA TCHECA</v>
      </c>
      <c r="D5349" s="4" t="str">
        <f>"STRAZ"</f>
        <v>STRAZ</v>
      </c>
    </row>
    <row r="5350" spans="1:4" x14ac:dyDescent="0.3">
      <c r="A5350" s="2" t="str">
        <f>"SUCUPIRA"</f>
        <v>SUCUPIRA</v>
      </c>
      <c r="B5350" s="3" t="str">
        <f>"TO"</f>
        <v>TO</v>
      </c>
      <c r="C5350" s="3" t="str">
        <f t="shared" ref="C5350:C5358" si="200">"BRASIL"</f>
        <v>BRASIL</v>
      </c>
      <c r="D5350" s="4" t="str">
        <f>"TO129"</f>
        <v>TO129</v>
      </c>
    </row>
    <row r="5351" spans="1:4" x14ac:dyDescent="0.3">
      <c r="A5351" s="2" t="str">
        <f>"SUCUPIRA DO NORTE"</f>
        <v>SUCUPIRA DO NORTE</v>
      </c>
      <c r="B5351" s="3" t="str">
        <f>"MA"</f>
        <v>MA</v>
      </c>
      <c r="C5351" s="3" t="str">
        <f t="shared" si="200"/>
        <v>BRASIL</v>
      </c>
      <c r="D5351" s="4" t="str">
        <f>"MA200"</f>
        <v>MA200</v>
      </c>
    </row>
    <row r="5352" spans="1:4" x14ac:dyDescent="0.3">
      <c r="A5352" s="2" t="str">
        <f>"SUCUPIRA DO RIACHAO"</f>
        <v>SUCUPIRA DO RIACHAO</v>
      </c>
      <c r="B5352" s="3" t="str">
        <f>"MA"</f>
        <v>MA</v>
      </c>
      <c r="C5352" s="3" t="str">
        <f t="shared" si="200"/>
        <v>BRASIL</v>
      </c>
      <c r="D5352" s="4" t="str">
        <f>"MA201"</f>
        <v>MA201</v>
      </c>
    </row>
    <row r="5353" spans="1:4" x14ac:dyDescent="0.3">
      <c r="A5353" s="2" t="str">
        <f>"SUD MENNUCCI"</f>
        <v>SUD MENNUCCI</v>
      </c>
      <c r="B5353" s="3" t="str">
        <f>"SP"</f>
        <v>SP</v>
      </c>
      <c r="C5353" s="3" t="str">
        <f t="shared" si="200"/>
        <v>BRASIL</v>
      </c>
      <c r="D5353" s="4" t="str">
        <f>"SP583"</f>
        <v>SP583</v>
      </c>
    </row>
    <row r="5354" spans="1:4" x14ac:dyDescent="0.3">
      <c r="A5354" s="2" t="str">
        <f>"SUL BRASIL"</f>
        <v>SUL BRASIL</v>
      </c>
      <c r="B5354" s="3" t="str">
        <f>"SC"</f>
        <v>SC</v>
      </c>
      <c r="C5354" s="3" t="str">
        <f t="shared" si="200"/>
        <v>BRASIL</v>
      </c>
      <c r="D5354" s="4" t="str">
        <f>"SC263"</f>
        <v>SC263</v>
      </c>
    </row>
    <row r="5355" spans="1:4" x14ac:dyDescent="0.3">
      <c r="A5355" s="2" t="str">
        <f>"SULINA"</f>
        <v>SULINA</v>
      </c>
      <c r="B5355" s="3" t="str">
        <f>"PR"</f>
        <v>PR</v>
      </c>
      <c r="C5355" s="3" t="str">
        <f t="shared" si="200"/>
        <v>BRASIL</v>
      </c>
      <c r="D5355" s="4" t="str">
        <f>"PR367"</f>
        <v>PR367</v>
      </c>
    </row>
    <row r="5356" spans="1:4" x14ac:dyDescent="0.3">
      <c r="A5356" s="2" t="str">
        <f>"SUMARE"</f>
        <v>SUMARE</v>
      </c>
      <c r="B5356" s="3" t="str">
        <f>"SP"</f>
        <v>SP</v>
      </c>
      <c r="C5356" s="3" t="str">
        <f t="shared" si="200"/>
        <v>BRASIL</v>
      </c>
      <c r="D5356" s="4" t="str">
        <f>"SP584"</f>
        <v>SP584</v>
      </c>
    </row>
    <row r="5357" spans="1:4" x14ac:dyDescent="0.3">
      <c r="A5357" s="2" t="str">
        <f>"SUME"</f>
        <v>SUME</v>
      </c>
      <c r="B5357" s="3" t="str">
        <f>"PB"</f>
        <v>PB</v>
      </c>
      <c r="C5357" s="3" t="str">
        <f t="shared" si="200"/>
        <v>BRASIL</v>
      </c>
      <c r="D5357" s="4" t="str">
        <f>"PB212"</f>
        <v>PB212</v>
      </c>
    </row>
    <row r="5358" spans="1:4" x14ac:dyDescent="0.3">
      <c r="A5358" s="2" t="str">
        <f>"SUMIDOURO"</f>
        <v>SUMIDOURO</v>
      </c>
      <c r="B5358" s="3" t="str">
        <f>"RJ"</f>
        <v>RJ</v>
      </c>
      <c r="C5358" s="3" t="str">
        <f t="shared" si="200"/>
        <v>BRASIL</v>
      </c>
      <c r="D5358" s="4" t="str">
        <f>"RJ084"</f>
        <v>RJ084</v>
      </c>
    </row>
    <row r="5359" spans="1:4" x14ac:dyDescent="0.3">
      <c r="A5359" s="2" t="str">
        <f>"SUNDSVALL"</f>
        <v>SUNDSVALL</v>
      </c>
      <c r="B5359" s="3" t="str">
        <f>"SUE"</f>
        <v>SUE</v>
      </c>
      <c r="C5359" s="3" t="str">
        <f>"SUECIA"</f>
        <v>SUECIA</v>
      </c>
      <c r="D5359" s="4" t="str">
        <f>"SDV"</f>
        <v>SDV</v>
      </c>
    </row>
    <row r="5360" spans="1:4" x14ac:dyDescent="0.3">
      <c r="A5360" s="2" t="str">
        <f>"SUNNY ISLES"</f>
        <v>SUNNY ISLES</v>
      </c>
      <c r="B5360" s="3" t="str">
        <f>"EX"</f>
        <v>EX</v>
      </c>
      <c r="C5360" s="3" t="str">
        <f>"ESTADOS UNIDOS"</f>
        <v>ESTADOS UNIDOS</v>
      </c>
      <c r="D5360" s="4" t="str">
        <f>"SUNNY"</f>
        <v>SUNNY</v>
      </c>
    </row>
    <row r="5361" spans="1:4" x14ac:dyDescent="0.3">
      <c r="A5361" s="2" t="str">
        <f>"SURUBIM"</f>
        <v>SURUBIM</v>
      </c>
      <c r="B5361" s="3" t="str">
        <f>"PE"</f>
        <v>PE</v>
      </c>
      <c r="C5361" s="3" t="str">
        <f>"BRASIL"</f>
        <v>BRASIL</v>
      </c>
      <c r="D5361" s="4" t="str">
        <f>"PE164"</f>
        <v>PE164</v>
      </c>
    </row>
    <row r="5362" spans="1:4" x14ac:dyDescent="0.3">
      <c r="A5362" s="2" t="str">
        <f>"SUSSUAPARA"</f>
        <v>SUSSUAPARA</v>
      </c>
      <c r="B5362" s="3" t="str">
        <f>"PI"</f>
        <v>PI</v>
      </c>
      <c r="C5362" s="3" t="str">
        <f>"BRASIL"</f>
        <v>BRASIL</v>
      </c>
      <c r="D5362" s="4" t="str">
        <f>"PI212"</f>
        <v>PI212</v>
      </c>
    </row>
    <row r="5363" spans="1:4" x14ac:dyDescent="0.3">
      <c r="A5363" s="2" t="str">
        <f>"SUZANAPOLIS"</f>
        <v>SUZANAPOLIS</v>
      </c>
      <c r="B5363" s="3" t="str">
        <f>"SP"</f>
        <v>SP</v>
      </c>
      <c r="C5363" s="3" t="str">
        <f>"BRASIL"</f>
        <v>BRASIL</v>
      </c>
      <c r="D5363" s="4" t="str">
        <f>"SP586"</f>
        <v>SP586</v>
      </c>
    </row>
    <row r="5364" spans="1:4" x14ac:dyDescent="0.3">
      <c r="A5364" s="2" t="str">
        <f>"SUZANO"</f>
        <v>SUZANO</v>
      </c>
      <c r="B5364" s="3" t="str">
        <f>"SP"</f>
        <v>SP</v>
      </c>
      <c r="C5364" s="3" t="str">
        <f>"BRASIL"</f>
        <v>BRASIL</v>
      </c>
      <c r="D5364" s="4" t="str">
        <f>"SUZ"</f>
        <v>SUZ</v>
      </c>
    </row>
    <row r="5365" spans="1:4" x14ac:dyDescent="0.3">
      <c r="A5365" s="2" t="str">
        <f>"SWITZERLAND"</f>
        <v>SWITZERLAND</v>
      </c>
      <c r="B5365" s="3" t="str">
        <f>"EX"</f>
        <v>EX</v>
      </c>
      <c r="C5365" s="3" t="str">
        <f>"ALEMANHA"</f>
        <v>ALEMANHA</v>
      </c>
      <c r="D5365" s="4" t="str">
        <f>"SWITZ"</f>
        <v>SWITZ</v>
      </c>
    </row>
    <row r="5366" spans="1:4" x14ac:dyDescent="0.3">
      <c r="A5366" s="2" t="str">
        <f>"SWITZERLAND"</f>
        <v>SWITZERLAND</v>
      </c>
      <c r="B5366" s="3" t="str">
        <f>"EX"</f>
        <v>EX</v>
      </c>
      <c r="C5366" s="3" t="str">
        <f>"SUICA"</f>
        <v>SUICA</v>
      </c>
      <c r="D5366" s="4" t="str">
        <f>"SWIT"</f>
        <v>SWIT</v>
      </c>
    </row>
    <row r="5367" spans="1:4" x14ac:dyDescent="0.3">
      <c r="A5367" s="2" t="str">
        <f>"TABAI"</f>
        <v>TABAI</v>
      </c>
      <c r="B5367" s="3" t="str">
        <f>"RS"</f>
        <v>RS</v>
      </c>
      <c r="C5367" s="3" t="str">
        <f t="shared" ref="C5367:C5388" si="201">"BRASIL"</f>
        <v>BRASIL</v>
      </c>
      <c r="D5367" s="4" t="str">
        <f>"RS437"</f>
        <v>RS437</v>
      </c>
    </row>
    <row r="5368" spans="1:4" x14ac:dyDescent="0.3">
      <c r="A5368" s="2" t="str">
        <f>"TABAPORA"</f>
        <v>TABAPORA</v>
      </c>
      <c r="B5368" s="3" t="str">
        <f>"MT"</f>
        <v>MT</v>
      </c>
      <c r="C5368" s="3" t="str">
        <f t="shared" si="201"/>
        <v>BRASIL</v>
      </c>
      <c r="D5368" s="4" t="str">
        <f>"MT127"</f>
        <v>MT127</v>
      </c>
    </row>
    <row r="5369" spans="1:4" x14ac:dyDescent="0.3">
      <c r="A5369" s="2" t="str">
        <f>"TABAPUA"</f>
        <v>TABAPUA</v>
      </c>
      <c r="B5369" s="3" t="str">
        <f>"SP"</f>
        <v>SP</v>
      </c>
      <c r="C5369" s="3" t="str">
        <f t="shared" si="201"/>
        <v>BRASIL</v>
      </c>
      <c r="D5369" s="4" t="str">
        <f>"SP587"</f>
        <v>SP587</v>
      </c>
    </row>
    <row r="5370" spans="1:4" x14ac:dyDescent="0.3">
      <c r="A5370" s="2" t="str">
        <f>"TABATINGA"</f>
        <v>TABATINGA</v>
      </c>
      <c r="B5370" s="3" t="str">
        <f>"AM"</f>
        <v>AM</v>
      </c>
      <c r="C5370" s="3" t="str">
        <f t="shared" si="201"/>
        <v>BRASIL</v>
      </c>
      <c r="D5370" s="4" t="str">
        <f>"AM056"</f>
        <v>AM056</v>
      </c>
    </row>
    <row r="5371" spans="1:4" x14ac:dyDescent="0.3">
      <c r="A5371" s="2" t="str">
        <f>"TABATINGA"</f>
        <v>TABATINGA</v>
      </c>
      <c r="B5371" s="3" t="str">
        <f>"SP"</f>
        <v>SP</v>
      </c>
      <c r="C5371" s="3" t="str">
        <f t="shared" si="201"/>
        <v>BRASIL</v>
      </c>
      <c r="D5371" s="4" t="str">
        <f>"SP588"</f>
        <v>SP588</v>
      </c>
    </row>
    <row r="5372" spans="1:4" x14ac:dyDescent="0.3">
      <c r="A5372" s="2" t="str">
        <f>"TABIRA"</f>
        <v>TABIRA</v>
      </c>
      <c r="B5372" s="3" t="str">
        <f>"PE"</f>
        <v>PE</v>
      </c>
      <c r="C5372" s="3" t="str">
        <f t="shared" si="201"/>
        <v>BRASIL</v>
      </c>
      <c r="D5372" s="4" t="str">
        <f>"PE165"</f>
        <v>PE165</v>
      </c>
    </row>
    <row r="5373" spans="1:4" x14ac:dyDescent="0.3">
      <c r="A5373" s="2" t="str">
        <f>"TABOAO DA SERRA"</f>
        <v>TABOAO DA SERRA</v>
      </c>
      <c r="B5373" s="3" t="str">
        <f>"SP"</f>
        <v>SP</v>
      </c>
      <c r="C5373" s="3" t="str">
        <f t="shared" si="201"/>
        <v>BRASIL</v>
      </c>
      <c r="D5373" s="4" t="str">
        <f>"SP589"</f>
        <v>SP589</v>
      </c>
    </row>
    <row r="5374" spans="1:4" x14ac:dyDescent="0.3">
      <c r="A5374" s="2" t="str">
        <f>"TABOCAS DO BREJO VELHO"</f>
        <v>TABOCAS DO BREJO VELHO</v>
      </c>
      <c r="B5374" s="3" t="str">
        <f>"BA"</f>
        <v>BA</v>
      </c>
      <c r="C5374" s="3" t="str">
        <f t="shared" si="201"/>
        <v>BRASIL</v>
      </c>
      <c r="D5374" s="4" t="str">
        <f>"BA382"</f>
        <v>BA382</v>
      </c>
    </row>
    <row r="5375" spans="1:4" x14ac:dyDescent="0.3">
      <c r="A5375" s="2" t="str">
        <f>"TABOLEIRO GRANDE"</f>
        <v>TABOLEIRO GRANDE</v>
      </c>
      <c r="B5375" s="3" t="str">
        <f>"RN"</f>
        <v>RN</v>
      </c>
      <c r="C5375" s="3" t="str">
        <f t="shared" si="201"/>
        <v>BRASIL</v>
      </c>
      <c r="D5375" s="4" t="str">
        <f>"RN152"</f>
        <v>RN152</v>
      </c>
    </row>
    <row r="5376" spans="1:4" x14ac:dyDescent="0.3">
      <c r="A5376" s="2" t="str">
        <f>"TABULEIRO"</f>
        <v>TABULEIRO</v>
      </c>
      <c r="B5376" s="3" t="str">
        <f>"MG"</f>
        <v>MG</v>
      </c>
      <c r="C5376" s="3" t="str">
        <f t="shared" si="201"/>
        <v>BRASIL</v>
      </c>
      <c r="D5376" s="4" t="str">
        <f>"MG797"</f>
        <v>MG797</v>
      </c>
    </row>
    <row r="5377" spans="1:4" x14ac:dyDescent="0.3">
      <c r="A5377" s="2" t="str">
        <f>"TABULEIRO DO NORTE"</f>
        <v>TABULEIRO DO NORTE</v>
      </c>
      <c r="B5377" s="3" t="str">
        <f>"CE"</f>
        <v>CE</v>
      </c>
      <c r="C5377" s="3" t="str">
        <f t="shared" si="201"/>
        <v>BRASIL</v>
      </c>
      <c r="D5377" s="4" t="str">
        <f>"CE169"</f>
        <v>CE169</v>
      </c>
    </row>
    <row r="5378" spans="1:4" x14ac:dyDescent="0.3">
      <c r="A5378" s="2" t="str">
        <f>"TACAIMBO"</f>
        <v>TACAIMBO</v>
      </c>
      <c r="B5378" s="3" t="str">
        <f>"PE"</f>
        <v>PE</v>
      </c>
      <c r="C5378" s="3" t="str">
        <f t="shared" si="201"/>
        <v>BRASIL</v>
      </c>
      <c r="D5378" s="4" t="str">
        <f>"PE166"</f>
        <v>PE166</v>
      </c>
    </row>
    <row r="5379" spans="1:4" x14ac:dyDescent="0.3">
      <c r="A5379" s="2" t="str">
        <f>"TACARATU"</f>
        <v>TACARATU</v>
      </c>
      <c r="B5379" s="3" t="str">
        <f>"PE"</f>
        <v>PE</v>
      </c>
      <c r="C5379" s="3" t="str">
        <f t="shared" si="201"/>
        <v>BRASIL</v>
      </c>
      <c r="D5379" s="4" t="str">
        <f>"PE167"</f>
        <v>PE167</v>
      </c>
    </row>
    <row r="5380" spans="1:4" x14ac:dyDescent="0.3">
      <c r="A5380" s="2" t="str">
        <f>"TACIBA"</f>
        <v>TACIBA</v>
      </c>
      <c r="B5380" s="3" t="str">
        <f>"SP"</f>
        <v>SP</v>
      </c>
      <c r="C5380" s="3" t="str">
        <f t="shared" si="201"/>
        <v>BRASIL</v>
      </c>
      <c r="D5380" s="4" t="str">
        <f>"SP590"</f>
        <v>SP590</v>
      </c>
    </row>
    <row r="5381" spans="1:4" x14ac:dyDescent="0.3">
      <c r="A5381" s="2" t="str">
        <f>"TACURU"</f>
        <v>TACURU</v>
      </c>
      <c r="B5381" s="3" t="str">
        <f>"MS"</f>
        <v>MS</v>
      </c>
      <c r="C5381" s="3" t="str">
        <f t="shared" si="201"/>
        <v>BRASIL</v>
      </c>
      <c r="D5381" s="4" t="str">
        <f>"MS074"</f>
        <v>MS074</v>
      </c>
    </row>
    <row r="5382" spans="1:4" x14ac:dyDescent="0.3">
      <c r="A5382" s="2" t="str">
        <f>"TAGUAI"</f>
        <v>TAGUAI</v>
      </c>
      <c r="B5382" s="3" t="str">
        <f>"SP"</f>
        <v>SP</v>
      </c>
      <c r="C5382" s="3" t="str">
        <f t="shared" si="201"/>
        <v>BRASIL</v>
      </c>
      <c r="D5382" s="4" t="str">
        <f>"SP591"</f>
        <v>SP591</v>
      </c>
    </row>
    <row r="5383" spans="1:4" x14ac:dyDescent="0.3">
      <c r="A5383" s="2" t="str">
        <f>"TAGUATINGA"</f>
        <v>TAGUATINGA</v>
      </c>
      <c r="B5383" s="3" t="str">
        <f>"TO"</f>
        <v>TO</v>
      </c>
      <c r="C5383" s="3" t="str">
        <f t="shared" si="201"/>
        <v>BRASIL</v>
      </c>
      <c r="D5383" s="4" t="str">
        <f>"TO130"</f>
        <v>TO130</v>
      </c>
    </row>
    <row r="5384" spans="1:4" x14ac:dyDescent="0.3">
      <c r="A5384" s="2" t="str">
        <f>"TAIACU"</f>
        <v>TAIACU</v>
      </c>
      <c r="B5384" s="3" t="str">
        <f>"SP"</f>
        <v>SP</v>
      </c>
      <c r="C5384" s="3" t="str">
        <f t="shared" si="201"/>
        <v>BRASIL</v>
      </c>
      <c r="D5384" s="4" t="str">
        <f>"SP592"</f>
        <v>SP592</v>
      </c>
    </row>
    <row r="5385" spans="1:4" x14ac:dyDescent="0.3">
      <c r="A5385" s="2" t="str">
        <f>"TAILANDIA"</f>
        <v>TAILANDIA</v>
      </c>
      <c r="B5385" s="3" t="str">
        <f>"PA"</f>
        <v>PA</v>
      </c>
      <c r="C5385" s="3" t="str">
        <f t="shared" si="201"/>
        <v>BRASIL</v>
      </c>
      <c r="D5385" s="4" t="str">
        <f>"PA130"</f>
        <v>PA130</v>
      </c>
    </row>
    <row r="5386" spans="1:4" x14ac:dyDescent="0.3">
      <c r="A5386" s="2" t="str">
        <f>"TAIO"</f>
        <v>TAIO</v>
      </c>
      <c r="B5386" s="3" t="str">
        <f>"SC"</f>
        <v>SC</v>
      </c>
      <c r="C5386" s="3" t="str">
        <f t="shared" si="201"/>
        <v>BRASIL</v>
      </c>
      <c r="D5386" s="4" t="str">
        <f>"SC264"</f>
        <v>SC264</v>
      </c>
    </row>
    <row r="5387" spans="1:4" x14ac:dyDescent="0.3">
      <c r="A5387" s="2" t="str">
        <f>"TAIOBEIRAS"</f>
        <v>TAIOBEIRAS</v>
      </c>
      <c r="B5387" s="3" t="str">
        <f>"MG"</f>
        <v>MG</v>
      </c>
      <c r="C5387" s="3" t="str">
        <f t="shared" si="201"/>
        <v>BRASIL</v>
      </c>
      <c r="D5387" s="4" t="str">
        <f>"MG798"</f>
        <v>MG798</v>
      </c>
    </row>
    <row r="5388" spans="1:4" x14ac:dyDescent="0.3">
      <c r="A5388" s="2" t="str">
        <f>"TAIPAS DO TOCANTINS"</f>
        <v>TAIPAS DO TOCANTINS</v>
      </c>
      <c r="B5388" s="3" t="str">
        <f>"TO"</f>
        <v>TO</v>
      </c>
      <c r="C5388" s="3" t="str">
        <f t="shared" si="201"/>
        <v>BRASIL</v>
      </c>
      <c r="D5388" s="4" t="str">
        <f>"TO131"</f>
        <v>TO131</v>
      </c>
    </row>
    <row r="5389" spans="1:4" x14ac:dyDescent="0.3">
      <c r="A5389" s="2" t="str">
        <f>"TAIPEI"</f>
        <v>TAIPEI</v>
      </c>
      <c r="B5389" s="3" t="str">
        <f>"EX"</f>
        <v>EX</v>
      </c>
      <c r="C5389" s="3" t="str">
        <f>"TAIWAN"</f>
        <v>TAIWAN</v>
      </c>
      <c r="D5389" s="4" t="str">
        <f>"TAIPE"</f>
        <v>TAIPE</v>
      </c>
    </row>
    <row r="5390" spans="1:4" x14ac:dyDescent="0.3">
      <c r="A5390" s="2" t="str">
        <f>"TAIPU"</f>
        <v>TAIPU</v>
      </c>
      <c r="B5390" s="3" t="str">
        <f>"RN"</f>
        <v>RN</v>
      </c>
      <c r="C5390" s="3" t="str">
        <f>"BRASIL"</f>
        <v>BRASIL</v>
      </c>
      <c r="D5390" s="4" t="str">
        <f>"RN153"</f>
        <v>RN153</v>
      </c>
    </row>
    <row r="5391" spans="1:4" x14ac:dyDescent="0.3">
      <c r="A5391" s="2" t="str">
        <f>"TAIUVA"</f>
        <v>TAIUVA</v>
      </c>
      <c r="B5391" s="3" t="str">
        <f>"SP"</f>
        <v>SP</v>
      </c>
      <c r="C5391" s="3" t="str">
        <f>"BRASIL"</f>
        <v>BRASIL</v>
      </c>
      <c r="D5391" s="4" t="str">
        <f>"SP593"</f>
        <v>SP593</v>
      </c>
    </row>
    <row r="5392" spans="1:4" x14ac:dyDescent="0.3">
      <c r="A5392" s="2" t="str">
        <f>"TAIWAN"</f>
        <v>TAIWAN</v>
      </c>
      <c r="B5392" s="3" t="str">
        <f>"EX"</f>
        <v>EX</v>
      </c>
      <c r="C5392" s="3" t="str">
        <f>"CHINA"</f>
        <v>CHINA</v>
      </c>
      <c r="D5392" s="4" t="str">
        <f>"TAIWA"</f>
        <v>TAIWA</v>
      </c>
    </row>
    <row r="5393" spans="1:4" x14ac:dyDescent="0.3">
      <c r="A5393" s="2" t="str">
        <f>"TALISMA"</f>
        <v>TALISMA</v>
      </c>
      <c r="B5393" s="3" t="str">
        <f>"TO"</f>
        <v>TO</v>
      </c>
      <c r="C5393" s="3" t="str">
        <f t="shared" ref="C5393:C5424" si="202">"BRASIL"</f>
        <v>BRASIL</v>
      </c>
      <c r="D5393" s="4" t="str">
        <f>"TO132"</f>
        <v>TO132</v>
      </c>
    </row>
    <row r="5394" spans="1:4" x14ac:dyDescent="0.3">
      <c r="A5394" s="2" t="str">
        <f>"TAMANDARE"</f>
        <v>TAMANDARE</v>
      </c>
      <c r="B5394" s="3" t="str">
        <f>"PE"</f>
        <v>PE</v>
      </c>
      <c r="C5394" s="3" t="str">
        <f t="shared" si="202"/>
        <v>BRASIL</v>
      </c>
      <c r="D5394" s="4" t="str">
        <f>"PE168"</f>
        <v>PE168</v>
      </c>
    </row>
    <row r="5395" spans="1:4" x14ac:dyDescent="0.3">
      <c r="A5395" s="2" t="str">
        <f>"TAMARANA"</f>
        <v>TAMARANA</v>
      </c>
      <c r="B5395" s="3" t="str">
        <f>"PR"</f>
        <v>PR</v>
      </c>
      <c r="C5395" s="3" t="str">
        <f t="shared" si="202"/>
        <v>BRASIL</v>
      </c>
      <c r="D5395" s="4" t="str">
        <f>"PR368"</f>
        <v>PR368</v>
      </c>
    </row>
    <row r="5396" spans="1:4" x14ac:dyDescent="0.3">
      <c r="A5396" s="2" t="str">
        <f>"TAMBAU"</f>
        <v>TAMBAU</v>
      </c>
      <c r="B5396" s="3" t="str">
        <f>"SP"</f>
        <v>SP</v>
      </c>
      <c r="C5396" s="3" t="str">
        <f t="shared" si="202"/>
        <v>BRASIL</v>
      </c>
      <c r="D5396" s="4" t="str">
        <f>"SP594"</f>
        <v>SP594</v>
      </c>
    </row>
    <row r="5397" spans="1:4" x14ac:dyDescent="0.3">
      <c r="A5397" s="2" t="str">
        <f>"TAMBOARA"</f>
        <v>TAMBOARA</v>
      </c>
      <c r="B5397" s="3" t="str">
        <f>"PR"</f>
        <v>PR</v>
      </c>
      <c r="C5397" s="3" t="str">
        <f t="shared" si="202"/>
        <v>BRASIL</v>
      </c>
      <c r="D5397" s="4" t="str">
        <f>"PR369"</f>
        <v>PR369</v>
      </c>
    </row>
    <row r="5398" spans="1:4" x14ac:dyDescent="0.3">
      <c r="A5398" s="2" t="str">
        <f>"TAMBORIL"</f>
        <v>TAMBORIL</v>
      </c>
      <c r="B5398" s="3" t="str">
        <f>"CE"</f>
        <v>CE</v>
      </c>
      <c r="C5398" s="3" t="str">
        <f t="shared" si="202"/>
        <v>BRASIL</v>
      </c>
      <c r="D5398" s="4" t="str">
        <f>"CE170"</f>
        <v>CE170</v>
      </c>
    </row>
    <row r="5399" spans="1:4" x14ac:dyDescent="0.3">
      <c r="A5399" s="2" t="str">
        <f>"TAMBORIL DO PIAUI"</f>
        <v>TAMBORIL DO PIAUI</v>
      </c>
      <c r="B5399" s="3" t="str">
        <f>"PI"</f>
        <v>PI</v>
      </c>
      <c r="C5399" s="3" t="str">
        <f t="shared" si="202"/>
        <v>BRASIL</v>
      </c>
      <c r="D5399" s="4" t="str">
        <f>"PI213"</f>
        <v>PI213</v>
      </c>
    </row>
    <row r="5400" spans="1:4" x14ac:dyDescent="0.3">
      <c r="A5400" s="2" t="str">
        <f>"TANABI"</f>
        <v>TANABI</v>
      </c>
      <c r="B5400" s="3" t="str">
        <f>"SP"</f>
        <v>SP</v>
      </c>
      <c r="C5400" s="3" t="str">
        <f t="shared" si="202"/>
        <v>BRASIL</v>
      </c>
      <c r="D5400" s="4" t="str">
        <f>"SP595"</f>
        <v>SP595</v>
      </c>
    </row>
    <row r="5401" spans="1:4" x14ac:dyDescent="0.3">
      <c r="A5401" s="2" t="str">
        <f>"TANGARA"</f>
        <v>TANGARA</v>
      </c>
      <c r="B5401" s="3" t="str">
        <f>"RN"</f>
        <v>RN</v>
      </c>
      <c r="C5401" s="3" t="str">
        <f t="shared" si="202"/>
        <v>BRASIL</v>
      </c>
      <c r="D5401" s="4" t="str">
        <f>"RN154"</f>
        <v>RN154</v>
      </c>
    </row>
    <row r="5402" spans="1:4" x14ac:dyDescent="0.3">
      <c r="A5402" s="2" t="str">
        <f>"TANGARA"</f>
        <v>TANGARA</v>
      </c>
      <c r="B5402" s="3" t="str">
        <f>"SC"</f>
        <v>SC</v>
      </c>
      <c r="C5402" s="3" t="str">
        <f t="shared" si="202"/>
        <v>BRASIL</v>
      </c>
      <c r="D5402" s="4" t="str">
        <f>"SC265"</f>
        <v>SC265</v>
      </c>
    </row>
    <row r="5403" spans="1:4" x14ac:dyDescent="0.3">
      <c r="A5403" s="2" t="str">
        <f>"TANGARA DA SERRA"</f>
        <v>TANGARA DA SERRA</v>
      </c>
      <c r="B5403" s="3" t="str">
        <f>"MT"</f>
        <v>MT</v>
      </c>
      <c r="C5403" s="3" t="str">
        <f t="shared" si="202"/>
        <v>BRASIL</v>
      </c>
      <c r="D5403" s="4" t="str">
        <f>"MT128"</f>
        <v>MT128</v>
      </c>
    </row>
    <row r="5404" spans="1:4" x14ac:dyDescent="0.3">
      <c r="A5404" s="2" t="str">
        <f>"TANGUA"</f>
        <v>TANGUA</v>
      </c>
      <c r="B5404" s="3" t="str">
        <f>"RJ"</f>
        <v>RJ</v>
      </c>
      <c r="C5404" s="3" t="str">
        <f t="shared" si="202"/>
        <v>BRASIL</v>
      </c>
      <c r="D5404" s="4" t="str">
        <f>"RJ085"</f>
        <v>RJ085</v>
      </c>
    </row>
    <row r="5405" spans="1:4" x14ac:dyDescent="0.3">
      <c r="A5405" s="2" t="str">
        <f>"TANHACU"</f>
        <v>TANHACU</v>
      </c>
      <c r="B5405" s="3" t="str">
        <f>"BA"</f>
        <v>BA</v>
      </c>
      <c r="C5405" s="3" t="str">
        <f t="shared" si="202"/>
        <v>BRASIL</v>
      </c>
      <c r="D5405" s="4" t="str">
        <f>"BA383"</f>
        <v>BA383</v>
      </c>
    </row>
    <row r="5406" spans="1:4" x14ac:dyDescent="0.3">
      <c r="A5406" s="2" t="str">
        <f>"TANQUE D'ARCA"</f>
        <v>TANQUE D'ARCA</v>
      </c>
      <c r="B5406" s="3" t="str">
        <f>"AL"</f>
        <v>AL</v>
      </c>
      <c r="C5406" s="3" t="str">
        <f t="shared" si="202"/>
        <v>BRASIL</v>
      </c>
      <c r="D5406" s="4" t="str">
        <f>"AL097"</f>
        <v>AL097</v>
      </c>
    </row>
    <row r="5407" spans="1:4" x14ac:dyDescent="0.3">
      <c r="A5407" s="2" t="str">
        <f>"TANQUE DO PIAUI"</f>
        <v>TANQUE DO PIAUI</v>
      </c>
      <c r="B5407" s="3" t="str">
        <f>"PI"</f>
        <v>PI</v>
      </c>
      <c r="C5407" s="3" t="str">
        <f t="shared" si="202"/>
        <v>BRASIL</v>
      </c>
      <c r="D5407" s="4" t="str">
        <f>"PI214"</f>
        <v>PI214</v>
      </c>
    </row>
    <row r="5408" spans="1:4" x14ac:dyDescent="0.3">
      <c r="A5408" s="2" t="str">
        <f>"TANQUE NOVO"</f>
        <v>TANQUE NOVO</v>
      </c>
      <c r="B5408" s="3" t="str">
        <f>"BA"</f>
        <v>BA</v>
      </c>
      <c r="C5408" s="3" t="str">
        <f t="shared" si="202"/>
        <v>BRASIL</v>
      </c>
      <c r="D5408" s="4" t="str">
        <f>"BA384"</f>
        <v>BA384</v>
      </c>
    </row>
    <row r="5409" spans="1:4" x14ac:dyDescent="0.3">
      <c r="A5409" s="2" t="str">
        <f>"TANQUINHO"</f>
        <v>TANQUINHO</v>
      </c>
      <c r="B5409" s="3" t="str">
        <f>"BA"</f>
        <v>BA</v>
      </c>
      <c r="C5409" s="3" t="str">
        <f t="shared" si="202"/>
        <v>BRASIL</v>
      </c>
      <c r="D5409" s="4" t="str">
        <f>"BA385"</f>
        <v>BA385</v>
      </c>
    </row>
    <row r="5410" spans="1:4" x14ac:dyDescent="0.3">
      <c r="A5410" s="2" t="str">
        <f>"TAPARUBA"</f>
        <v>TAPARUBA</v>
      </c>
      <c r="B5410" s="3" t="str">
        <f>"MG"</f>
        <v>MG</v>
      </c>
      <c r="C5410" s="3" t="str">
        <f t="shared" si="202"/>
        <v>BRASIL</v>
      </c>
      <c r="D5410" s="4" t="str">
        <f>"MG799"</f>
        <v>MG799</v>
      </c>
    </row>
    <row r="5411" spans="1:4" x14ac:dyDescent="0.3">
      <c r="A5411" s="2" t="str">
        <f>"TAPAUA"</f>
        <v>TAPAUA</v>
      </c>
      <c r="B5411" s="3" t="str">
        <f>"AM"</f>
        <v>AM</v>
      </c>
      <c r="C5411" s="3" t="str">
        <f t="shared" si="202"/>
        <v>BRASIL</v>
      </c>
      <c r="D5411" s="4" t="str">
        <f>"AM057"</f>
        <v>AM057</v>
      </c>
    </row>
    <row r="5412" spans="1:4" x14ac:dyDescent="0.3">
      <c r="A5412" s="2" t="str">
        <f>"TAPEJARA"</f>
        <v>TAPEJARA</v>
      </c>
      <c r="B5412" s="3" t="str">
        <f>"PR"</f>
        <v>PR</v>
      </c>
      <c r="C5412" s="3" t="str">
        <f t="shared" si="202"/>
        <v>BRASIL</v>
      </c>
      <c r="D5412" s="4" t="str">
        <f>"PR370"</f>
        <v>PR370</v>
      </c>
    </row>
    <row r="5413" spans="1:4" x14ac:dyDescent="0.3">
      <c r="A5413" s="2" t="str">
        <f>"TAPEJARA"</f>
        <v>TAPEJARA</v>
      </c>
      <c r="B5413" s="3" t="str">
        <f>"RS"</f>
        <v>RS</v>
      </c>
      <c r="C5413" s="3" t="str">
        <f t="shared" si="202"/>
        <v>BRASIL</v>
      </c>
      <c r="D5413" s="4" t="str">
        <f>"RS438"</f>
        <v>RS438</v>
      </c>
    </row>
    <row r="5414" spans="1:4" x14ac:dyDescent="0.3">
      <c r="A5414" s="2" t="str">
        <f>"TAPERA"</f>
        <v>TAPERA</v>
      </c>
      <c r="B5414" s="3" t="str">
        <f>"RS"</f>
        <v>RS</v>
      </c>
      <c r="C5414" s="3" t="str">
        <f t="shared" si="202"/>
        <v>BRASIL</v>
      </c>
      <c r="D5414" s="4" t="str">
        <f>"RS439"</f>
        <v>RS439</v>
      </c>
    </row>
    <row r="5415" spans="1:4" x14ac:dyDescent="0.3">
      <c r="A5415" s="2" t="str">
        <f>"TAPEROA"</f>
        <v>TAPEROA</v>
      </c>
      <c r="B5415" s="3" t="str">
        <f>"BA"</f>
        <v>BA</v>
      </c>
      <c r="C5415" s="3" t="str">
        <f t="shared" si="202"/>
        <v>BRASIL</v>
      </c>
      <c r="D5415" s="4" t="str">
        <f>"BA386"</f>
        <v>BA386</v>
      </c>
    </row>
    <row r="5416" spans="1:4" x14ac:dyDescent="0.3">
      <c r="A5416" s="2" t="str">
        <f>"TAPEROA"</f>
        <v>TAPEROA</v>
      </c>
      <c r="B5416" s="3" t="str">
        <f>"PB"</f>
        <v>PB</v>
      </c>
      <c r="C5416" s="3" t="str">
        <f t="shared" si="202"/>
        <v>BRASIL</v>
      </c>
      <c r="D5416" s="4" t="str">
        <f>"PB214"</f>
        <v>PB214</v>
      </c>
    </row>
    <row r="5417" spans="1:4" x14ac:dyDescent="0.3">
      <c r="A5417" s="2" t="str">
        <f>"TAPES"</f>
        <v>TAPES</v>
      </c>
      <c r="B5417" s="3" t="str">
        <f>"RS"</f>
        <v>RS</v>
      </c>
      <c r="C5417" s="3" t="str">
        <f t="shared" si="202"/>
        <v>BRASIL</v>
      </c>
      <c r="D5417" s="4" t="str">
        <f>"RS440"</f>
        <v>RS440</v>
      </c>
    </row>
    <row r="5418" spans="1:4" x14ac:dyDescent="0.3">
      <c r="A5418" s="2" t="str">
        <f>"TAPIRA"</f>
        <v>TAPIRA</v>
      </c>
      <c r="B5418" s="3" t="str">
        <f>"MG"</f>
        <v>MG</v>
      </c>
      <c r="C5418" s="3" t="str">
        <f t="shared" si="202"/>
        <v>BRASIL</v>
      </c>
      <c r="D5418" s="4" t="str">
        <f>"MG800"</f>
        <v>MG800</v>
      </c>
    </row>
    <row r="5419" spans="1:4" x14ac:dyDescent="0.3">
      <c r="A5419" s="2" t="str">
        <f>"TAPIRA"</f>
        <v>TAPIRA</v>
      </c>
      <c r="B5419" s="3" t="str">
        <f>"PR"</f>
        <v>PR</v>
      </c>
      <c r="C5419" s="3" t="str">
        <f t="shared" si="202"/>
        <v>BRASIL</v>
      </c>
      <c r="D5419" s="4" t="str">
        <f>"PR371"</f>
        <v>PR371</v>
      </c>
    </row>
    <row r="5420" spans="1:4" x14ac:dyDescent="0.3">
      <c r="A5420" s="2" t="str">
        <f>"TAPIRAI"</f>
        <v>TAPIRAI</v>
      </c>
      <c r="B5420" s="3" t="str">
        <f>"MG"</f>
        <v>MG</v>
      </c>
      <c r="C5420" s="3" t="str">
        <f t="shared" si="202"/>
        <v>BRASIL</v>
      </c>
      <c r="D5420" s="4" t="str">
        <f>"MG801"</f>
        <v>MG801</v>
      </c>
    </row>
    <row r="5421" spans="1:4" x14ac:dyDescent="0.3">
      <c r="A5421" s="2" t="str">
        <f>"TAPIRAI"</f>
        <v>TAPIRAI</v>
      </c>
      <c r="B5421" s="3" t="str">
        <f>"SP"</f>
        <v>SP</v>
      </c>
      <c r="C5421" s="3" t="str">
        <f t="shared" si="202"/>
        <v>BRASIL</v>
      </c>
      <c r="D5421" s="4" t="str">
        <f>"SP596"</f>
        <v>SP596</v>
      </c>
    </row>
    <row r="5422" spans="1:4" x14ac:dyDescent="0.3">
      <c r="A5422" s="2" t="str">
        <f>"TAPIRAMUTA"</f>
        <v>TAPIRAMUTA</v>
      </c>
      <c r="B5422" s="3" t="str">
        <f>"BA"</f>
        <v>BA</v>
      </c>
      <c r="C5422" s="3" t="str">
        <f t="shared" si="202"/>
        <v>BRASIL</v>
      </c>
      <c r="D5422" s="4" t="str">
        <f>"BA387"</f>
        <v>BA387</v>
      </c>
    </row>
    <row r="5423" spans="1:4" x14ac:dyDescent="0.3">
      <c r="A5423" s="2" t="str">
        <f>"TAPIRATIBA"</f>
        <v>TAPIRATIBA</v>
      </c>
      <c r="B5423" s="3" t="str">
        <f>"SP"</f>
        <v>SP</v>
      </c>
      <c r="C5423" s="3" t="str">
        <f t="shared" si="202"/>
        <v>BRASIL</v>
      </c>
      <c r="D5423" s="4" t="str">
        <f>"SP597"</f>
        <v>SP597</v>
      </c>
    </row>
    <row r="5424" spans="1:4" x14ac:dyDescent="0.3">
      <c r="A5424" s="2" t="str">
        <f>"TAPURAH"</f>
        <v>TAPURAH</v>
      </c>
      <c r="B5424" s="3" t="str">
        <f>"MT"</f>
        <v>MT</v>
      </c>
      <c r="C5424" s="3" t="str">
        <f t="shared" si="202"/>
        <v>BRASIL</v>
      </c>
      <c r="D5424" s="4" t="str">
        <f>"MT129"</f>
        <v>MT129</v>
      </c>
    </row>
    <row r="5425" spans="1:4" x14ac:dyDescent="0.3">
      <c r="A5425" s="2" t="str">
        <f>"TAQUARA"</f>
        <v>TAQUARA</v>
      </c>
      <c r="B5425" s="3" t="str">
        <f>"RS"</f>
        <v>RS</v>
      </c>
      <c r="C5425" s="3" t="str">
        <f t="shared" ref="C5425:C5449" si="203">"BRASIL"</f>
        <v>BRASIL</v>
      </c>
      <c r="D5425" s="4" t="str">
        <f>"RS441"</f>
        <v>RS441</v>
      </c>
    </row>
    <row r="5426" spans="1:4" x14ac:dyDescent="0.3">
      <c r="A5426" s="2" t="str">
        <f>"TAQUARACU DE MINAS"</f>
        <v>TAQUARACU DE MINAS</v>
      </c>
      <c r="B5426" s="3" t="str">
        <f>"MG"</f>
        <v>MG</v>
      </c>
      <c r="C5426" s="3" t="str">
        <f t="shared" si="203"/>
        <v>BRASIL</v>
      </c>
      <c r="D5426" s="4" t="str">
        <f>"MG802"</f>
        <v>MG802</v>
      </c>
    </row>
    <row r="5427" spans="1:4" x14ac:dyDescent="0.3">
      <c r="A5427" s="2" t="str">
        <f>"TAQUARAL"</f>
        <v>TAQUARAL</v>
      </c>
      <c r="B5427" s="3" t="str">
        <f>"SP"</f>
        <v>SP</v>
      </c>
      <c r="C5427" s="3" t="str">
        <f t="shared" si="203"/>
        <v>BRASIL</v>
      </c>
      <c r="D5427" s="4" t="str">
        <f>"SP598"</f>
        <v>SP598</v>
      </c>
    </row>
    <row r="5428" spans="1:4" x14ac:dyDescent="0.3">
      <c r="A5428" s="2" t="str">
        <f>"TAQUARAL DE GOIAS"</f>
        <v>TAQUARAL DE GOIAS</v>
      </c>
      <c r="B5428" s="3" t="str">
        <f>"GO"</f>
        <v>GO</v>
      </c>
      <c r="C5428" s="3" t="str">
        <f t="shared" si="203"/>
        <v>BRASIL</v>
      </c>
      <c r="D5428" s="4" t="str">
        <f>"GO229"</f>
        <v>GO229</v>
      </c>
    </row>
    <row r="5429" spans="1:4" x14ac:dyDescent="0.3">
      <c r="A5429" s="2" t="str">
        <f>"TAQUARANA"</f>
        <v>TAQUARANA</v>
      </c>
      <c r="B5429" s="3" t="str">
        <f>"AL"</f>
        <v>AL</v>
      </c>
      <c r="C5429" s="3" t="str">
        <f t="shared" si="203"/>
        <v>BRASIL</v>
      </c>
      <c r="D5429" s="4" t="str">
        <f>"AL098"</f>
        <v>AL098</v>
      </c>
    </row>
    <row r="5430" spans="1:4" x14ac:dyDescent="0.3">
      <c r="A5430" s="2" t="str">
        <f>"TAQUARI"</f>
        <v>TAQUARI</v>
      </c>
      <c r="B5430" s="3" t="str">
        <f>"RS"</f>
        <v>RS</v>
      </c>
      <c r="C5430" s="3" t="str">
        <f t="shared" si="203"/>
        <v>BRASIL</v>
      </c>
      <c r="D5430" s="4" t="str">
        <f>"TAQ"</f>
        <v>TAQ</v>
      </c>
    </row>
    <row r="5431" spans="1:4" x14ac:dyDescent="0.3">
      <c r="A5431" s="2" t="str">
        <f>"TAQUARITINGA"</f>
        <v>TAQUARITINGA</v>
      </c>
      <c r="B5431" s="3" t="str">
        <f>"SP"</f>
        <v>SP</v>
      </c>
      <c r="C5431" s="3" t="str">
        <f t="shared" si="203"/>
        <v>BRASIL</v>
      </c>
      <c r="D5431" s="4" t="str">
        <f>"SP599"</f>
        <v>SP599</v>
      </c>
    </row>
    <row r="5432" spans="1:4" x14ac:dyDescent="0.3">
      <c r="A5432" s="2" t="str">
        <f>"TAQUARITINGA DO NORTE"</f>
        <v>TAQUARITINGA DO NORTE</v>
      </c>
      <c r="B5432" s="3" t="str">
        <f>"PE"</f>
        <v>PE</v>
      </c>
      <c r="C5432" s="3" t="str">
        <f t="shared" si="203"/>
        <v>BRASIL</v>
      </c>
      <c r="D5432" s="4" t="str">
        <f>"PE169"</f>
        <v>PE169</v>
      </c>
    </row>
    <row r="5433" spans="1:4" x14ac:dyDescent="0.3">
      <c r="A5433" s="2" t="str">
        <f>"TAQUARITUBA"</f>
        <v>TAQUARITUBA</v>
      </c>
      <c r="B5433" s="3" t="str">
        <f>"SP"</f>
        <v>SP</v>
      </c>
      <c r="C5433" s="3" t="str">
        <f t="shared" si="203"/>
        <v>BRASIL</v>
      </c>
      <c r="D5433" s="4" t="str">
        <f>"SP600"</f>
        <v>SP600</v>
      </c>
    </row>
    <row r="5434" spans="1:4" x14ac:dyDescent="0.3">
      <c r="A5434" s="2" t="str">
        <f>"TAQUARIVAI"</f>
        <v>TAQUARIVAI</v>
      </c>
      <c r="B5434" s="3" t="str">
        <f>"SP"</f>
        <v>SP</v>
      </c>
      <c r="C5434" s="3" t="str">
        <f t="shared" si="203"/>
        <v>BRASIL</v>
      </c>
      <c r="D5434" s="4" t="str">
        <f>"SP601"</f>
        <v>SP601</v>
      </c>
    </row>
    <row r="5435" spans="1:4" x14ac:dyDescent="0.3">
      <c r="A5435" s="2" t="str">
        <f>"TAQUARUCU DO SUL"</f>
        <v>TAQUARUCU DO SUL</v>
      </c>
      <c r="B5435" s="3" t="str">
        <f>"RS"</f>
        <v>RS</v>
      </c>
      <c r="C5435" s="3" t="str">
        <f t="shared" si="203"/>
        <v>BRASIL</v>
      </c>
      <c r="D5435" s="4" t="str">
        <f>"RS443"</f>
        <v>RS443</v>
      </c>
    </row>
    <row r="5436" spans="1:4" x14ac:dyDescent="0.3">
      <c r="A5436" s="2" t="str">
        <f>"TAQUARUSSU"</f>
        <v>TAQUARUSSU</v>
      </c>
      <c r="B5436" s="3" t="str">
        <f>"MS"</f>
        <v>MS</v>
      </c>
      <c r="C5436" s="3" t="str">
        <f t="shared" si="203"/>
        <v>BRASIL</v>
      </c>
      <c r="D5436" s="4" t="str">
        <f>"MS075"</f>
        <v>MS075</v>
      </c>
    </row>
    <row r="5437" spans="1:4" x14ac:dyDescent="0.3">
      <c r="A5437" s="2" t="str">
        <f>"TARABAI"</f>
        <v>TARABAI</v>
      </c>
      <c r="B5437" s="3" t="str">
        <f>"SP"</f>
        <v>SP</v>
      </c>
      <c r="C5437" s="3" t="str">
        <f t="shared" si="203"/>
        <v>BRASIL</v>
      </c>
      <c r="D5437" s="4" t="str">
        <f>"SP602"</f>
        <v>SP602</v>
      </c>
    </row>
    <row r="5438" spans="1:4" x14ac:dyDescent="0.3">
      <c r="A5438" s="2" t="str">
        <f>"TARAUACA"</f>
        <v>TARAUACA</v>
      </c>
      <c r="B5438" s="3" t="str">
        <f>"AC"</f>
        <v>AC</v>
      </c>
      <c r="C5438" s="3" t="str">
        <f t="shared" si="203"/>
        <v>BRASIL</v>
      </c>
      <c r="D5438" s="4" t="str">
        <f>"AC020"</f>
        <v>AC020</v>
      </c>
    </row>
    <row r="5439" spans="1:4" x14ac:dyDescent="0.3">
      <c r="A5439" s="2" t="str">
        <f>"TARRAFAS"</f>
        <v>TARRAFAS</v>
      </c>
      <c r="B5439" s="3" t="str">
        <f>"CE"</f>
        <v>CE</v>
      </c>
      <c r="C5439" s="3" t="str">
        <f t="shared" si="203"/>
        <v>BRASIL</v>
      </c>
      <c r="D5439" s="4" t="str">
        <f>"CE171"</f>
        <v>CE171</v>
      </c>
    </row>
    <row r="5440" spans="1:4" x14ac:dyDescent="0.3">
      <c r="A5440" s="2" t="str">
        <f>"TARTARUGALZINHO"</f>
        <v>TARTARUGALZINHO</v>
      </c>
      <c r="B5440" s="3" t="str">
        <f>"AP"</f>
        <v>AP</v>
      </c>
      <c r="C5440" s="3" t="str">
        <f t="shared" si="203"/>
        <v>BRASIL</v>
      </c>
      <c r="D5440" s="4" t="str">
        <f>"AP015"</f>
        <v>AP015</v>
      </c>
    </row>
    <row r="5441" spans="1:4" x14ac:dyDescent="0.3">
      <c r="A5441" s="2" t="str">
        <f>"TARUMA"</f>
        <v>TARUMA</v>
      </c>
      <c r="B5441" s="3" t="str">
        <f>"SP"</f>
        <v>SP</v>
      </c>
      <c r="C5441" s="3" t="str">
        <f t="shared" si="203"/>
        <v>BRASIL</v>
      </c>
      <c r="D5441" s="4" t="str">
        <f>"SP603"</f>
        <v>SP603</v>
      </c>
    </row>
    <row r="5442" spans="1:4" x14ac:dyDescent="0.3">
      <c r="A5442" s="2" t="str">
        <f>"TARUMIRIM"</f>
        <v>TARUMIRIM</v>
      </c>
      <c r="B5442" s="3" t="str">
        <f>"MG"</f>
        <v>MG</v>
      </c>
      <c r="C5442" s="3" t="str">
        <f t="shared" si="203"/>
        <v>BRASIL</v>
      </c>
      <c r="D5442" s="4" t="str">
        <f>"MG803"</f>
        <v>MG803</v>
      </c>
    </row>
    <row r="5443" spans="1:4" x14ac:dyDescent="0.3">
      <c r="A5443" s="2" t="str">
        <f>"TASSO FRAGOSO"</f>
        <v>TASSO FRAGOSO</v>
      </c>
      <c r="B5443" s="3" t="str">
        <f>"MA"</f>
        <v>MA</v>
      </c>
      <c r="C5443" s="3" t="str">
        <f t="shared" si="203"/>
        <v>BRASIL</v>
      </c>
      <c r="D5443" s="4" t="str">
        <f>"MA202"</f>
        <v>MA202</v>
      </c>
    </row>
    <row r="5444" spans="1:4" x14ac:dyDescent="0.3">
      <c r="A5444" s="2" t="str">
        <f>"TATUI"</f>
        <v>TATUI</v>
      </c>
      <c r="B5444" s="3" t="str">
        <f>"SP"</f>
        <v>SP</v>
      </c>
      <c r="C5444" s="3" t="str">
        <f t="shared" si="203"/>
        <v>BRASIL</v>
      </c>
      <c r="D5444" s="4" t="str">
        <f>"SP604"</f>
        <v>SP604</v>
      </c>
    </row>
    <row r="5445" spans="1:4" x14ac:dyDescent="0.3">
      <c r="A5445" s="2" t="str">
        <f>"TAUA"</f>
        <v>TAUA</v>
      </c>
      <c r="B5445" s="3" t="str">
        <f>"CE"</f>
        <v>CE</v>
      </c>
      <c r="C5445" s="3" t="str">
        <f t="shared" si="203"/>
        <v>BRASIL</v>
      </c>
      <c r="D5445" s="4" t="str">
        <f>"CE172"</f>
        <v>CE172</v>
      </c>
    </row>
    <row r="5446" spans="1:4" x14ac:dyDescent="0.3">
      <c r="A5446" s="2" t="str">
        <f>"TAUBATE"</f>
        <v>TAUBATE</v>
      </c>
      <c r="B5446" s="3" t="str">
        <f>"SP"</f>
        <v>SP</v>
      </c>
      <c r="C5446" s="3" t="str">
        <f t="shared" si="203"/>
        <v>BRASIL</v>
      </c>
      <c r="D5446" s="4" t="str">
        <f>"SP605"</f>
        <v>SP605</v>
      </c>
    </row>
    <row r="5447" spans="1:4" x14ac:dyDescent="0.3">
      <c r="A5447" s="2" t="str">
        <f>"TAVARES"</f>
        <v>TAVARES</v>
      </c>
      <c r="B5447" s="3" t="str">
        <f>"PB"</f>
        <v>PB</v>
      </c>
      <c r="C5447" s="3" t="str">
        <f t="shared" si="203"/>
        <v>BRASIL</v>
      </c>
      <c r="D5447" s="4" t="str">
        <f>"PB215"</f>
        <v>PB215</v>
      </c>
    </row>
    <row r="5448" spans="1:4" x14ac:dyDescent="0.3">
      <c r="A5448" s="2" t="str">
        <f>"TAVARES"</f>
        <v>TAVARES</v>
      </c>
      <c r="B5448" s="3" t="str">
        <f>"RS"</f>
        <v>RS</v>
      </c>
      <c r="C5448" s="3" t="str">
        <f t="shared" si="203"/>
        <v>BRASIL</v>
      </c>
      <c r="D5448" s="4" t="str">
        <f>"RS444"</f>
        <v>RS444</v>
      </c>
    </row>
    <row r="5449" spans="1:4" x14ac:dyDescent="0.3">
      <c r="A5449" s="2" t="str">
        <f>"TEFE"</f>
        <v>TEFE</v>
      </c>
      <c r="B5449" s="3" t="str">
        <f>"AM"</f>
        <v>AM</v>
      </c>
      <c r="C5449" s="3" t="str">
        <f t="shared" si="203"/>
        <v>BRASIL</v>
      </c>
      <c r="D5449" s="4" t="str">
        <f>"AM058"</f>
        <v>AM058</v>
      </c>
    </row>
    <row r="5450" spans="1:4" x14ac:dyDescent="0.3">
      <c r="A5450" s="2" t="str">
        <f>"TEHRAN"</f>
        <v>TEHRAN</v>
      </c>
      <c r="B5450" s="3" t="str">
        <f>"EX"</f>
        <v>EX</v>
      </c>
      <c r="C5450" s="3" t="str">
        <f>"IRAN"</f>
        <v>IRAN</v>
      </c>
      <c r="D5450" s="4" t="str">
        <f>"TEHRA"</f>
        <v>TEHRA</v>
      </c>
    </row>
    <row r="5451" spans="1:4" x14ac:dyDescent="0.3">
      <c r="A5451" s="2" t="str">
        <f>"TEIXEIRA"</f>
        <v>TEIXEIRA</v>
      </c>
      <c r="B5451" s="3" t="str">
        <f>"PB"</f>
        <v>PB</v>
      </c>
      <c r="C5451" s="3" t="str">
        <f t="shared" ref="C5451:C5462" si="204">"BRASIL"</f>
        <v>BRASIL</v>
      </c>
      <c r="D5451" s="4" t="str">
        <f>"PB216"</f>
        <v>PB216</v>
      </c>
    </row>
    <row r="5452" spans="1:4" x14ac:dyDescent="0.3">
      <c r="A5452" s="2" t="str">
        <f>"TEIXEIRA DE FREITAS"</f>
        <v>TEIXEIRA DE FREITAS</v>
      </c>
      <c r="B5452" s="3" t="str">
        <f>"BA"</f>
        <v>BA</v>
      </c>
      <c r="C5452" s="3" t="str">
        <f t="shared" si="204"/>
        <v>BRASIL</v>
      </c>
      <c r="D5452" s="4" t="str">
        <f>"BA388"</f>
        <v>BA388</v>
      </c>
    </row>
    <row r="5453" spans="1:4" x14ac:dyDescent="0.3">
      <c r="A5453" s="2" t="str">
        <f>"TEIXEIRA SOARES"</f>
        <v>TEIXEIRA SOARES</v>
      </c>
      <c r="B5453" s="3" t="str">
        <f>"PR"</f>
        <v>PR</v>
      </c>
      <c r="C5453" s="3" t="str">
        <f t="shared" si="204"/>
        <v>BRASIL</v>
      </c>
      <c r="D5453" s="4" t="str">
        <f>"PR372"</f>
        <v>PR372</v>
      </c>
    </row>
    <row r="5454" spans="1:4" x14ac:dyDescent="0.3">
      <c r="A5454" s="2" t="str">
        <f>"TEIXEIRAS"</f>
        <v>TEIXEIRAS</v>
      </c>
      <c r="B5454" s="3" t="str">
        <f>"MG"</f>
        <v>MG</v>
      </c>
      <c r="C5454" s="3" t="str">
        <f t="shared" si="204"/>
        <v>BRASIL</v>
      </c>
      <c r="D5454" s="4" t="str">
        <f>"MG804"</f>
        <v>MG804</v>
      </c>
    </row>
    <row r="5455" spans="1:4" x14ac:dyDescent="0.3">
      <c r="A5455" s="2" t="str">
        <f>"TEIXEIROPOLIS"</f>
        <v>TEIXEIROPOLIS</v>
      </c>
      <c r="B5455" s="3" t="str">
        <f>"RO"</f>
        <v>RO</v>
      </c>
      <c r="C5455" s="3" t="str">
        <f t="shared" si="204"/>
        <v>BRASIL</v>
      </c>
      <c r="D5455" s="4" t="str">
        <f>"RO048"</f>
        <v>RO048</v>
      </c>
    </row>
    <row r="5456" spans="1:4" x14ac:dyDescent="0.3">
      <c r="A5456" s="2" t="str">
        <f>"TEJUCUOCA"</f>
        <v>TEJUCUOCA</v>
      </c>
      <c r="B5456" s="3" t="str">
        <f>"CE"</f>
        <v>CE</v>
      </c>
      <c r="C5456" s="3" t="str">
        <f t="shared" si="204"/>
        <v>BRASIL</v>
      </c>
      <c r="D5456" s="4" t="str">
        <f>"CE173"</f>
        <v>CE173</v>
      </c>
    </row>
    <row r="5457" spans="1:4" x14ac:dyDescent="0.3">
      <c r="A5457" s="2" t="str">
        <f>"TEJUPA"</f>
        <v>TEJUPA</v>
      </c>
      <c r="B5457" s="3" t="str">
        <f>"SP"</f>
        <v>SP</v>
      </c>
      <c r="C5457" s="3" t="str">
        <f t="shared" si="204"/>
        <v>BRASIL</v>
      </c>
      <c r="D5457" s="4" t="str">
        <f>"SP606"</f>
        <v>SP606</v>
      </c>
    </row>
    <row r="5458" spans="1:4" x14ac:dyDescent="0.3">
      <c r="A5458" s="2" t="str">
        <f>"TELEMACO BORBA"</f>
        <v>TELEMACO BORBA</v>
      </c>
      <c r="B5458" s="3" t="str">
        <f>"PR"</f>
        <v>PR</v>
      </c>
      <c r="C5458" s="3" t="str">
        <f t="shared" si="204"/>
        <v>BRASIL</v>
      </c>
      <c r="D5458" s="4" t="str">
        <f>"PR373"</f>
        <v>PR373</v>
      </c>
    </row>
    <row r="5459" spans="1:4" x14ac:dyDescent="0.3">
      <c r="A5459" s="2" t="str">
        <f>"TELHA"</f>
        <v>TELHA</v>
      </c>
      <c r="B5459" s="3" t="str">
        <f>"SE"</f>
        <v>SE</v>
      </c>
      <c r="C5459" s="3" t="str">
        <f t="shared" si="204"/>
        <v>BRASIL</v>
      </c>
      <c r="D5459" s="4" t="str">
        <f>"SE072"</f>
        <v>SE072</v>
      </c>
    </row>
    <row r="5460" spans="1:4" x14ac:dyDescent="0.3">
      <c r="A5460" s="2" t="str">
        <f>"TENENTE ANANIAS"</f>
        <v>TENENTE ANANIAS</v>
      </c>
      <c r="B5460" s="3" t="str">
        <f>"RN"</f>
        <v>RN</v>
      </c>
      <c r="C5460" s="3" t="str">
        <f t="shared" si="204"/>
        <v>BRASIL</v>
      </c>
      <c r="D5460" s="4" t="str">
        <f>"RN155"</f>
        <v>RN155</v>
      </c>
    </row>
    <row r="5461" spans="1:4" x14ac:dyDescent="0.3">
      <c r="A5461" s="2" t="str">
        <f>"TENENTE LAURENTINO CRUZ"</f>
        <v>TENENTE LAURENTINO CRUZ</v>
      </c>
      <c r="B5461" s="3" t="str">
        <f>"RN"</f>
        <v>RN</v>
      </c>
      <c r="C5461" s="3" t="str">
        <f t="shared" si="204"/>
        <v>BRASIL</v>
      </c>
      <c r="D5461" s="4" t="str">
        <f>"RN156"</f>
        <v>RN156</v>
      </c>
    </row>
    <row r="5462" spans="1:4" x14ac:dyDescent="0.3">
      <c r="A5462" s="2" t="str">
        <f>"TENENTE PORTELA"</f>
        <v>TENENTE PORTELA</v>
      </c>
      <c r="B5462" s="3" t="str">
        <f>"RS"</f>
        <v>RS</v>
      </c>
      <c r="C5462" s="3" t="str">
        <f t="shared" si="204"/>
        <v>BRASIL</v>
      </c>
      <c r="D5462" s="4" t="str">
        <f>"RS445"</f>
        <v>RS445</v>
      </c>
    </row>
    <row r="5463" spans="1:4" x14ac:dyDescent="0.3">
      <c r="A5463" s="2" t="str">
        <f>"TENO"</f>
        <v>TENO</v>
      </c>
      <c r="B5463" s="3" t="str">
        <f>"EX"</f>
        <v>EX</v>
      </c>
      <c r="C5463" s="3" t="str">
        <f>"CHILE"</f>
        <v>CHILE</v>
      </c>
      <c r="D5463" s="4" t="str">
        <f>"TENO"</f>
        <v>TENO</v>
      </c>
    </row>
    <row r="5464" spans="1:4" x14ac:dyDescent="0.3">
      <c r="A5464" s="2" t="str">
        <f>"TENORIO"</f>
        <v>TENORIO</v>
      </c>
      <c r="B5464" s="3" t="str">
        <f>"PB"</f>
        <v>PB</v>
      </c>
      <c r="C5464" s="3" t="str">
        <f t="shared" ref="C5464:C5488" si="205">"BRASIL"</f>
        <v>BRASIL</v>
      </c>
      <c r="D5464" s="4" t="str">
        <f>"PB217"</f>
        <v>PB217</v>
      </c>
    </row>
    <row r="5465" spans="1:4" x14ac:dyDescent="0.3">
      <c r="A5465" s="2" t="str">
        <f>"TEODORO SAMPAIO"</f>
        <v>TEODORO SAMPAIO</v>
      </c>
      <c r="B5465" s="3" t="str">
        <f>"BA"</f>
        <v>BA</v>
      </c>
      <c r="C5465" s="3" t="str">
        <f t="shared" si="205"/>
        <v>BRASIL</v>
      </c>
      <c r="D5465" s="4" t="str">
        <f>"BA389"</f>
        <v>BA389</v>
      </c>
    </row>
    <row r="5466" spans="1:4" x14ac:dyDescent="0.3">
      <c r="A5466" s="2" t="str">
        <f>"TEODORO SAMPAIO"</f>
        <v>TEODORO SAMPAIO</v>
      </c>
      <c r="B5466" s="3" t="str">
        <f>"SP"</f>
        <v>SP</v>
      </c>
      <c r="C5466" s="3" t="str">
        <f t="shared" si="205"/>
        <v>BRASIL</v>
      </c>
      <c r="D5466" s="4" t="str">
        <f>"SP607"</f>
        <v>SP607</v>
      </c>
    </row>
    <row r="5467" spans="1:4" x14ac:dyDescent="0.3">
      <c r="A5467" s="2" t="str">
        <f>"TEOFILANDIA"</f>
        <v>TEOFILANDIA</v>
      </c>
      <c r="B5467" s="3" t="str">
        <f>"BA"</f>
        <v>BA</v>
      </c>
      <c r="C5467" s="3" t="str">
        <f t="shared" si="205"/>
        <v>BRASIL</v>
      </c>
      <c r="D5467" s="4" t="str">
        <f>"BA390"</f>
        <v>BA390</v>
      </c>
    </row>
    <row r="5468" spans="1:4" x14ac:dyDescent="0.3">
      <c r="A5468" s="2" t="str">
        <f>"TEOFILO OTONI"</f>
        <v>TEOFILO OTONI</v>
      </c>
      <c r="B5468" s="3" t="str">
        <f>"MG"</f>
        <v>MG</v>
      </c>
      <c r="C5468" s="3" t="str">
        <f t="shared" si="205"/>
        <v>BRASIL</v>
      </c>
      <c r="D5468" s="4" t="str">
        <f>"MG805"</f>
        <v>MG805</v>
      </c>
    </row>
    <row r="5469" spans="1:4" x14ac:dyDescent="0.3">
      <c r="A5469" s="2" t="str">
        <f>"TEOLANDIA"</f>
        <v>TEOLANDIA</v>
      </c>
      <c r="B5469" s="3" t="str">
        <f>"BA"</f>
        <v>BA</v>
      </c>
      <c r="C5469" s="3" t="str">
        <f t="shared" si="205"/>
        <v>BRASIL</v>
      </c>
      <c r="D5469" s="4" t="str">
        <f>"BA391"</f>
        <v>BA391</v>
      </c>
    </row>
    <row r="5470" spans="1:4" x14ac:dyDescent="0.3">
      <c r="A5470" s="2" t="str">
        <f>"TEOTONIO VILELA"</f>
        <v>TEOTONIO VILELA</v>
      </c>
      <c r="B5470" s="3" t="str">
        <f>"AL"</f>
        <v>AL</v>
      </c>
      <c r="C5470" s="3" t="str">
        <f t="shared" si="205"/>
        <v>BRASIL</v>
      </c>
      <c r="D5470" s="4" t="str">
        <f>"AL099"</f>
        <v>AL099</v>
      </c>
    </row>
    <row r="5471" spans="1:4" x14ac:dyDescent="0.3">
      <c r="A5471" s="2" t="str">
        <f>"TERENOS"</f>
        <v>TERENOS</v>
      </c>
      <c r="B5471" s="3" t="str">
        <f>"MS"</f>
        <v>MS</v>
      </c>
      <c r="C5471" s="3" t="str">
        <f t="shared" si="205"/>
        <v>BRASIL</v>
      </c>
      <c r="D5471" s="4" t="str">
        <f>"MS076"</f>
        <v>MS076</v>
      </c>
    </row>
    <row r="5472" spans="1:4" x14ac:dyDescent="0.3">
      <c r="A5472" s="2" t="str">
        <f>"TERESINA"</f>
        <v>TERESINA</v>
      </c>
      <c r="B5472" s="3" t="str">
        <f>"PI"</f>
        <v>PI</v>
      </c>
      <c r="C5472" s="3" t="str">
        <f t="shared" si="205"/>
        <v>BRASIL</v>
      </c>
      <c r="D5472" s="4" t="str">
        <f>"PI215"</f>
        <v>PI215</v>
      </c>
    </row>
    <row r="5473" spans="1:4" x14ac:dyDescent="0.3">
      <c r="A5473" s="2" t="str">
        <f>"TERESINA DE GOIAS"</f>
        <v>TERESINA DE GOIAS</v>
      </c>
      <c r="B5473" s="3" t="str">
        <f>"GO"</f>
        <v>GO</v>
      </c>
      <c r="C5473" s="3" t="str">
        <f t="shared" si="205"/>
        <v>BRASIL</v>
      </c>
      <c r="D5473" s="4" t="str">
        <f>"GO230"</f>
        <v>GO230</v>
      </c>
    </row>
    <row r="5474" spans="1:4" x14ac:dyDescent="0.3">
      <c r="A5474" s="2" t="str">
        <f>"TERESOPOLIS"</f>
        <v>TERESOPOLIS</v>
      </c>
      <c r="B5474" s="3" t="str">
        <f>"RJ"</f>
        <v>RJ</v>
      </c>
      <c r="C5474" s="3" t="str">
        <f t="shared" si="205"/>
        <v>BRASIL</v>
      </c>
      <c r="D5474" s="4" t="str">
        <f>"RJ086"</f>
        <v>RJ086</v>
      </c>
    </row>
    <row r="5475" spans="1:4" x14ac:dyDescent="0.3">
      <c r="A5475" s="2" t="str">
        <f>"TEREZINHA"</f>
        <v>TEREZINHA</v>
      </c>
      <c r="B5475" s="3" t="str">
        <f>"PE"</f>
        <v>PE</v>
      </c>
      <c r="C5475" s="3" t="str">
        <f t="shared" si="205"/>
        <v>BRASIL</v>
      </c>
      <c r="D5475" s="4" t="str">
        <f>"PE170"</f>
        <v>PE170</v>
      </c>
    </row>
    <row r="5476" spans="1:4" x14ac:dyDescent="0.3">
      <c r="A5476" s="2" t="str">
        <f>"TEREZOPOLIS DE GOIAS"</f>
        <v>TEREZOPOLIS DE GOIAS</v>
      </c>
      <c r="B5476" s="3" t="str">
        <f>"GO"</f>
        <v>GO</v>
      </c>
      <c r="C5476" s="3" t="str">
        <f t="shared" si="205"/>
        <v>BRASIL</v>
      </c>
      <c r="D5476" s="4" t="str">
        <f>"GO231"</f>
        <v>GO231</v>
      </c>
    </row>
    <row r="5477" spans="1:4" x14ac:dyDescent="0.3">
      <c r="A5477" s="2" t="str">
        <f>"TERRA ALTA"</f>
        <v>TERRA ALTA</v>
      </c>
      <c r="B5477" s="3" t="str">
        <f>"PA"</f>
        <v>PA</v>
      </c>
      <c r="C5477" s="3" t="str">
        <f t="shared" si="205"/>
        <v>BRASIL</v>
      </c>
      <c r="D5477" s="4" t="str">
        <f>"PA131"</f>
        <v>PA131</v>
      </c>
    </row>
    <row r="5478" spans="1:4" x14ac:dyDescent="0.3">
      <c r="A5478" s="2" t="str">
        <f>"TERRA BOA"</f>
        <v>TERRA BOA</v>
      </c>
      <c r="B5478" s="3" t="str">
        <f>"PR"</f>
        <v>PR</v>
      </c>
      <c r="C5478" s="3" t="str">
        <f t="shared" si="205"/>
        <v>BRASIL</v>
      </c>
      <c r="D5478" s="4" t="str">
        <f>"PR374"</f>
        <v>PR374</v>
      </c>
    </row>
    <row r="5479" spans="1:4" x14ac:dyDescent="0.3">
      <c r="A5479" s="2" t="str">
        <f>"TERRA DE AREIA"</f>
        <v>TERRA DE AREIA</v>
      </c>
      <c r="B5479" s="3" t="str">
        <f>"RS"</f>
        <v>RS</v>
      </c>
      <c r="C5479" s="3" t="str">
        <f t="shared" si="205"/>
        <v>BRASIL</v>
      </c>
      <c r="D5479" s="4" t="str">
        <f>"RS446"</f>
        <v>RS446</v>
      </c>
    </row>
    <row r="5480" spans="1:4" x14ac:dyDescent="0.3">
      <c r="A5480" s="2" t="str">
        <f>"TERRA NOVA"</f>
        <v>TERRA NOVA</v>
      </c>
      <c r="B5480" s="3" t="str">
        <f>"BA"</f>
        <v>BA</v>
      </c>
      <c r="C5480" s="3" t="str">
        <f t="shared" si="205"/>
        <v>BRASIL</v>
      </c>
      <c r="D5480" s="4" t="str">
        <f>"BA392"</f>
        <v>BA392</v>
      </c>
    </row>
    <row r="5481" spans="1:4" x14ac:dyDescent="0.3">
      <c r="A5481" s="2" t="str">
        <f>"TERRA NOVA"</f>
        <v>TERRA NOVA</v>
      </c>
      <c r="B5481" s="3" t="str">
        <f>"PE"</f>
        <v>PE</v>
      </c>
      <c r="C5481" s="3" t="str">
        <f t="shared" si="205"/>
        <v>BRASIL</v>
      </c>
      <c r="D5481" s="4" t="str">
        <f>"PE171"</f>
        <v>PE171</v>
      </c>
    </row>
    <row r="5482" spans="1:4" x14ac:dyDescent="0.3">
      <c r="A5482" s="2" t="str">
        <f>"TERRA NOVA DO NORTE"</f>
        <v>TERRA NOVA DO NORTE</v>
      </c>
      <c r="B5482" s="3" t="str">
        <f>"MT"</f>
        <v>MT</v>
      </c>
      <c r="C5482" s="3" t="str">
        <f t="shared" si="205"/>
        <v>BRASIL</v>
      </c>
      <c r="D5482" s="4" t="str">
        <f>"MT130"</f>
        <v>MT130</v>
      </c>
    </row>
    <row r="5483" spans="1:4" x14ac:dyDescent="0.3">
      <c r="A5483" s="2" t="str">
        <f>"TERRA RICA"</f>
        <v>TERRA RICA</v>
      </c>
      <c r="B5483" s="3" t="str">
        <f>"PR"</f>
        <v>PR</v>
      </c>
      <c r="C5483" s="3" t="str">
        <f t="shared" si="205"/>
        <v>BRASIL</v>
      </c>
      <c r="D5483" s="4" t="str">
        <f>"PR375"</f>
        <v>PR375</v>
      </c>
    </row>
    <row r="5484" spans="1:4" x14ac:dyDescent="0.3">
      <c r="A5484" s="2" t="str">
        <f>"TERRA ROXA"</f>
        <v>TERRA ROXA</v>
      </c>
      <c r="B5484" s="3" t="str">
        <f>"PR"</f>
        <v>PR</v>
      </c>
      <c r="C5484" s="3" t="str">
        <f t="shared" si="205"/>
        <v>BRASIL</v>
      </c>
      <c r="D5484" s="4" t="str">
        <f>"PR376"</f>
        <v>PR376</v>
      </c>
    </row>
    <row r="5485" spans="1:4" x14ac:dyDescent="0.3">
      <c r="A5485" s="2" t="str">
        <f>"TERRA ROXA"</f>
        <v>TERRA ROXA</v>
      </c>
      <c r="B5485" s="3" t="str">
        <f>"SP"</f>
        <v>SP</v>
      </c>
      <c r="C5485" s="3" t="str">
        <f t="shared" si="205"/>
        <v>BRASIL</v>
      </c>
      <c r="D5485" s="4" t="str">
        <f>"SP608"</f>
        <v>SP608</v>
      </c>
    </row>
    <row r="5486" spans="1:4" x14ac:dyDescent="0.3">
      <c r="A5486" s="2" t="str">
        <f>"TERRA SANTA"</f>
        <v>TERRA SANTA</v>
      </c>
      <c r="B5486" s="3" t="str">
        <f>"PA"</f>
        <v>PA</v>
      </c>
      <c r="C5486" s="3" t="str">
        <f t="shared" si="205"/>
        <v>BRASIL</v>
      </c>
      <c r="D5486" s="4" t="str">
        <f>"PA132"</f>
        <v>PA132</v>
      </c>
    </row>
    <row r="5487" spans="1:4" x14ac:dyDescent="0.3">
      <c r="A5487" s="2" t="str">
        <f>"TESOURO"</f>
        <v>TESOURO</v>
      </c>
      <c r="B5487" s="3" t="str">
        <f>"MT"</f>
        <v>MT</v>
      </c>
      <c r="C5487" s="3" t="str">
        <f t="shared" si="205"/>
        <v>BRASIL</v>
      </c>
      <c r="D5487" s="4" t="str">
        <f>"MT131"</f>
        <v>MT131</v>
      </c>
    </row>
    <row r="5488" spans="1:4" x14ac:dyDescent="0.3">
      <c r="A5488" s="2" t="str">
        <f>"TEUTONIA"</f>
        <v>TEUTONIA</v>
      </c>
      <c r="B5488" s="3" t="str">
        <f>"RS"</f>
        <v>RS</v>
      </c>
      <c r="C5488" s="3" t="str">
        <f t="shared" si="205"/>
        <v>BRASIL</v>
      </c>
      <c r="D5488" s="4" t="str">
        <f>"RS447"</f>
        <v>RS447</v>
      </c>
    </row>
    <row r="5489" spans="1:4" x14ac:dyDescent="0.3">
      <c r="A5489" s="2" t="str">
        <f>"TEXAS"</f>
        <v>TEXAS</v>
      </c>
      <c r="B5489" s="3" t="str">
        <f>"EX"</f>
        <v>EX</v>
      </c>
      <c r="C5489" s="3" t="str">
        <f>"ESTADOS UNIDOS"</f>
        <v>ESTADOS UNIDOS</v>
      </c>
      <c r="D5489" s="4" t="str">
        <f>"TEXAS"</f>
        <v>TEXAS</v>
      </c>
    </row>
    <row r="5490" spans="1:4" x14ac:dyDescent="0.3">
      <c r="A5490" s="2" t="str">
        <f>"THEOBROMA"</f>
        <v>THEOBROMA</v>
      </c>
      <c r="B5490" s="3" t="str">
        <f>"RO"</f>
        <v>RO</v>
      </c>
      <c r="C5490" s="3" t="str">
        <f t="shared" ref="C5490:C5511" si="206">"BRASIL"</f>
        <v>BRASIL</v>
      </c>
      <c r="D5490" s="4" t="str">
        <f>"RO049"</f>
        <v>RO049</v>
      </c>
    </row>
    <row r="5491" spans="1:4" x14ac:dyDescent="0.3">
      <c r="A5491" s="2" t="str">
        <f>"TIANGUA"</f>
        <v>TIANGUA</v>
      </c>
      <c r="B5491" s="3" t="str">
        <f>"CE"</f>
        <v>CE</v>
      </c>
      <c r="C5491" s="3" t="str">
        <f t="shared" si="206"/>
        <v>BRASIL</v>
      </c>
      <c r="D5491" s="4" t="str">
        <f>"CE174"</f>
        <v>CE174</v>
      </c>
    </row>
    <row r="5492" spans="1:4" x14ac:dyDescent="0.3">
      <c r="A5492" s="2" t="str">
        <f>"TIBAGI"</f>
        <v>TIBAGI</v>
      </c>
      <c r="B5492" s="3" t="str">
        <f>"PR"</f>
        <v>PR</v>
      </c>
      <c r="C5492" s="3" t="str">
        <f t="shared" si="206"/>
        <v>BRASIL</v>
      </c>
      <c r="D5492" s="4" t="str">
        <f>"PR377"</f>
        <v>PR377</v>
      </c>
    </row>
    <row r="5493" spans="1:4" x14ac:dyDescent="0.3">
      <c r="A5493" s="2" t="str">
        <f>"TIBAU"</f>
        <v>TIBAU</v>
      </c>
      <c r="B5493" s="3" t="str">
        <f>"RN"</f>
        <v>RN</v>
      </c>
      <c r="C5493" s="3" t="str">
        <f t="shared" si="206"/>
        <v>BRASIL</v>
      </c>
      <c r="D5493" s="4" t="str">
        <f>"RN121"</f>
        <v>RN121</v>
      </c>
    </row>
    <row r="5494" spans="1:4" x14ac:dyDescent="0.3">
      <c r="A5494" s="2" t="str">
        <f>"TIBAU DO SUL"</f>
        <v>TIBAU DO SUL</v>
      </c>
      <c r="B5494" s="3" t="str">
        <f>"RN"</f>
        <v>RN</v>
      </c>
      <c r="C5494" s="3" t="str">
        <f t="shared" si="206"/>
        <v>BRASIL</v>
      </c>
      <c r="D5494" s="4" t="str">
        <f>"RN157"</f>
        <v>RN157</v>
      </c>
    </row>
    <row r="5495" spans="1:4" x14ac:dyDescent="0.3">
      <c r="A5495" s="2" t="str">
        <f>"TIETE"</f>
        <v>TIETE</v>
      </c>
      <c r="B5495" s="3" t="str">
        <f>"SP"</f>
        <v>SP</v>
      </c>
      <c r="C5495" s="3" t="str">
        <f t="shared" si="206"/>
        <v>BRASIL</v>
      </c>
      <c r="D5495" s="4" t="str">
        <f>"SP609"</f>
        <v>SP609</v>
      </c>
    </row>
    <row r="5496" spans="1:4" x14ac:dyDescent="0.3">
      <c r="A5496" s="2" t="str">
        <f>"TIGRINHOS"</f>
        <v>TIGRINHOS</v>
      </c>
      <c r="B5496" s="3" t="str">
        <f>"SC"</f>
        <v>SC</v>
      </c>
      <c r="C5496" s="3" t="str">
        <f t="shared" si="206"/>
        <v>BRASIL</v>
      </c>
      <c r="D5496" s="4" t="str">
        <f>"SC266"</f>
        <v>SC266</v>
      </c>
    </row>
    <row r="5497" spans="1:4" x14ac:dyDescent="0.3">
      <c r="A5497" s="2" t="str">
        <f>"TIJUCAS"</f>
        <v>TIJUCAS</v>
      </c>
      <c r="B5497" s="3" t="str">
        <f>"SC"</f>
        <v>SC</v>
      </c>
      <c r="C5497" s="3" t="str">
        <f t="shared" si="206"/>
        <v>BRASIL</v>
      </c>
      <c r="D5497" s="4" t="str">
        <f>"SC267"</f>
        <v>SC267</v>
      </c>
    </row>
    <row r="5498" spans="1:4" x14ac:dyDescent="0.3">
      <c r="A5498" s="2" t="str">
        <f>"TIJUCAS DO SUL"</f>
        <v>TIJUCAS DO SUL</v>
      </c>
      <c r="B5498" s="3" t="str">
        <f>"PR"</f>
        <v>PR</v>
      </c>
      <c r="C5498" s="3" t="str">
        <f t="shared" si="206"/>
        <v>BRASIL</v>
      </c>
      <c r="D5498" s="4" t="str">
        <f>"PR378"</f>
        <v>PR378</v>
      </c>
    </row>
    <row r="5499" spans="1:4" x14ac:dyDescent="0.3">
      <c r="A5499" s="2" t="str">
        <f>"TIMBAUBA"</f>
        <v>TIMBAUBA</v>
      </c>
      <c r="B5499" s="3" t="str">
        <f>"PE"</f>
        <v>PE</v>
      </c>
      <c r="C5499" s="3" t="str">
        <f t="shared" si="206"/>
        <v>BRASIL</v>
      </c>
      <c r="D5499" s="4" t="str">
        <f>"PE172"</f>
        <v>PE172</v>
      </c>
    </row>
    <row r="5500" spans="1:4" x14ac:dyDescent="0.3">
      <c r="A5500" s="2" t="str">
        <f>"TIMBAUBA DOS BATISTAS"</f>
        <v>TIMBAUBA DOS BATISTAS</v>
      </c>
      <c r="B5500" s="3" t="str">
        <f>"RN"</f>
        <v>RN</v>
      </c>
      <c r="C5500" s="3" t="str">
        <f t="shared" si="206"/>
        <v>BRASIL</v>
      </c>
      <c r="D5500" s="4" t="str">
        <f>"RN158"</f>
        <v>RN158</v>
      </c>
    </row>
    <row r="5501" spans="1:4" x14ac:dyDescent="0.3">
      <c r="A5501" s="2" t="str">
        <f>"TIMBE DO SUL"</f>
        <v>TIMBE DO SUL</v>
      </c>
      <c r="B5501" s="3" t="str">
        <f>"SC"</f>
        <v>SC</v>
      </c>
      <c r="C5501" s="3" t="str">
        <f t="shared" si="206"/>
        <v>BRASIL</v>
      </c>
      <c r="D5501" s="4" t="str">
        <f>"SC268"</f>
        <v>SC268</v>
      </c>
    </row>
    <row r="5502" spans="1:4" x14ac:dyDescent="0.3">
      <c r="A5502" s="2" t="str">
        <f>"TIMBIRAS"</f>
        <v>TIMBIRAS</v>
      </c>
      <c r="B5502" s="3" t="str">
        <f>"MA"</f>
        <v>MA</v>
      </c>
      <c r="C5502" s="3" t="str">
        <f t="shared" si="206"/>
        <v>BRASIL</v>
      </c>
      <c r="D5502" s="4" t="str">
        <f>"MA203"</f>
        <v>MA203</v>
      </c>
    </row>
    <row r="5503" spans="1:4" x14ac:dyDescent="0.3">
      <c r="A5503" s="2" t="str">
        <f>"TIMBO"</f>
        <v>TIMBO</v>
      </c>
      <c r="B5503" s="3" t="str">
        <f>"SC"</f>
        <v>SC</v>
      </c>
      <c r="C5503" s="3" t="str">
        <f t="shared" si="206"/>
        <v>BRASIL</v>
      </c>
      <c r="D5503" s="4" t="str">
        <f>"SC269"</f>
        <v>SC269</v>
      </c>
    </row>
    <row r="5504" spans="1:4" x14ac:dyDescent="0.3">
      <c r="A5504" s="2" t="str">
        <f>"TIMBO GRANDE"</f>
        <v>TIMBO GRANDE</v>
      </c>
      <c r="B5504" s="3" t="str">
        <f>"SC"</f>
        <v>SC</v>
      </c>
      <c r="C5504" s="3" t="str">
        <f t="shared" si="206"/>
        <v>BRASIL</v>
      </c>
      <c r="D5504" s="4" t="str">
        <f>"SC270"</f>
        <v>SC270</v>
      </c>
    </row>
    <row r="5505" spans="1:4" x14ac:dyDescent="0.3">
      <c r="A5505" s="2" t="str">
        <f>"TIMBURI"</f>
        <v>TIMBURI</v>
      </c>
      <c r="B5505" s="3" t="str">
        <f>"SP"</f>
        <v>SP</v>
      </c>
      <c r="C5505" s="3" t="str">
        <f t="shared" si="206"/>
        <v>BRASIL</v>
      </c>
      <c r="D5505" s="4" t="str">
        <f>"SP610"</f>
        <v>SP610</v>
      </c>
    </row>
    <row r="5506" spans="1:4" x14ac:dyDescent="0.3">
      <c r="A5506" s="2" t="str">
        <f>"TIMON"</f>
        <v>TIMON</v>
      </c>
      <c r="B5506" s="3" t="str">
        <f>"MA"</f>
        <v>MA</v>
      </c>
      <c r="C5506" s="3" t="str">
        <f t="shared" si="206"/>
        <v>BRASIL</v>
      </c>
      <c r="D5506" s="4" t="str">
        <f>"MA204"</f>
        <v>MA204</v>
      </c>
    </row>
    <row r="5507" spans="1:4" x14ac:dyDescent="0.3">
      <c r="A5507" s="2" t="str">
        <f>"TIMOTEO"</f>
        <v>TIMOTEO</v>
      </c>
      <c r="B5507" s="3" t="str">
        <f>"MG"</f>
        <v>MG</v>
      </c>
      <c r="C5507" s="3" t="str">
        <f t="shared" si="206"/>
        <v>BRASIL</v>
      </c>
      <c r="D5507" s="4" t="str">
        <f>"MG806"</f>
        <v>MG806</v>
      </c>
    </row>
    <row r="5508" spans="1:4" x14ac:dyDescent="0.3">
      <c r="A5508" s="2" t="str">
        <f>"TIO HUGO"</f>
        <v>TIO HUGO</v>
      </c>
      <c r="B5508" s="3" t="str">
        <f>"RS"</f>
        <v>RS</v>
      </c>
      <c r="C5508" s="3" t="str">
        <f t="shared" si="206"/>
        <v>BRASIL</v>
      </c>
      <c r="D5508" s="4" t="str">
        <f>"RS448"</f>
        <v>RS448</v>
      </c>
    </row>
    <row r="5509" spans="1:4" x14ac:dyDescent="0.3">
      <c r="A5509" s="2" t="str">
        <f>"TIRADENTES"</f>
        <v>TIRADENTES</v>
      </c>
      <c r="B5509" s="3" t="str">
        <f>"MG"</f>
        <v>MG</v>
      </c>
      <c r="C5509" s="3" t="str">
        <f t="shared" si="206"/>
        <v>BRASIL</v>
      </c>
      <c r="D5509" s="4" t="str">
        <f>"MG807"</f>
        <v>MG807</v>
      </c>
    </row>
    <row r="5510" spans="1:4" x14ac:dyDescent="0.3">
      <c r="A5510" s="2" t="str">
        <f>"TIRADENTES DO SUL"</f>
        <v>TIRADENTES DO SUL</v>
      </c>
      <c r="B5510" s="3" t="str">
        <f>"RS"</f>
        <v>RS</v>
      </c>
      <c r="C5510" s="3" t="str">
        <f t="shared" si="206"/>
        <v>BRASIL</v>
      </c>
      <c r="D5510" s="4" t="str">
        <f>"RS449"</f>
        <v>RS449</v>
      </c>
    </row>
    <row r="5511" spans="1:4" x14ac:dyDescent="0.3">
      <c r="A5511" s="2" t="str">
        <f>"TIROS"</f>
        <v>TIROS</v>
      </c>
      <c r="B5511" s="3" t="str">
        <f>"MG"</f>
        <v>MG</v>
      </c>
      <c r="C5511" s="3" t="str">
        <f t="shared" si="206"/>
        <v>BRASIL</v>
      </c>
      <c r="D5511" s="4" t="str">
        <f>"MG808"</f>
        <v>MG808</v>
      </c>
    </row>
    <row r="5512" spans="1:4" x14ac:dyDescent="0.3">
      <c r="A5512" s="2" t="str">
        <f>"TLALNEPANTLA"</f>
        <v>TLALNEPANTLA</v>
      </c>
      <c r="B5512" s="3" t="str">
        <f>"EX"</f>
        <v>EX</v>
      </c>
      <c r="C5512" s="3" t="str">
        <f>"MEXICO"</f>
        <v>MEXICO</v>
      </c>
      <c r="D5512" s="4" t="str">
        <f>"TLALN"</f>
        <v>TLALN</v>
      </c>
    </row>
    <row r="5513" spans="1:4" x14ac:dyDescent="0.3">
      <c r="A5513" s="2" t="str">
        <f>"TOBIAS BARRETO"</f>
        <v>TOBIAS BARRETO</v>
      </c>
      <c r="B5513" s="3" t="str">
        <f>"SE"</f>
        <v>SE</v>
      </c>
      <c r="C5513" s="3" t="str">
        <f>"BRASIL"</f>
        <v>BRASIL</v>
      </c>
      <c r="D5513" s="4" t="str">
        <f>"SE073"</f>
        <v>SE073</v>
      </c>
    </row>
    <row r="5514" spans="1:4" x14ac:dyDescent="0.3">
      <c r="A5514" s="2" t="str">
        <f>"TOCANTINIA"</f>
        <v>TOCANTINIA</v>
      </c>
      <c r="B5514" s="3" t="str">
        <f>"TO"</f>
        <v>TO</v>
      </c>
      <c r="C5514" s="3" t="str">
        <f>"BRASIL"</f>
        <v>BRASIL</v>
      </c>
      <c r="D5514" s="4" t="str">
        <f>"TO134"</f>
        <v>TO134</v>
      </c>
    </row>
    <row r="5515" spans="1:4" x14ac:dyDescent="0.3">
      <c r="A5515" s="2" t="str">
        <f>"TOCANTINOPOLIS"</f>
        <v>TOCANTINOPOLIS</v>
      </c>
      <c r="B5515" s="3" t="str">
        <f>"TO"</f>
        <v>TO</v>
      </c>
      <c r="C5515" s="3" t="str">
        <f>"BRASIL"</f>
        <v>BRASIL</v>
      </c>
      <c r="D5515" s="4" t="str">
        <f>"TO135"</f>
        <v>TO135</v>
      </c>
    </row>
    <row r="5516" spans="1:4" x14ac:dyDescent="0.3">
      <c r="A5516" s="2" t="str">
        <f>"TOCANTINS"</f>
        <v>TOCANTINS</v>
      </c>
      <c r="B5516" s="3" t="str">
        <f>"MG"</f>
        <v>MG</v>
      </c>
      <c r="C5516" s="3" t="str">
        <f>"BRASIL"</f>
        <v>BRASIL</v>
      </c>
      <c r="D5516" s="4" t="str">
        <f>"MG809"</f>
        <v>MG809</v>
      </c>
    </row>
    <row r="5517" spans="1:4" x14ac:dyDescent="0.3">
      <c r="A5517" s="2" t="str">
        <f>"TOCOS DO MOJI"</f>
        <v>TOCOS DO MOJI</v>
      </c>
      <c r="B5517" s="3" t="str">
        <f>"MG"</f>
        <v>MG</v>
      </c>
      <c r="C5517" s="3" t="str">
        <f>"BRASIL"</f>
        <v>BRASIL</v>
      </c>
      <c r="D5517" s="4" t="str">
        <f>"MG810"</f>
        <v>MG810</v>
      </c>
    </row>
    <row r="5518" spans="1:4" x14ac:dyDescent="0.3">
      <c r="A5518" s="2" t="str">
        <f>"TOKYO"</f>
        <v>TOKYO</v>
      </c>
      <c r="B5518" s="3" t="str">
        <f>"EX"</f>
        <v>EX</v>
      </c>
      <c r="C5518" s="3" t="str">
        <f>"JAPAO"</f>
        <v>JAPAO</v>
      </c>
      <c r="D5518" s="4" t="str">
        <f>"TOKYO"</f>
        <v>TOKYO</v>
      </c>
    </row>
    <row r="5519" spans="1:4" x14ac:dyDescent="0.3">
      <c r="A5519" s="2" t="str">
        <f>"TOLEDO"</f>
        <v>TOLEDO</v>
      </c>
      <c r="B5519" s="3" t="str">
        <f>"MG"</f>
        <v>MG</v>
      </c>
      <c r="C5519" s="3" t="str">
        <f>"BRASIL"</f>
        <v>BRASIL</v>
      </c>
      <c r="D5519" s="4" t="str">
        <f>"MG811"</f>
        <v>MG811</v>
      </c>
    </row>
    <row r="5520" spans="1:4" x14ac:dyDescent="0.3">
      <c r="A5520" s="2" t="str">
        <f>"TOLEDO"</f>
        <v>TOLEDO</v>
      </c>
      <c r="B5520" s="3" t="str">
        <f>"PR"</f>
        <v>PR</v>
      </c>
      <c r="C5520" s="3" t="str">
        <f>"BRASIL"</f>
        <v>BRASIL</v>
      </c>
      <c r="D5520" s="4" t="str">
        <f>"PR379"</f>
        <v>PR379</v>
      </c>
    </row>
    <row r="5521" spans="1:4" x14ac:dyDescent="0.3">
      <c r="A5521" s="2" t="str">
        <f>"TOLOSA"</f>
        <v>TOLOSA</v>
      </c>
      <c r="B5521" s="3" t="str">
        <f>"EX"</f>
        <v>EX</v>
      </c>
      <c r="C5521" s="3" t="str">
        <f>"ESPANHA"</f>
        <v>ESPANHA</v>
      </c>
      <c r="D5521" s="4" t="str">
        <f>"TOLOS"</f>
        <v>TOLOS</v>
      </c>
    </row>
    <row r="5522" spans="1:4" x14ac:dyDescent="0.3">
      <c r="A5522" s="2" t="str">
        <f>"TOMAR DO GERU"</f>
        <v>TOMAR DO GERU</v>
      </c>
      <c r="B5522" s="3" t="str">
        <f>"SE"</f>
        <v>SE</v>
      </c>
      <c r="C5522" s="3" t="str">
        <f t="shared" ref="C5522:C5553" si="207">"BRASIL"</f>
        <v>BRASIL</v>
      </c>
      <c r="D5522" s="4" t="str">
        <f>"SE074"</f>
        <v>SE074</v>
      </c>
    </row>
    <row r="5523" spans="1:4" x14ac:dyDescent="0.3">
      <c r="A5523" s="2" t="str">
        <f>"TOMAZINA"</f>
        <v>TOMAZINA</v>
      </c>
      <c r="B5523" s="3" t="str">
        <f>"PR"</f>
        <v>PR</v>
      </c>
      <c r="C5523" s="3" t="str">
        <f t="shared" si="207"/>
        <v>BRASIL</v>
      </c>
      <c r="D5523" s="4" t="str">
        <f>"PR380"</f>
        <v>PR380</v>
      </c>
    </row>
    <row r="5524" spans="1:4" x14ac:dyDescent="0.3">
      <c r="A5524" s="2" t="str">
        <f>"TOMBOS"</f>
        <v>TOMBOS</v>
      </c>
      <c r="B5524" s="3" t="str">
        <f>"MG"</f>
        <v>MG</v>
      </c>
      <c r="C5524" s="3" t="str">
        <f t="shared" si="207"/>
        <v>BRASIL</v>
      </c>
      <c r="D5524" s="4" t="str">
        <f>"MG812"</f>
        <v>MG812</v>
      </c>
    </row>
    <row r="5525" spans="1:4" x14ac:dyDescent="0.3">
      <c r="A5525" s="2" t="str">
        <f>"TOME-ACU"</f>
        <v>TOME-ACU</v>
      </c>
      <c r="B5525" s="3" t="str">
        <f>"PA"</f>
        <v>PA</v>
      </c>
      <c r="C5525" s="3" t="str">
        <f t="shared" si="207"/>
        <v>BRASIL</v>
      </c>
      <c r="D5525" s="4" t="str">
        <f>"PA133"</f>
        <v>PA133</v>
      </c>
    </row>
    <row r="5526" spans="1:4" x14ac:dyDescent="0.3">
      <c r="A5526" s="2" t="str">
        <f>"TONANTINS"</f>
        <v>TONANTINS</v>
      </c>
      <c r="B5526" s="3" t="str">
        <f>"AM"</f>
        <v>AM</v>
      </c>
      <c r="C5526" s="3" t="str">
        <f t="shared" si="207"/>
        <v>BRASIL</v>
      </c>
      <c r="D5526" s="4" t="str">
        <f>"AM059"</f>
        <v>AM059</v>
      </c>
    </row>
    <row r="5527" spans="1:4" x14ac:dyDescent="0.3">
      <c r="A5527" s="2" t="str">
        <f>"TORITAMA"</f>
        <v>TORITAMA</v>
      </c>
      <c r="B5527" s="3" t="str">
        <f>"PE"</f>
        <v>PE</v>
      </c>
      <c r="C5527" s="3" t="str">
        <f t="shared" si="207"/>
        <v>BRASIL</v>
      </c>
      <c r="D5527" s="4" t="str">
        <f>"PE173"</f>
        <v>PE173</v>
      </c>
    </row>
    <row r="5528" spans="1:4" x14ac:dyDescent="0.3">
      <c r="A5528" s="2" t="str">
        <f>"TORIXOREU"</f>
        <v>TORIXOREU</v>
      </c>
      <c r="B5528" s="3" t="str">
        <f>"MT"</f>
        <v>MT</v>
      </c>
      <c r="C5528" s="3" t="str">
        <f t="shared" si="207"/>
        <v>BRASIL</v>
      </c>
      <c r="D5528" s="4" t="str">
        <f>"MT132"</f>
        <v>MT132</v>
      </c>
    </row>
    <row r="5529" spans="1:4" x14ac:dyDescent="0.3">
      <c r="A5529" s="2" t="str">
        <f>"TOROPI"</f>
        <v>TOROPI</v>
      </c>
      <c r="B5529" s="3" t="str">
        <f>"RS"</f>
        <v>RS</v>
      </c>
      <c r="C5529" s="3" t="str">
        <f t="shared" si="207"/>
        <v>BRASIL</v>
      </c>
      <c r="D5529" s="4" t="str">
        <f>"RS450"</f>
        <v>RS450</v>
      </c>
    </row>
    <row r="5530" spans="1:4" x14ac:dyDescent="0.3">
      <c r="A5530" s="2" t="str">
        <f>"TORRE DE PEDRA"</f>
        <v>TORRE DE PEDRA</v>
      </c>
      <c r="B5530" s="3" t="str">
        <f>"SP"</f>
        <v>SP</v>
      </c>
      <c r="C5530" s="3" t="str">
        <f t="shared" si="207"/>
        <v>BRASIL</v>
      </c>
      <c r="D5530" s="4" t="str">
        <f>"SP611"</f>
        <v>SP611</v>
      </c>
    </row>
    <row r="5531" spans="1:4" x14ac:dyDescent="0.3">
      <c r="A5531" s="2" t="str">
        <f>"TORRES"</f>
        <v>TORRES</v>
      </c>
      <c r="B5531" s="3" t="str">
        <f>"RS"</f>
        <v>RS</v>
      </c>
      <c r="C5531" s="3" t="str">
        <f t="shared" si="207"/>
        <v>BRASIL</v>
      </c>
      <c r="D5531" s="4" t="str">
        <f>"RS451"</f>
        <v>RS451</v>
      </c>
    </row>
    <row r="5532" spans="1:4" x14ac:dyDescent="0.3">
      <c r="A5532" s="2" t="str">
        <f>"TORRINHA"</f>
        <v>TORRINHA</v>
      </c>
      <c r="B5532" s="3" t="str">
        <f>"SP"</f>
        <v>SP</v>
      </c>
      <c r="C5532" s="3" t="str">
        <f t="shared" si="207"/>
        <v>BRASIL</v>
      </c>
      <c r="D5532" s="4" t="str">
        <f>"SP612"</f>
        <v>SP612</v>
      </c>
    </row>
    <row r="5533" spans="1:4" x14ac:dyDescent="0.3">
      <c r="A5533" s="2" t="str">
        <f>"TOUROS"</f>
        <v>TOUROS</v>
      </c>
      <c r="B5533" s="3" t="str">
        <f>"RN"</f>
        <v>RN</v>
      </c>
      <c r="C5533" s="3" t="str">
        <f t="shared" si="207"/>
        <v>BRASIL</v>
      </c>
      <c r="D5533" s="4" t="str">
        <f>"RN159"</f>
        <v>RN159</v>
      </c>
    </row>
    <row r="5534" spans="1:4" x14ac:dyDescent="0.3">
      <c r="A5534" s="2" t="str">
        <f>"TRABIJU"</f>
        <v>TRABIJU</v>
      </c>
      <c r="B5534" s="3" t="str">
        <f>"SP"</f>
        <v>SP</v>
      </c>
      <c r="C5534" s="3" t="str">
        <f t="shared" si="207"/>
        <v>BRASIL</v>
      </c>
      <c r="D5534" s="4" t="str">
        <f>"SP613"</f>
        <v>SP613</v>
      </c>
    </row>
    <row r="5535" spans="1:4" x14ac:dyDescent="0.3">
      <c r="A5535" s="2" t="str">
        <f>"TRACUATEUA"</f>
        <v>TRACUATEUA</v>
      </c>
      <c r="B5535" s="3" t="str">
        <f>"PA"</f>
        <v>PA</v>
      </c>
      <c r="C5535" s="3" t="str">
        <f t="shared" si="207"/>
        <v>BRASIL</v>
      </c>
      <c r="D5535" s="4" t="str">
        <f>"PA134"</f>
        <v>PA134</v>
      </c>
    </row>
    <row r="5536" spans="1:4" x14ac:dyDescent="0.3">
      <c r="A5536" s="2" t="str">
        <f>"TRACUNHAEM"</f>
        <v>TRACUNHAEM</v>
      </c>
      <c r="B5536" s="3" t="str">
        <f>"PE"</f>
        <v>PE</v>
      </c>
      <c r="C5536" s="3" t="str">
        <f t="shared" si="207"/>
        <v>BRASIL</v>
      </c>
      <c r="D5536" s="4" t="str">
        <f>"PE174"</f>
        <v>PE174</v>
      </c>
    </row>
    <row r="5537" spans="1:4" x14ac:dyDescent="0.3">
      <c r="A5537" s="2" t="str">
        <f>"TRAIPU"</f>
        <v>TRAIPU</v>
      </c>
      <c r="B5537" s="3" t="str">
        <f>"AL"</f>
        <v>AL</v>
      </c>
      <c r="C5537" s="3" t="str">
        <f t="shared" si="207"/>
        <v>BRASIL</v>
      </c>
      <c r="D5537" s="4" t="str">
        <f>"AL100"</f>
        <v>AL100</v>
      </c>
    </row>
    <row r="5538" spans="1:4" x14ac:dyDescent="0.3">
      <c r="A5538" s="2" t="str">
        <f>"TRAIRAO"</f>
        <v>TRAIRAO</v>
      </c>
      <c r="B5538" s="3" t="str">
        <f>"PA"</f>
        <v>PA</v>
      </c>
      <c r="C5538" s="3" t="str">
        <f t="shared" si="207"/>
        <v>BRASIL</v>
      </c>
      <c r="D5538" s="4" t="str">
        <f>"PA135"</f>
        <v>PA135</v>
      </c>
    </row>
    <row r="5539" spans="1:4" x14ac:dyDescent="0.3">
      <c r="A5539" s="2" t="str">
        <f>"TRAIRI"</f>
        <v>TRAIRI</v>
      </c>
      <c r="B5539" s="3" t="str">
        <f>"CE"</f>
        <v>CE</v>
      </c>
      <c r="C5539" s="3" t="str">
        <f t="shared" si="207"/>
        <v>BRASIL</v>
      </c>
      <c r="D5539" s="4" t="str">
        <f>"CE175"</f>
        <v>CE175</v>
      </c>
    </row>
    <row r="5540" spans="1:4" x14ac:dyDescent="0.3">
      <c r="A5540" s="2" t="str">
        <f>"TRAJANO DE MORAIS"</f>
        <v>TRAJANO DE MORAIS</v>
      </c>
      <c r="B5540" s="3" t="str">
        <f>"RJ"</f>
        <v>RJ</v>
      </c>
      <c r="C5540" s="3" t="str">
        <f t="shared" si="207"/>
        <v>BRASIL</v>
      </c>
      <c r="D5540" s="4" t="str">
        <f>"RJ087"</f>
        <v>RJ087</v>
      </c>
    </row>
    <row r="5541" spans="1:4" x14ac:dyDescent="0.3">
      <c r="A5541" s="2" t="str">
        <f>"TRAMANDAI"</f>
        <v>TRAMANDAI</v>
      </c>
      <c r="B5541" s="3" t="str">
        <f>"RS"</f>
        <v>RS</v>
      </c>
      <c r="C5541" s="3" t="str">
        <f t="shared" si="207"/>
        <v>BRASIL</v>
      </c>
      <c r="D5541" s="4" t="str">
        <f>"RS452"</f>
        <v>RS452</v>
      </c>
    </row>
    <row r="5542" spans="1:4" x14ac:dyDescent="0.3">
      <c r="A5542" s="2" t="str">
        <f>"TRAVESSEIRO"</f>
        <v>TRAVESSEIRO</v>
      </c>
      <c r="B5542" s="3" t="str">
        <f>"RS"</f>
        <v>RS</v>
      </c>
      <c r="C5542" s="3" t="str">
        <f t="shared" si="207"/>
        <v>BRASIL</v>
      </c>
      <c r="D5542" s="4" t="str">
        <f>"RS453"</f>
        <v>RS453</v>
      </c>
    </row>
    <row r="5543" spans="1:4" x14ac:dyDescent="0.3">
      <c r="A5543" s="2" t="str">
        <f>"TREMEDAL"</f>
        <v>TREMEDAL</v>
      </c>
      <c r="B5543" s="3" t="str">
        <f>"BA"</f>
        <v>BA</v>
      </c>
      <c r="C5543" s="3" t="str">
        <f t="shared" si="207"/>
        <v>BRASIL</v>
      </c>
      <c r="D5543" s="4" t="str">
        <f>"BA393"</f>
        <v>BA393</v>
      </c>
    </row>
    <row r="5544" spans="1:4" x14ac:dyDescent="0.3">
      <c r="A5544" s="2" t="str">
        <f>"TREMEMBE"</f>
        <v>TREMEMBE</v>
      </c>
      <c r="B5544" s="3" t="str">
        <f>"SP"</f>
        <v>SP</v>
      </c>
      <c r="C5544" s="3" t="str">
        <f t="shared" si="207"/>
        <v>BRASIL</v>
      </c>
      <c r="D5544" s="4" t="str">
        <f>"SP614"</f>
        <v>SP614</v>
      </c>
    </row>
    <row r="5545" spans="1:4" x14ac:dyDescent="0.3">
      <c r="A5545" s="2" t="str">
        <f>"TRES ARROIOS"</f>
        <v>TRES ARROIOS</v>
      </c>
      <c r="B5545" s="3" t="str">
        <f>"RS"</f>
        <v>RS</v>
      </c>
      <c r="C5545" s="3" t="str">
        <f t="shared" si="207"/>
        <v>BRASIL</v>
      </c>
      <c r="D5545" s="4" t="str">
        <f>"RS454"</f>
        <v>RS454</v>
      </c>
    </row>
    <row r="5546" spans="1:4" x14ac:dyDescent="0.3">
      <c r="A5546" s="2" t="str">
        <f>"TRES BARRAS"</f>
        <v>TRES BARRAS</v>
      </c>
      <c r="B5546" s="3" t="str">
        <f>"SC"</f>
        <v>SC</v>
      </c>
      <c r="C5546" s="3" t="str">
        <f t="shared" si="207"/>
        <v>BRASIL</v>
      </c>
      <c r="D5546" s="4" t="str">
        <f>"SC271"</f>
        <v>SC271</v>
      </c>
    </row>
    <row r="5547" spans="1:4" x14ac:dyDescent="0.3">
      <c r="A5547" s="2" t="str">
        <f>"TRES BARRAS DO PARANA"</f>
        <v>TRES BARRAS DO PARANA</v>
      </c>
      <c r="B5547" s="3" t="str">
        <f>"PR"</f>
        <v>PR</v>
      </c>
      <c r="C5547" s="3" t="str">
        <f t="shared" si="207"/>
        <v>BRASIL</v>
      </c>
      <c r="D5547" s="4" t="str">
        <f>"PR381"</f>
        <v>PR381</v>
      </c>
    </row>
    <row r="5548" spans="1:4" x14ac:dyDescent="0.3">
      <c r="A5548" s="2" t="str">
        <f>"TRES CACHOEIRAS"</f>
        <v>TRES CACHOEIRAS</v>
      </c>
      <c r="B5548" s="3" t="str">
        <f>"RS"</f>
        <v>RS</v>
      </c>
      <c r="C5548" s="3" t="str">
        <f t="shared" si="207"/>
        <v>BRASIL</v>
      </c>
      <c r="D5548" s="4" t="str">
        <f>"RS455"</f>
        <v>RS455</v>
      </c>
    </row>
    <row r="5549" spans="1:4" x14ac:dyDescent="0.3">
      <c r="A5549" s="2" t="str">
        <f>"TRES CORACÕES"</f>
        <v>TRES CORACÕES</v>
      </c>
      <c r="B5549" s="3" t="str">
        <f>"MG"</f>
        <v>MG</v>
      </c>
      <c r="C5549" s="3" t="str">
        <f t="shared" si="207"/>
        <v>BRASIL</v>
      </c>
      <c r="D5549" s="4" t="str">
        <f>"MG813"</f>
        <v>MG813</v>
      </c>
    </row>
    <row r="5550" spans="1:4" x14ac:dyDescent="0.3">
      <c r="A5550" s="2" t="str">
        <f>"TRES COROAS"</f>
        <v>TRES COROAS</v>
      </c>
      <c r="B5550" s="3" t="str">
        <f>"RS"</f>
        <v>RS</v>
      </c>
      <c r="C5550" s="3" t="str">
        <f t="shared" si="207"/>
        <v>BRASIL</v>
      </c>
      <c r="D5550" s="4" t="str">
        <f>"RS456"</f>
        <v>RS456</v>
      </c>
    </row>
    <row r="5551" spans="1:4" x14ac:dyDescent="0.3">
      <c r="A5551" s="2" t="str">
        <f>"TRES DE MAIO"</f>
        <v>TRES DE MAIO</v>
      </c>
      <c r="B5551" s="3" t="str">
        <f>"RS"</f>
        <v>RS</v>
      </c>
      <c r="C5551" s="3" t="str">
        <f t="shared" si="207"/>
        <v>BRASIL</v>
      </c>
      <c r="D5551" s="4" t="str">
        <f>"RS457"</f>
        <v>RS457</v>
      </c>
    </row>
    <row r="5552" spans="1:4" x14ac:dyDescent="0.3">
      <c r="A5552" s="2" t="str">
        <f>"TRES FORQUILHAS"</f>
        <v>TRES FORQUILHAS</v>
      </c>
      <c r="B5552" s="3" t="str">
        <f>"RS"</f>
        <v>RS</v>
      </c>
      <c r="C5552" s="3" t="str">
        <f t="shared" si="207"/>
        <v>BRASIL</v>
      </c>
      <c r="D5552" s="4" t="str">
        <f>"RS458"</f>
        <v>RS458</v>
      </c>
    </row>
    <row r="5553" spans="1:4" x14ac:dyDescent="0.3">
      <c r="A5553" s="2" t="str">
        <f>"TRES FRONTEIRAS"</f>
        <v>TRES FRONTEIRAS</v>
      </c>
      <c r="B5553" s="3" t="str">
        <f>"SP"</f>
        <v>SP</v>
      </c>
      <c r="C5553" s="3" t="str">
        <f t="shared" si="207"/>
        <v>BRASIL</v>
      </c>
      <c r="D5553" s="4" t="str">
        <f>"SP615"</f>
        <v>SP615</v>
      </c>
    </row>
    <row r="5554" spans="1:4" x14ac:dyDescent="0.3">
      <c r="A5554" s="2" t="str">
        <f>"TRES LAGOAS"</f>
        <v>TRES LAGOAS</v>
      </c>
      <c r="B5554" s="3" t="str">
        <f>"MS"</f>
        <v>MS</v>
      </c>
      <c r="C5554" s="3" t="str">
        <f t="shared" ref="C5554:C5585" si="208">"BRASIL"</f>
        <v>BRASIL</v>
      </c>
      <c r="D5554" s="4" t="str">
        <f>"MS077"</f>
        <v>MS077</v>
      </c>
    </row>
    <row r="5555" spans="1:4" x14ac:dyDescent="0.3">
      <c r="A5555" s="2" t="str">
        <f>"TRES MARIAS"</f>
        <v>TRES MARIAS</v>
      </c>
      <c r="B5555" s="3" t="str">
        <f>"MG"</f>
        <v>MG</v>
      </c>
      <c r="C5555" s="3" t="str">
        <f t="shared" si="208"/>
        <v>BRASIL</v>
      </c>
      <c r="D5555" s="4" t="str">
        <f>"MG814"</f>
        <v>MG814</v>
      </c>
    </row>
    <row r="5556" spans="1:4" x14ac:dyDescent="0.3">
      <c r="A5556" s="2" t="str">
        <f>"TRES PALMEIRAS"</f>
        <v>TRES PALMEIRAS</v>
      </c>
      <c r="B5556" s="3" t="str">
        <f>"RS"</f>
        <v>RS</v>
      </c>
      <c r="C5556" s="3" t="str">
        <f t="shared" si="208"/>
        <v>BRASIL</v>
      </c>
      <c r="D5556" s="4" t="str">
        <f>"RS459"</f>
        <v>RS459</v>
      </c>
    </row>
    <row r="5557" spans="1:4" x14ac:dyDescent="0.3">
      <c r="A5557" s="2" t="str">
        <f>"TRES PASSOS"</f>
        <v>TRES PASSOS</v>
      </c>
      <c r="B5557" s="3" t="str">
        <f>"RS"</f>
        <v>RS</v>
      </c>
      <c r="C5557" s="3" t="str">
        <f t="shared" si="208"/>
        <v>BRASIL</v>
      </c>
      <c r="D5557" s="4" t="str">
        <f>"RS460"</f>
        <v>RS460</v>
      </c>
    </row>
    <row r="5558" spans="1:4" x14ac:dyDescent="0.3">
      <c r="A5558" s="2" t="str">
        <f>"TRES PONTAS"</f>
        <v>TRES PONTAS</v>
      </c>
      <c r="B5558" s="3" t="str">
        <f>"MG"</f>
        <v>MG</v>
      </c>
      <c r="C5558" s="3" t="str">
        <f t="shared" si="208"/>
        <v>BRASIL</v>
      </c>
      <c r="D5558" s="4" t="str">
        <f>"MG815"</f>
        <v>MG815</v>
      </c>
    </row>
    <row r="5559" spans="1:4" x14ac:dyDescent="0.3">
      <c r="A5559" s="2" t="str">
        <f>"TRES RANCHOS"</f>
        <v>TRES RANCHOS</v>
      </c>
      <c r="B5559" s="3" t="str">
        <f>"GO"</f>
        <v>GO</v>
      </c>
      <c r="C5559" s="3" t="str">
        <f t="shared" si="208"/>
        <v>BRASIL</v>
      </c>
      <c r="D5559" s="4" t="str">
        <f>"GO232"</f>
        <v>GO232</v>
      </c>
    </row>
    <row r="5560" spans="1:4" x14ac:dyDescent="0.3">
      <c r="A5560" s="2" t="str">
        <f>"TRES RIOS"</f>
        <v>TRES RIOS</v>
      </c>
      <c r="B5560" s="3" t="str">
        <f>"RJ"</f>
        <v>RJ</v>
      </c>
      <c r="C5560" s="3" t="str">
        <f t="shared" si="208"/>
        <v>BRASIL</v>
      </c>
      <c r="D5560" s="4" t="str">
        <f>"RJ088"</f>
        <v>RJ088</v>
      </c>
    </row>
    <row r="5561" spans="1:4" x14ac:dyDescent="0.3">
      <c r="A5561" s="2" t="str">
        <f>"TREVISO"</f>
        <v>TREVISO</v>
      </c>
      <c r="B5561" s="3" t="str">
        <f>"SC"</f>
        <v>SC</v>
      </c>
      <c r="C5561" s="3" t="str">
        <f t="shared" si="208"/>
        <v>BRASIL</v>
      </c>
      <c r="D5561" s="4" t="str">
        <f>"SC272"</f>
        <v>SC272</v>
      </c>
    </row>
    <row r="5562" spans="1:4" x14ac:dyDescent="0.3">
      <c r="A5562" s="2" t="str">
        <f>"TREZE DE MAIO"</f>
        <v>TREZE DE MAIO</v>
      </c>
      <c r="B5562" s="3" t="str">
        <f>"SC"</f>
        <v>SC</v>
      </c>
      <c r="C5562" s="3" t="str">
        <f t="shared" si="208"/>
        <v>BRASIL</v>
      </c>
      <c r="D5562" s="4" t="str">
        <f>"SC273"</f>
        <v>SC273</v>
      </c>
    </row>
    <row r="5563" spans="1:4" x14ac:dyDescent="0.3">
      <c r="A5563" s="2" t="str">
        <f>"TREZE TILIAS"</f>
        <v>TREZE TILIAS</v>
      </c>
      <c r="B5563" s="3" t="str">
        <f>"SC"</f>
        <v>SC</v>
      </c>
      <c r="C5563" s="3" t="str">
        <f t="shared" si="208"/>
        <v>BRASIL</v>
      </c>
      <c r="D5563" s="4" t="str">
        <f>"SC274"</f>
        <v>SC274</v>
      </c>
    </row>
    <row r="5564" spans="1:4" x14ac:dyDescent="0.3">
      <c r="A5564" s="2" t="str">
        <f>"TRINDADE"</f>
        <v>TRINDADE</v>
      </c>
      <c r="B5564" s="3" t="str">
        <f>"GO"</f>
        <v>GO</v>
      </c>
      <c r="C5564" s="3" t="str">
        <f t="shared" si="208"/>
        <v>BRASIL</v>
      </c>
      <c r="D5564" s="4" t="str">
        <f>"GO233"</f>
        <v>GO233</v>
      </c>
    </row>
    <row r="5565" spans="1:4" x14ac:dyDescent="0.3">
      <c r="A5565" s="2" t="str">
        <f>"TRINDADE"</f>
        <v>TRINDADE</v>
      </c>
      <c r="B5565" s="3" t="str">
        <f>"PE"</f>
        <v>PE</v>
      </c>
      <c r="C5565" s="3" t="str">
        <f t="shared" si="208"/>
        <v>BRASIL</v>
      </c>
      <c r="D5565" s="4" t="str">
        <f>"PE175"</f>
        <v>PE175</v>
      </c>
    </row>
    <row r="5566" spans="1:4" x14ac:dyDescent="0.3">
      <c r="A5566" s="2" t="str">
        <f>"TRINDADE DO SUL"</f>
        <v>TRINDADE DO SUL</v>
      </c>
      <c r="B5566" s="3" t="str">
        <f>"RS"</f>
        <v>RS</v>
      </c>
      <c r="C5566" s="3" t="str">
        <f t="shared" si="208"/>
        <v>BRASIL</v>
      </c>
      <c r="D5566" s="4" t="str">
        <f>"RS461"</f>
        <v>RS461</v>
      </c>
    </row>
    <row r="5567" spans="1:4" x14ac:dyDescent="0.3">
      <c r="A5567" s="2" t="str">
        <f>"TRIUNFO"</f>
        <v>TRIUNFO</v>
      </c>
      <c r="B5567" s="3" t="str">
        <f>"PB"</f>
        <v>PB</v>
      </c>
      <c r="C5567" s="3" t="str">
        <f t="shared" si="208"/>
        <v>BRASIL</v>
      </c>
      <c r="D5567" s="4" t="str">
        <f>"PB218"</f>
        <v>PB218</v>
      </c>
    </row>
    <row r="5568" spans="1:4" x14ac:dyDescent="0.3">
      <c r="A5568" s="2" t="str">
        <f>"TRIUNFO"</f>
        <v>TRIUNFO</v>
      </c>
      <c r="B5568" s="3" t="str">
        <f>"PE"</f>
        <v>PE</v>
      </c>
      <c r="C5568" s="3" t="str">
        <f t="shared" si="208"/>
        <v>BRASIL</v>
      </c>
      <c r="D5568" s="4" t="str">
        <f>"PE176"</f>
        <v>PE176</v>
      </c>
    </row>
    <row r="5569" spans="1:4" x14ac:dyDescent="0.3">
      <c r="A5569" s="2" t="str">
        <f>"TRIUNFO"</f>
        <v>TRIUNFO</v>
      </c>
      <c r="B5569" s="3" t="str">
        <f>"RS"</f>
        <v>RS</v>
      </c>
      <c r="C5569" s="3" t="str">
        <f t="shared" si="208"/>
        <v>BRASIL</v>
      </c>
      <c r="D5569" s="4" t="str">
        <f>"RS462"</f>
        <v>RS462</v>
      </c>
    </row>
    <row r="5570" spans="1:4" x14ac:dyDescent="0.3">
      <c r="A5570" s="2" t="str">
        <f>"TRIUNFO POTIGUAR"</f>
        <v>TRIUNFO POTIGUAR</v>
      </c>
      <c r="B5570" s="3" t="str">
        <f>"RN"</f>
        <v>RN</v>
      </c>
      <c r="C5570" s="3" t="str">
        <f t="shared" si="208"/>
        <v>BRASIL</v>
      </c>
      <c r="D5570" s="4" t="str">
        <f>"RN160"</f>
        <v>RN160</v>
      </c>
    </row>
    <row r="5571" spans="1:4" x14ac:dyDescent="0.3">
      <c r="A5571" s="2" t="str">
        <f>"TRIZIDELA DO VALE"</f>
        <v>TRIZIDELA DO VALE</v>
      </c>
      <c r="B5571" s="3" t="str">
        <f>"MA"</f>
        <v>MA</v>
      </c>
      <c r="C5571" s="3" t="str">
        <f t="shared" si="208"/>
        <v>BRASIL</v>
      </c>
      <c r="D5571" s="4" t="str">
        <f>"MA205"</f>
        <v>MA205</v>
      </c>
    </row>
    <row r="5572" spans="1:4" x14ac:dyDescent="0.3">
      <c r="A5572" s="2" t="str">
        <f>"TROMBAS"</f>
        <v>TROMBAS</v>
      </c>
      <c r="B5572" s="3" t="str">
        <f>"GO"</f>
        <v>GO</v>
      </c>
      <c r="C5572" s="3" t="str">
        <f t="shared" si="208"/>
        <v>BRASIL</v>
      </c>
      <c r="D5572" s="4" t="str">
        <f>"GO234"</f>
        <v>GO234</v>
      </c>
    </row>
    <row r="5573" spans="1:4" x14ac:dyDescent="0.3">
      <c r="A5573" s="2" t="str">
        <f>"TROMBUDO CENTRAL"</f>
        <v>TROMBUDO CENTRAL</v>
      </c>
      <c r="B5573" s="3" t="str">
        <f>"SC"</f>
        <v>SC</v>
      </c>
      <c r="C5573" s="3" t="str">
        <f t="shared" si="208"/>
        <v>BRASIL</v>
      </c>
      <c r="D5573" s="4" t="str">
        <f>"SC275"</f>
        <v>SC275</v>
      </c>
    </row>
    <row r="5574" spans="1:4" x14ac:dyDescent="0.3">
      <c r="A5574" s="2" t="str">
        <f>"TUBARAO"</f>
        <v>TUBARAO</v>
      </c>
      <c r="B5574" s="3" t="str">
        <f>"SC"</f>
        <v>SC</v>
      </c>
      <c r="C5574" s="3" t="str">
        <f t="shared" si="208"/>
        <v>BRASIL</v>
      </c>
      <c r="D5574" s="4" t="str">
        <f>"SC276"</f>
        <v>SC276</v>
      </c>
    </row>
    <row r="5575" spans="1:4" x14ac:dyDescent="0.3">
      <c r="A5575" s="2" t="str">
        <f>"TUCANO"</f>
        <v>TUCANO</v>
      </c>
      <c r="B5575" s="3" t="str">
        <f>"BA"</f>
        <v>BA</v>
      </c>
      <c r="C5575" s="3" t="str">
        <f t="shared" si="208"/>
        <v>BRASIL</v>
      </c>
      <c r="D5575" s="4" t="str">
        <f>"BA394"</f>
        <v>BA394</v>
      </c>
    </row>
    <row r="5576" spans="1:4" x14ac:dyDescent="0.3">
      <c r="A5576" s="2" t="str">
        <f>"TUCUMA"</f>
        <v>TUCUMA</v>
      </c>
      <c r="B5576" s="3" t="str">
        <f>"PA"</f>
        <v>PA</v>
      </c>
      <c r="C5576" s="3" t="str">
        <f t="shared" si="208"/>
        <v>BRASIL</v>
      </c>
      <c r="D5576" s="4" t="str">
        <f>"PA136"</f>
        <v>PA136</v>
      </c>
    </row>
    <row r="5577" spans="1:4" x14ac:dyDescent="0.3">
      <c r="A5577" s="2" t="str">
        <f>"TUCUNDUVA"</f>
        <v>TUCUNDUVA</v>
      </c>
      <c r="B5577" s="3" t="str">
        <f>"RS"</f>
        <v>RS</v>
      </c>
      <c r="C5577" s="3" t="str">
        <f t="shared" si="208"/>
        <v>BRASIL</v>
      </c>
      <c r="D5577" s="4" t="str">
        <f>"RS463"</f>
        <v>RS463</v>
      </c>
    </row>
    <row r="5578" spans="1:4" x14ac:dyDescent="0.3">
      <c r="A5578" s="2" t="str">
        <f>"TUCURUI"</f>
        <v>TUCURUI</v>
      </c>
      <c r="B5578" s="3" t="str">
        <f>"PA"</f>
        <v>PA</v>
      </c>
      <c r="C5578" s="3" t="str">
        <f t="shared" si="208"/>
        <v>BRASIL</v>
      </c>
      <c r="D5578" s="4" t="str">
        <f>"PA137"</f>
        <v>PA137</v>
      </c>
    </row>
    <row r="5579" spans="1:4" x14ac:dyDescent="0.3">
      <c r="A5579" s="2" t="str">
        <f>"TUFILANDIA"</f>
        <v>TUFILANDIA</v>
      </c>
      <c r="B5579" s="3" t="str">
        <f>"MA"</f>
        <v>MA</v>
      </c>
      <c r="C5579" s="3" t="str">
        <f t="shared" si="208"/>
        <v>BRASIL</v>
      </c>
      <c r="D5579" s="4" t="str">
        <f>"MA206"</f>
        <v>MA206</v>
      </c>
    </row>
    <row r="5580" spans="1:4" x14ac:dyDescent="0.3">
      <c r="A5580" s="2" t="str">
        <f>"TUIUTI"</f>
        <v>TUIUTI</v>
      </c>
      <c r="B5580" s="3" t="str">
        <f>"SP"</f>
        <v>SP</v>
      </c>
      <c r="C5580" s="3" t="str">
        <f t="shared" si="208"/>
        <v>BRASIL</v>
      </c>
      <c r="D5580" s="4" t="str">
        <f>"SP616"</f>
        <v>SP616</v>
      </c>
    </row>
    <row r="5581" spans="1:4" x14ac:dyDescent="0.3">
      <c r="A5581" s="2" t="str">
        <f>"TUMIRITINGA"</f>
        <v>TUMIRITINGA</v>
      </c>
      <c r="B5581" s="3" t="str">
        <f>"MG"</f>
        <v>MG</v>
      </c>
      <c r="C5581" s="3" t="str">
        <f t="shared" si="208"/>
        <v>BRASIL</v>
      </c>
      <c r="D5581" s="4" t="str">
        <f>"MG816"</f>
        <v>MG816</v>
      </c>
    </row>
    <row r="5582" spans="1:4" x14ac:dyDescent="0.3">
      <c r="A5582" s="2" t="str">
        <f>"TUNAPOLIS"</f>
        <v>TUNAPOLIS</v>
      </c>
      <c r="B5582" s="3" t="str">
        <f>"SC"</f>
        <v>SC</v>
      </c>
      <c r="C5582" s="3" t="str">
        <f t="shared" si="208"/>
        <v>BRASIL</v>
      </c>
      <c r="D5582" s="4" t="str">
        <f>"SC277"</f>
        <v>SC277</v>
      </c>
    </row>
    <row r="5583" spans="1:4" x14ac:dyDescent="0.3">
      <c r="A5583" s="2" t="str">
        <f>"TUNAS"</f>
        <v>TUNAS</v>
      </c>
      <c r="B5583" s="3" t="str">
        <f>"RS"</f>
        <v>RS</v>
      </c>
      <c r="C5583" s="3" t="str">
        <f t="shared" si="208"/>
        <v>BRASIL</v>
      </c>
      <c r="D5583" s="4" t="str">
        <f>"RS464"</f>
        <v>RS464</v>
      </c>
    </row>
    <row r="5584" spans="1:4" x14ac:dyDescent="0.3">
      <c r="A5584" s="2" t="str">
        <f>"TUNAS DO PARANA"</f>
        <v>TUNAS DO PARANA</v>
      </c>
      <c r="B5584" s="3" t="str">
        <f>"PR"</f>
        <v>PR</v>
      </c>
      <c r="C5584" s="3" t="str">
        <f t="shared" si="208"/>
        <v>BRASIL</v>
      </c>
      <c r="D5584" s="4" t="str">
        <f>"PR382"</f>
        <v>PR382</v>
      </c>
    </row>
    <row r="5585" spans="1:4" x14ac:dyDescent="0.3">
      <c r="A5585" s="2" t="str">
        <f>"TUNEIRAS DO OESTE"</f>
        <v>TUNEIRAS DO OESTE</v>
      </c>
      <c r="B5585" s="3" t="str">
        <f>"PR"</f>
        <v>PR</v>
      </c>
      <c r="C5585" s="3" t="str">
        <f t="shared" si="208"/>
        <v>BRASIL</v>
      </c>
      <c r="D5585" s="4" t="str">
        <f>"PR383"</f>
        <v>PR383</v>
      </c>
    </row>
    <row r="5586" spans="1:4" x14ac:dyDescent="0.3">
      <c r="A5586" s="2" t="str">
        <f>"TUNTUM"</f>
        <v>TUNTUM</v>
      </c>
      <c r="B5586" s="3" t="str">
        <f>"MA"</f>
        <v>MA</v>
      </c>
      <c r="C5586" s="3" t="str">
        <f t="shared" ref="C5586:C5617" si="209">"BRASIL"</f>
        <v>BRASIL</v>
      </c>
      <c r="D5586" s="4" t="str">
        <f>"MA207"</f>
        <v>MA207</v>
      </c>
    </row>
    <row r="5587" spans="1:4" x14ac:dyDescent="0.3">
      <c r="A5587" s="2" t="str">
        <f>"TUPA"</f>
        <v>TUPA</v>
      </c>
      <c r="B5587" s="3" t="str">
        <f>"SP"</f>
        <v>SP</v>
      </c>
      <c r="C5587" s="3" t="str">
        <f t="shared" si="209"/>
        <v>BRASIL</v>
      </c>
      <c r="D5587" s="4" t="str">
        <f>"SP617"</f>
        <v>SP617</v>
      </c>
    </row>
    <row r="5588" spans="1:4" x14ac:dyDescent="0.3">
      <c r="A5588" s="2" t="str">
        <f>"TUPACIGUARA"</f>
        <v>TUPACIGUARA</v>
      </c>
      <c r="B5588" s="3" t="str">
        <f>"MG"</f>
        <v>MG</v>
      </c>
      <c r="C5588" s="3" t="str">
        <f t="shared" si="209"/>
        <v>BRASIL</v>
      </c>
      <c r="D5588" s="4" t="str">
        <f>"MG817"</f>
        <v>MG817</v>
      </c>
    </row>
    <row r="5589" spans="1:4" x14ac:dyDescent="0.3">
      <c r="A5589" s="2" t="str">
        <f>"TUPANATINGA"</f>
        <v>TUPANATINGA</v>
      </c>
      <c r="B5589" s="3" t="str">
        <f>"PE"</f>
        <v>PE</v>
      </c>
      <c r="C5589" s="3" t="str">
        <f t="shared" si="209"/>
        <v>BRASIL</v>
      </c>
      <c r="D5589" s="4" t="str">
        <f>"PE177"</f>
        <v>PE177</v>
      </c>
    </row>
    <row r="5590" spans="1:4" x14ac:dyDescent="0.3">
      <c r="A5590" s="2" t="str">
        <f>"TUPANCI DO SUL"</f>
        <v>TUPANCI DO SUL</v>
      </c>
      <c r="B5590" s="3" t="str">
        <f>"RS"</f>
        <v>RS</v>
      </c>
      <c r="C5590" s="3" t="str">
        <f t="shared" si="209"/>
        <v>BRASIL</v>
      </c>
      <c r="D5590" s="4" t="str">
        <f>"RS465"</f>
        <v>RS465</v>
      </c>
    </row>
    <row r="5591" spans="1:4" x14ac:dyDescent="0.3">
      <c r="A5591" s="2" t="str">
        <f>"TUPANCIRETA"</f>
        <v>TUPANCIRETA</v>
      </c>
      <c r="B5591" s="3" t="str">
        <f>"RS"</f>
        <v>RS</v>
      </c>
      <c r="C5591" s="3" t="str">
        <f t="shared" si="209"/>
        <v>BRASIL</v>
      </c>
      <c r="D5591" s="4" t="str">
        <f>"RS466"</f>
        <v>RS466</v>
      </c>
    </row>
    <row r="5592" spans="1:4" x14ac:dyDescent="0.3">
      <c r="A5592" s="2" t="str">
        <f>"TUPANDI"</f>
        <v>TUPANDI</v>
      </c>
      <c r="B5592" s="3" t="str">
        <f>"RS"</f>
        <v>RS</v>
      </c>
      <c r="C5592" s="3" t="str">
        <f t="shared" si="209"/>
        <v>BRASIL</v>
      </c>
      <c r="D5592" s="4" t="str">
        <f>"TPI"</f>
        <v>TPI</v>
      </c>
    </row>
    <row r="5593" spans="1:4" x14ac:dyDescent="0.3">
      <c r="A5593" s="2" t="str">
        <f>"TUPARENDI"</f>
        <v>TUPARENDI</v>
      </c>
      <c r="B5593" s="3" t="str">
        <f>"RS"</f>
        <v>RS</v>
      </c>
      <c r="C5593" s="3" t="str">
        <f t="shared" si="209"/>
        <v>BRASIL</v>
      </c>
      <c r="D5593" s="4" t="str">
        <f>"RS468"</f>
        <v>RS468</v>
      </c>
    </row>
    <row r="5594" spans="1:4" x14ac:dyDescent="0.3">
      <c r="A5594" s="2" t="str">
        <f>"TUPARETAMA"</f>
        <v>TUPARETAMA</v>
      </c>
      <c r="B5594" s="3" t="str">
        <f>"PE"</f>
        <v>PE</v>
      </c>
      <c r="C5594" s="3" t="str">
        <f t="shared" si="209"/>
        <v>BRASIL</v>
      </c>
      <c r="D5594" s="4" t="str">
        <f>"PE178"</f>
        <v>PE178</v>
      </c>
    </row>
    <row r="5595" spans="1:4" x14ac:dyDescent="0.3">
      <c r="A5595" s="2" t="str">
        <f>"TUPASSI"</f>
        <v>TUPASSI</v>
      </c>
      <c r="B5595" s="3" t="str">
        <f>"PR"</f>
        <v>PR</v>
      </c>
      <c r="C5595" s="3" t="str">
        <f t="shared" si="209"/>
        <v>BRASIL</v>
      </c>
      <c r="D5595" s="4" t="str">
        <f>"PR384"</f>
        <v>PR384</v>
      </c>
    </row>
    <row r="5596" spans="1:4" x14ac:dyDescent="0.3">
      <c r="A5596" s="2" t="str">
        <f>"TUPI PAULISTA"</f>
        <v>TUPI PAULISTA</v>
      </c>
      <c r="B5596" s="3" t="str">
        <f>"SP"</f>
        <v>SP</v>
      </c>
      <c r="C5596" s="3" t="str">
        <f t="shared" si="209"/>
        <v>BRASIL</v>
      </c>
      <c r="D5596" s="4" t="str">
        <f>"SP618"</f>
        <v>SP618</v>
      </c>
    </row>
    <row r="5597" spans="1:4" x14ac:dyDescent="0.3">
      <c r="A5597" s="2" t="str">
        <f>"TUPIRAMA"</f>
        <v>TUPIRAMA</v>
      </c>
      <c r="B5597" s="3" t="str">
        <f>"TO"</f>
        <v>TO</v>
      </c>
      <c r="C5597" s="3" t="str">
        <f t="shared" si="209"/>
        <v>BRASIL</v>
      </c>
      <c r="D5597" s="4" t="str">
        <f>"TO136"</f>
        <v>TO136</v>
      </c>
    </row>
    <row r="5598" spans="1:4" x14ac:dyDescent="0.3">
      <c r="A5598" s="2" t="str">
        <f>"TUPIRATINS"</f>
        <v>TUPIRATINS</v>
      </c>
      <c r="B5598" s="3" t="str">
        <f>"TO"</f>
        <v>TO</v>
      </c>
      <c r="C5598" s="3" t="str">
        <f t="shared" si="209"/>
        <v>BRASIL</v>
      </c>
      <c r="D5598" s="4" t="str">
        <f>"TO137"</f>
        <v>TO137</v>
      </c>
    </row>
    <row r="5599" spans="1:4" x14ac:dyDescent="0.3">
      <c r="A5599" s="2" t="str">
        <f>"TURIACU"</f>
        <v>TURIACU</v>
      </c>
      <c r="B5599" s="3" t="str">
        <f>"MA"</f>
        <v>MA</v>
      </c>
      <c r="C5599" s="3" t="str">
        <f t="shared" si="209"/>
        <v>BRASIL</v>
      </c>
      <c r="D5599" s="4" t="str">
        <f>"MA208"</f>
        <v>MA208</v>
      </c>
    </row>
    <row r="5600" spans="1:4" x14ac:dyDescent="0.3">
      <c r="A5600" s="2" t="str">
        <f>"TURILANDIA"</f>
        <v>TURILANDIA</v>
      </c>
      <c r="B5600" s="3" t="str">
        <f>"MA"</f>
        <v>MA</v>
      </c>
      <c r="C5600" s="3" t="str">
        <f t="shared" si="209"/>
        <v>BRASIL</v>
      </c>
      <c r="D5600" s="4" t="str">
        <f>"MA209"</f>
        <v>MA209</v>
      </c>
    </row>
    <row r="5601" spans="1:4" x14ac:dyDescent="0.3">
      <c r="A5601" s="2" t="str">
        <f>"TURIUBA"</f>
        <v>TURIUBA</v>
      </c>
      <c r="B5601" s="3" t="str">
        <f>"SP"</f>
        <v>SP</v>
      </c>
      <c r="C5601" s="3" t="str">
        <f t="shared" si="209"/>
        <v>BRASIL</v>
      </c>
      <c r="D5601" s="4" t="str">
        <f>"SP619"</f>
        <v>SP619</v>
      </c>
    </row>
    <row r="5602" spans="1:4" x14ac:dyDescent="0.3">
      <c r="A5602" s="2" t="str">
        <f>"TURMALINA"</f>
        <v>TURMALINA</v>
      </c>
      <c r="B5602" s="3" t="str">
        <f>"MG"</f>
        <v>MG</v>
      </c>
      <c r="C5602" s="3" t="str">
        <f t="shared" si="209"/>
        <v>BRASIL</v>
      </c>
      <c r="D5602" s="4" t="str">
        <f>"MG818"</f>
        <v>MG818</v>
      </c>
    </row>
    <row r="5603" spans="1:4" x14ac:dyDescent="0.3">
      <c r="A5603" s="2" t="str">
        <f>"TURMALINA"</f>
        <v>TURMALINA</v>
      </c>
      <c r="B5603" s="3" t="str">
        <f>"SP"</f>
        <v>SP</v>
      </c>
      <c r="C5603" s="3" t="str">
        <f t="shared" si="209"/>
        <v>BRASIL</v>
      </c>
      <c r="D5603" s="4" t="str">
        <f>"SP620"</f>
        <v>SP620</v>
      </c>
    </row>
    <row r="5604" spans="1:4" x14ac:dyDescent="0.3">
      <c r="A5604" s="2" t="str">
        <f>"TURUCU"</f>
        <v>TURUCU</v>
      </c>
      <c r="B5604" s="3" t="str">
        <f>"RS"</f>
        <v>RS</v>
      </c>
      <c r="C5604" s="3" t="str">
        <f t="shared" si="209"/>
        <v>BRASIL</v>
      </c>
      <c r="D5604" s="4" t="str">
        <f>"RS469"</f>
        <v>RS469</v>
      </c>
    </row>
    <row r="5605" spans="1:4" x14ac:dyDescent="0.3">
      <c r="A5605" s="2" t="str">
        <f>"TURURU"</f>
        <v>TURURU</v>
      </c>
      <c r="B5605" s="3" t="str">
        <f>"CE"</f>
        <v>CE</v>
      </c>
      <c r="C5605" s="3" t="str">
        <f t="shared" si="209"/>
        <v>BRASIL</v>
      </c>
      <c r="D5605" s="4" t="str">
        <f>"CE176"</f>
        <v>CE176</v>
      </c>
    </row>
    <row r="5606" spans="1:4" x14ac:dyDescent="0.3">
      <c r="A5606" s="2" t="str">
        <f>"TURVANIA"</f>
        <v>TURVANIA</v>
      </c>
      <c r="B5606" s="3" t="str">
        <f>"GO"</f>
        <v>GO</v>
      </c>
      <c r="C5606" s="3" t="str">
        <f t="shared" si="209"/>
        <v>BRASIL</v>
      </c>
      <c r="D5606" s="4" t="str">
        <f>"GO235"</f>
        <v>GO235</v>
      </c>
    </row>
    <row r="5607" spans="1:4" x14ac:dyDescent="0.3">
      <c r="A5607" s="2" t="str">
        <f>"TURVELANDIA"</f>
        <v>TURVELANDIA</v>
      </c>
      <c r="B5607" s="3" t="str">
        <f>"GO"</f>
        <v>GO</v>
      </c>
      <c r="C5607" s="3" t="str">
        <f t="shared" si="209"/>
        <v>BRASIL</v>
      </c>
      <c r="D5607" s="4" t="str">
        <f>"GO236"</f>
        <v>GO236</v>
      </c>
    </row>
    <row r="5608" spans="1:4" x14ac:dyDescent="0.3">
      <c r="A5608" s="2" t="str">
        <f>"TURVO"</f>
        <v>TURVO</v>
      </c>
      <c r="B5608" s="3" t="str">
        <f>"PR"</f>
        <v>PR</v>
      </c>
      <c r="C5608" s="3" t="str">
        <f t="shared" si="209"/>
        <v>BRASIL</v>
      </c>
      <c r="D5608" s="4" t="str">
        <f>"PR385"</f>
        <v>PR385</v>
      </c>
    </row>
    <row r="5609" spans="1:4" x14ac:dyDescent="0.3">
      <c r="A5609" s="2" t="str">
        <f>"TURVO"</f>
        <v>TURVO</v>
      </c>
      <c r="B5609" s="3" t="str">
        <f>"SC"</f>
        <v>SC</v>
      </c>
      <c r="C5609" s="3" t="str">
        <f t="shared" si="209"/>
        <v>BRASIL</v>
      </c>
      <c r="D5609" s="4" t="str">
        <f>"SC278"</f>
        <v>SC278</v>
      </c>
    </row>
    <row r="5610" spans="1:4" x14ac:dyDescent="0.3">
      <c r="A5610" s="2" t="str">
        <f>"TURVOLANDIA"</f>
        <v>TURVOLANDIA</v>
      </c>
      <c r="B5610" s="3" t="str">
        <f>"MG"</f>
        <v>MG</v>
      </c>
      <c r="C5610" s="3" t="str">
        <f t="shared" si="209"/>
        <v>BRASIL</v>
      </c>
      <c r="D5610" s="4" t="str">
        <f>"MG819"</f>
        <v>MG819</v>
      </c>
    </row>
    <row r="5611" spans="1:4" x14ac:dyDescent="0.3">
      <c r="A5611" s="2" t="str">
        <f>"TUTOIA"</f>
        <v>TUTOIA</v>
      </c>
      <c r="B5611" s="3" t="str">
        <f>"MA"</f>
        <v>MA</v>
      </c>
      <c r="C5611" s="3" t="str">
        <f t="shared" si="209"/>
        <v>BRASIL</v>
      </c>
      <c r="D5611" s="4" t="str">
        <f>"MA210"</f>
        <v>MA210</v>
      </c>
    </row>
    <row r="5612" spans="1:4" x14ac:dyDescent="0.3">
      <c r="A5612" s="2" t="str">
        <f>"UARINI"</f>
        <v>UARINI</v>
      </c>
      <c r="B5612" s="3" t="str">
        <f>"AM"</f>
        <v>AM</v>
      </c>
      <c r="C5612" s="3" t="str">
        <f t="shared" si="209"/>
        <v>BRASIL</v>
      </c>
      <c r="D5612" s="4" t="str">
        <f>"AM060"</f>
        <v>AM060</v>
      </c>
    </row>
    <row r="5613" spans="1:4" x14ac:dyDescent="0.3">
      <c r="A5613" s="2" t="str">
        <f>"UAUA"</f>
        <v>UAUA</v>
      </c>
      <c r="B5613" s="3" t="str">
        <f>"BA"</f>
        <v>BA</v>
      </c>
      <c r="C5613" s="3" t="str">
        <f t="shared" si="209"/>
        <v>BRASIL</v>
      </c>
      <c r="D5613" s="4" t="str">
        <f>"BA395"</f>
        <v>BA395</v>
      </c>
    </row>
    <row r="5614" spans="1:4" x14ac:dyDescent="0.3">
      <c r="A5614" s="2" t="str">
        <f>"UBA"</f>
        <v>UBA</v>
      </c>
      <c r="B5614" s="3" t="str">
        <f>"MG"</f>
        <v>MG</v>
      </c>
      <c r="C5614" s="3" t="str">
        <f t="shared" si="209"/>
        <v>BRASIL</v>
      </c>
      <c r="D5614" s="4" t="str">
        <f>"MG820"</f>
        <v>MG820</v>
      </c>
    </row>
    <row r="5615" spans="1:4" x14ac:dyDescent="0.3">
      <c r="A5615" s="2" t="str">
        <f>"UBAI"</f>
        <v>UBAI</v>
      </c>
      <c r="B5615" s="3" t="str">
        <f>"MG"</f>
        <v>MG</v>
      </c>
      <c r="C5615" s="3" t="str">
        <f t="shared" si="209"/>
        <v>BRASIL</v>
      </c>
      <c r="D5615" s="4" t="str">
        <f>"MG821"</f>
        <v>MG821</v>
      </c>
    </row>
    <row r="5616" spans="1:4" x14ac:dyDescent="0.3">
      <c r="A5616" s="2" t="str">
        <f>"UBAIRA"</f>
        <v>UBAIRA</v>
      </c>
      <c r="B5616" s="3" t="str">
        <f>"BA"</f>
        <v>BA</v>
      </c>
      <c r="C5616" s="3" t="str">
        <f t="shared" si="209"/>
        <v>BRASIL</v>
      </c>
      <c r="D5616" s="4" t="str">
        <f>"BA396"</f>
        <v>BA396</v>
      </c>
    </row>
    <row r="5617" spans="1:4" x14ac:dyDescent="0.3">
      <c r="A5617" s="2" t="str">
        <f>"UBAITABA"</f>
        <v>UBAITABA</v>
      </c>
      <c r="B5617" s="3" t="str">
        <f>"BA"</f>
        <v>BA</v>
      </c>
      <c r="C5617" s="3" t="str">
        <f t="shared" si="209"/>
        <v>BRASIL</v>
      </c>
      <c r="D5617" s="4" t="str">
        <f>"BA397"</f>
        <v>BA397</v>
      </c>
    </row>
    <row r="5618" spans="1:4" x14ac:dyDescent="0.3">
      <c r="A5618" s="2" t="str">
        <f>"UBAJARA"</f>
        <v>UBAJARA</v>
      </c>
      <c r="B5618" s="3" t="str">
        <f>"CE"</f>
        <v>CE</v>
      </c>
      <c r="C5618" s="3" t="str">
        <f t="shared" ref="C5618:C5649" si="210">"BRASIL"</f>
        <v>BRASIL</v>
      </c>
      <c r="D5618" s="4" t="str">
        <f>"CE177"</f>
        <v>CE177</v>
      </c>
    </row>
    <row r="5619" spans="1:4" x14ac:dyDescent="0.3">
      <c r="A5619" s="2" t="str">
        <f>"UBAPORANGA"</f>
        <v>UBAPORANGA</v>
      </c>
      <c r="B5619" s="3" t="str">
        <f>"MG"</f>
        <v>MG</v>
      </c>
      <c r="C5619" s="3" t="str">
        <f t="shared" si="210"/>
        <v>BRASIL</v>
      </c>
      <c r="D5619" s="4" t="str">
        <f>"MG822"</f>
        <v>MG822</v>
      </c>
    </row>
    <row r="5620" spans="1:4" x14ac:dyDescent="0.3">
      <c r="A5620" s="2" t="str">
        <f>"UBARANA"</f>
        <v>UBARANA</v>
      </c>
      <c r="B5620" s="3" t="str">
        <f>"SP"</f>
        <v>SP</v>
      </c>
      <c r="C5620" s="3" t="str">
        <f t="shared" si="210"/>
        <v>BRASIL</v>
      </c>
      <c r="D5620" s="4" t="str">
        <f>"SP621"</f>
        <v>SP621</v>
      </c>
    </row>
    <row r="5621" spans="1:4" x14ac:dyDescent="0.3">
      <c r="A5621" s="2" t="str">
        <f>"UBATA"</f>
        <v>UBATA</v>
      </c>
      <c r="B5621" s="3" t="str">
        <f>"BA"</f>
        <v>BA</v>
      </c>
      <c r="C5621" s="3" t="str">
        <f t="shared" si="210"/>
        <v>BRASIL</v>
      </c>
      <c r="D5621" s="4" t="str">
        <f>"BA398"</f>
        <v>BA398</v>
      </c>
    </row>
    <row r="5622" spans="1:4" x14ac:dyDescent="0.3">
      <c r="A5622" s="2" t="str">
        <f>"UBATUBA"</f>
        <v>UBATUBA</v>
      </c>
      <c r="B5622" s="3" t="str">
        <f>"SP"</f>
        <v>SP</v>
      </c>
      <c r="C5622" s="3" t="str">
        <f t="shared" si="210"/>
        <v>BRASIL</v>
      </c>
      <c r="D5622" s="4" t="str">
        <f>"SP622"</f>
        <v>SP622</v>
      </c>
    </row>
    <row r="5623" spans="1:4" x14ac:dyDescent="0.3">
      <c r="A5623" s="2" t="str">
        <f>"UBERABA"</f>
        <v>UBERABA</v>
      </c>
      <c r="B5623" s="3" t="str">
        <f>"MG"</f>
        <v>MG</v>
      </c>
      <c r="C5623" s="3" t="str">
        <f t="shared" si="210"/>
        <v>BRASIL</v>
      </c>
      <c r="D5623" s="4" t="str">
        <f>"UBE"</f>
        <v>UBE</v>
      </c>
    </row>
    <row r="5624" spans="1:4" x14ac:dyDescent="0.3">
      <c r="A5624" s="2" t="str">
        <f>"UBERLANDIA"</f>
        <v>UBERLANDIA</v>
      </c>
      <c r="B5624" s="3" t="str">
        <f>"MG"</f>
        <v>MG</v>
      </c>
      <c r="C5624" s="3" t="str">
        <f t="shared" si="210"/>
        <v>BRASIL</v>
      </c>
      <c r="D5624" s="4" t="str">
        <f>"MG824"</f>
        <v>MG824</v>
      </c>
    </row>
    <row r="5625" spans="1:4" x14ac:dyDescent="0.3">
      <c r="A5625" s="2" t="str">
        <f>"UBIRAJARA"</f>
        <v>UBIRAJARA</v>
      </c>
      <c r="B5625" s="3" t="str">
        <f>"SP"</f>
        <v>SP</v>
      </c>
      <c r="C5625" s="3" t="str">
        <f t="shared" si="210"/>
        <v>BRASIL</v>
      </c>
      <c r="D5625" s="4" t="str">
        <f>"SP623"</f>
        <v>SP623</v>
      </c>
    </row>
    <row r="5626" spans="1:4" x14ac:dyDescent="0.3">
      <c r="A5626" s="2" t="str">
        <f>"UBIRATA"</f>
        <v>UBIRATA</v>
      </c>
      <c r="B5626" s="3" t="str">
        <f>"PR"</f>
        <v>PR</v>
      </c>
      <c r="C5626" s="3" t="str">
        <f t="shared" si="210"/>
        <v>BRASIL</v>
      </c>
      <c r="D5626" s="4" t="str">
        <f>"PR386"</f>
        <v>PR386</v>
      </c>
    </row>
    <row r="5627" spans="1:4" x14ac:dyDescent="0.3">
      <c r="A5627" s="2" t="str">
        <f>"UBIRETAMA"</f>
        <v>UBIRETAMA</v>
      </c>
      <c r="B5627" s="3" t="str">
        <f>"RS"</f>
        <v>RS</v>
      </c>
      <c r="C5627" s="3" t="str">
        <f t="shared" si="210"/>
        <v>BRASIL</v>
      </c>
      <c r="D5627" s="4" t="str">
        <f>"RS470"</f>
        <v>RS470</v>
      </c>
    </row>
    <row r="5628" spans="1:4" x14ac:dyDescent="0.3">
      <c r="A5628" s="2" t="str">
        <f>"UCHOA"</f>
        <v>UCHOA</v>
      </c>
      <c r="B5628" s="3" t="str">
        <f>"SP"</f>
        <v>SP</v>
      </c>
      <c r="C5628" s="3" t="str">
        <f t="shared" si="210"/>
        <v>BRASIL</v>
      </c>
      <c r="D5628" s="4" t="str">
        <f>"SP624"</f>
        <v>SP624</v>
      </c>
    </row>
    <row r="5629" spans="1:4" x14ac:dyDescent="0.3">
      <c r="A5629" s="2" t="str">
        <f>"UIBAI"</f>
        <v>UIBAI</v>
      </c>
      <c r="B5629" s="3" t="str">
        <f>"BA"</f>
        <v>BA</v>
      </c>
      <c r="C5629" s="3" t="str">
        <f t="shared" si="210"/>
        <v>BRASIL</v>
      </c>
      <c r="D5629" s="4" t="str">
        <f>"BA399"</f>
        <v>BA399</v>
      </c>
    </row>
    <row r="5630" spans="1:4" x14ac:dyDescent="0.3">
      <c r="A5630" s="2" t="str">
        <f>"UIRAMUTA"</f>
        <v>UIRAMUTA</v>
      </c>
      <c r="B5630" s="3" t="str">
        <f>"RR"</f>
        <v>RR</v>
      </c>
      <c r="C5630" s="3" t="str">
        <f t="shared" si="210"/>
        <v>BRASIL</v>
      </c>
      <c r="D5630" s="4" t="str">
        <f>"RR015"</f>
        <v>RR015</v>
      </c>
    </row>
    <row r="5631" spans="1:4" x14ac:dyDescent="0.3">
      <c r="A5631" s="2" t="str">
        <f>"UIRAPURU"</f>
        <v>UIRAPURU</v>
      </c>
      <c r="B5631" s="3" t="str">
        <f>"GO"</f>
        <v>GO</v>
      </c>
      <c r="C5631" s="3" t="str">
        <f t="shared" si="210"/>
        <v>BRASIL</v>
      </c>
      <c r="D5631" s="4" t="str">
        <f>"GO237"</f>
        <v>GO237</v>
      </c>
    </row>
    <row r="5632" spans="1:4" x14ac:dyDescent="0.3">
      <c r="A5632" s="2" t="str">
        <f>"UIRAUNA"</f>
        <v>UIRAUNA</v>
      </c>
      <c r="B5632" s="3" t="str">
        <f>"PB"</f>
        <v>PB</v>
      </c>
      <c r="C5632" s="3" t="str">
        <f t="shared" si="210"/>
        <v>BRASIL</v>
      </c>
      <c r="D5632" s="4" t="str">
        <f>"PB219"</f>
        <v>PB219</v>
      </c>
    </row>
    <row r="5633" spans="1:4" x14ac:dyDescent="0.3">
      <c r="A5633" s="2" t="str">
        <f>"ULIANOPOLIS"</f>
        <v>ULIANOPOLIS</v>
      </c>
      <c r="B5633" s="3" t="str">
        <f>"PA"</f>
        <v>PA</v>
      </c>
      <c r="C5633" s="3" t="str">
        <f t="shared" si="210"/>
        <v>BRASIL</v>
      </c>
      <c r="D5633" s="4" t="str">
        <f>"PA138"</f>
        <v>PA138</v>
      </c>
    </row>
    <row r="5634" spans="1:4" x14ac:dyDescent="0.3">
      <c r="A5634" s="2" t="str">
        <f>"UMARI"</f>
        <v>UMARI</v>
      </c>
      <c r="B5634" s="3" t="str">
        <f>"CE"</f>
        <v>CE</v>
      </c>
      <c r="C5634" s="3" t="str">
        <f t="shared" si="210"/>
        <v>BRASIL</v>
      </c>
      <c r="D5634" s="4" t="str">
        <f>"CE178"</f>
        <v>CE178</v>
      </c>
    </row>
    <row r="5635" spans="1:4" x14ac:dyDescent="0.3">
      <c r="A5635" s="2" t="str">
        <f>"UMARIZAL"</f>
        <v>UMARIZAL</v>
      </c>
      <c r="B5635" s="3" t="str">
        <f>"RN"</f>
        <v>RN</v>
      </c>
      <c r="C5635" s="3" t="str">
        <f t="shared" si="210"/>
        <v>BRASIL</v>
      </c>
      <c r="D5635" s="4" t="str">
        <f>"RN161"</f>
        <v>RN161</v>
      </c>
    </row>
    <row r="5636" spans="1:4" x14ac:dyDescent="0.3">
      <c r="A5636" s="2" t="str">
        <f>"UMBAUBA"</f>
        <v>UMBAUBA</v>
      </c>
      <c r="B5636" s="3" t="str">
        <f>"SE"</f>
        <v>SE</v>
      </c>
      <c r="C5636" s="3" t="str">
        <f t="shared" si="210"/>
        <v>BRASIL</v>
      </c>
      <c r="D5636" s="4" t="str">
        <f>"SE075"</f>
        <v>SE075</v>
      </c>
    </row>
    <row r="5637" spans="1:4" x14ac:dyDescent="0.3">
      <c r="A5637" s="2" t="str">
        <f>"UMBURANAS"</f>
        <v>UMBURANAS</v>
      </c>
      <c r="B5637" s="3" t="str">
        <f>"BA"</f>
        <v>BA</v>
      </c>
      <c r="C5637" s="3" t="str">
        <f t="shared" si="210"/>
        <v>BRASIL</v>
      </c>
      <c r="D5637" s="4" t="str">
        <f>"BA400"</f>
        <v>BA400</v>
      </c>
    </row>
    <row r="5638" spans="1:4" x14ac:dyDescent="0.3">
      <c r="A5638" s="2" t="str">
        <f>"UMBURATIBA"</f>
        <v>UMBURATIBA</v>
      </c>
      <c r="B5638" s="3" t="str">
        <f>"MG"</f>
        <v>MG</v>
      </c>
      <c r="C5638" s="3" t="str">
        <f t="shared" si="210"/>
        <v>BRASIL</v>
      </c>
      <c r="D5638" s="4" t="str">
        <f>"MG825"</f>
        <v>MG825</v>
      </c>
    </row>
    <row r="5639" spans="1:4" x14ac:dyDescent="0.3">
      <c r="A5639" s="2" t="str">
        <f>"UMBUZEIRO"</f>
        <v>UMBUZEIRO</v>
      </c>
      <c r="B5639" s="3" t="str">
        <f>"PB"</f>
        <v>PB</v>
      </c>
      <c r="C5639" s="3" t="str">
        <f t="shared" si="210"/>
        <v>BRASIL</v>
      </c>
      <c r="D5639" s="4" t="str">
        <f>"PB220"</f>
        <v>PB220</v>
      </c>
    </row>
    <row r="5640" spans="1:4" x14ac:dyDescent="0.3">
      <c r="A5640" s="2" t="str">
        <f>"UMIRIM"</f>
        <v>UMIRIM</v>
      </c>
      <c r="B5640" s="3" t="str">
        <f>"CE"</f>
        <v>CE</v>
      </c>
      <c r="C5640" s="3" t="str">
        <f t="shared" si="210"/>
        <v>BRASIL</v>
      </c>
      <c r="D5640" s="4" t="str">
        <f>"CE179"</f>
        <v>CE179</v>
      </c>
    </row>
    <row r="5641" spans="1:4" x14ac:dyDescent="0.3">
      <c r="A5641" s="2" t="str">
        <f>"UMUARAMA"</f>
        <v>UMUARAMA</v>
      </c>
      <c r="B5641" s="3" t="str">
        <f>"PR"</f>
        <v>PR</v>
      </c>
      <c r="C5641" s="3" t="str">
        <f t="shared" si="210"/>
        <v>BRASIL</v>
      </c>
      <c r="D5641" s="4" t="str">
        <f>"PR387"</f>
        <v>PR387</v>
      </c>
    </row>
    <row r="5642" spans="1:4" x14ac:dyDescent="0.3">
      <c r="A5642" s="2" t="str">
        <f>"UNA"</f>
        <v>UNA</v>
      </c>
      <c r="B5642" s="3" t="str">
        <f>"BA"</f>
        <v>BA</v>
      </c>
      <c r="C5642" s="3" t="str">
        <f t="shared" si="210"/>
        <v>BRASIL</v>
      </c>
      <c r="D5642" s="4" t="str">
        <f>"BA401"</f>
        <v>BA401</v>
      </c>
    </row>
    <row r="5643" spans="1:4" x14ac:dyDescent="0.3">
      <c r="A5643" s="2" t="str">
        <f>"UNAI"</f>
        <v>UNAI</v>
      </c>
      <c r="B5643" s="3" t="str">
        <f>"MG"</f>
        <v>MG</v>
      </c>
      <c r="C5643" s="3" t="str">
        <f t="shared" si="210"/>
        <v>BRASIL</v>
      </c>
      <c r="D5643" s="4" t="str">
        <f>"MG826"</f>
        <v>MG826</v>
      </c>
    </row>
    <row r="5644" spans="1:4" x14ac:dyDescent="0.3">
      <c r="A5644" s="2" t="str">
        <f>"UNIAO"</f>
        <v>UNIAO</v>
      </c>
      <c r="B5644" s="3" t="str">
        <f>"PI"</f>
        <v>PI</v>
      </c>
      <c r="C5644" s="3" t="str">
        <f t="shared" si="210"/>
        <v>BRASIL</v>
      </c>
      <c r="D5644" s="4" t="str">
        <f>"PI216"</f>
        <v>PI216</v>
      </c>
    </row>
    <row r="5645" spans="1:4" x14ac:dyDescent="0.3">
      <c r="A5645" s="2" t="str">
        <f>"UNIAO DA SERRA"</f>
        <v>UNIAO DA SERRA</v>
      </c>
      <c r="B5645" s="3" t="str">
        <f>"RS"</f>
        <v>RS</v>
      </c>
      <c r="C5645" s="3" t="str">
        <f t="shared" si="210"/>
        <v>BRASIL</v>
      </c>
      <c r="D5645" s="4" t="str">
        <f>"RS471"</f>
        <v>RS471</v>
      </c>
    </row>
    <row r="5646" spans="1:4" x14ac:dyDescent="0.3">
      <c r="A5646" s="2" t="str">
        <f>"UNIAO DA VITORIA"</f>
        <v>UNIAO DA VITORIA</v>
      </c>
      <c r="B5646" s="3" t="str">
        <f>"PR"</f>
        <v>PR</v>
      </c>
      <c r="C5646" s="3" t="str">
        <f t="shared" si="210"/>
        <v>BRASIL</v>
      </c>
      <c r="D5646" s="4" t="str">
        <f>"PR388"</f>
        <v>PR388</v>
      </c>
    </row>
    <row r="5647" spans="1:4" x14ac:dyDescent="0.3">
      <c r="A5647" s="2" t="str">
        <f>"UNIAO DE MINAS"</f>
        <v>UNIAO DE MINAS</v>
      </c>
      <c r="B5647" s="3" t="str">
        <f>"MG"</f>
        <v>MG</v>
      </c>
      <c r="C5647" s="3" t="str">
        <f t="shared" si="210"/>
        <v>BRASIL</v>
      </c>
      <c r="D5647" s="4" t="str">
        <f>"MG827"</f>
        <v>MG827</v>
      </c>
    </row>
    <row r="5648" spans="1:4" x14ac:dyDescent="0.3">
      <c r="A5648" s="2" t="str">
        <f>"UNIAO DO OESTE"</f>
        <v>UNIAO DO OESTE</v>
      </c>
      <c r="B5648" s="3" t="str">
        <f>"SC"</f>
        <v>SC</v>
      </c>
      <c r="C5648" s="3" t="str">
        <f t="shared" si="210"/>
        <v>BRASIL</v>
      </c>
      <c r="D5648" s="4" t="str">
        <f>"SC279"</f>
        <v>SC279</v>
      </c>
    </row>
    <row r="5649" spans="1:4" x14ac:dyDescent="0.3">
      <c r="A5649" s="2" t="str">
        <f>"UNIAO DO SUL"</f>
        <v>UNIAO DO SUL</v>
      </c>
      <c r="B5649" s="3" t="str">
        <f>"MT"</f>
        <v>MT</v>
      </c>
      <c r="C5649" s="3" t="str">
        <f t="shared" si="210"/>
        <v>BRASIL</v>
      </c>
      <c r="D5649" s="4" t="str">
        <f>"MT133"</f>
        <v>MT133</v>
      </c>
    </row>
    <row r="5650" spans="1:4" x14ac:dyDescent="0.3">
      <c r="A5650" s="2" t="str">
        <f>"UNIAO DOS PALMARES"</f>
        <v>UNIAO DOS PALMARES</v>
      </c>
      <c r="B5650" s="3" t="str">
        <f>"AL"</f>
        <v>AL</v>
      </c>
      <c r="C5650" s="3" t="str">
        <f t="shared" ref="C5650:C5658" si="211">"BRASIL"</f>
        <v>BRASIL</v>
      </c>
      <c r="D5650" s="4" t="str">
        <f>"AL101"</f>
        <v>AL101</v>
      </c>
    </row>
    <row r="5651" spans="1:4" x14ac:dyDescent="0.3">
      <c r="A5651" s="2" t="str">
        <f>"UNIAO PAULISTA"</f>
        <v>UNIAO PAULISTA</v>
      </c>
      <c r="B5651" s="3" t="str">
        <f>"SP"</f>
        <v>SP</v>
      </c>
      <c r="C5651" s="3" t="str">
        <f t="shared" si="211"/>
        <v>BRASIL</v>
      </c>
      <c r="D5651" s="4" t="str">
        <f>"SP625"</f>
        <v>SP625</v>
      </c>
    </row>
    <row r="5652" spans="1:4" x14ac:dyDescent="0.3">
      <c r="A5652" s="2" t="str">
        <f>"UNIFLOR"</f>
        <v>UNIFLOR</v>
      </c>
      <c r="B5652" s="3" t="str">
        <f>"PR"</f>
        <v>PR</v>
      </c>
      <c r="C5652" s="3" t="str">
        <f t="shared" si="211"/>
        <v>BRASIL</v>
      </c>
      <c r="D5652" s="4" t="str">
        <f>"PR389"</f>
        <v>PR389</v>
      </c>
    </row>
    <row r="5653" spans="1:4" x14ac:dyDescent="0.3">
      <c r="A5653" s="2" t="str">
        <f>"UNISTALDA"</f>
        <v>UNISTALDA</v>
      </c>
      <c r="B5653" s="3" t="str">
        <f>"RS"</f>
        <v>RS</v>
      </c>
      <c r="C5653" s="3" t="str">
        <f t="shared" si="211"/>
        <v>BRASIL</v>
      </c>
      <c r="D5653" s="4" t="str">
        <f>"RS472"</f>
        <v>RS472</v>
      </c>
    </row>
    <row r="5654" spans="1:4" x14ac:dyDescent="0.3">
      <c r="A5654" s="2" t="str">
        <f>"UPANEMA"</f>
        <v>UPANEMA</v>
      </c>
      <c r="B5654" s="3" t="str">
        <f>"RN"</f>
        <v>RN</v>
      </c>
      <c r="C5654" s="3" t="str">
        <f t="shared" si="211"/>
        <v>BRASIL</v>
      </c>
      <c r="D5654" s="4" t="str">
        <f>"RN162"</f>
        <v>RN162</v>
      </c>
    </row>
    <row r="5655" spans="1:4" x14ac:dyDescent="0.3">
      <c r="A5655" s="2" t="str">
        <f>"URAI"</f>
        <v>URAI</v>
      </c>
      <c r="B5655" s="3" t="str">
        <f>"PR"</f>
        <v>PR</v>
      </c>
      <c r="C5655" s="3" t="str">
        <f t="shared" si="211"/>
        <v>BRASIL</v>
      </c>
      <c r="D5655" s="4" t="str">
        <f>"PR390"</f>
        <v>PR390</v>
      </c>
    </row>
    <row r="5656" spans="1:4" x14ac:dyDescent="0.3">
      <c r="A5656" s="2" t="str">
        <f>"URANDI"</f>
        <v>URANDI</v>
      </c>
      <c r="B5656" s="3" t="str">
        <f>"BA"</f>
        <v>BA</v>
      </c>
      <c r="C5656" s="3" t="str">
        <f t="shared" si="211"/>
        <v>BRASIL</v>
      </c>
      <c r="D5656" s="4" t="str">
        <f>"BA402"</f>
        <v>BA402</v>
      </c>
    </row>
    <row r="5657" spans="1:4" x14ac:dyDescent="0.3">
      <c r="A5657" s="2" t="str">
        <f>"URANIA"</f>
        <v>URANIA</v>
      </c>
      <c r="B5657" s="3" t="str">
        <f>"SP"</f>
        <v>SP</v>
      </c>
      <c r="C5657" s="3" t="str">
        <f t="shared" si="211"/>
        <v>BRASIL</v>
      </c>
      <c r="D5657" s="4" t="str">
        <f>"SP626"</f>
        <v>SP626</v>
      </c>
    </row>
    <row r="5658" spans="1:4" x14ac:dyDescent="0.3">
      <c r="A5658" s="2" t="str">
        <f>"URBANO SANTOS"</f>
        <v>URBANO SANTOS</v>
      </c>
      <c r="B5658" s="3" t="str">
        <f>"MA"</f>
        <v>MA</v>
      </c>
      <c r="C5658" s="3" t="str">
        <f t="shared" si="211"/>
        <v>BRASIL</v>
      </c>
      <c r="D5658" s="4" t="str">
        <f>"MA211"</f>
        <v>MA211</v>
      </c>
    </row>
    <row r="5659" spans="1:4" x14ac:dyDescent="0.3">
      <c r="A5659" s="2" t="str">
        <f>"URNASCH"</f>
        <v>URNASCH</v>
      </c>
      <c r="B5659" s="3" t="str">
        <f>"EX"</f>
        <v>EX</v>
      </c>
      <c r="C5659" s="3" t="str">
        <f>"SUÍÇA"</f>
        <v>SUÍÇA</v>
      </c>
      <c r="D5659" s="4" t="str">
        <f>"URNAS"</f>
        <v>URNAS</v>
      </c>
    </row>
    <row r="5660" spans="1:4" x14ac:dyDescent="0.3">
      <c r="A5660" s="2" t="str">
        <f>"URU"</f>
        <v>URU</v>
      </c>
      <c r="B5660" s="3" t="str">
        <f>"SP"</f>
        <v>SP</v>
      </c>
      <c r="C5660" s="3" t="str">
        <f t="shared" ref="C5660:C5680" si="212">"BRASIL"</f>
        <v>BRASIL</v>
      </c>
      <c r="D5660" s="4" t="str">
        <f>"SP627"</f>
        <v>SP627</v>
      </c>
    </row>
    <row r="5661" spans="1:4" x14ac:dyDescent="0.3">
      <c r="A5661" s="2" t="str">
        <f>"URUACU"</f>
        <v>URUACU</v>
      </c>
      <c r="B5661" s="3" t="str">
        <f>"GO"</f>
        <v>GO</v>
      </c>
      <c r="C5661" s="3" t="str">
        <f t="shared" si="212"/>
        <v>BRASIL</v>
      </c>
      <c r="D5661" s="4" t="str">
        <f>"GO238"</f>
        <v>GO238</v>
      </c>
    </row>
    <row r="5662" spans="1:4" x14ac:dyDescent="0.3">
      <c r="A5662" s="2" t="str">
        <f>"URUANA"</f>
        <v>URUANA</v>
      </c>
      <c r="B5662" s="3" t="str">
        <f>"GO"</f>
        <v>GO</v>
      </c>
      <c r="C5662" s="3" t="str">
        <f t="shared" si="212"/>
        <v>BRASIL</v>
      </c>
      <c r="D5662" s="4" t="str">
        <f>"GO239"</f>
        <v>GO239</v>
      </c>
    </row>
    <row r="5663" spans="1:4" x14ac:dyDescent="0.3">
      <c r="A5663" s="2" t="str">
        <f>"URUANA DE MINAS"</f>
        <v>URUANA DE MINAS</v>
      </c>
      <c r="B5663" s="3" t="str">
        <f>"MG"</f>
        <v>MG</v>
      </c>
      <c r="C5663" s="3" t="str">
        <f t="shared" si="212"/>
        <v>BRASIL</v>
      </c>
      <c r="D5663" s="4" t="str">
        <f>"MG828"</f>
        <v>MG828</v>
      </c>
    </row>
    <row r="5664" spans="1:4" x14ac:dyDescent="0.3">
      <c r="A5664" s="2" t="str">
        <f>"URUARA"</f>
        <v>URUARA</v>
      </c>
      <c r="B5664" s="3" t="str">
        <f>"PA"</f>
        <v>PA</v>
      </c>
      <c r="C5664" s="3" t="str">
        <f t="shared" si="212"/>
        <v>BRASIL</v>
      </c>
      <c r="D5664" s="4" t="str">
        <f>"PA139"</f>
        <v>PA139</v>
      </c>
    </row>
    <row r="5665" spans="1:4" x14ac:dyDescent="0.3">
      <c r="A5665" s="2" t="str">
        <f>"URUBICI"</f>
        <v>URUBICI</v>
      </c>
      <c r="B5665" s="3" t="str">
        <f>"SC"</f>
        <v>SC</v>
      </c>
      <c r="C5665" s="3" t="str">
        <f t="shared" si="212"/>
        <v>BRASIL</v>
      </c>
      <c r="D5665" s="4" t="str">
        <f>"SC280"</f>
        <v>SC280</v>
      </c>
    </row>
    <row r="5666" spans="1:4" x14ac:dyDescent="0.3">
      <c r="A5666" s="2" t="str">
        <f>"URUBURETAMA"</f>
        <v>URUBURETAMA</v>
      </c>
      <c r="B5666" s="3" t="str">
        <f>"CE"</f>
        <v>CE</v>
      </c>
      <c r="C5666" s="3" t="str">
        <f t="shared" si="212"/>
        <v>BRASIL</v>
      </c>
      <c r="D5666" s="4" t="str">
        <f>"CE180"</f>
        <v>CE180</v>
      </c>
    </row>
    <row r="5667" spans="1:4" x14ac:dyDescent="0.3">
      <c r="A5667" s="2" t="str">
        <f>"URUCANIA"</f>
        <v>URUCANIA</v>
      </c>
      <c r="B5667" s="3" t="str">
        <f>"MG"</f>
        <v>MG</v>
      </c>
      <c r="C5667" s="3" t="str">
        <f t="shared" si="212"/>
        <v>BRASIL</v>
      </c>
      <c r="D5667" s="4" t="str">
        <f>"MG829"</f>
        <v>MG829</v>
      </c>
    </row>
    <row r="5668" spans="1:4" x14ac:dyDescent="0.3">
      <c r="A5668" s="2" t="str">
        <f>"URUCARA"</f>
        <v>URUCARA</v>
      </c>
      <c r="B5668" s="3" t="str">
        <f>"AM"</f>
        <v>AM</v>
      </c>
      <c r="C5668" s="3" t="str">
        <f t="shared" si="212"/>
        <v>BRASIL</v>
      </c>
      <c r="D5668" s="4" t="str">
        <f>"AM061"</f>
        <v>AM061</v>
      </c>
    </row>
    <row r="5669" spans="1:4" x14ac:dyDescent="0.3">
      <c r="A5669" s="2" t="str">
        <f>"URUCUCA"</f>
        <v>URUCUCA</v>
      </c>
      <c r="B5669" s="3" t="str">
        <f>"BA"</f>
        <v>BA</v>
      </c>
      <c r="C5669" s="3" t="str">
        <f t="shared" si="212"/>
        <v>BRASIL</v>
      </c>
      <c r="D5669" s="4" t="str">
        <f>"BA403"</f>
        <v>BA403</v>
      </c>
    </row>
    <row r="5670" spans="1:4" x14ac:dyDescent="0.3">
      <c r="A5670" s="2" t="str">
        <f>"URUCUI"</f>
        <v>URUCUI</v>
      </c>
      <c r="B5670" s="3" t="str">
        <f>"PI"</f>
        <v>PI</v>
      </c>
      <c r="C5670" s="3" t="str">
        <f t="shared" si="212"/>
        <v>BRASIL</v>
      </c>
      <c r="D5670" s="4" t="str">
        <f>"PI217"</f>
        <v>PI217</v>
      </c>
    </row>
    <row r="5671" spans="1:4" x14ac:dyDescent="0.3">
      <c r="A5671" s="2" t="str">
        <f>"URUCUIA"</f>
        <v>URUCUIA</v>
      </c>
      <c r="B5671" s="3" t="str">
        <f>"MG"</f>
        <v>MG</v>
      </c>
      <c r="C5671" s="3" t="str">
        <f t="shared" si="212"/>
        <v>BRASIL</v>
      </c>
      <c r="D5671" s="4" t="str">
        <f>"MG830"</f>
        <v>MG830</v>
      </c>
    </row>
    <row r="5672" spans="1:4" x14ac:dyDescent="0.3">
      <c r="A5672" s="2" t="str">
        <f>"URUCURITUBA"</f>
        <v>URUCURITUBA</v>
      </c>
      <c r="B5672" s="3" t="str">
        <f>"AM"</f>
        <v>AM</v>
      </c>
      <c r="C5672" s="3" t="str">
        <f t="shared" si="212"/>
        <v>BRASIL</v>
      </c>
      <c r="D5672" s="4" t="str">
        <f>"AM062"</f>
        <v>AM062</v>
      </c>
    </row>
    <row r="5673" spans="1:4" x14ac:dyDescent="0.3">
      <c r="A5673" s="2" t="str">
        <f>"URUGUAIANA"</f>
        <v>URUGUAIANA</v>
      </c>
      <c r="B5673" s="3" t="str">
        <f>"RS"</f>
        <v>RS</v>
      </c>
      <c r="C5673" s="3" t="str">
        <f t="shared" si="212"/>
        <v>BRASIL</v>
      </c>
      <c r="D5673" s="4" t="str">
        <f>"RS473"</f>
        <v>RS473</v>
      </c>
    </row>
    <row r="5674" spans="1:4" x14ac:dyDescent="0.3">
      <c r="A5674" s="2" t="str">
        <f>"URUOCA"</f>
        <v>URUOCA</v>
      </c>
      <c r="B5674" s="3" t="str">
        <f>"CE"</f>
        <v>CE</v>
      </c>
      <c r="C5674" s="3" t="str">
        <f t="shared" si="212"/>
        <v>BRASIL</v>
      </c>
      <c r="D5674" s="4" t="str">
        <f>"CE181"</f>
        <v>CE181</v>
      </c>
    </row>
    <row r="5675" spans="1:4" x14ac:dyDescent="0.3">
      <c r="A5675" s="2" t="str">
        <f>"URUPA"</f>
        <v>URUPA</v>
      </c>
      <c r="B5675" s="3" t="str">
        <f>"RO"</f>
        <v>RO</v>
      </c>
      <c r="C5675" s="3" t="str">
        <f t="shared" si="212"/>
        <v>BRASIL</v>
      </c>
      <c r="D5675" s="4" t="str">
        <f>"RO050"</f>
        <v>RO050</v>
      </c>
    </row>
    <row r="5676" spans="1:4" x14ac:dyDescent="0.3">
      <c r="A5676" s="2" t="str">
        <f>"URUPEMA"</f>
        <v>URUPEMA</v>
      </c>
      <c r="B5676" s="3" t="str">
        <f>"SC"</f>
        <v>SC</v>
      </c>
      <c r="C5676" s="3" t="str">
        <f t="shared" si="212"/>
        <v>BRASIL</v>
      </c>
      <c r="D5676" s="4" t="str">
        <f>"SC281"</f>
        <v>SC281</v>
      </c>
    </row>
    <row r="5677" spans="1:4" x14ac:dyDescent="0.3">
      <c r="A5677" s="2" t="str">
        <f>"URUPES"</f>
        <v>URUPES</v>
      </c>
      <c r="B5677" s="3" t="str">
        <f>"SP"</f>
        <v>SP</v>
      </c>
      <c r="C5677" s="3" t="str">
        <f t="shared" si="212"/>
        <v>BRASIL</v>
      </c>
      <c r="D5677" s="4" t="str">
        <f>"SP628"</f>
        <v>SP628</v>
      </c>
    </row>
    <row r="5678" spans="1:4" x14ac:dyDescent="0.3">
      <c r="A5678" s="2" t="str">
        <f>"URUSSANGA"</f>
        <v>URUSSANGA</v>
      </c>
      <c r="B5678" s="3" t="str">
        <f>"SC"</f>
        <v>SC</v>
      </c>
      <c r="C5678" s="3" t="str">
        <f t="shared" si="212"/>
        <v>BRASIL</v>
      </c>
      <c r="D5678" s="4" t="str">
        <f>"SC282"</f>
        <v>SC282</v>
      </c>
    </row>
    <row r="5679" spans="1:4" x14ac:dyDescent="0.3">
      <c r="A5679" s="2" t="str">
        <f>"URUTAI"</f>
        <v>URUTAI</v>
      </c>
      <c r="B5679" s="3" t="str">
        <f>"GO"</f>
        <v>GO</v>
      </c>
      <c r="C5679" s="3" t="str">
        <f t="shared" si="212"/>
        <v>BRASIL</v>
      </c>
      <c r="D5679" s="4" t="str">
        <f>"GO240"</f>
        <v>GO240</v>
      </c>
    </row>
    <row r="5680" spans="1:4" x14ac:dyDescent="0.3">
      <c r="A5680" s="2" t="str">
        <f>"UTINGA"</f>
        <v>UTINGA</v>
      </c>
      <c r="B5680" s="3" t="str">
        <f>"BA"</f>
        <v>BA</v>
      </c>
      <c r="C5680" s="3" t="str">
        <f t="shared" si="212"/>
        <v>BRASIL</v>
      </c>
      <c r="D5680" s="4" t="str">
        <f>"BA404"</f>
        <v>BA404</v>
      </c>
    </row>
    <row r="5681" spans="1:4" x14ac:dyDescent="0.3">
      <c r="A5681" s="2" t="str">
        <f>"UVA"</f>
        <v>UVA</v>
      </c>
      <c r="B5681" s="3" t="str">
        <f>"EX"</f>
        <v>EX</v>
      </c>
      <c r="C5681" s="3" t="str">
        <f>"RUSSIA"</f>
        <v>RUSSIA</v>
      </c>
      <c r="D5681" s="4" t="str">
        <f>"UVA"</f>
        <v>UVA</v>
      </c>
    </row>
    <row r="5682" spans="1:4" x14ac:dyDescent="0.3">
      <c r="A5682" s="2" t="str">
        <f>"VACARIA"</f>
        <v>VACARIA</v>
      </c>
      <c r="B5682" s="3" t="str">
        <f>"RS"</f>
        <v>RS</v>
      </c>
      <c r="C5682" s="3" t="str">
        <f t="shared" ref="C5682:C5691" si="213">"BRASIL"</f>
        <v>BRASIL</v>
      </c>
      <c r="D5682" s="4" t="str">
        <f>"RS474"</f>
        <v>RS474</v>
      </c>
    </row>
    <row r="5683" spans="1:4" x14ac:dyDescent="0.3">
      <c r="A5683" s="2" t="str">
        <f>"VALE DE SAO DOMINGOS"</f>
        <v>VALE DE SAO DOMINGOS</v>
      </c>
      <c r="B5683" s="3" t="str">
        <f>"MT"</f>
        <v>MT</v>
      </c>
      <c r="C5683" s="3" t="str">
        <f t="shared" si="213"/>
        <v>BRASIL</v>
      </c>
      <c r="D5683" s="4" t="str">
        <f>"MT134"</f>
        <v>MT134</v>
      </c>
    </row>
    <row r="5684" spans="1:4" x14ac:dyDescent="0.3">
      <c r="A5684" s="2" t="str">
        <f>"VALE DO ANARI"</f>
        <v>VALE DO ANARI</v>
      </c>
      <c r="B5684" s="3" t="str">
        <f>"RO"</f>
        <v>RO</v>
      </c>
      <c r="C5684" s="3" t="str">
        <f t="shared" si="213"/>
        <v>BRASIL</v>
      </c>
      <c r="D5684" s="4" t="str">
        <f>"RO051"</f>
        <v>RO051</v>
      </c>
    </row>
    <row r="5685" spans="1:4" x14ac:dyDescent="0.3">
      <c r="A5685" s="2" t="str">
        <f>"VALE DO PARAISO"</f>
        <v>VALE DO PARAISO</v>
      </c>
      <c r="B5685" s="3" t="str">
        <f>"RO"</f>
        <v>RO</v>
      </c>
      <c r="C5685" s="3" t="str">
        <f t="shared" si="213"/>
        <v>BRASIL</v>
      </c>
      <c r="D5685" s="4" t="str">
        <f>"RO052"</f>
        <v>RO052</v>
      </c>
    </row>
    <row r="5686" spans="1:4" x14ac:dyDescent="0.3">
      <c r="A5686" s="2" t="str">
        <f>"VALE DO SOL"</f>
        <v>VALE DO SOL</v>
      </c>
      <c r="B5686" s="3" t="str">
        <f>"RS"</f>
        <v>RS</v>
      </c>
      <c r="C5686" s="3" t="str">
        <f t="shared" si="213"/>
        <v>BRASIL</v>
      </c>
      <c r="D5686" s="4" t="str">
        <f>"RS476"</f>
        <v>RS476</v>
      </c>
    </row>
    <row r="5687" spans="1:4" x14ac:dyDescent="0.3">
      <c r="A5687" s="2" t="str">
        <f>"VALE REAL"</f>
        <v>VALE REAL</v>
      </c>
      <c r="B5687" s="3" t="str">
        <f>"RS"</f>
        <v>RS</v>
      </c>
      <c r="C5687" s="3" t="str">
        <f t="shared" si="213"/>
        <v>BRASIL</v>
      </c>
      <c r="D5687" s="4" t="str">
        <f>"RS477"</f>
        <v>RS477</v>
      </c>
    </row>
    <row r="5688" spans="1:4" x14ac:dyDescent="0.3">
      <c r="A5688" s="2" t="str">
        <f>"VALE VERDE"</f>
        <v>VALE VERDE</v>
      </c>
      <c r="B5688" s="3" t="str">
        <f>"RS"</f>
        <v>RS</v>
      </c>
      <c r="C5688" s="3" t="str">
        <f t="shared" si="213"/>
        <v>BRASIL</v>
      </c>
      <c r="D5688" s="4" t="str">
        <f>"RS475"</f>
        <v>RS475</v>
      </c>
    </row>
    <row r="5689" spans="1:4" x14ac:dyDescent="0.3">
      <c r="A5689" s="2" t="str">
        <f>"VALENCA"</f>
        <v>VALENCA</v>
      </c>
      <c r="B5689" s="3" t="str">
        <f>"BA"</f>
        <v>BA</v>
      </c>
      <c r="C5689" s="3" t="str">
        <f t="shared" si="213"/>
        <v>BRASIL</v>
      </c>
      <c r="D5689" s="4" t="str">
        <f>"BA405"</f>
        <v>BA405</v>
      </c>
    </row>
    <row r="5690" spans="1:4" x14ac:dyDescent="0.3">
      <c r="A5690" s="2" t="str">
        <f>"VALENCA"</f>
        <v>VALENCA</v>
      </c>
      <c r="B5690" s="3" t="str">
        <f>"RJ"</f>
        <v>RJ</v>
      </c>
      <c r="C5690" s="3" t="str">
        <f t="shared" si="213"/>
        <v>BRASIL</v>
      </c>
      <c r="D5690" s="4" t="str">
        <f>"RJ089"</f>
        <v>RJ089</v>
      </c>
    </row>
    <row r="5691" spans="1:4" x14ac:dyDescent="0.3">
      <c r="A5691" s="2" t="str">
        <f>"VALENCA DO PIAUI"</f>
        <v>VALENCA DO PIAUI</v>
      </c>
      <c r="B5691" s="3" t="str">
        <f>"PI"</f>
        <v>PI</v>
      </c>
      <c r="C5691" s="3" t="str">
        <f t="shared" si="213"/>
        <v>BRASIL</v>
      </c>
      <c r="D5691" s="4" t="str">
        <f>"PI218"</f>
        <v>PI218</v>
      </c>
    </row>
    <row r="5692" spans="1:4" x14ac:dyDescent="0.3">
      <c r="A5692" s="2" t="str">
        <f>"VALENCIA"</f>
        <v>VALENCIA</v>
      </c>
      <c r="B5692" s="3" t="str">
        <f>"VAL"</f>
        <v>VAL</v>
      </c>
      <c r="C5692" s="3" t="str">
        <f>"ESPANHA"</f>
        <v>ESPANHA</v>
      </c>
      <c r="D5692" s="4" t="str">
        <f>"ESPAN"</f>
        <v>ESPAN</v>
      </c>
    </row>
    <row r="5693" spans="1:4" x14ac:dyDescent="0.3">
      <c r="A5693" s="2" t="str">
        <f>"VALENCIA EDO CARABOBO"</f>
        <v>VALENCIA EDO CARABOBO</v>
      </c>
      <c r="B5693" s="3" t="str">
        <f>"EX"</f>
        <v>EX</v>
      </c>
      <c r="C5693" s="3" t="str">
        <f>"VENEZUELA"</f>
        <v>VENEZUELA</v>
      </c>
      <c r="D5693" s="4" t="str">
        <f>"VALEN"</f>
        <v>VALEN</v>
      </c>
    </row>
    <row r="5694" spans="1:4" x14ac:dyDescent="0.3">
      <c r="A5694" s="2" t="str">
        <f>"VALENTE"</f>
        <v>VALENTE</v>
      </c>
      <c r="B5694" s="3" t="str">
        <f>"BA"</f>
        <v>BA</v>
      </c>
      <c r="C5694" s="3" t="str">
        <f>"BRASIL"</f>
        <v>BRASIL</v>
      </c>
      <c r="D5694" s="4" t="str">
        <f>"BA406"</f>
        <v>BA406</v>
      </c>
    </row>
    <row r="5695" spans="1:4" x14ac:dyDescent="0.3">
      <c r="A5695" s="2" t="str">
        <f>"VALENTIM GENTIL"</f>
        <v>VALENTIM GENTIL</v>
      </c>
      <c r="B5695" s="3" t="str">
        <f>"SP"</f>
        <v>SP</v>
      </c>
      <c r="C5695" s="3" t="str">
        <f>"BRASIL"</f>
        <v>BRASIL</v>
      </c>
      <c r="D5695" s="4" t="str">
        <f>"SP629"</f>
        <v>SP629</v>
      </c>
    </row>
    <row r="5696" spans="1:4" x14ac:dyDescent="0.3">
      <c r="A5696" s="2" t="str">
        <f>"VALINHOS"</f>
        <v>VALINHOS</v>
      </c>
      <c r="B5696" s="3" t="str">
        <f>"SP"</f>
        <v>SP</v>
      </c>
      <c r="C5696" s="3" t="str">
        <f>"BRASIL"</f>
        <v>BRASIL</v>
      </c>
      <c r="D5696" s="4" t="str">
        <f>"SP630"</f>
        <v>SP630</v>
      </c>
    </row>
    <row r="5697" spans="1:4" x14ac:dyDescent="0.3">
      <c r="A5697" s="2" t="str">
        <f>"VALPARAISO"</f>
        <v>VALPARAISO</v>
      </c>
      <c r="B5697" s="3" t="str">
        <f>"SP"</f>
        <v>SP</v>
      </c>
      <c r="C5697" s="3" t="str">
        <f>"BRASIL"</f>
        <v>BRASIL</v>
      </c>
      <c r="D5697" s="4" t="str">
        <f>"SP631"</f>
        <v>SP631</v>
      </c>
    </row>
    <row r="5698" spans="1:4" x14ac:dyDescent="0.3">
      <c r="A5698" s="2" t="str">
        <f>"VALPARAISO DE GOIAS"</f>
        <v>VALPARAISO DE GOIAS</v>
      </c>
      <c r="B5698" s="3" t="str">
        <f>"GO"</f>
        <v>GO</v>
      </c>
      <c r="C5698" s="3" t="str">
        <f>"BRASIL"</f>
        <v>BRASIL</v>
      </c>
      <c r="D5698" s="4" t="str">
        <f>"GO241"</f>
        <v>GO241</v>
      </c>
    </row>
    <row r="5699" spans="1:4" x14ac:dyDescent="0.3">
      <c r="A5699" s="2" t="str">
        <f>"VANDALIA"</f>
        <v>VANDALIA</v>
      </c>
      <c r="B5699" s="3" t="str">
        <f>"EX"</f>
        <v>EX</v>
      </c>
      <c r="C5699" s="3" t="str">
        <f>"ESTADOS UNIDOS"</f>
        <v>ESTADOS UNIDOS</v>
      </c>
      <c r="D5699" s="4" t="str">
        <f>"VANDA"</f>
        <v>VANDA</v>
      </c>
    </row>
    <row r="5700" spans="1:4" x14ac:dyDescent="0.3">
      <c r="A5700" s="2" t="str">
        <f>"VANINI"</f>
        <v>VANINI</v>
      </c>
      <c r="B5700" s="3" t="str">
        <f>"RS"</f>
        <v>RS</v>
      </c>
      <c r="C5700" s="3" t="str">
        <f t="shared" ref="C5700:C5716" si="214">"BRASIL"</f>
        <v>BRASIL</v>
      </c>
      <c r="D5700" s="4" t="str">
        <f>"RS478"</f>
        <v>RS478</v>
      </c>
    </row>
    <row r="5701" spans="1:4" x14ac:dyDescent="0.3">
      <c r="A5701" s="2" t="str">
        <f>"VARGEAO"</f>
        <v>VARGEAO</v>
      </c>
      <c r="B5701" s="3" t="str">
        <f>"SC"</f>
        <v>SC</v>
      </c>
      <c r="C5701" s="3" t="str">
        <f t="shared" si="214"/>
        <v>BRASIL</v>
      </c>
      <c r="D5701" s="4" t="str">
        <f>"SC283"</f>
        <v>SC283</v>
      </c>
    </row>
    <row r="5702" spans="1:4" x14ac:dyDescent="0.3">
      <c r="A5702" s="2" t="str">
        <f>"VARGEM"</f>
        <v>VARGEM</v>
      </c>
      <c r="B5702" s="3" t="str">
        <f>"SC"</f>
        <v>SC</v>
      </c>
      <c r="C5702" s="3" t="str">
        <f t="shared" si="214"/>
        <v>BRASIL</v>
      </c>
      <c r="D5702" s="4" t="str">
        <f>"SC284"</f>
        <v>SC284</v>
      </c>
    </row>
    <row r="5703" spans="1:4" x14ac:dyDescent="0.3">
      <c r="A5703" s="2" t="str">
        <f>"VARGEM"</f>
        <v>VARGEM</v>
      </c>
      <c r="B5703" s="3" t="str">
        <f>"SP"</f>
        <v>SP</v>
      </c>
      <c r="C5703" s="3" t="str">
        <f t="shared" si="214"/>
        <v>BRASIL</v>
      </c>
      <c r="D5703" s="4" t="str">
        <f>"SP632"</f>
        <v>SP632</v>
      </c>
    </row>
    <row r="5704" spans="1:4" x14ac:dyDescent="0.3">
      <c r="A5704" s="2" t="str">
        <f>"VARGEM ALEGRE"</f>
        <v>VARGEM ALEGRE</v>
      </c>
      <c r="B5704" s="3" t="str">
        <f>"MG"</f>
        <v>MG</v>
      </c>
      <c r="C5704" s="3" t="str">
        <f t="shared" si="214"/>
        <v>BRASIL</v>
      </c>
      <c r="D5704" s="4" t="str">
        <f>"MG831"</f>
        <v>MG831</v>
      </c>
    </row>
    <row r="5705" spans="1:4" x14ac:dyDescent="0.3">
      <c r="A5705" s="2" t="str">
        <f>"VARGEM ALTA"</f>
        <v>VARGEM ALTA</v>
      </c>
      <c r="B5705" s="3" t="str">
        <f>"ES"</f>
        <v>ES</v>
      </c>
      <c r="C5705" s="3" t="str">
        <f t="shared" si="214"/>
        <v>BRASIL</v>
      </c>
      <c r="D5705" s="4" t="str">
        <f>"ES072"</f>
        <v>ES072</v>
      </c>
    </row>
    <row r="5706" spans="1:4" x14ac:dyDescent="0.3">
      <c r="A5706" s="2" t="str">
        <f>"VARGEM BONITA"</f>
        <v>VARGEM BONITA</v>
      </c>
      <c r="B5706" s="3" t="str">
        <f>"MG"</f>
        <v>MG</v>
      </c>
      <c r="C5706" s="3" t="str">
        <f t="shared" si="214"/>
        <v>BRASIL</v>
      </c>
      <c r="D5706" s="4" t="str">
        <f>"MG832"</f>
        <v>MG832</v>
      </c>
    </row>
    <row r="5707" spans="1:4" x14ac:dyDescent="0.3">
      <c r="A5707" s="2" t="str">
        <f>"VARGEM BONITA"</f>
        <v>VARGEM BONITA</v>
      </c>
      <c r="B5707" s="3" t="str">
        <f>"SC"</f>
        <v>SC</v>
      </c>
      <c r="C5707" s="3" t="str">
        <f t="shared" si="214"/>
        <v>BRASIL</v>
      </c>
      <c r="D5707" s="4" t="str">
        <f>"SC285"</f>
        <v>SC285</v>
      </c>
    </row>
    <row r="5708" spans="1:4" x14ac:dyDescent="0.3">
      <c r="A5708" s="2" t="str">
        <f>"VARGEM GRANDE"</f>
        <v>VARGEM GRANDE</v>
      </c>
      <c r="B5708" s="3" t="str">
        <f>"MA"</f>
        <v>MA</v>
      </c>
      <c r="C5708" s="3" t="str">
        <f t="shared" si="214"/>
        <v>BRASIL</v>
      </c>
      <c r="D5708" s="4" t="str">
        <f>"MA212"</f>
        <v>MA212</v>
      </c>
    </row>
    <row r="5709" spans="1:4" x14ac:dyDescent="0.3">
      <c r="A5709" s="2" t="str">
        <f>"VARGEM GRANDE DO RIO PARD"</f>
        <v>VARGEM GRANDE DO RIO PARD</v>
      </c>
      <c r="B5709" s="3" t="str">
        <f>"MG"</f>
        <v>MG</v>
      </c>
      <c r="C5709" s="3" t="str">
        <f t="shared" si="214"/>
        <v>BRASIL</v>
      </c>
      <c r="D5709" s="4" t="str">
        <f>"MG833"</f>
        <v>MG833</v>
      </c>
    </row>
    <row r="5710" spans="1:4" x14ac:dyDescent="0.3">
      <c r="A5710" s="2" t="str">
        <f>"VARGEM GRANDE DO SUL"</f>
        <v>VARGEM GRANDE DO SUL</v>
      </c>
      <c r="B5710" s="3" t="str">
        <f>"SP"</f>
        <v>SP</v>
      </c>
      <c r="C5710" s="3" t="str">
        <f t="shared" si="214"/>
        <v>BRASIL</v>
      </c>
      <c r="D5710" s="4" t="str">
        <f>"SP633"</f>
        <v>SP633</v>
      </c>
    </row>
    <row r="5711" spans="1:4" x14ac:dyDescent="0.3">
      <c r="A5711" s="2" t="str">
        <f>"VARGEM GRANDE PAULISTA"</f>
        <v>VARGEM GRANDE PAULISTA</v>
      </c>
      <c r="B5711" s="3" t="str">
        <f>"SP"</f>
        <v>SP</v>
      </c>
      <c r="C5711" s="3" t="str">
        <f t="shared" si="214"/>
        <v>BRASIL</v>
      </c>
      <c r="D5711" s="4" t="str">
        <f>"SP634"</f>
        <v>SP634</v>
      </c>
    </row>
    <row r="5712" spans="1:4" x14ac:dyDescent="0.3">
      <c r="A5712" s="2" t="str">
        <f>"VARGINHA"</f>
        <v>VARGINHA</v>
      </c>
      <c r="B5712" s="3" t="str">
        <f>"MG"</f>
        <v>MG</v>
      </c>
      <c r="C5712" s="3" t="str">
        <f t="shared" si="214"/>
        <v>BRASIL</v>
      </c>
      <c r="D5712" s="4" t="str">
        <f>"MG834"</f>
        <v>MG834</v>
      </c>
    </row>
    <row r="5713" spans="1:4" x14ac:dyDescent="0.3">
      <c r="A5713" s="2" t="str">
        <f>"VARJAO"</f>
        <v>VARJAO</v>
      </c>
      <c r="B5713" s="3" t="str">
        <f>"GO"</f>
        <v>GO</v>
      </c>
      <c r="C5713" s="3" t="str">
        <f t="shared" si="214"/>
        <v>BRASIL</v>
      </c>
      <c r="D5713" s="4" t="str">
        <f>"GO242"</f>
        <v>GO242</v>
      </c>
    </row>
    <row r="5714" spans="1:4" x14ac:dyDescent="0.3">
      <c r="A5714" s="2" t="str">
        <f>"VARJAO DE MINAS"</f>
        <v>VARJAO DE MINAS</v>
      </c>
      <c r="B5714" s="3" t="str">
        <f>"MG"</f>
        <v>MG</v>
      </c>
      <c r="C5714" s="3" t="str">
        <f t="shared" si="214"/>
        <v>BRASIL</v>
      </c>
      <c r="D5714" s="4" t="str">
        <f>"MG835"</f>
        <v>MG835</v>
      </c>
    </row>
    <row r="5715" spans="1:4" x14ac:dyDescent="0.3">
      <c r="A5715" s="2" t="str">
        <f>"VARJOTA"</f>
        <v>VARJOTA</v>
      </c>
      <c r="B5715" s="3" t="str">
        <f>"CE"</f>
        <v>CE</v>
      </c>
      <c r="C5715" s="3" t="str">
        <f t="shared" si="214"/>
        <v>BRASIL</v>
      </c>
      <c r="D5715" s="4" t="str">
        <f>"CE182"</f>
        <v>CE182</v>
      </c>
    </row>
    <row r="5716" spans="1:4" x14ac:dyDescent="0.3">
      <c r="A5716" s="2" t="str">
        <f>"VARRE-SAI"</f>
        <v>VARRE-SAI</v>
      </c>
      <c r="B5716" s="3" t="str">
        <f>"RJ"</f>
        <v>RJ</v>
      </c>
      <c r="C5716" s="3" t="str">
        <f t="shared" si="214"/>
        <v>BRASIL</v>
      </c>
      <c r="D5716" s="4" t="str">
        <f>"RJ090"</f>
        <v>RJ090</v>
      </c>
    </row>
    <row r="5717" spans="1:4" x14ac:dyDescent="0.3">
      <c r="A5717" s="2" t="str">
        <f>"VARSÓVIA"</f>
        <v>VARSÓVIA</v>
      </c>
      <c r="B5717" s="3" t="str">
        <f>"EX"</f>
        <v>EX</v>
      </c>
      <c r="C5717" s="3" t="str">
        <f>"POLONIA"</f>
        <v>POLONIA</v>
      </c>
      <c r="D5717" s="4" t="str">
        <f>"WAW"</f>
        <v>WAW</v>
      </c>
    </row>
    <row r="5718" spans="1:4" x14ac:dyDescent="0.3">
      <c r="A5718" s="2" t="str">
        <f>"VARZEA"</f>
        <v>VARZEA</v>
      </c>
      <c r="B5718" s="3" t="str">
        <f>"PB"</f>
        <v>PB</v>
      </c>
      <c r="C5718" s="3" t="str">
        <f t="shared" ref="C5718:C5749" si="215">"BRASIL"</f>
        <v>BRASIL</v>
      </c>
      <c r="D5718" s="4" t="str">
        <f>"PB221"</f>
        <v>PB221</v>
      </c>
    </row>
    <row r="5719" spans="1:4" x14ac:dyDescent="0.3">
      <c r="A5719" s="2" t="str">
        <f>"VARZEA"</f>
        <v>VARZEA</v>
      </c>
      <c r="B5719" s="3" t="str">
        <f>"RN"</f>
        <v>RN</v>
      </c>
      <c r="C5719" s="3" t="str">
        <f t="shared" si="215"/>
        <v>BRASIL</v>
      </c>
      <c r="D5719" s="4" t="str">
        <f>"RN163"</f>
        <v>RN163</v>
      </c>
    </row>
    <row r="5720" spans="1:4" x14ac:dyDescent="0.3">
      <c r="A5720" s="2" t="str">
        <f>"VARZEA ALEGRE"</f>
        <v>VARZEA ALEGRE</v>
      </c>
      <c r="B5720" s="3" t="str">
        <f>"CE"</f>
        <v>CE</v>
      </c>
      <c r="C5720" s="3" t="str">
        <f t="shared" si="215"/>
        <v>BRASIL</v>
      </c>
      <c r="D5720" s="4" t="str">
        <f>"CE183"</f>
        <v>CE183</v>
      </c>
    </row>
    <row r="5721" spans="1:4" x14ac:dyDescent="0.3">
      <c r="A5721" s="2" t="str">
        <f>"VARZEA BRANCA"</f>
        <v>VARZEA BRANCA</v>
      </c>
      <c r="B5721" s="3" t="str">
        <f>"PI"</f>
        <v>PI</v>
      </c>
      <c r="C5721" s="3" t="str">
        <f t="shared" si="215"/>
        <v>BRASIL</v>
      </c>
      <c r="D5721" s="4" t="str">
        <f>"PI219"</f>
        <v>PI219</v>
      </c>
    </row>
    <row r="5722" spans="1:4" x14ac:dyDescent="0.3">
      <c r="A5722" s="2" t="str">
        <f>"VARZEA DA PALMA"</f>
        <v>VARZEA DA PALMA</v>
      </c>
      <c r="B5722" s="3" t="str">
        <f>"MG"</f>
        <v>MG</v>
      </c>
      <c r="C5722" s="3" t="str">
        <f t="shared" si="215"/>
        <v>BRASIL</v>
      </c>
      <c r="D5722" s="4" t="str">
        <f>"MG836"</f>
        <v>MG836</v>
      </c>
    </row>
    <row r="5723" spans="1:4" x14ac:dyDescent="0.3">
      <c r="A5723" s="2" t="str">
        <f>"VARZEA DA ROCA"</f>
        <v>VARZEA DA ROCA</v>
      </c>
      <c r="B5723" s="3" t="str">
        <f>"BA"</f>
        <v>BA</v>
      </c>
      <c r="C5723" s="3" t="str">
        <f t="shared" si="215"/>
        <v>BRASIL</v>
      </c>
      <c r="D5723" s="4" t="str">
        <f>"BA407"</f>
        <v>BA407</v>
      </c>
    </row>
    <row r="5724" spans="1:4" x14ac:dyDescent="0.3">
      <c r="A5724" s="2" t="str">
        <f>"VARZEA DO POCO"</f>
        <v>VARZEA DO POCO</v>
      </c>
      <c r="B5724" s="3" t="str">
        <f>"BA"</f>
        <v>BA</v>
      </c>
      <c r="C5724" s="3" t="str">
        <f t="shared" si="215"/>
        <v>BRASIL</v>
      </c>
      <c r="D5724" s="4" t="str">
        <f>"BA408"</f>
        <v>BA408</v>
      </c>
    </row>
    <row r="5725" spans="1:4" x14ac:dyDescent="0.3">
      <c r="A5725" s="2" t="str">
        <f>"VARZEA GRANDE"</f>
        <v>VARZEA GRANDE</v>
      </c>
      <c r="B5725" s="3" t="str">
        <f>"MT"</f>
        <v>MT</v>
      </c>
      <c r="C5725" s="3" t="str">
        <f t="shared" si="215"/>
        <v>BRASIL</v>
      </c>
      <c r="D5725" s="4" t="str">
        <f>"MT135"</f>
        <v>MT135</v>
      </c>
    </row>
    <row r="5726" spans="1:4" x14ac:dyDescent="0.3">
      <c r="A5726" s="2" t="str">
        <f>"VARZEA GRANDE"</f>
        <v>VARZEA GRANDE</v>
      </c>
      <c r="B5726" s="3" t="str">
        <f>"PI"</f>
        <v>PI</v>
      </c>
      <c r="C5726" s="3" t="str">
        <f t="shared" si="215"/>
        <v>BRASIL</v>
      </c>
      <c r="D5726" s="4" t="str">
        <f>"PI220"</f>
        <v>PI220</v>
      </c>
    </row>
    <row r="5727" spans="1:4" x14ac:dyDescent="0.3">
      <c r="A5727" s="2" t="str">
        <f>"VARZEA NOVA"</f>
        <v>VARZEA NOVA</v>
      </c>
      <c r="B5727" s="3" t="str">
        <f>"BA"</f>
        <v>BA</v>
      </c>
      <c r="C5727" s="3" t="str">
        <f t="shared" si="215"/>
        <v>BRASIL</v>
      </c>
      <c r="D5727" s="4" t="str">
        <f>"BA409"</f>
        <v>BA409</v>
      </c>
    </row>
    <row r="5728" spans="1:4" x14ac:dyDescent="0.3">
      <c r="A5728" s="2" t="str">
        <f>"VARZEA PAULISTA"</f>
        <v>VARZEA PAULISTA</v>
      </c>
      <c r="B5728" s="3" t="str">
        <f>"SP"</f>
        <v>SP</v>
      </c>
      <c r="C5728" s="3" t="str">
        <f t="shared" si="215"/>
        <v>BRASIL</v>
      </c>
      <c r="D5728" s="4" t="str">
        <f>"SP635"</f>
        <v>SP635</v>
      </c>
    </row>
    <row r="5729" spans="1:4" x14ac:dyDescent="0.3">
      <c r="A5729" s="2" t="str">
        <f>"VARZEDO"</f>
        <v>VARZEDO</v>
      </c>
      <c r="B5729" s="3" t="str">
        <f>"BA"</f>
        <v>BA</v>
      </c>
      <c r="C5729" s="3" t="str">
        <f t="shared" si="215"/>
        <v>BRASIL</v>
      </c>
      <c r="D5729" s="4" t="str">
        <f>"BA410"</f>
        <v>BA410</v>
      </c>
    </row>
    <row r="5730" spans="1:4" x14ac:dyDescent="0.3">
      <c r="A5730" s="2" t="str">
        <f>"VARZELANDIA"</f>
        <v>VARZELANDIA</v>
      </c>
      <c r="B5730" s="3" t="str">
        <f>"MG"</f>
        <v>MG</v>
      </c>
      <c r="C5730" s="3" t="str">
        <f t="shared" si="215"/>
        <v>BRASIL</v>
      </c>
      <c r="D5730" s="4" t="str">
        <f>"MG837"</f>
        <v>MG837</v>
      </c>
    </row>
    <row r="5731" spans="1:4" x14ac:dyDescent="0.3">
      <c r="A5731" s="2" t="str">
        <f>"VASSOURAS"</f>
        <v>VASSOURAS</v>
      </c>
      <c r="B5731" s="3" t="str">
        <f>"RJ"</f>
        <v>RJ</v>
      </c>
      <c r="C5731" s="3" t="str">
        <f t="shared" si="215"/>
        <v>BRASIL</v>
      </c>
      <c r="D5731" s="4" t="str">
        <f>"RJ091"</f>
        <v>RJ091</v>
      </c>
    </row>
    <row r="5732" spans="1:4" x14ac:dyDescent="0.3">
      <c r="A5732" s="2" t="str">
        <f>"VAZANTE"</f>
        <v>VAZANTE</v>
      </c>
      <c r="B5732" s="3" t="str">
        <f>"MG"</f>
        <v>MG</v>
      </c>
      <c r="C5732" s="3" t="str">
        <f t="shared" si="215"/>
        <v>BRASIL</v>
      </c>
      <c r="D5732" s="4" t="str">
        <f>"MG838"</f>
        <v>MG838</v>
      </c>
    </row>
    <row r="5733" spans="1:4" x14ac:dyDescent="0.3">
      <c r="A5733" s="2" t="str">
        <f>"VENANCIO AIRES"</f>
        <v>VENANCIO AIRES</v>
      </c>
      <c r="B5733" s="3" t="str">
        <f>"RS"</f>
        <v>RS</v>
      </c>
      <c r="C5733" s="3" t="str">
        <f t="shared" si="215"/>
        <v>BRASIL</v>
      </c>
      <c r="D5733" s="4" t="str">
        <f>"RS479"</f>
        <v>RS479</v>
      </c>
    </row>
    <row r="5734" spans="1:4" x14ac:dyDescent="0.3">
      <c r="A5734" s="2" t="str">
        <f>"VENDA NOVA DO IMIGRANTE"</f>
        <v>VENDA NOVA DO IMIGRANTE</v>
      </c>
      <c r="B5734" s="3" t="str">
        <f>"ES"</f>
        <v>ES</v>
      </c>
      <c r="C5734" s="3" t="str">
        <f t="shared" si="215"/>
        <v>BRASIL</v>
      </c>
      <c r="D5734" s="4" t="str">
        <f>"ES073"</f>
        <v>ES073</v>
      </c>
    </row>
    <row r="5735" spans="1:4" x14ac:dyDescent="0.3">
      <c r="A5735" s="2" t="str">
        <f>"VENHA-VER"</f>
        <v>VENHA-VER</v>
      </c>
      <c r="B5735" s="3" t="str">
        <f>"RN"</f>
        <v>RN</v>
      </c>
      <c r="C5735" s="3" t="str">
        <f t="shared" si="215"/>
        <v>BRASIL</v>
      </c>
      <c r="D5735" s="4" t="str">
        <f>"RN164"</f>
        <v>RN164</v>
      </c>
    </row>
    <row r="5736" spans="1:4" x14ac:dyDescent="0.3">
      <c r="A5736" s="2" t="str">
        <f>"VENTANIA"</f>
        <v>VENTANIA</v>
      </c>
      <c r="B5736" s="3" t="str">
        <f>"PR"</f>
        <v>PR</v>
      </c>
      <c r="C5736" s="3" t="str">
        <f t="shared" si="215"/>
        <v>BRASIL</v>
      </c>
      <c r="D5736" s="4" t="str">
        <f>"PR392"</f>
        <v>PR392</v>
      </c>
    </row>
    <row r="5737" spans="1:4" x14ac:dyDescent="0.3">
      <c r="A5737" s="2" t="str">
        <f>"VENTUROSA"</f>
        <v>VENTUROSA</v>
      </c>
      <c r="B5737" s="3" t="str">
        <f>"PE"</f>
        <v>PE</v>
      </c>
      <c r="C5737" s="3" t="str">
        <f t="shared" si="215"/>
        <v>BRASIL</v>
      </c>
      <c r="D5737" s="4" t="str">
        <f>"PE179"</f>
        <v>PE179</v>
      </c>
    </row>
    <row r="5738" spans="1:4" x14ac:dyDescent="0.3">
      <c r="A5738" s="2" t="str">
        <f>"VERA"</f>
        <v>VERA</v>
      </c>
      <c r="B5738" s="3" t="str">
        <f>"MT"</f>
        <v>MT</v>
      </c>
      <c r="C5738" s="3" t="str">
        <f t="shared" si="215"/>
        <v>BRASIL</v>
      </c>
      <c r="D5738" s="4" t="str">
        <f>"MT136"</f>
        <v>MT136</v>
      </c>
    </row>
    <row r="5739" spans="1:4" x14ac:dyDescent="0.3">
      <c r="A5739" s="2" t="str">
        <f>"VERA CRUZ"</f>
        <v>VERA CRUZ</v>
      </c>
      <c r="B5739" s="3" t="str">
        <f>"BA"</f>
        <v>BA</v>
      </c>
      <c r="C5739" s="3" t="str">
        <f t="shared" si="215"/>
        <v>BRASIL</v>
      </c>
      <c r="D5739" s="4" t="str">
        <f>"BA411"</f>
        <v>BA411</v>
      </c>
    </row>
    <row r="5740" spans="1:4" x14ac:dyDescent="0.3">
      <c r="A5740" s="2" t="str">
        <f>"VERA CRUZ"</f>
        <v>VERA CRUZ</v>
      </c>
      <c r="B5740" s="3" t="str">
        <f>"RN"</f>
        <v>RN</v>
      </c>
      <c r="C5740" s="3" t="str">
        <f t="shared" si="215"/>
        <v>BRASIL</v>
      </c>
      <c r="D5740" s="4" t="str">
        <f>"RN165"</f>
        <v>RN165</v>
      </c>
    </row>
    <row r="5741" spans="1:4" x14ac:dyDescent="0.3">
      <c r="A5741" s="2" t="str">
        <f>"VERA CRUZ"</f>
        <v>VERA CRUZ</v>
      </c>
      <c r="B5741" s="3" t="str">
        <f>"RS"</f>
        <v>RS</v>
      </c>
      <c r="C5741" s="3" t="str">
        <f t="shared" si="215"/>
        <v>BRASIL</v>
      </c>
      <c r="D5741" s="4" t="str">
        <f>"RS480"</f>
        <v>RS480</v>
      </c>
    </row>
    <row r="5742" spans="1:4" x14ac:dyDescent="0.3">
      <c r="A5742" s="2" t="str">
        <f>"VERA CRUZ"</f>
        <v>VERA CRUZ</v>
      </c>
      <c r="B5742" s="3" t="str">
        <f>"SP"</f>
        <v>SP</v>
      </c>
      <c r="C5742" s="3" t="str">
        <f t="shared" si="215"/>
        <v>BRASIL</v>
      </c>
      <c r="D5742" s="4" t="str">
        <f>"SP636"</f>
        <v>SP636</v>
      </c>
    </row>
    <row r="5743" spans="1:4" x14ac:dyDescent="0.3">
      <c r="A5743" s="2" t="str">
        <f>"VERA CRUZ DO OESTE"</f>
        <v>VERA CRUZ DO OESTE</v>
      </c>
      <c r="B5743" s="3" t="str">
        <f>"PR"</f>
        <v>PR</v>
      </c>
      <c r="C5743" s="3" t="str">
        <f t="shared" si="215"/>
        <v>BRASIL</v>
      </c>
      <c r="D5743" s="4" t="str">
        <f>"PR393"</f>
        <v>PR393</v>
      </c>
    </row>
    <row r="5744" spans="1:4" x14ac:dyDescent="0.3">
      <c r="A5744" s="2" t="str">
        <f>"VERA MENDES"</f>
        <v>VERA MENDES</v>
      </c>
      <c r="B5744" s="3" t="str">
        <f>"PI"</f>
        <v>PI</v>
      </c>
      <c r="C5744" s="3" t="str">
        <f t="shared" si="215"/>
        <v>BRASIL</v>
      </c>
      <c r="D5744" s="4" t="str">
        <f>"PI221"</f>
        <v>PI221</v>
      </c>
    </row>
    <row r="5745" spans="1:4" x14ac:dyDescent="0.3">
      <c r="A5745" s="2" t="str">
        <f>"VERANOPOLIS"</f>
        <v>VERANOPOLIS</v>
      </c>
      <c r="B5745" s="3" t="str">
        <f>"RS"</f>
        <v>RS</v>
      </c>
      <c r="C5745" s="3" t="str">
        <f t="shared" si="215"/>
        <v>BRASIL</v>
      </c>
      <c r="D5745" s="4" t="str">
        <f>"RS481"</f>
        <v>RS481</v>
      </c>
    </row>
    <row r="5746" spans="1:4" x14ac:dyDescent="0.3">
      <c r="A5746" s="2" t="str">
        <f>"VERDEJANTE"</f>
        <v>VERDEJANTE</v>
      </c>
      <c r="B5746" s="3" t="str">
        <f>"PE"</f>
        <v>PE</v>
      </c>
      <c r="C5746" s="3" t="str">
        <f t="shared" si="215"/>
        <v>BRASIL</v>
      </c>
      <c r="D5746" s="4" t="str">
        <f>"PE180"</f>
        <v>PE180</v>
      </c>
    </row>
    <row r="5747" spans="1:4" x14ac:dyDescent="0.3">
      <c r="A5747" s="2" t="str">
        <f>"VERDELANDIA"</f>
        <v>VERDELANDIA</v>
      </c>
      <c r="B5747" s="3" t="str">
        <f>"MG"</f>
        <v>MG</v>
      </c>
      <c r="C5747" s="3" t="str">
        <f t="shared" si="215"/>
        <v>BRASIL</v>
      </c>
      <c r="D5747" s="4" t="str">
        <f>"MG839"</f>
        <v>MG839</v>
      </c>
    </row>
    <row r="5748" spans="1:4" x14ac:dyDescent="0.3">
      <c r="A5748" s="2" t="str">
        <f>"VERE"</f>
        <v>VERE</v>
      </c>
      <c r="B5748" s="3" t="str">
        <f>"PR"</f>
        <v>PR</v>
      </c>
      <c r="C5748" s="3" t="str">
        <f t="shared" si="215"/>
        <v>BRASIL</v>
      </c>
      <c r="D5748" s="4" t="str">
        <f>"PR394"</f>
        <v>PR394</v>
      </c>
    </row>
    <row r="5749" spans="1:4" x14ac:dyDescent="0.3">
      <c r="A5749" s="2" t="str">
        <f>"VEREDA"</f>
        <v>VEREDA</v>
      </c>
      <c r="B5749" s="3" t="str">
        <f>"BA"</f>
        <v>BA</v>
      </c>
      <c r="C5749" s="3" t="str">
        <f t="shared" si="215"/>
        <v>BRASIL</v>
      </c>
      <c r="D5749" s="4" t="str">
        <f>"BA412"</f>
        <v>BA412</v>
      </c>
    </row>
    <row r="5750" spans="1:4" x14ac:dyDescent="0.3">
      <c r="A5750" s="2" t="str">
        <f>"VEREDINHA"</f>
        <v>VEREDINHA</v>
      </c>
      <c r="B5750" s="3" t="str">
        <f>"MG"</f>
        <v>MG</v>
      </c>
      <c r="C5750" s="3" t="str">
        <f t="shared" ref="C5750:C5774" si="216">"BRASIL"</f>
        <v>BRASIL</v>
      </c>
      <c r="D5750" s="4" t="str">
        <f>"MG840"</f>
        <v>MG840</v>
      </c>
    </row>
    <row r="5751" spans="1:4" x14ac:dyDescent="0.3">
      <c r="A5751" s="2" t="str">
        <f>"VERISSIMO"</f>
        <v>VERISSIMO</v>
      </c>
      <c r="B5751" s="3" t="str">
        <f>"MG"</f>
        <v>MG</v>
      </c>
      <c r="C5751" s="3" t="str">
        <f t="shared" si="216"/>
        <v>BRASIL</v>
      </c>
      <c r="D5751" s="4" t="str">
        <f>"MG841"</f>
        <v>MG841</v>
      </c>
    </row>
    <row r="5752" spans="1:4" x14ac:dyDescent="0.3">
      <c r="A5752" s="2" t="str">
        <f>"VERMELHO NOVO"</f>
        <v>VERMELHO NOVO</v>
      </c>
      <c r="B5752" s="3" t="str">
        <f>"MG"</f>
        <v>MG</v>
      </c>
      <c r="C5752" s="3" t="str">
        <f t="shared" si="216"/>
        <v>BRASIL</v>
      </c>
      <c r="D5752" s="4" t="str">
        <f>"MG842"</f>
        <v>MG842</v>
      </c>
    </row>
    <row r="5753" spans="1:4" x14ac:dyDescent="0.3">
      <c r="A5753" s="2" t="str">
        <f>"VERTENTE DO LERIO"</f>
        <v>VERTENTE DO LERIO</v>
      </c>
      <c r="B5753" s="3" t="str">
        <f>"PE"</f>
        <v>PE</v>
      </c>
      <c r="C5753" s="3" t="str">
        <f t="shared" si="216"/>
        <v>BRASIL</v>
      </c>
      <c r="D5753" s="4" t="str">
        <f>"PE181"</f>
        <v>PE181</v>
      </c>
    </row>
    <row r="5754" spans="1:4" x14ac:dyDescent="0.3">
      <c r="A5754" s="2" t="str">
        <f>"VERTENTES"</f>
        <v>VERTENTES</v>
      </c>
      <c r="B5754" s="3" t="str">
        <f>"PE"</f>
        <v>PE</v>
      </c>
      <c r="C5754" s="3" t="str">
        <f t="shared" si="216"/>
        <v>BRASIL</v>
      </c>
      <c r="D5754" s="4" t="str">
        <f>"PE182"</f>
        <v>PE182</v>
      </c>
    </row>
    <row r="5755" spans="1:4" x14ac:dyDescent="0.3">
      <c r="A5755" s="2" t="str">
        <f>"VESPASIANO"</f>
        <v>VESPASIANO</v>
      </c>
      <c r="B5755" s="3" t="str">
        <f>"MG"</f>
        <v>MG</v>
      </c>
      <c r="C5755" s="3" t="str">
        <f t="shared" si="216"/>
        <v>BRASIL</v>
      </c>
      <c r="D5755" s="4" t="str">
        <f>"MG843"</f>
        <v>MG843</v>
      </c>
    </row>
    <row r="5756" spans="1:4" x14ac:dyDescent="0.3">
      <c r="A5756" s="2" t="str">
        <f>"VESPASIANO CORREA"</f>
        <v>VESPASIANO CORREA</v>
      </c>
      <c r="B5756" s="3" t="str">
        <f>"RS"</f>
        <v>RS</v>
      </c>
      <c r="C5756" s="3" t="str">
        <f t="shared" si="216"/>
        <v>BRASIL</v>
      </c>
      <c r="D5756" s="4" t="str">
        <f>"RS482"</f>
        <v>RS482</v>
      </c>
    </row>
    <row r="5757" spans="1:4" x14ac:dyDescent="0.3">
      <c r="A5757" s="2" t="str">
        <f>"VIADUTOS"</f>
        <v>VIADUTOS</v>
      </c>
      <c r="B5757" s="3" t="str">
        <f>"RS"</f>
        <v>RS</v>
      </c>
      <c r="C5757" s="3" t="str">
        <f t="shared" si="216"/>
        <v>BRASIL</v>
      </c>
      <c r="D5757" s="4" t="str">
        <f>"RS483"</f>
        <v>RS483</v>
      </c>
    </row>
    <row r="5758" spans="1:4" x14ac:dyDescent="0.3">
      <c r="A5758" s="2" t="str">
        <f>"VIAMAO"</f>
        <v>VIAMAO</v>
      </c>
      <c r="B5758" s="3" t="str">
        <f>"RS"</f>
        <v>RS</v>
      </c>
      <c r="C5758" s="3" t="str">
        <f t="shared" si="216"/>
        <v>BRASIL</v>
      </c>
      <c r="D5758" s="4" t="str">
        <f>"RS484"</f>
        <v>RS484</v>
      </c>
    </row>
    <row r="5759" spans="1:4" x14ac:dyDescent="0.3">
      <c r="A5759" s="2" t="str">
        <f>"VIANA"</f>
        <v>VIANA</v>
      </c>
      <c r="B5759" s="3" t="str">
        <f>"ES"</f>
        <v>ES</v>
      </c>
      <c r="C5759" s="3" t="str">
        <f t="shared" si="216"/>
        <v>BRASIL</v>
      </c>
      <c r="D5759" s="4" t="str">
        <f>"ES074"</f>
        <v>ES074</v>
      </c>
    </row>
    <row r="5760" spans="1:4" x14ac:dyDescent="0.3">
      <c r="A5760" s="2" t="str">
        <f>"VIANA"</f>
        <v>VIANA</v>
      </c>
      <c r="B5760" s="3" t="str">
        <f>"MA"</f>
        <v>MA</v>
      </c>
      <c r="C5760" s="3" t="str">
        <f t="shared" si="216"/>
        <v>BRASIL</v>
      </c>
      <c r="D5760" s="4" t="str">
        <f>"MA213"</f>
        <v>MA213</v>
      </c>
    </row>
    <row r="5761" spans="1:4" x14ac:dyDescent="0.3">
      <c r="A5761" s="2" t="str">
        <f>"VIANOPOLIS"</f>
        <v>VIANOPOLIS</v>
      </c>
      <c r="B5761" s="3" t="str">
        <f>"GO"</f>
        <v>GO</v>
      </c>
      <c r="C5761" s="3" t="str">
        <f t="shared" si="216"/>
        <v>BRASIL</v>
      </c>
      <c r="D5761" s="4" t="str">
        <f>"GO243"</f>
        <v>GO243</v>
      </c>
    </row>
    <row r="5762" spans="1:4" x14ac:dyDescent="0.3">
      <c r="A5762" s="2" t="str">
        <f>"VICENCIA"</f>
        <v>VICENCIA</v>
      </c>
      <c r="B5762" s="3" t="str">
        <f>"PE"</f>
        <v>PE</v>
      </c>
      <c r="C5762" s="3" t="str">
        <f t="shared" si="216"/>
        <v>BRASIL</v>
      </c>
      <c r="D5762" s="4" t="str">
        <f>"PE183"</f>
        <v>PE183</v>
      </c>
    </row>
    <row r="5763" spans="1:4" x14ac:dyDescent="0.3">
      <c r="A5763" s="2" t="str">
        <f>"VICENTE DUTRA"</f>
        <v>VICENTE DUTRA</v>
      </c>
      <c r="B5763" s="3" t="str">
        <f>"RS"</f>
        <v>RS</v>
      </c>
      <c r="C5763" s="3" t="str">
        <f t="shared" si="216"/>
        <v>BRASIL</v>
      </c>
      <c r="D5763" s="4" t="str">
        <f>"RS485"</f>
        <v>RS485</v>
      </c>
    </row>
    <row r="5764" spans="1:4" x14ac:dyDescent="0.3">
      <c r="A5764" s="2" t="str">
        <f>"VICENTINA"</f>
        <v>VICENTINA</v>
      </c>
      <c r="B5764" s="3" t="str">
        <f>"MS"</f>
        <v>MS</v>
      </c>
      <c r="C5764" s="3" t="str">
        <f t="shared" si="216"/>
        <v>BRASIL</v>
      </c>
      <c r="D5764" s="4" t="str">
        <f>"MS078"</f>
        <v>MS078</v>
      </c>
    </row>
    <row r="5765" spans="1:4" x14ac:dyDescent="0.3">
      <c r="A5765" s="2" t="str">
        <f>"VICENTINOPOLIS"</f>
        <v>VICENTINOPOLIS</v>
      </c>
      <c r="B5765" s="3" t="str">
        <f>"GO"</f>
        <v>GO</v>
      </c>
      <c r="C5765" s="3" t="str">
        <f t="shared" si="216"/>
        <v>BRASIL</v>
      </c>
      <c r="D5765" s="4" t="str">
        <f>"GO244"</f>
        <v>GO244</v>
      </c>
    </row>
    <row r="5766" spans="1:4" x14ac:dyDescent="0.3">
      <c r="A5766" s="2" t="str">
        <f>"VICOSA"</f>
        <v>VICOSA</v>
      </c>
      <c r="B5766" s="3" t="str">
        <f>"AL"</f>
        <v>AL</v>
      </c>
      <c r="C5766" s="3" t="str">
        <f t="shared" si="216"/>
        <v>BRASIL</v>
      </c>
      <c r="D5766" s="4" t="str">
        <f>"AL102"</f>
        <v>AL102</v>
      </c>
    </row>
    <row r="5767" spans="1:4" x14ac:dyDescent="0.3">
      <c r="A5767" s="2" t="str">
        <f>"VICOSA"</f>
        <v>VICOSA</v>
      </c>
      <c r="B5767" s="3" t="str">
        <f>"MG"</f>
        <v>MG</v>
      </c>
      <c r="C5767" s="3" t="str">
        <f t="shared" si="216"/>
        <v>BRASIL</v>
      </c>
      <c r="D5767" s="4" t="str">
        <f>"MG844"</f>
        <v>MG844</v>
      </c>
    </row>
    <row r="5768" spans="1:4" x14ac:dyDescent="0.3">
      <c r="A5768" s="2" t="str">
        <f>"VICOSA"</f>
        <v>VICOSA</v>
      </c>
      <c r="B5768" s="3" t="str">
        <f>"RN"</f>
        <v>RN</v>
      </c>
      <c r="C5768" s="3" t="str">
        <f t="shared" si="216"/>
        <v>BRASIL</v>
      </c>
      <c r="D5768" s="4" t="str">
        <f>"RN166"</f>
        <v>RN166</v>
      </c>
    </row>
    <row r="5769" spans="1:4" x14ac:dyDescent="0.3">
      <c r="A5769" s="2" t="str">
        <f>"VICOSA DO CEARA"</f>
        <v>VICOSA DO CEARA</v>
      </c>
      <c r="B5769" s="3" t="str">
        <f>"CE"</f>
        <v>CE</v>
      </c>
      <c r="C5769" s="3" t="str">
        <f t="shared" si="216"/>
        <v>BRASIL</v>
      </c>
      <c r="D5769" s="4" t="str">
        <f>"CE184"</f>
        <v>CE184</v>
      </c>
    </row>
    <row r="5770" spans="1:4" x14ac:dyDescent="0.3">
      <c r="A5770" s="2" t="str">
        <f>"VICTOR GRAEFF"</f>
        <v>VICTOR GRAEFF</v>
      </c>
      <c r="B5770" s="3" t="str">
        <f>"RS"</f>
        <v>RS</v>
      </c>
      <c r="C5770" s="3" t="str">
        <f t="shared" si="216"/>
        <v>BRASIL</v>
      </c>
      <c r="D5770" s="4" t="str">
        <f>"RS486"</f>
        <v>RS486</v>
      </c>
    </row>
    <row r="5771" spans="1:4" x14ac:dyDescent="0.3">
      <c r="A5771" s="2" t="str">
        <f>"VIDAL RAMOS"</f>
        <v>VIDAL RAMOS</v>
      </c>
      <c r="B5771" s="3" t="str">
        <f>"SC"</f>
        <v>SC</v>
      </c>
      <c r="C5771" s="3" t="str">
        <f t="shared" si="216"/>
        <v>BRASIL</v>
      </c>
      <c r="D5771" s="4" t="str">
        <f>"SC286"</f>
        <v>SC286</v>
      </c>
    </row>
    <row r="5772" spans="1:4" x14ac:dyDescent="0.3">
      <c r="A5772" s="2" t="str">
        <f>"VIDEIRA"</f>
        <v>VIDEIRA</v>
      </c>
      <c r="B5772" s="3" t="str">
        <f>"SC"</f>
        <v>SC</v>
      </c>
      <c r="C5772" s="3" t="str">
        <f t="shared" si="216"/>
        <v>BRASIL</v>
      </c>
      <c r="D5772" s="4" t="str">
        <f>"SC287"</f>
        <v>SC287</v>
      </c>
    </row>
    <row r="5773" spans="1:4" x14ac:dyDescent="0.3">
      <c r="A5773" s="2" t="str">
        <f>"VIEIRAS"</f>
        <v>VIEIRAS</v>
      </c>
      <c r="B5773" s="3" t="str">
        <f>"MG"</f>
        <v>MG</v>
      </c>
      <c r="C5773" s="3" t="str">
        <f t="shared" si="216"/>
        <v>BRASIL</v>
      </c>
      <c r="D5773" s="4" t="str">
        <f>"MG845"</f>
        <v>MG845</v>
      </c>
    </row>
    <row r="5774" spans="1:4" x14ac:dyDescent="0.3">
      <c r="A5774" s="2" t="str">
        <f>"VIEIROPOLIS"</f>
        <v>VIEIROPOLIS</v>
      </c>
      <c r="B5774" s="3" t="str">
        <f>"PB"</f>
        <v>PB</v>
      </c>
      <c r="C5774" s="3" t="str">
        <f t="shared" si="216"/>
        <v>BRASIL</v>
      </c>
      <c r="D5774" s="4" t="str">
        <f>"PB222"</f>
        <v>PB222</v>
      </c>
    </row>
    <row r="5775" spans="1:4" x14ac:dyDescent="0.3">
      <c r="A5775" s="2" t="str">
        <f>"VIENA"</f>
        <v>VIENA</v>
      </c>
      <c r="B5775" s="3" t="str">
        <f>"AUT"</f>
        <v>AUT</v>
      </c>
      <c r="C5775" s="3" t="str">
        <f>"AUSTRIA"</f>
        <v>AUSTRIA</v>
      </c>
      <c r="D5775" s="4" t="str">
        <f>"VIENA"</f>
        <v>VIENA</v>
      </c>
    </row>
    <row r="5776" spans="1:4" x14ac:dyDescent="0.3">
      <c r="A5776" s="2" t="str">
        <f>"VIENA"</f>
        <v>VIENA</v>
      </c>
      <c r="B5776" s="3" t="str">
        <f>"EX"</f>
        <v>EX</v>
      </c>
      <c r="C5776" s="3" t="str">
        <f>"AUSTRIA"</f>
        <v>AUSTRIA</v>
      </c>
      <c r="D5776" s="4" t="str">
        <f>"VIE-A"</f>
        <v>VIE-A</v>
      </c>
    </row>
    <row r="5777" spans="1:4" x14ac:dyDescent="0.3">
      <c r="A5777" s="2" t="str">
        <f>"VIERSEN"</f>
        <v>VIERSEN</v>
      </c>
      <c r="B5777" s="3" t="str">
        <f>"EX"</f>
        <v>EX</v>
      </c>
      <c r="C5777" s="3" t="str">
        <f>"ALEMANHA"</f>
        <v>ALEMANHA</v>
      </c>
      <c r="D5777" s="4" t="str">
        <f>"VIER"</f>
        <v>VIER</v>
      </c>
    </row>
    <row r="5778" spans="1:4" x14ac:dyDescent="0.3">
      <c r="A5778" s="2" t="str">
        <f>"VIGEVANO"</f>
        <v>VIGEVANO</v>
      </c>
      <c r="B5778" s="3" t="str">
        <f>"EX"</f>
        <v>EX</v>
      </c>
      <c r="C5778" s="3" t="str">
        <f>"ITÁLIA"</f>
        <v>ITÁLIA</v>
      </c>
      <c r="D5778" s="4" t="str">
        <f>"VGNO"</f>
        <v>VGNO</v>
      </c>
    </row>
    <row r="5779" spans="1:4" x14ac:dyDescent="0.3">
      <c r="A5779" s="2" t="str">
        <f>"VIGIA"</f>
        <v>VIGIA</v>
      </c>
      <c r="B5779" s="3" t="str">
        <f>"PA"</f>
        <v>PA</v>
      </c>
      <c r="C5779" s="3" t="str">
        <f t="shared" ref="C5779:C5794" si="217">"BRASIL"</f>
        <v>BRASIL</v>
      </c>
      <c r="D5779" s="4" t="str">
        <f>"PA140"</f>
        <v>PA140</v>
      </c>
    </row>
    <row r="5780" spans="1:4" x14ac:dyDescent="0.3">
      <c r="A5780" s="2" t="str">
        <f>"VILA BELA DA SANTISSIMA T"</f>
        <v>VILA BELA DA SANTISSIMA T</v>
      </c>
      <c r="B5780" s="3" t="str">
        <f>"MT"</f>
        <v>MT</v>
      </c>
      <c r="C5780" s="3" t="str">
        <f t="shared" si="217"/>
        <v>BRASIL</v>
      </c>
      <c r="D5780" s="4" t="str">
        <f>"MT065"</f>
        <v>MT065</v>
      </c>
    </row>
    <row r="5781" spans="1:4" x14ac:dyDescent="0.3">
      <c r="A5781" s="2" t="str">
        <f>"VILA BOA"</f>
        <v>VILA BOA</v>
      </c>
      <c r="B5781" s="3" t="str">
        <f>"GO"</f>
        <v>GO</v>
      </c>
      <c r="C5781" s="3" t="str">
        <f t="shared" si="217"/>
        <v>BRASIL</v>
      </c>
      <c r="D5781" s="4" t="str">
        <f>"GO245"</f>
        <v>GO245</v>
      </c>
    </row>
    <row r="5782" spans="1:4" x14ac:dyDescent="0.3">
      <c r="A5782" s="2" t="str">
        <f>"VILA FLOR"</f>
        <v>VILA FLOR</v>
      </c>
      <c r="B5782" s="3" t="str">
        <f>"RN"</f>
        <v>RN</v>
      </c>
      <c r="C5782" s="3" t="str">
        <f t="shared" si="217"/>
        <v>BRASIL</v>
      </c>
      <c r="D5782" s="4" t="str">
        <f>"RN167"</f>
        <v>RN167</v>
      </c>
    </row>
    <row r="5783" spans="1:4" x14ac:dyDescent="0.3">
      <c r="A5783" s="2" t="str">
        <f>"VILA FLORES"</f>
        <v>VILA FLORES</v>
      </c>
      <c r="B5783" s="3" t="str">
        <f>"RS"</f>
        <v>RS</v>
      </c>
      <c r="C5783" s="3" t="str">
        <f t="shared" si="217"/>
        <v>BRASIL</v>
      </c>
      <c r="D5783" s="4" t="str">
        <f>"RS487"</f>
        <v>RS487</v>
      </c>
    </row>
    <row r="5784" spans="1:4" x14ac:dyDescent="0.3">
      <c r="A5784" s="2" t="str">
        <f>"VILA LANGARO"</f>
        <v>VILA LANGARO</v>
      </c>
      <c r="B5784" s="3" t="str">
        <f>"RS"</f>
        <v>RS</v>
      </c>
      <c r="C5784" s="3" t="str">
        <f t="shared" si="217"/>
        <v>BRASIL</v>
      </c>
      <c r="D5784" s="4" t="str">
        <f>"RS488"</f>
        <v>RS488</v>
      </c>
    </row>
    <row r="5785" spans="1:4" x14ac:dyDescent="0.3">
      <c r="A5785" s="2" t="str">
        <f>"VILA MARIA"</f>
        <v>VILA MARIA</v>
      </c>
      <c r="B5785" s="3" t="str">
        <f>"RS"</f>
        <v>RS</v>
      </c>
      <c r="C5785" s="3" t="str">
        <f t="shared" si="217"/>
        <v>BRASIL</v>
      </c>
      <c r="D5785" s="4" t="str">
        <f>"RS489"</f>
        <v>RS489</v>
      </c>
    </row>
    <row r="5786" spans="1:4" x14ac:dyDescent="0.3">
      <c r="A5786" s="2" t="str">
        <f>"VILA NOVA DO PIAUI"</f>
        <v>VILA NOVA DO PIAUI</v>
      </c>
      <c r="B5786" s="3" t="str">
        <f>"PI"</f>
        <v>PI</v>
      </c>
      <c r="C5786" s="3" t="str">
        <f t="shared" si="217"/>
        <v>BRASIL</v>
      </c>
      <c r="D5786" s="4" t="str">
        <f>"PI222"</f>
        <v>PI222</v>
      </c>
    </row>
    <row r="5787" spans="1:4" x14ac:dyDescent="0.3">
      <c r="A5787" s="2" t="str">
        <f>"VILA NOVA DO SUL"</f>
        <v>VILA NOVA DO SUL</v>
      </c>
      <c r="B5787" s="3" t="str">
        <f>"RS"</f>
        <v>RS</v>
      </c>
      <c r="C5787" s="3" t="str">
        <f t="shared" si="217"/>
        <v>BRASIL</v>
      </c>
      <c r="D5787" s="4" t="str">
        <f>"RS490"</f>
        <v>RS490</v>
      </c>
    </row>
    <row r="5788" spans="1:4" x14ac:dyDescent="0.3">
      <c r="A5788" s="2" t="str">
        <f>"VILA NOVA DOS MARTIRIOS"</f>
        <v>VILA NOVA DOS MARTIRIOS</v>
      </c>
      <c r="B5788" s="3" t="str">
        <f>"MA"</f>
        <v>MA</v>
      </c>
      <c r="C5788" s="3" t="str">
        <f t="shared" si="217"/>
        <v>BRASIL</v>
      </c>
      <c r="D5788" s="4" t="str">
        <f>"MA214"</f>
        <v>MA214</v>
      </c>
    </row>
    <row r="5789" spans="1:4" x14ac:dyDescent="0.3">
      <c r="A5789" s="2" t="str">
        <f>"VILA PAVAO"</f>
        <v>VILA PAVAO</v>
      </c>
      <c r="B5789" s="3" t="str">
        <f>"ES"</f>
        <v>ES</v>
      </c>
      <c r="C5789" s="3" t="str">
        <f t="shared" si="217"/>
        <v>BRASIL</v>
      </c>
      <c r="D5789" s="4" t="str">
        <f>"ES075"</f>
        <v>ES075</v>
      </c>
    </row>
    <row r="5790" spans="1:4" x14ac:dyDescent="0.3">
      <c r="A5790" s="2" t="str">
        <f>"VILA PROPICIO"</f>
        <v>VILA PROPICIO</v>
      </c>
      <c r="B5790" s="3" t="str">
        <f>"GO"</f>
        <v>GO</v>
      </c>
      <c r="C5790" s="3" t="str">
        <f t="shared" si="217"/>
        <v>BRASIL</v>
      </c>
      <c r="D5790" s="4" t="str">
        <f>"GO246"</f>
        <v>GO246</v>
      </c>
    </row>
    <row r="5791" spans="1:4" x14ac:dyDescent="0.3">
      <c r="A5791" s="2" t="str">
        <f>"VILA RICA"</f>
        <v>VILA RICA</v>
      </c>
      <c r="B5791" s="3" t="str">
        <f>"MT"</f>
        <v>MT</v>
      </c>
      <c r="C5791" s="3" t="str">
        <f t="shared" si="217"/>
        <v>BRASIL</v>
      </c>
      <c r="D5791" s="4" t="str">
        <f>"MT137"</f>
        <v>MT137</v>
      </c>
    </row>
    <row r="5792" spans="1:4" x14ac:dyDescent="0.3">
      <c r="A5792" s="2" t="str">
        <f>"VILA VALERIO"</f>
        <v>VILA VALERIO</v>
      </c>
      <c r="B5792" s="3" t="str">
        <f>"ES"</f>
        <v>ES</v>
      </c>
      <c r="C5792" s="3" t="str">
        <f t="shared" si="217"/>
        <v>BRASIL</v>
      </c>
      <c r="D5792" s="4" t="str">
        <f>"ES076"</f>
        <v>ES076</v>
      </c>
    </row>
    <row r="5793" spans="1:4" x14ac:dyDescent="0.3">
      <c r="A5793" s="2" t="str">
        <f>"VILA VELHA"</f>
        <v>VILA VELHA</v>
      </c>
      <c r="B5793" s="3" t="str">
        <f>"ES"</f>
        <v>ES</v>
      </c>
      <c r="C5793" s="3" t="str">
        <f t="shared" si="217"/>
        <v>BRASIL</v>
      </c>
      <c r="D5793" s="4" t="str">
        <f>"ES077"</f>
        <v>ES077</v>
      </c>
    </row>
    <row r="5794" spans="1:4" x14ac:dyDescent="0.3">
      <c r="A5794" s="2" t="str">
        <f>"VILHENA"</f>
        <v>VILHENA</v>
      </c>
      <c r="B5794" s="3" t="str">
        <f>"RO"</f>
        <v>RO</v>
      </c>
      <c r="C5794" s="3" t="str">
        <f t="shared" si="217"/>
        <v>BRASIL</v>
      </c>
      <c r="D5794" s="4" t="str">
        <f>"RO022"</f>
        <v>RO022</v>
      </c>
    </row>
    <row r="5795" spans="1:4" x14ac:dyDescent="0.3">
      <c r="A5795" s="2" t="str">
        <f>"VINHEDO"</f>
        <v>VINHEDO</v>
      </c>
      <c r="B5795" s="3" t="str">
        <f>"SP"</f>
        <v>SP</v>
      </c>
      <c r="C5795" s="3" t="str">
        <f>"Brasil"</f>
        <v>Brasil</v>
      </c>
      <c r="D5795" s="4" t="str">
        <f>"VIN"</f>
        <v>VIN</v>
      </c>
    </row>
    <row r="5796" spans="1:4" x14ac:dyDescent="0.3">
      <c r="A5796" s="2" t="str">
        <f>"VIRADOURO"</f>
        <v>VIRADOURO</v>
      </c>
      <c r="B5796" s="3" t="str">
        <f>"SP"</f>
        <v>SP</v>
      </c>
      <c r="C5796" s="3" t="str">
        <f t="shared" ref="C5796:C5823" si="218">"BRASIL"</f>
        <v>BRASIL</v>
      </c>
      <c r="D5796" s="4" t="str">
        <f>"SP638"</f>
        <v>SP638</v>
      </c>
    </row>
    <row r="5797" spans="1:4" x14ac:dyDescent="0.3">
      <c r="A5797" s="2" t="str">
        <f>"VIRGEM DA LAPA"</f>
        <v>VIRGEM DA LAPA</v>
      </c>
      <c r="B5797" s="3" t="str">
        <f>"MG"</f>
        <v>MG</v>
      </c>
      <c r="C5797" s="3" t="str">
        <f t="shared" si="218"/>
        <v>BRASIL</v>
      </c>
      <c r="D5797" s="4" t="str">
        <f>"MG847"</f>
        <v>MG847</v>
      </c>
    </row>
    <row r="5798" spans="1:4" x14ac:dyDescent="0.3">
      <c r="A5798" s="2" t="str">
        <f>"VIRGINIA"</f>
        <v>VIRGINIA</v>
      </c>
      <c r="B5798" s="3" t="str">
        <f>"MG"</f>
        <v>MG</v>
      </c>
      <c r="C5798" s="3" t="str">
        <f t="shared" si="218"/>
        <v>BRASIL</v>
      </c>
      <c r="D5798" s="4" t="str">
        <f>"MG848"</f>
        <v>MG848</v>
      </c>
    </row>
    <row r="5799" spans="1:4" x14ac:dyDescent="0.3">
      <c r="A5799" s="2" t="str">
        <f>"VIRGINOPOLIS"</f>
        <v>VIRGINOPOLIS</v>
      </c>
      <c r="B5799" s="3" t="str">
        <f>"MG"</f>
        <v>MG</v>
      </c>
      <c r="C5799" s="3" t="str">
        <f t="shared" si="218"/>
        <v>BRASIL</v>
      </c>
      <c r="D5799" s="4" t="str">
        <f>"MG849"</f>
        <v>MG849</v>
      </c>
    </row>
    <row r="5800" spans="1:4" x14ac:dyDescent="0.3">
      <c r="A5800" s="2" t="str">
        <f>"VIRGOLANDIA"</f>
        <v>VIRGOLANDIA</v>
      </c>
      <c r="B5800" s="3" t="str">
        <f>"MG"</f>
        <v>MG</v>
      </c>
      <c r="C5800" s="3" t="str">
        <f t="shared" si="218"/>
        <v>BRASIL</v>
      </c>
      <c r="D5800" s="4" t="str">
        <f>"MG850"</f>
        <v>MG850</v>
      </c>
    </row>
    <row r="5801" spans="1:4" x14ac:dyDescent="0.3">
      <c r="A5801" s="2" t="str">
        <f>"VIRMOND"</f>
        <v>VIRMOND</v>
      </c>
      <c r="B5801" s="3" t="str">
        <f>"PR"</f>
        <v>PR</v>
      </c>
      <c r="C5801" s="3" t="str">
        <f t="shared" si="218"/>
        <v>BRASIL</v>
      </c>
      <c r="D5801" s="4" t="str">
        <f>"PR397"</f>
        <v>PR397</v>
      </c>
    </row>
    <row r="5802" spans="1:4" x14ac:dyDescent="0.3">
      <c r="A5802" s="2" t="str">
        <f>"VISCONDE DO RIO BRANCO"</f>
        <v>VISCONDE DO RIO BRANCO</v>
      </c>
      <c r="B5802" s="3" t="str">
        <f>"MG"</f>
        <v>MG</v>
      </c>
      <c r="C5802" s="3" t="str">
        <f t="shared" si="218"/>
        <v>BRASIL</v>
      </c>
      <c r="D5802" s="4" t="str">
        <f>"VRBCO"</f>
        <v>VRBCO</v>
      </c>
    </row>
    <row r="5803" spans="1:4" x14ac:dyDescent="0.3">
      <c r="A5803" s="2" t="str">
        <f>"VISEU"</f>
        <v>VISEU</v>
      </c>
      <c r="B5803" s="3" t="str">
        <f>"PA"</f>
        <v>PA</v>
      </c>
      <c r="C5803" s="3" t="str">
        <f t="shared" si="218"/>
        <v>BRASIL</v>
      </c>
      <c r="D5803" s="4" t="str">
        <f>"PA141"</f>
        <v>PA141</v>
      </c>
    </row>
    <row r="5804" spans="1:4" x14ac:dyDescent="0.3">
      <c r="A5804" s="2" t="str">
        <f>"VISTA ALEGRE"</f>
        <v>VISTA ALEGRE</v>
      </c>
      <c r="B5804" s="3" t="str">
        <f>"RS"</f>
        <v>RS</v>
      </c>
      <c r="C5804" s="3" t="str">
        <f t="shared" si="218"/>
        <v>BRASIL</v>
      </c>
      <c r="D5804" s="4" t="str">
        <f>"RS491"</f>
        <v>RS491</v>
      </c>
    </row>
    <row r="5805" spans="1:4" x14ac:dyDescent="0.3">
      <c r="A5805" s="2" t="str">
        <f>"VISTA ALEGRE DO ALTO"</f>
        <v>VISTA ALEGRE DO ALTO</v>
      </c>
      <c r="B5805" s="3" t="str">
        <f>"SP"</f>
        <v>SP</v>
      </c>
      <c r="C5805" s="3" t="str">
        <f t="shared" si="218"/>
        <v>BRASIL</v>
      </c>
      <c r="D5805" s="4" t="str">
        <f>"SP639"</f>
        <v>SP639</v>
      </c>
    </row>
    <row r="5806" spans="1:4" x14ac:dyDescent="0.3">
      <c r="A5806" s="2" t="str">
        <f>"VISTA ALEGRE DO PRATA"</f>
        <v>VISTA ALEGRE DO PRATA</v>
      </c>
      <c r="B5806" s="3" t="str">
        <f>"RS"</f>
        <v>RS</v>
      </c>
      <c r="C5806" s="3" t="str">
        <f t="shared" si="218"/>
        <v>BRASIL</v>
      </c>
      <c r="D5806" s="4" t="str">
        <f>"RS492"</f>
        <v>RS492</v>
      </c>
    </row>
    <row r="5807" spans="1:4" x14ac:dyDescent="0.3">
      <c r="A5807" s="2" t="str">
        <f>"VISTA GAUCHA"</f>
        <v>VISTA GAUCHA</v>
      </c>
      <c r="B5807" s="3" t="str">
        <f>"RS"</f>
        <v>RS</v>
      </c>
      <c r="C5807" s="3" t="str">
        <f t="shared" si="218"/>
        <v>BRASIL</v>
      </c>
      <c r="D5807" s="4" t="str">
        <f>"RS493"</f>
        <v>RS493</v>
      </c>
    </row>
    <row r="5808" spans="1:4" x14ac:dyDescent="0.3">
      <c r="A5808" s="2" t="str">
        <f>"VISTA SERRANA"</f>
        <v>VISTA SERRANA</v>
      </c>
      <c r="B5808" s="3" t="str">
        <f>"PB"</f>
        <v>PB</v>
      </c>
      <c r="C5808" s="3" t="str">
        <f t="shared" si="218"/>
        <v>BRASIL</v>
      </c>
      <c r="D5808" s="4" t="str">
        <f>"PB075"</f>
        <v>PB075</v>
      </c>
    </row>
    <row r="5809" spans="1:4" x14ac:dyDescent="0.3">
      <c r="A5809" s="2" t="str">
        <f>"VITOR MEIRELES"</f>
        <v>VITOR MEIRELES</v>
      </c>
      <c r="B5809" s="3" t="str">
        <f>"SC"</f>
        <v>SC</v>
      </c>
      <c r="C5809" s="3" t="str">
        <f t="shared" si="218"/>
        <v>BRASIL</v>
      </c>
      <c r="D5809" s="4" t="str">
        <f>"SC288"</f>
        <v>SC288</v>
      </c>
    </row>
    <row r="5810" spans="1:4" x14ac:dyDescent="0.3">
      <c r="A5810" s="2" t="str">
        <f>"VITORIA"</f>
        <v>VITORIA</v>
      </c>
      <c r="B5810" s="3" t="str">
        <f>"ES"</f>
        <v>ES</v>
      </c>
      <c r="C5810" s="3" t="str">
        <f t="shared" si="218"/>
        <v>BRASIL</v>
      </c>
      <c r="D5810" s="4" t="str">
        <f>"ES078"</f>
        <v>ES078</v>
      </c>
    </row>
    <row r="5811" spans="1:4" x14ac:dyDescent="0.3">
      <c r="A5811" s="2" t="str">
        <f>"VITORIA BRASIL"</f>
        <v>VITORIA BRASIL</v>
      </c>
      <c r="B5811" s="3" t="str">
        <f>"SP"</f>
        <v>SP</v>
      </c>
      <c r="C5811" s="3" t="str">
        <f t="shared" si="218"/>
        <v>BRASIL</v>
      </c>
      <c r="D5811" s="4" t="str">
        <f>"SP640"</f>
        <v>SP640</v>
      </c>
    </row>
    <row r="5812" spans="1:4" x14ac:dyDescent="0.3">
      <c r="A5812" s="2" t="str">
        <f>"VITORIA DA CONQUISTA"</f>
        <v>VITORIA DA CONQUISTA</v>
      </c>
      <c r="B5812" s="3" t="str">
        <f>"BA"</f>
        <v>BA</v>
      </c>
      <c r="C5812" s="3" t="str">
        <f t="shared" si="218"/>
        <v>BRASIL</v>
      </c>
      <c r="D5812" s="4" t="str">
        <f>"BA413"</f>
        <v>BA413</v>
      </c>
    </row>
    <row r="5813" spans="1:4" x14ac:dyDescent="0.3">
      <c r="A5813" s="2" t="str">
        <f>"VITORIA DAS MISSÕES"</f>
        <v>VITORIA DAS MISSÕES</v>
      </c>
      <c r="B5813" s="3" t="str">
        <f>"RS"</f>
        <v>RS</v>
      </c>
      <c r="C5813" s="3" t="str">
        <f t="shared" si="218"/>
        <v>BRASIL</v>
      </c>
      <c r="D5813" s="4" t="str">
        <f>"RS494"</f>
        <v>RS494</v>
      </c>
    </row>
    <row r="5814" spans="1:4" x14ac:dyDescent="0.3">
      <c r="A5814" s="2" t="str">
        <f>"VITORIA DE SANTO ANTAO"</f>
        <v>VITORIA DE SANTO ANTAO</v>
      </c>
      <c r="B5814" s="3" t="str">
        <f>"PE"</f>
        <v>PE</v>
      </c>
      <c r="C5814" s="3" t="str">
        <f t="shared" si="218"/>
        <v>BRASIL</v>
      </c>
      <c r="D5814" s="4" t="str">
        <f>"PE184"</f>
        <v>PE184</v>
      </c>
    </row>
    <row r="5815" spans="1:4" x14ac:dyDescent="0.3">
      <c r="A5815" s="2" t="str">
        <f>"VITORIA DO JARI"</f>
        <v>VITORIA DO JARI</v>
      </c>
      <c r="B5815" s="3" t="str">
        <f>"AP"</f>
        <v>AP</v>
      </c>
      <c r="C5815" s="3" t="str">
        <f t="shared" si="218"/>
        <v>BRASIL</v>
      </c>
      <c r="D5815" s="4" t="str">
        <f>"AP016"</f>
        <v>AP016</v>
      </c>
    </row>
    <row r="5816" spans="1:4" x14ac:dyDescent="0.3">
      <c r="A5816" s="2" t="str">
        <f>"VITORIA DO MEARIM"</f>
        <v>VITORIA DO MEARIM</v>
      </c>
      <c r="B5816" s="3" t="str">
        <f>"MA"</f>
        <v>MA</v>
      </c>
      <c r="C5816" s="3" t="str">
        <f t="shared" si="218"/>
        <v>BRASIL</v>
      </c>
      <c r="D5816" s="4" t="str">
        <f>"MA215"</f>
        <v>MA215</v>
      </c>
    </row>
    <row r="5817" spans="1:4" x14ac:dyDescent="0.3">
      <c r="A5817" s="2" t="str">
        <f>"VITORIA DO XINGU"</f>
        <v>VITORIA DO XINGU</v>
      </c>
      <c r="B5817" s="3" t="str">
        <f>"PA"</f>
        <v>PA</v>
      </c>
      <c r="C5817" s="3" t="str">
        <f t="shared" si="218"/>
        <v>BRASIL</v>
      </c>
      <c r="D5817" s="4" t="str">
        <f>"PA142"</f>
        <v>PA142</v>
      </c>
    </row>
    <row r="5818" spans="1:4" x14ac:dyDescent="0.3">
      <c r="A5818" s="2" t="str">
        <f>"VITORINO"</f>
        <v>VITORINO</v>
      </c>
      <c r="B5818" s="3" t="str">
        <f>"PR"</f>
        <v>PR</v>
      </c>
      <c r="C5818" s="3" t="str">
        <f t="shared" si="218"/>
        <v>BRASIL</v>
      </c>
      <c r="D5818" s="4" t="str">
        <f>"PR398"</f>
        <v>PR398</v>
      </c>
    </row>
    <row r="5819" spans="1:4" x14ac:dyDescent="0.3">
      <c r="A5819" s="2" t="str">
        <f>"VITORINO FREIRE"</f>
        <v>VITORINO FREIRE</v>
      </c>
      <c r="B5819" s="3" t="str">
        <f>"MA"</f>
        <v>MA</v>
      </c>
      <c r="C5819" s="3" t="str">
        <f t="shared" si="218"/>
        <v>BRASIL</v>
      </c>
      <c r="D5819" s="4" t="str">
        <f>"MA216"</f>
        <v>MA216</v>
      </c>
    </row>
    <row r="5820" spans="1:4" x14ac:dyDescent="0.3">
      <c r="A5820" s="2" t="str">
        <f>"VOLTA GRANDE"</f>
        <v>VOLTA GRANDE</v>
      </c>
      <c r="B5820" s="3" t="str">
        <f>"MG"</f>
        <v>MG</v>
      </c>
      <c r="C5820" s="3" t="str">
        <f t="shared" si="218"/>
        <v>BRASIL</v>
      </c>
      <c r="D5820" s="4" t="str">
        <f>"MG852"</f>
        <v>MG852</v>
      </c>
    </row>
    <row r="5821" spans="1:4" x14ac:dyDescent="0.3">
      <c r="A5821" s="2" t="str">
        <f>"VOLTA REDONDA"</f>
        <v>VOLTA REDONDA</v>
      </c>
      <c r="B5821" s="3" t="str">
        <f>"RJ"</f>
        <v>RJ</v>
      </c>
      <c r="C5821" s="3" t="str">
        <f t="shared" si="218"/>
        <v>BRASIL</v>
      </c>
      <c r="D5821" s="4" t="str">
        <f>"RJ092"</f>
        <v>RJ092</v>
      </c>
    </row>
    <row r="5822" spans="1:4" x14ac:dyDescent="0.3">
      <c r="A5822" s="2" t="str">
        <f>"VOTORANTIM"</f>
        <v>VOTORANTIM</v>
      </c>
      <c r="B5822" s="3" t="str">
        <f>"SP"</f>
        <v>SP</v>
      </c>
      <c r="C5822" s="3" t="str">
        <f t="shared" si="218"/>
        <v>BRASIL</v>
      </c>
      <c r="D5822" s="4" t="str">
        <f>"SP641"</f>
        <v>SP641</v>
      </c>
    </row>
    <row r="5823" spans="1:4" x14ac:dyDescent="0.3">
      <c r="A5823" s="2" t="str">
        <f>"VOTUPORANGA"</f>
        <v>VOTUPORANGA</v>
      </c>
      <c r="B5823" s="3" t="str">
        <f>"SP"</f>
        <v>SP</v>
      </c>
      <c r="C5823" s="3" t="str">
        <f t="shared" si="218"/>
        <v>BRASIL</v>
      </c>
      <c r="D5823" s="4" t="str">
        <f>"SP642"</f>
        <v>SP642</v>
      </c>
    </row>
    <row r="5824" spans="1:4" x14ac:dyDescent="0.3">
      <c r="A5824" s="2" t="str">
        <f>"WAALWIJK"</f>
        <v>WAALWIJK</v>
      </c>
      <c r="B5824" s="3" t="str">
        <f>"EX"</f>
        <v>EX</v>
      </c>
      <c r="C5824" s="3" t="str">
        <f>"HOLANDA"</f>
        <v>HOLANDA</v>
      </c>
      <c r="D5824" s="4" t="str">
        <f>"WAALW"</f>
        <v>WAALW</v>
      </c>
    </row>
    <row r="5825" spans="1:4" x14ac:dyDescent="0.3">
      <c r="A5825" s="2" t="str">
        <f>"WAGNER"</f>
        <v>WAGNER</v>
      </c>
      <c r="B5825" s="3" t="str">
        <f>"BA"</f>
        <v>BA</v>
      </c>
      <c r="C5825" s="3" t="str">
        <f>"BRASIL"</f>
        <v>BRASIL</v>
      </c>
      <c r="D5825" s="4" t="str">
        <f>"BA414"</f>
        <v>BA414</v>
      </c>
    </row>
    <row r="5826" spans="1:4" x14ac:dyDescent="0.3">
      <c r="A5826" s="2" t="str">
        <f>"WALL FERRAZ"</f>
        <v>WALL FERRAZ</v>
      </c>
      <c r="B5826" s="3" t="str">
        <f>"PI"</f>
        <v>PI</v>
      </c>
      <c r="C5826" s="3" t="str">
        <f>"BRASIL"</f>
        <v>BRASIL</v>
      </c>
      <c r="D5826" s="4" t="str">
        <f>"PI223"</f>
        <v>PI223</v>
      </c>
    </row>
    <row r="5827" spans="1:4" x14ac:dyDescent="0.3">
      <c r="A5827" s="2" t="str">
        <f>"WANDERLANDIA"</f>
        <v>WANDERLANDIA</v>
      </c>
      <c r="B5827" s="3" t="str">
        <f>"TO"</f>
        <v>TO</v>
      </c>
      <c r="C5827" s="3" t="str">
        <f>"BRASIL"</f>
        <v>BRASIL</v>
      </c>
      <c r="D5827" s="4" t="str">
        <f>"TO138"</f>
        <v>TO138</v>
      </c>
    </row>
    <row r="5828" spans="1:4" x14ac:dyDescent="0.3">
      <c r="A5828" s="2" t="str">
        <f>"WANDERLEY"</f>
        <v>WANDERLEY</v>
      </c>
      <c r="B5828" s="3" t="str">
        <f>"BA"</f>
        <v>BA</v>
      </c>
      <c r="C5828" s="3" t="str">
        <f>"BRASIL"</f>
        <v>BRASIL</v>
      </c>
      <c r="D5828" s="4" t="str">
        <f>"BA415"</f>
        <v>BA415</v>
      </c>
    </row>
    <row r="5829" spans="1:4" x14ac:dyDescent="0.3">
      <c r="A5829" s="2" t="str">
        <f>"WEIL AM RHEIN"</f>
        <v>WEIL AM RHEIN</v>
      </c>
      <c r="B5829" s="3" t="str">
        <f>"EX"</f>
        <v>EX</v>
      </c>
      <c r="C5829" s="3" t="str">
        <f>"ALEMANHA"</f>
        <v>ALEMANHA</v>
      </c>
      <c r="D5829" s="4" t="str">
        <f>"WEIL"</f>
        <v>WEIL</v>
      </c>
    </row>
    <row r="5830" spans="1:4" x14ac:dyDescent="0.3">
      <c r="A5830" s="2" t="str">
        <f>"WELLHEIM"</f>
        <v>WELLHEIM</v>
      </c>
      <c r="B5830" s="3" t="str">
        <f>"EX"</f>
        <v>EX</v>
      </c>
      <c r="C5830" s="3" t="str">
        <f>"ALEMANHA"</f>
        <v>ALEMANHA</v>
      </c>
      <c r="D5830" s="4" t="str">
        <f>"WELLH"</f>
        <v>WELLH</v>
      </c>
    </row>
    <row r="5831" spans="1:4" x14ac:dyDescent="0.3">
      <c r="A5831" s="2" t="str">
        <f>"WENCESLAU BRAZ"</f>
        <v>WENCESLAU BRAZ</v>
      </c>
      <c r="B5831" s="3" t="str">
        <f>"MG"</f>
        <v>MG</v>
      </c>
      <c r="C5831" s="3" t="str">
        <f>"BRASIL"</f>
        <v>BRASIL</v>
      </c>
      <c r="D5831" s="4" t="str">
        <f>"MG853"</f>
        <v>MG853</v>
      </c>
    </row>
    <row r="5832" spans="1:4" x14ac:dyDescent="0.3">
      <c r="A5832" s="2" t="str">
        <f>"WENCESLAU BRAZ"</f>
        <v>WENCESLAU BRAZ</v>
      </c>
      <c r="B5832" s="3" t="str">
        <f>"PR"</f>
        <v>PR</v>
      </c>
      <c r="C5832" s="3" t="str">
        <f>"BRASIL"</f>
        <v>BRASIL</v>
      </c>
      <c r="D5832" s="4" t="str">
        <f>"PR391"</f>
        <v>PR391</v>
      </c>
    </row>
    <row r="5833" spans="1:4" x14ac:dyDescent="0.3">
      <c r="A5833" s="2" t="str">
        <f>"WENCESLAU GUIMARAES"</f>
        <v>WENCESLAU GUIMARAES</v>
      </c>
      <c r="B5833" s="3" t="str">
        <f>"BA"</f>
        <v>BA</v>
      </c>
      <c r="C5833" s="3" t="str">
        <f>"BRASIL"</f>
        <v>BRASIL</v>
      </c>
      <c r="D5833" s="4" t="str">
        <f>"BA416"</f>
        <v>BA416</v>
      </c>
    </row>
    <row r="5834" spans="1:4" x14ac:dyDescent="0.3">
      <c r="A5834" s="2" t="str">
        <f>"WESTFALIA"</f>
        <v>WESTFALIA</v>
      </c>
      <c r="B5834" s="3" t="str">
        <f>"RS"</f>
        <v>RS</v>
      </c>
      <c r="C5834" s="3" t="str">
        <f>"BRASIL"</f>
        <v>BRASIL</v>
      </c>
      <c r="D5834" s="4" t="str">
        <f>"RS495"</f>
        <v>RS495</v>
      </c>
    </row>
    <row r="5835" spans="1:4" x14ac:dyDescent="0.3">
      <c r="A5835" s="2" t="str">
        <f>"WESTLAKE"</f>
        <v>WESTLAKE</v>
      </c>
      <c r="B5835" s="3" t="str">
        <f>"EX"</f>
        <v>EX</v>
      </c>
      <c r="C5835" s="3" t="str">
        <f>"ESTADOS UNIDOS"</f>
        <v>ESTADOS UNIDOS</v>
      </c>
      <c r="D5835" s="4" t="str">
        <f>"WEST"</f>
        <v>WEST</v>
      </c>
    </row>
    <row r="5836" spans="1:4" x14ac:dyDescent="0.3">
      <c r="A5836" s="2" t="str">
        <f>"WESTON"</f>
        <v>WESTON</v>
      </c>
      <c r="B5836" s="3" t="str">
        <f>"FL"</f>
        <v>FL</v>
      </c>
      <c r="C5836" s="3" t="str">
        <f>"ESTADOS UNIDOS"</f>
        <v>ESTADOS UNIDOS</v>
      </c>
      <c r="D5836" s="4" t="str">
        <f>"WE"</f>
        <v>WE</v>
      </c>
    </row>
    <row r="5837" spans="1:4" x14ac:dyDescent="0.3">
      <c r="A5837" s="2" t="str">
        <f>"WILEN B.WOLLERAU"</f>
        <v>WILEN B.WOLLERAU</v>
      </c>
      <c r="B5837" s="3" t="str">
        <f>"EX"</f>
        <v>EX</v>
      </c>
      <c r="C5837" s="3" t="str">
        <f>"SUÍÇA"</f>
        <v>SUÍÇA</v>
      </c>
      <c r="D5837" s="4" t="str">
        <f>"WILEN"</f>
        <v>WILEN</v>
      </c>
    </row>
    <row r="5838" spans="1:4" x14ac:dyDescent="0.3">
      <c r="A5838" s="2" t="str">
        <f>"WILLICH"</f>
        <v>WILLICH</v>
      </c>
      <c r="B5838" s="3" t="str">
        <f>"EX"</f>
        <v>EX</v>
      </c>
      <c r="C5838" s="3" t="str">
        <f>"ALEMANHA"</f>
        <v>ALEMANHA</v>
      </c>
      <c r="D5838" s="4" t="str">
        <f>"WILL"</f>
        <v>WILL</v>
      </c>
    </row>
    <row r="5839" spans="1:4" x14ac:dyDescent="0.3">
      <c r="A5839" s="2" t="str">
        <f>"WILLICH"</f>
        <v>WILLICH</v>
      </c>
      <c r="B5839" s="3" t="str">
        <f>"GER"</f>
        <v>GER</v>
      </c>
      <c r="C5839" s="3" t="str">
        <f>"ALEMANHA"</f>
        <v>ALEMANHA</v>
      </c>
      <c r="D5839" s="4" t="str">
        <f>"WILLI"</f>
        <v>WILLI</v>
      </c>
    </row>
    <row r="5840" spans="1:4" x14ac:dyDescent="0.3">
      <c r="A5840" s="2" t="str">
        <f>"WIPPERFÜRTH"</f>
        <v>WIPPERFÜRTH</v>
      </c>
      <c r="B5840" s="3" t="str">
        <f>"EX"</f>
        <v>EX</v>
      </c>
      <c r="C5840" s="3" t="str">
        <f>"ALEMANHA"</f>
        <v>ALEMANHA</v>
      </c>
      <c r="D5840" s="4" t="str">
        <f>"WPF"</f>
        <v>WPF</v>
      </c>
    </row>
    <row r="5841" spans="1:4" x14ac:dyDescent="0.3">
      <c r="A5841" s="2" t="str">
        <f>"WITMARSUM"</f>
        <v>WITMARSUM</v>
      </c>
      <c r="B5841" s="3" t="str">
        <f>"SC"</f>
        <v>SC</v>
      </c>
      <c r="C5841" s="3" t="str">
        <f>"BRASIL"</f>
        <v>BRASIL</v>
      </c>
      <c r="D5841" s="4" t="str">
        <f>"SC289"</f>
        <v>SC289</v>
      </c>
    </row>
    <row r="5842" spans="1:4" x14ac:dyDescent="0.3">
      <c r="A5842" s="2" t="str">
        <f>"WUHAN"</f>
        <v>WUHAN</v>
      </c>
      <c r="B5842" s="3" t="str">
        <f>"EX"</f>
        <v>EX</v>
      </c>
      <c r="C5842" s="3" t="str">
        <f>"CHINA"</f>
        <v>CHINA</v>
      </c>
      <c r="D5842" s="4" t="str">
        <f>"WU"</f>
        <v>WU</v>
      </c>
    </row>
    <row r="5843" spans="1:4" x14ac:dyDescent="0.3">
      <c r="A5843" s="2" t="str">
        <f>"WUHAN"</f>
        <v>WUHAN</v>
      </c>
      <c r="B5843" s="3" t="str">
        <f>"HU"</f>
        <v>HU</v>
      </c>
      <c r="C5843" s="3" t="str">
        <f>"CHINA"</f>
        <v>CHINA</v>
      </c>
      <c r="D5843" s="4" t="str">
        <f>"WUHAN"</f>
        <v>WUHAN</v>
      </c>
    </row>
    <row r="5844" spans="1:4" x14ac:dyDescent="0.3">
      <c r="A5844" s="2" t="str">
        <f>"XAMBIOA"</f>
        <v>XAMBIOA</v>
      </c>
      <c r="B5844" s="3" t="str">
        <f>"TO"</f>
        <v>TO</v>
      </c>
      <c r="C5844" s="3" t="str">
        <f t="shared" ref="C5844:C5853" si="219">"BRASIL"</f>
        <v>BRASIL</v>
      </c>
      <c r="D5844" s="4" t="str">
        <f>"TO139"</f>
        <v>TO139</v>
      </c>
    </row>
    <row r="5845" spans="1:4" x14ac:dyDescent="0.3">
      <c r="A5845" s="2" t="str">
        <f>"XAMBRE"</f>
        <v>XAMBRE</v>
      </c>
      <c r="B5845" s="3" t="str">
        <f>"PR"</f>
        <v>PR</v>
      </c>
      <c r="C5845" s="3" t="str">
        <f t="shared" si="219"/>
        <v>BRASIL</v>
      </c>
      <c r="D5845" s="4" t="str">
        <f>"PR399"</f>
        <v>PR399</v>
      </c>
    </row>
    <row r="5846" spans="1:4" x14ac:dyDescent="0.3">
      <c r="A5846" s="2" t="str">
        <f>"XANGRI-LA"</f>
        <v>XANGRI-LA</v>
      </c>
      <c r="B5846" s="3" t="str">
        <f>"RS"</f>
        <v>RS</v>
      </c>
      <c r="C5846" s="3" t="str">
        <f t="shared" si="219"/>
        <v>BRASIL</v>
      </c>
      <c r="D5846" s="4" t="str">
        <f>"RS496"</f>
        <v>RS496</v>
      </c>
    </row>
    <row r="5847" spans="1:4" x14ac:dyDescent="0.3">
      <c r="A5847" s="2" t="str">
        <f>"XANXERE"</f>
        <v>XANXERE</v>
      </c>
      <c r="B5847" s="3" t="str">
        <f>"SC"</f>
        <v>SC</v>
      </c>
      <c r="C5847" s="3" t="str">
        <f t="shared" si="219"/>
        <v>BRASIL</v>
      </c>
      <c r="D5847" s="4" t="str">
        <f>"SC290"</f>
        <v>SC290</v>
      </c>
    </row>
    <row r="5848" spans="1:4" x14ac:dyDescent="0.3">
      <c r="A5848" s="2" t="str">
        <f>"XAPURI"</f>
        <v>XAPURI</v>
      </c>
      <c r="B5848" s="3" t="str">
        <f>"AC"</f>
        <v>AC</v>
      </c>
      <c r="C5848" s="3" t="str">
        <f t="shared" si="219"/>
        <v>BRASIL</v>
      </c>
      <c r="D5848" s="4" t="str">
        <f>"AC021"</f>
        <v>AC021</v>
      </c>
    </row>
    <row r="5849" spans="1:4" x14ac:dyDescent="0.3">
      <c r="A5849" s="2" t="str">
        <f>"XAVANTINA"</f>
        <v>XAVANTINA</v>
      </c>
      <c r="B5849" s="3" t="str">
        <f>"SC"</f>
        <v>SC</v>
      </c>
      <c r="C5849" s="3" t="str">
        <f t="shared" si="219"/>
        <v>BRASIL</v>
      </c>
      <c r="D5849" s="4" t="str">
        <f>"SC291"</f>
        <v>SC291</v>
      </c>
    </row>
    <row r="5850" spans="1:4" x14ac:dyDescent="0.3">
      <c r="A5850" s="2" t="str">
        <f>"XAXIM"</f>
        <v>XAXIM</v>
      </c>
      <c r="B5850" s="3" t="str">
        <f>"SC"</f>
        <v>SC</v>
      </c>
      <c r="C5850" s="3" t="str">
        <f t="shared" si="219"/>
        <v>BRASIL</v>
      </c>
      <c r="D5850" s="4" t="str">
        <f>"SC292"</f>
        <v>SC292</v>
      </c>
    </row>
    <row r="5851" spans="1:4" x14ac:dyDescent="0.3">
      <c r="A5851" s="2" t="str">
        <f>"XEXEU"</f>
        <v>XEXEU</v>
      </c>
      <c r="B5851" s="3" t="str">
        <f>"PE"</f>
        <v>PE</v>
      </c>
      <c r="C5851" s="3" t="str">
        <f t="shared" si="219"/>
        <v>BRASIL</v>
      </c>
      <c r="D5851" s="4" t="str">
        <f>"PE185"</f>
        <v>PE185</v>
      </c>
    </row>
    <row r="5852" spans="1:4" x14ac:dyDescent="0.3">
      <c r="A5852" s="2" t="str">
        <f>"XINGUARA"</f>
        <v>XINGUARA</v>
      </c>
      <c r="B5852" s="3" t="str">
        <f>"PA"</f>
        <v>PA</v>
      </c>
      <c r="C5852" s="3" t="str">
        <f t="shared" si="219"/>
        <v>BRASIL</v>
      </c>
      <c r="D5852" s="4" t="str">
        <f>"PA143"</f>
        <v>PA143</v>
      </c>
    </row>
    <row r="5853" spans="1:4" x14ac:dyDescent="0.3">
      <c r="A5853" s="2" t="str">
        <f>"XIQUE-XIQUE"</f>
        <v>XIQUE-XIQUE</v>
      </c>
      <c r="B5853" s="3" t="str">
        <f>"BA"</f>
        <v>BA</v>
      </c>
      <c r="C5853" s="3" t="str">
        <f t="shared" si="219"/>
        <v>BRASIL</v>
      </c>
      <c r="D5853" s="4" t="str">
        <f>"BA417"</f>
        <v>BA417</v>
      </c>
    </row>
    <row r="5854" spans="1:4" x14ac:dyDescent="0.3">
      <c r="A5854" s="2" t="str">
        <f>"YAROSLAVL"</f>
        <v>YAROSLAVL</v>
      </c>
      <c r="B5854" s="3" t="str">
        <f>"EX"</f>
        <v>EX</v>
      </c>
      <c r="C5854" s="3" t="str">
        <f>"RUSSIA"</f>
        <v>RUSSIA</v>
      </c>
      <c r="D5854" s="4" t="str">
        <f>"YAR"</f>
        <v>YAR</v>
      </c>
    </row>
    <row r="5855" spans="1:4" x14ac:dyDescent="0.3">
      <c r="A5855" s="2" t="str">
        <f>"YUNGAI"</f>
        <v>YUNGAI</v>
      </c>
      <c r="B5855" s="3" t="str">
        <f>"EX"</f>
        <v>EX</v>
      </c>
      <c r="C5855" s="3" t="str">
        <f>"CHILE"</f>
        <v>CHILE</v>
      </c>
      <c r="D5855" s="4" t="str">
        <f>"YUNG"</f>
        <v>YUNG</v>
      </c>
    </row>
    <row r="5856" spans="1:4" x14ac:dyDescent="0.3">
      <c r="A5856" s="2" t="str">
        <f>"ZABELE"</f>
        <v>ZABELE</v>
      </c>
      <c r="B5856" s="3" t="str">
        <f>"PB"</f>
        <v>PB</v>
      </c>
      <c r="C5856" s="3" t="str">
        <f>"BRASIL"</f>
        <v>BRASIL</v>
      </c>
      <c r="D5856" s="4" t="str">
        <f>"PB223"</f>
        <v>PB223</v>
      </c>
    </row>
    <row r="5857" spans="1:4" x14ac:dyDescent="0.3">
      <c r="A5857" s="2" t="str">
        <f>"ZACARIAS"</f>
        <v>ZACARIAS</v>
      </c>
      <c r="B5857" s="3" t="str">
        <f>"SP"</f>
        <v>SP</v>
      </c>
      <c r="C5857" s="3" t="str">
        <f>"BRASIL"</f>
        <v>BRASIL</v>
      </c>
      <c r="D5857" s="4" t="str">
        <f>"SP643"</f>
        <v>SP643</v>
      </c>
    </row>
    <row r="5858" spans="1:4" x14ac:dyDescent="0.3">
      <c r="A5858" s="2" t="str">
        <f>"ZARATE"</f>
        <v>ZARATE</v>
      </c>
      <c r="B5858" s="3" t="str">
        <f>"EX"</f>
        <v>EX</v>
      </c>
      <c r="C5858" s="3" t="str">
        <f>"ARGENTINA"</f>
        <v>ARGENTINA</v>
      </c>
      <c r="D5858" s="4" t="str">
        <f>"ARGEN"</f>
        <v>ARGEN</v>
      </c>
    </row>
    <row r="5859" spans="1:4" x14ac:dyDescent="0.3">
      <c r="A5859" s="2" t="str">
        <f>"ZE DOCA"</f>
        <v>ZE DOCA</v>
      </c>
      <c r="B5859" s="3" t="str">
        <f>"MA"</f>
        <v>MA</v>
      </c>
      <c r="C5859" s="3" t="str">
        <f>"BRASIL"</f>
        <v>BRASIL</v>
      </c>
      <c r="D5859" s="4" t="str">
        <f>"MA217"</f>
        <v>MA217</v>
      </c>
    </row>
    <row r="5860" spans="1:4" x14ac:dyDescent="0.3">
      <c r="A5860" s="2" t="str">
        <f>"ZHEJIANG"</f>
        <v>ZHEJIANG</v>
      </c>
      <c r="B5860" s="3" t="str">
        <f>"EX"</f>
        <v>EX</v>
      </c>
      <c r="C5860" s="3" t="str">
        <f>"CHINA"</f>
        <v>CHINA</v>
      </c>
      <c r="D5860" s="4" t="str">
        <f>"ZHEJI"</f>
        <v>ZHEJI</v>
      </c>
    </row>
    <row r="5861" spans="1:4" x14ac:dyDescent="0.3">
      <c r="A5861" s="2" t="str">
        <f>"ZIBO SHANDONG"</f>
        <v>ZIBO SHANDONG</v>
      </c>
      <c r="B5861" s="3" t="str">
        <f>"EX"</f>
        <v>EX</v>
      </c>
      <c r="C5861" s="3" t="str">
        <f>"CHINA"</f>
        <v>CHINA</v>
      </c>
      <c r="D5861" s="4" t="str">
        <f>"ZIBO"</f>
        <v>ZIBO</v>
      </c>
    </row>
    <row r="5862" spans="1:4" x14ac:dyDescent="0.3">
      <c r="A5862" s="2" t="str">
        <f>"ZITACUARO MICHOACAN"</f>
        <v>ZITACUARO MICHOACAN</v>
      </c>
      <c r="B5862" s="3" t="str">
        <f>"EX"</f>
        <v>EX</v>
      </c>
      <c r="C5862" s="3" t="str">
        <f>"MEXICO"</f>
        <v>MEXICO</v>
      </c>
      <c r="D5862" s="4" t="str">
        <f>"ZIT"</f>
        <v>ZIT</v>
      </c>
    </row>
    <row r="5863" spans="1:4" x14ac:dyDescent="0.3">
      <c r="A5863" s="2" t="str">
        <f>"ZORTEA"</f>
        <v>ZORTEA</v>
      </c>
      <c r="B5863" s="3" t="str">
        <f>"SC"</f>
        <v>SC</v>
      </c>
      <c r="C5863" s="3" t="str">
        <f>"BRASIL"</f>
        <v>BRASIL</v>
      </c>
      <c r="D5863" s="4" t="str">
        <f>"SC293"</f>
        <v>SC293</v>
      </c>
    </row>
    <row r="5864" spans="1:4" x14ac:dyDescent="0.3">
      <c r="A5864" s="2" t="str">
        <f>"ZURICH"</f>
        <v>ZURICH</v>
      </c>
      <c r="B5864" s="3" t="str">
        <f>"EX"</f>
        <v>EX</v>
      </c>
      <c r="C5864" s="3" t="str">
        <f>"SUÍÇA"</f>
        <v>SUÍÇA</v>
      </c>
      <c r="D5864" s="4" t="str">
        <f>"ZUR2"</f>
        <v>ZUR2</v>
      </c>
    </row>
    <row r="5865" spans="1:4" ht="15" thickBot="1" x14ac:dyDescent="0.35">
      <c r="A5865" s="5" t="str">
        <f>"ZURICH"</f>
        <v>ZURICH</v>
      </c>
      <c r="B5865" s="6" t="str">
        <f>"SWI"</f>
        <v>SWI</v>
      </c>
      <c r="C5865" s="6" t="str">
        <f>"SUÍÇA"</f>
        <v>SUÍÇA</v>
      </c>
      <c r="D5865" s="7" t="str">
        <f>"ZUR"</f>
        <v>ZUR</v>
      </c>
    </row>
    <row r="5866" spans="1:4" x14ac:dyDescent="0.3">
      <c r="A5866" t="s">
        <v>4</v>
      </c>
    </row>
    <row r="5867" spans="1:4" x14ac:dyDescent="0.3">
      <c r="A5867" s="1">
        <v>4.1666666666666664E-2</v>
      </c>
      <c r="B5867" t="str">
        <f>""</f>
        <v/>
      </c>
    </row>
    <row r="5868" spans="1:4" x14ac:dyDescent="0.3">
      <c r="A5868" t="s">
        <v>5</v>
      </c>
      <c r="B5868" t="str">
        <f>"ZZZZZZZZZZZZZZZZZZZZZZZZZZZZZZZZZZZZZZZZZZZZZZZZZZ"</f>
        <v>ZZZZZZZZZZZZZZZZZZZZZZZZZZZZZZZZZZZZZZZZZZZZZZZZZZ</v>
      </c>
    </row>
    <row r="5869" spans="1:4" x14ac:dyDescent="0.3">
      <c r="A5869" t="s">
        <v>6</v>
      </c>
      <c r="B5869" t="str">
        <f>""</f>
        <v/>
      </c>
    </row>
    <row r="5870" spans="1:4" x14ac:dyDescent="0.3">
      <c r="A5870" t="s">
        <v>5</v>
      </c>
      <c r="B5870" t="str">
        <f>"ZZZZ"</f>
        <v>ZZZZ</v>
      </c>
    </row>
    <row r="5871" spans="1:4" x14ac:dyDescent="0.3">
      <c r="A5871" t="s">
        <v>7</v>
      </c>
      <c r="B5871" t="str">
        <f>""</f>
        <v/>
      </c>
    </row>
    <row r="5872" spans="1:4" x14ac:dyDescent="0.3">
      <c r="A5872" t="s">
        <v>5</v>
      </c>
      <c r="B5872" t="str">
        <f>"ZZZZZZZZZZZZZZZZZZZZ"</f>
        <v>ZZZZZZZZZZZZZZZZZZZZ</v>
      </c>
    </row>
  </sheetData>
  <pageMargins left="0.78740157499999996" right="0.78740157499999996" top="0.984251969" bottom="0.984251969" header="0.4921259845" footer="0.492125984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F0C361-FEA6-4853-8A56-050767A9809C}"/>
</file>

<file path=customXml/itemProps2.xml><?xml version="1.0" encoding="utf-8"?>
<ds:datastoreItem xmlns:ds="http://schemas.openxmlformats.org/officeDocument/2006/customXml" ds:itemID="{8A05989E-F470-4404-853D-35D937BA9AB7}"/>
</file>

<file path=customXml/itemProps3.xml><?xml version="1.0" encoding="utf-8"?>
<ds:datastoreItem xmlns:ds="http://schemas.openxmlformats.org/officeDocument/2006/customXml" ds:itemID="{CE030906-5435-42B2-8A0A-BDFEA4749E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2025-01-16T12:18:10Z</dcterms:created>
  <dcterms:modified xsi:type="dcterms:W3CDTF">2025-01-16T12:19:30Z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