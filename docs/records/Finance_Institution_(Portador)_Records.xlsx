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B0FEE745-A3E4-488A-AC6B-55BDFF64F0E3}" xr6:coauthVersionLast="47" xr6:coauthVersionMax="47" xr10:uidLastSave="{00000000-0000-0000-0000-000000000000}"/>
  <bookViews>
    <workbookView xWindow="-108" yWindow="-108" windowWidth="23256" windowHeight="14016" xr2:uid="{F5C9C628-D359-484B-AE13-41E88B9C8CC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</calcChain>
</file>

<file path=xl/sharedStrings.xml><?xml version="1.0" encoding="utf-8"?>
<sst xmlns="http://schemas.openxmlformats.org/spreadsheetml/2006/main" count="5" uniqueCount="5">
  <si>
    <t>Portador</t>
  </si>
  <si>
    <t>Modalidade</t>
  </si>
  <si>
    <t>Nome</t>
  </si>
  <si>
    <t>Mo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</si>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</sst>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0"/>
    <numFmt numFmtId="165" formatCode="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5" fontId="0" fillId="0" borderId="13" xfId="0" applyNumberFormat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0" fontId="0" fillId="0" borderId="15" xfId="0" applyBorder="1"/>
    <xf numFmtId="165" fontId="0" fillId="0" borderId="16" xfId="0" applyNumberForma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0" fontId="0" fillId="0" borderId="18" xfId="0" applyBorder="1"/>
    <xf numFmtId="165" fontId="0" fillId="0" borderId="19" xfId="0" applyNumberFormat="1" applyBorder="1" applyAlignment="1">
      <alignment horizontal="right"/>
    </xf>
    <xf numFmtId="0" fontId="16" fillId="33" borderId="10" xfId="0" applyFont="1" applyFill="1" applyBorder="1" applyAlignment="1">
      <alignment horizontal="right"/>
    </xf>
    <xf numFmtId="0" fontId="16" fillId="33" borderId="20" xfId="0" applyFont="1" applyFill="1" applyBorder="1"/>
    <xf numFmtId="0" fontId="16" fillId="33" borderId="21" xfId="0" applyFont="1" applyFill="1" applyBorder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21F3-4BE0-4E64-A85B-F50301159309}">
  <dimension ref="A1:D61"/>
  <sheetViews>
    <sheetView tabSelected="1" workbookViewId="0">
      <selection activeCell="E5" sqref="E5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27.44140625" bestFit="1" customWidth="1"/>
    <col min="4" max="4" width="3.77734375" bestFit="1" customWidth="1"/>
  </cols>
  <sheetData>
    <row r="1" spans="1:4" ht="15" thickBot="1" x14ac:dyDescent="0.35">
      <c r="A1" s="10" t="s">
        <v>0</v>
      </c>
      <c r="B1" s="11" t="s">
        <v>1</v>
      </c>
      <c r="C1" s="11" t="s">
        <v>2</v>
      </c>
      <c r="D1" s="12" t="s">
        <v>3</v>
      </c>
    </row>
    <row r="2" spans="1:4" x14ac:dyDescent="0.3">
      <c r="A2" s="7">
        <v>102</v>
      </c>
      <c r="B2" s="8" t="str">
        <f>"Carteira"</f>
        <v>Carteira</v>
      </c>
      <c r="C2" s="8" t="str">
        <f>"XP INVESTIMENTOS"</f>
        <v>XP INVESTIMENTOS</v>
      </c>
      <c r="D2" s="9">
        <v>0</v>
      </c>
    </row>
    <row r="3" spans="1:4" x14ac:dyDescent="0.3">
      <c r="A3" s="1">
        <v>10001</v>
      </c>
      <c r="B3" s="2" t="str">
        <f>"Cb Simples"</f>
        <v>Cb Simples</v>
      </c>
      <c r="C3" s="2" t="str">
        <f>"BANCO DO BRASIL"</f>
        <v>BANCO DO BRASIL</v>
      </c>
      <c r="D3" s="3">
        <v>0</v>
      </c>
    </row>
    <row r="4" spans="1:4" x14ac:dyDescent="0.3">
      <c r="A4" s="1">
        <v>10001</v>
      </c>
      <c r="B4" s="2" t="str">
        <f>"Desconto"</f>
        <v>Desconto</v>
      </c>
      <c r="C4" s="2" t="str">
        <f>"BANCO DO BRASIL"</f>
        <v>BANCO DO BRASIL</v>
      </c>
      <c r="D4" s="3">
        <v>0</v>
      </c>
    </row>
    <row r="5" spans="1:4" x14ac:dyDescent="0.3">
      <c r="A5" s="1">
        <v>10025</v>
      </c>
      <c r="B5" s="2" t="str">
        <f>"Cb Simples"</f>
        <v>Cb Simples</v>
      </c>
      <c r="C5" s="2" t="str">
        <f>"BANCO ALFA S/A"</f>
        <v>BANCO ALFA S/A</v>
      </c>
      <c r="D5" s="3">
        <v>0</v>
      </c>
    </row>
    <row r="6" spans="1:4" x14ac:dyDescent="0.3">
      <c r="A6" s="1">
        <v>10025</v>
      </c>
      <c r="B6" s="2" t="str">
        <f>"Desconto"</f>
        <v>Desconto</v>
      </c>
      <c r="C6" s="2" t="str">
        <f>"BANCO ALFA S/A"</f>
        <v>BANCO ALFA S/A</v>
      </c>
      <c r="D6" s="3">
        <v>0</v>
      </c>
    </row>
    <row r="7" spans="1:4" x14ac:dyDescent="0.3">
      <c r="A7" s="1">
        <v>10041</v>
      </c>
      <c r="B7" s="2" t="str">
        <f>"Cb Simples"</f>
        <v>Cb Simples</v>
      </c>
      <c r="C7" s="2" t="str">
        <f>"BANRISUL"</f>
        <v>BANRISUL</v>
      </c>
      <c r="D7" s="3">
        <v>0</v>
      </c>
    </row>
    <row r="8" spans="1:4" x14ac:dyDescent="0.3">
      <c r="A8" s="1">
        <v>10116</v>
      </c>
      <c r="B8" s="2" t="str">
        <f>"Cb Simples"</f>
        <v>Cb Simples</v>
      </c>
      <c r="C8" s="2" t="str">
        <f>"BNL"</f>
        <v>BNL</v>
      </c>
      <c r="D8" s="3">
        <v>0</v>
      </c>
    </row>
    <row r="9" spans="1:4" x14ac:dyDescent="0.3">
      <c r="A9" s="1">
        <v>10237</v>
      </c>
      <c r="B9" s="2" t="str">
        <f>"Cb Simples"</f>
        <v>Cb Simples</v>
      </c>
      <c r="C9" s="2" t="str">
        <f>"BRADESCO"</f>
        <v>BRADESCO</v>
      </c>
      <c r="D9" s="3">
        <v>0</v>
      </c>
    </row>
    <row r="10" spans="1:4" x14ac:dyDescent="0.3">
      <c r="A10" s="1">
        <v>10237</v>
      </c>
      <c r="B10" s="2" t="str">
        <f>"Desconto"</f>
        <v>Desconto</v>
      </c>
      <c r="C10" s="2" t="str">
        <f>"BRADESCO"</f>
        <v>BRADESCO</v>
      </c>
      <c r="D10" s="3">
        <v>0</v>
      </c>
    </row>
    <row r="11" spans="1:4" x14ac:dyDescent="0.3">
      <c r="A11" s="1">
        <v>10291</v>
      </c>
      <c r="B11" s="2" t="str">
        <f>"Cb Simples"</f>
        <v>Cb Simples</v>
      </c>
      <c r="C11" s="2" t="str">
        <f>"Banco BCN"</f>
        <v>Banco BCN</v>
      </c>
      <c r="D11" s="3">
        <v>0</v>
      </c>
    </row>
    <row r="12" spans="1:4" x14ac:dyDescent="0.3">
      <c r="A12" s="1">
        <v>10341</v>
      </c>
      <c r="B12" s="2" t="str">
        <f>"Cb Simples"</f>
        <v>Cb Simples</v>
      </c>
      <c r="C12" s="2" t="str">
        <f>"BANCO ITAU S/A"</f>
        <v>BANCO ITAU S/A</v>
      </c>
      <c r="D12" s="3">
        <v>0</v>
      </c>
    </row>
    <row r="13" spans="1:4" x14ac:dyDescent="0.3">
      <c r="A13" s="1">
        <v>10347</v>
      </c>
      <c r="B13" s="2" t="str">
        <f>"Cb Simples"</f>
        <v>Cb Simples</v>
      </c>
      <c r="C13" s="2" t="str">
        <f>"BANCO SUDAMERIS"</f>
        <v>BANCO SUDAMERIS</v>
      </c>
      <c r="D13" s="3">
        <v>0</v>
      </c>
    </row>
    <row r="14" spans="1:4" x14ac:dyDescent="0.3">
      <c r="A14" s="1">
        <v>10347</v>
      </c>
      <c r="B14" s="2" t="str">
        <f>"Desconto"</f>
        <v>Desconto</v>
      </c>
      <c r="C14" s="2" t="str">
        <f>"Banco Sudameris"</f>
        <v>Banco Sudameris</v>
      </c>
      <c r="D14" s="3">
        <v>0</v>
      </c>
    </row>
    <row r="15" spans="1:4" x14ac:dyDescent="0.3">
      <c r="A15" s="1">
        <v>10353</v>
      </c>
      <c r="B15" s="2" t="str">
        <f>"Cb Simples"</f>
        <v>Cb Simples</v>
      </c>
      <c r="C15" s="2" t="str">
        <f>"BANCO SANTANDER"</f>
        <v>BANCO SANTANDER</v>
      </c>
      <c r="D15" s="3">
        <v>0</v>
      </c>
    </row>
    <row r="16" spans="1:4" x14ac:dyDescent="0.3">
      <c r="A16" s="1">
        <v>10353</v>
      </c>
      <c r="B16" s="2" t="str">
        <f>"Desconto"</f>
        <v>Desconto</v>
      </c>
      <c r="C16" s="2" t="str">
        <f>"BANCO SANTANDER"</f>
        <v>BANCO SANTANDER</v>
      </c>
      <c r="D16" s="3">
        <v>0</v>
      </c>
    </row>
    <row r="17" spans="1:4" x14ac:dyDescent="0.3">
      <c r="A17" s="1">
        <v>10399</v>
      </c>
      <c r="B17" s="2" t="str">
        <f>"Cb Simples"</f>
        <v>Cb Simples</v>
      </c>
      <c r="C17" s="2" t="str">
        <f>"Banco HSBC S/A"</f>
        <v>Banco HSBC S/A</v>
      </c>
      <c r="D17" s="3">
        <v>0</v>
      </c>
    </row>
    <row r="18" spans="1:4" x14ac:dyDescent="0.3">
      <c r="A18" s="1">
        <v>10399</v>
      </c>
      <c r="B18" s="2" t="str">
        <f>"Desconto"</f>
        <v>Desconto</v>
      </c>
      <c r="C18" s="2" t="str">
        <f>"Banco HSBC S/A"</f>
        <v>Banco HSBC S/A</v>
      </c>
      <c r="D18" s="3">
        <v>0</v>
      </c>
    </row>
    <row r="19" spans="1:4" x14ac:dyDescent="0.3">
      <c r="A19" s="1">
        <v>10422</v>
      </c>
      <c r="B19" s="2" t="str">
        <f>"Cb Simples"</f>
        <v>Cb Simples</v>
      </c>
      <c r="C19" s="2" t="str">
        <f>"Banco Safra"</f>
        <v>Banco Safra</v>
      </c>
      <c r="D19" s="3">
        <v>0</v>
      </c>
    </row>
    <row r="20" spans="1:4" x14ac:dyDescent="0.3">
      <c r="A20" s="1">
        <v>10422</v>
      </c>
      <c r="B20" s="2" t="str">
        <f>"Desconto"</f>
        <v>Desconto</v>
      </c>
      <c r="C20" s="2" t="str">
        <f>"Banco Safra"</f>
        <v>Banco Safra</v>
      </c>
      <c r="D20" s="3">
        <v>0</v>
      </c>
    </row>
    <row r="21" spans="1:4" x14ac:dyDescent="0.3">
      <c r="A21" s="1">
        <v>10422</v>
      </c>
      <c r="B21" s="2" t="str">
        <f>"Carteira"</f>
        <v>Carteira</v>
      </c>
      <c r="C21" s="2" t="str">
        <f>"BANCO SAFRA USD-VD"</f>
        <v>BANCO SAFRA USD-VD</v>
      </c>
      <c r="D21" s="3">
        <v>23</v>
      </c>
    </row>
    <row r="22" spans="1:4" x14ac:dyDescent="0.3">
      <c r="A22" s="1">
        <v>10453</v>
      </c>
      <c r="B22" s="2" t="str">
        <f>"Cb Simples"</f>
        <v>Cb Simples</v>
      </c>
      <c r="C22" s="2" t="str">
        <f>"Banco Rural S/A"</f>
        <v>Banco Rural S/A</v>
      </c>
      <c r="D22" s="3">
        <v>0</v>
      </c>
    </row>
    <row r="23" spans="1:4" x14ac:dyDescent="0.3">
      <c r="A23" s="1">
        <v>10479</v>
      </c>
      <c r="B23" s="2" t="str">
        <f>"Cb Simples"</f>
        <v>Cb Simples</v>
      </c>
      <c r="C23" s="2" t="str">
        <f>"ITAUBANK S/A"</f>
        <v>ITAUBANK S/A</v>
      </c>
      <c r="D23" s="3">
        <v>0</v>
      </c>
    </row>
    <row r="24" spans="1:4" x14ac:dyDescent="0.3">
      <c r="A24" s="1">
        <v>10641</v>
      </c>
      <c r="B24" s="2" t="str">
        <f>"Cb Simples"</f>
        <v>Cb Simples</v>
      </c>
      <c r="C24" s="2" t="str">
        <f>"BANCO BILBAO VIZCAYA - BBV"</f>
        <v>BANCO BILBAO VIZCAYA - BBV</v>
      </c>
      <c r="D24" s="3">
        <v>0</v>
      </c>
    </row>
    <row r="25" spans="1:4" x14ac:dyDescent="0.3">
      <c r="A25" s="1">
        <v>10641</v>
      </c>
      <c r="B25" s="2" t="str">
        <f>"Desconto"</f>
        <v>Desconto</v>
      </c>
      <c r="C25" s="2" t="str">
        <f>"BANCO BILBAO VIZCAYA - BBV"</f>
        <v>BANCO BILBAO VIZCAYA - BBV</v>
      </c>
      <c r="D25" s="3">
        <v>0</v>
      </c>
    </row>
    <row r="26" spans="1:4" x14ac:dyDescent="0.3">
      <c r="A26" s="1">
        <v>10707</v>
      </c>
      <c r="B26" s="2" t="str">
        <f>"Cb Simples"</f>
        <v>Cb Simples</v>
      </c>
      <c r="C26" s="2" t="str">
        <f>"BANCO DAYCOVAL"</f>
        <v>BANCO DAYCOVAL</v>
      </c>
      <c r="D26" s="3">
        <v>0</v>
      </c>
    </row>
    <row r="27" spans="1:4" x14ac:dyDescent="0.3">
      <c r="A27" s="1">
        <v>10745</v>
      </c>
      <c r="B27" s="2" t="str">
        <f>"Cb Simples"</f>
        <v>Cb Simples</v>
      </c>
      <c r="C27" s="2" t="str">
        <f>"CITIBANK"</f>
        <v>CITIBANK</v>
      </c>
      <c r="D27" s="3">
        <v>0</v>
      </c>
    </row>
    <row r="28" spans="1:4" x14ac:dyDescent="0.3">
      <c r="A28" s="1">
        <v>11001</v>
      </c>
      <c r="B28" s="2" t="str">
        <f>"Cb Simples"</f>
        <v>Cb Simples</v>
      </c>
      <c r="C28" s="2" t="str">
        <f>"BANCO DO BRASIL - APLICAÇÃO"</f>
        <v>BANCO DO BRASIL - APLICAÇÃO</v>
      </c>
      <c r="D28" s="3">
        <v>0</v>
      </c>
    </row>
    <row r="29" spans="1:4" x14ac:dyDescent="0.3">
      <c r="A29" s="1">
        <v>11025</v>
      </c>
      <c r="B29" s="2" t="str">
        <f>"Cb Simples"</f>
        <v>Cb Simples</v>
      </c>
      <c r="C29" s="2" t="str">
        <f>"BANCO ALFA S/A"</f>
        <v>BANCO ALFA S/A</v>
      </c>
      <c r="D29" s="3">
        <v>1</v>
      </c>
    </row>
    <row r="30" spans="1:4" x14ac:dyDescent="0.3">
      <c r="A30" s="1">
        <v>11025</v>
      </c>
      <c r="B30" s="2" t="str">
        <f>"Desconto"</f>
        <v>Desconto</v>
      </c>
      <c r="C30" s="2" t="str">
        <f>"BANCO ALFA S/A"</f>
        <v>BANCO ALFA S/A</v>
      </c>
      <c r="D30" s="3">
        <v>1</v>
      </c>
    </row>
    <row r="31" spans="1:4" x14ac:dyDescent="0.3">
      <c r="A31" s="1">
        <v>11237</v>
      </c>
      <c r="B31" s="2" t="str">
        <f>"Cb Simples"</f>
        <v>Cb Simples</v>
      </c>
      <c r="C31" s="2" t="str">
        <f>"BRADESCO"</f>
        <v>BRADESCO</v>
      </c>
      <c r="D31" s="3">
        <v>0</v>
      </c>
    </row>
    <row r="32" spans="1:4" x14ac:dyDescent="0.3">
      <c r="A32" s="1">
        <v>11237</v>
      </c>
      <c r="B32" s="2" t="str">
        <f>"Desconto"</f>
        <v>Desconto</v>
      </c>
      <c r="C32" s="2" t="str">
        <f>"BRADESCO"</f>
        <v>BRADESCO</v>
      </c>
      <c r="D32" s="3">
        <v>1</v>
      </c>
    </row>
    <row r="33" spans="1:4" x14ac:dyDescent="0.3">
      <c r="A33" s="1">
        <v>11341</v>
      </c>
      <c r="B33" s="2" t="str">
        <f>"Cb Simples"</f>
        <v>Cb Simples</v>
      </c>
      <c r="C33" s="2" t="str">
        <f>"BANCO ITAU S/A"</f>
        <v>BANCO ITAU S/A</v>
      </c>
      <c r="D33" s="3">
        <v>3</v>
      </c>
    </row>
    <row r="34" spans="1:4" x14ac:dyDescent="0.3">
      <c r="A34" s="1">
        <v>11353</v>
      </c>
      <c r="B34" s="2" t="str">
        <f>"Cb Simples"</f>
        <v>Cb Simples</v>
      </c>
      <c r="C34" s="2" t="str">
        <f>"BANCO SANTANDER"</f>
        <v>BANCO SANTANDER</v>
      </c>
      <c r="D34" s="3">
        <v>1</v>
      </c>
    </row>
    <row r="35" spans="1:4" x14ac:dyDescent="0.3">
      <c r="A35" s="1">
        <v>11353</v>
      </c>
      <c r="B35" s="2" t="str">
        <f>"Desconto"</f>
        <v>Desconto</v>
      </c>
      <c r="C35" s="2" t="str">
        <f>"BANCO SANTANDER"</f>
        <v>BANCO SANTANDER</v>
      </c>
      <c r="D35" s="3">
        <v>1</v>
      </c>
    </row>
    <row r="36" spans="1:4" x14ac:dyDescent="0.3">
      <c r="A36" s="1">
        <v>11399</v>
      </c>
      <c r="B36" s="2" t="str">
        <f>"Cb Simples"</f>
        <v>Cb Simples</v>
      </c>
      <c r="C36" s="2" t="str">
        <f>"Banco HSBC S/A"</f>
        <v>Banco HSBC S/A</v>
      </c>
      <c r="D36" s="3">
        <v>3</v>
      </c>
    </row>
    <row r="37" spans="1:4" x14ac:dyDescent="0.3">
      <c r="A37" s="1">
        <v>11399</v>
      </c>
      <c r="B37" s="2" t="str">
        <f>"Desconto"</f>
        <v>Desconto</v>
      </c>
      <c r="C37" s="2" t="str">
        <f>"Banco HSBC S/A"</f>
        <v>Banco HSBC S/A</v>
      </c>
      <c r="D37" s="3">
        <v>1</v>
      </c>
    </row>
    <row r="38" spans="1:4" x14ac:dyDescent="0.3">
      <c r="A38" s="1">
        <v>11422</v>
      </c>
      <c r="B38" s="2" t="str">
        <f>"Desconto"</f>
        <v>Desconto</v>
      </c>
      <c r="C38" s="2" t="str">
        <f>"Banco Safra"</f>
        <v>Banco Safra</v>
      </c>
      <c r="D38" s="3">
        <v>1</v>
      </c>
    </row>
    <row r="39" spans="1:4" x14ac:dyDescent="0.3">
      <c r="A39" s="1">
        <v>11479</v>
      </c>
      <c r="B39" s="2" t="str">
        <f t="shared" ref="B39:B45" si="0">"Cb Simples"</f>
        <v>Cb Simples</v>
      </c>
      <c r="C39" s="2" t="str">
        <f>"ITAUBANK S/A"</f>
        <v>ITAUBANK S/A</v>
      </c>
      <c r="D39" s="3">
        <v>3</v>
      </c>
    </row>
    <row r="40" spans="1:4" x14ac:dyDescent="0.3">
      <c r="A40" s="1">
        <v>12341</v>
      </c>
      <c r="B40" s="2" t="str">
        <f t="shared" si="0"/>
        <v>Cb Simples</v>
      </c>
      <c r="C40" s="2" t="str">
        <f>"BANCO ITAU S/A"</f>
        <v>BANCO ITAU S/A</v>
      </c>
      <c r="D40" s="3">
        <v>1</v>
      </c>
    </row>
    <row r="41" spans="1:4" x14ac:dyDescent="0.3">
      <c r="A41" s="1">
        <v>12347</v>
      </c>
      <c r="B41" s="2" t="str">
        <f t="shared" si="0"/>
        <v>Cb Simples</v>
      </c>
      <c r="C41" s="2" t="str">
        <f>"BANCO SUDAMERIS"</f>
        <v>BANCO SUDAMERIS</v>
      </c>
      <c r="D41" s="3">
        <v>1</v>
      </c>
    </row>
    <row r="42" spans="1:4" x14ac:dyDescent="0.3">
      <c r="A42" s="1">
        <v>12353</v>
      </c>
      <c r="B42" s="2" t="str">
        <f t="shared" si="0"/>
        <v>Cb Simples</v>
      </c>
      <c r="C42" s="2" t="str">
        <f>"BANCO SANTANDER"</f>
        <v>BANCO SANTANDER</v>
      </c>
      <c r="D42" s="3">
        <v>3</v>
      </c>
    </row>
    <row r="43" spans="1:4" x14ac:dyDescent="0.3">
      <c r="A43" s="1">
        <v>12399</v>
      </c>
      <c r="B43" s="2" t="str">
        <f t="shared" si="0"/>
        <v>Cb Simples</v>
      </c>
      <c r="C43" s="2" t="str">
        <f>"Banco HSBC S/A"</f>
        <v>Banco HSBC S/A</v>
      </c>
      <c r="D43" s="3">
        <v>1</v>
      </c>
    </row>
    <row r="44" spans="1:4" x14ac:dyDescent="0.3">
      <c r="A44" s="1">
        <v>12479</v>
      </c>
      <c r="B44" s="2" t="str">
        <f t="shared" si="0"/>
        <v>Cb Simples</v>
      </c>
      <c r="C44" s="2" t="str">
        <f>"ITAUBANK S/A"</f>
        <v>ITAUBANK S/A</v>
      </c>
      <c r="D44" s="3">
        <v>1</v>
      </c>
    </row>
    <row r="45" spans="1:4" x14ac:dyDescent="0.3">
      <c r="A45" s="1">
        <v>13341</v>
      </c>
      <c r="B45" s="2" t="str">
        <f t="shared" si="0"/>
        <v>Cb Simples</v>
      </c>
      <c r="C45" s="2" t="str">
        <f>"BANCO ITAU - EURO CM"</f>
        <v>BANCO ITAU - EURO CM</v>
      </c>
      <c r="D45" s="3">
        <v>26</v>
      </c>
    </row>
    <row r="46" spans="1:4" x14ac:dyDescent="0.3">
      <c r="A46" s="1">
        <v>13341</v>
      </c>
      <c r="B46" s="2" t="str">
        <f>"Carteira"</f>
        <v>Carteira</v>
      </c>
      <c r="C46" s="2" t="str">
        <f>"BANCO ITAU - EURO CM"</f>
        <v>BANCO ITAU - EURO CM</v>
      </c>
      <c r="D46" s="3">
        <v>26</v>
      </c>
    </row>
    <row r="47" spans="1:4" x14ac:dyDescent="0.3">
      <c r="A47" s="1">
        <v>14341</v>
      </c>
      <c r="B47" s="2" t="str">
        <f>"Cb Simples"</f>
        <v>Cb Simples</v>
      </c>
      <c r="C47" s="2" t="str">
        <f>"BANCO ITAU - DOLAR CM"</f>
        <v>BANCO ITAU - DOLAR CM</v>
      </c>
      <c r="D47" s="3">
        <v>25</v>
      </c>
    </row>
    <row r="48" spans="1:4" x14ac:dyDescent="0.3">
      <c r="A48" s="1">
        <v>20341</v>
      </c>
      <c r="B48" s="2" t="str">
        <f>"Cb Simples"</f>
        <v>Cb Simples</v>
      </c>
      <c r="C48" s="2" t="str">
        <f>"BANCO ITAU S/A"</f>
        <v>BANCO ITAU S/A</v>
      </c>
      <c r="D48" s="3">
        <v>0</v>
      </c>
    </row>
    <row r="49" spans="1:4" x14ac:dyDescent="0.3">
      <c r="A49" s="1">
        <v>20399</v>
      </c>
      <c r="B49" s="2" t="str">
        <f>"Cb Simples"</f>
        <v>Cb Simples</v>
      </c>
      <c r="C49" s="2" t="str">
        <f>"Banco HSBC S/A"</f>
        <v>Banco HSBC S/A</v>
      </c>
      <c r="D49" s="3">
        <v>0</v>
      </c>
    </row>
    <row r="50" spans="1:4" x14ac:dyDescent="0.3">
      <c r="A50" s="1">
        <v>22341</v>
      </c>
      <c r="B50" s="2" t="str">
        <f>"Cb Simples"</f>
        <v>Cb Simples</v>
      </c>
      <c r="C50" s="2" t="str">
        <f>"BANCO ITAU S/A"</f>
        <v>BANCO ITAU S/A</v>
      </c>
      <c r="D50" s="3">
        <v>1</v>
      </c>
    </row>
    <row r="51" spans="1:4" x14ac:dyDescent="0.3">
      <c r="A51" s="1">
        <v>40422</v>
      </c>
      <c r="B51" s="2" t="str">
        <f>"Desconto"</f>
        <v>Desconto</v>
      </c>
      <c r="C51" s="2" t="str">
        <f>"Banco Safra"</f>
        <v>Banco Safra</v>
      </c>
      <c r="D51" s="3">
        <v>1</v>
      </c>
    </row>
    <row r="52" spans="1:4" x14ac:dyDescent="0.3">
      <c r="A52" s="1">
        <v>99001</v>
      </c>
      <c r="B52" s="2" t="str">
        <f>"Cb Simples"</f>
        <v>Cb Simples</v>
      </c>
      <c r="C52" s="2" t="str">
        <f>"Caixa Geral"</f>
        <v>Caixa Geral</v>
      </c>
      <c r="D52" s="3">
        <v>0</v>
      </c>
    </row>
    <row r="53" spans="1:4" x14ac:dyDescent="0.3">
      <c r="A53" s="1">
        <v>99002</v>
      </c>
      <c r="B53" s="2" t="str">
        <f>"Cb Simples"</f>
        <v>Cb Simples</v>
      </c>
      <c r="C53" s="2" t="str">
        <f>"CAIXA MOEDA ESTRANGEIRA"</f>
        <v>CAIXA MOEDA ESTRANGEIRA</v>
      </c>
      <c r="D53" s="3">
        <v>1</v>
      </c>
    </row>
    <row r="54" spans="1:4" x14ac:dyDescent="0.3">
      <c r="A54" s="1">
        <v>99002</v>
      </c>
      <c r="B54" s="2" t="str">
        <f>"Carteira"</f>
        <v>Carteira</v>
      </c>
      <c r="C54" s="2" t="str">
        <f>"CAIXA MOEDA ESTRANGEIRA"</f>
        <v>CAIXA MOEDA ESTRANGEIRA</v>
      </c>
      <c r="D54" s="3">
        <v>1</v>
      </c>
    </row>
    <row r="55" spans="1:4" x14ac:dyDescent="0.3">
      <c r="A55" s="1">
        <v>99003</v>
      </c>
      <c r="B55" s="2" t="str">
        <f>"Cb Simples"</f>
        <v>Cb Simples</v>
      </c>
      <c r="C55" s="2" t="str">
        <f>"CAIXA MOEDA ESTRANGEIRA"</f>
        <v>CAIXA MOEDA ESTRANGEIRA</v>
      </c>
      <c r="D55" s="3">
        <v>3</v>
      </c>
    </row>
    <row r="56" spans="1:4" x14ac:dyDescent="0.3">
      <c r="A56" s="1">
        <v>99003</v>
      </c>
      <c r="B56" s="2" t="str">
        <f>"Carteira"</f>
        <v>Carteira</v>
      </c>
      <c r="C56" s="2" t="str">
        <f>"CAIXA MOEDA ESTRANGEIRA"</f>
        <v>CAIXA MOEDA ESTRANGEIRA</v>
      </c>
      <c r="D56" s="3">
        <v>3</v>
      </c>
    </row>
    <row r="57" spans="1:4" x14ac:dyDescent="0.3">
      <c r="A57" s="1">
        <v>99422</v>
      </c>
      <c r="B57" s="2" t="str">
        <f>"Desconto"</f>
        <v>Desconto</v>
      </c>
      <c r="C57" s="2" t="str">
        <f>"Banco Safra (Desconto)"</f>
        <v>Banco Safra (Desconto)</v>
      </c>
      <c r="D57" s="3">
        <v>0</v>
      </c>
    </row>
    <row r="58" spans="1:4" x14ac:dyDescent="0.3">
      <c r="A58" s="1">
        <v>99995</v>
      </c>
      <c r="B58" s="2" t="str">
        <f>"Carteira"</f>
        <v>Carteira</v>
      </c>
      <c r="C58" s="2" t="str">
        <f>"COMERCIO EXTERIOR"</f>
        <v>COMERCIO EXTERIOR</v>
      </c>
      <c r="D58" s="3">
        <v>1</v>
      </c>
    </row>
    <row r="59" spans="1:4" x14ac:dyDescent="0.3">
      <c r="A59" s="1">
        <v>99998</v>
      </c>
      <c r="B59" s="2" t="str">
        <f>"Cb Simples"</f>
        <v>Cb Simples</v>
      </c>
      <c r="C59" s="2" t="str">
        <f>"IMPORTACAO"</f>
        <v>IMPORTACAO</v>
      </c>
      <c r="D59" s="3">
        <v>3</v>
      </c>
    </row>
    <row r="60" spans="1:4" ht="15" thickBot="1" x14ac:dyDescent="0.35">
      <c r="A60" s="4">
        <v>99999</v>
      </c>
      <c r="B60" s="5" t="str">
        <f>"Carteira"</f>
        <v>Carteira</v>
      </c>
      <c r="C60" s="5" t="str">
        <f>"CARTEIRA - INTEGRAÇÃO"</f>
        <v>CARTEIRA - INTEGRAÇÃO</v>
      </c>
      <c r="D60" s="6">
        <v>0</v>
      </c>
    </row>
    <row r="61" spans="1:4" x14ac:dyDescent="0.3">
      <c r="A61" t="s">
        <v>4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456F17-D7E3-48BA-842E-6F1C60AFA2A5}"/>
</file>

<file path=customXml/itemProps2.xml><?xml version="1.0" encoding="utf-8"?>
<ds:datastoreItem xmlns:ds="http://schemas.openxmlformats.org/officeDocument/2006/customXml" ds:itemID="{CBD7A5EE-CA53-44EA-BF26-18D1DE0C616C}"/>
</file>

<file path=customXml/itemProps3.xml><?xml version="1.0" encoding="utf-8"?>
<ds:datastoreItem xmlns:ds="http://schemas.openxmlformats.org/officeDocument/2006/customXml" ds:itemID="{9F466073-E0F7-487B-9F6E-F37E95B20A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2025-01-16T11:50:05Z</dcterms:created>
  <dcterms:modified xsi:type="dcterms:W3CDTF">2025-01-16T11:51:12Z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