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Planilh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35" i="1"/>
  <c r="A8"/>
  <c r="A2" l="1"/>
  <c r="B2"/>
  <c r="A3"/>
  <c r="B3"/>
  <c r="A4"/>
  <c r="B4"/>
  <c r="A5"/>
  <c r="B5"/>
  <c r="A6"/>
  <c r="B6"/>
  <c r="A7"/>
  <c r="B7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2"/>
  <c r="B32"/>
  <c r="A33"/>
  <c r="B33"/>
  <c r="A34"/>
  <c r="B34"/>
  <c r="A35"/>
  <c r="B35"/>
  <c r="A36"/>
  <c r="B36"/>
  <c r="A37"/>
  <c r="B37"/>
  <c r="A38"/>
  <c r="B38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58"/>
  <c r="B58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A101"/>
  <c r="B101"/>
  <c r="A102"/>
  <c r="B102"/>
  <c r="A103"/>
  <c r="B103"/>
  <c r="A104"/>
  <c r="B104"/>
  <c r="A105"/>
  <c r="B105"/>
  <c r="A106"/>
  <c r="B106"/>
  <c r="A107"/>
  <c r="B107"/>
  <c r="A108"/>
  <c r="B108"/>
  <c r="A109"/>
  <c r="B109"/>
  <c r="A110"/>
  <c r="B110"/>
  <c r="A111"/>
  <c r="B111"/>
  <c r="A112"/>
  <c r="B112"/>
  <c r="A113"/>
  <c r="B113"/>
  <c r="A114"/>
  <c r="B114"/>
  <c r="A115"/>
  <c r="B115"/>
  <c r="A116"/>
  <c r="B116"/>
  <c r="A117"/>
  <c r="B117"/>
  <c r="A118"/>
  <c r="B118"/>
  <c r="A119"/>
  <c r="B119"/>
  <c r="A120"/>
  <c r="B120"/>
  <c r="A121"/>
  <c r="B121"/>
  <c r="A122"/>
  <c r="B122"/>
  <c r="A123"/>
  <c r="B123"/>
  <c r="A124"/>
  <c r="B124"/>
  <c r="A125"/>
  <c r="B125"/>
  <c r="A126"/>
  <c r="B126"/>
  <c r="A127"/>
  <c r="B127"/>
  <c r="A128"/>
  <c r="B128"/>
  <c r="A129"/>
  <c r="B129"/>
  <c r="A130"/>
  <c r="B130"/>
  <c r="A131"/>
  <c r="B131"/>
  <c r="A132"/>
  <c r="B132"/>
  <c r="A133"/>
  <c r="B133"/>
  <c r="A134"/>
  <c r="B134"/>
  <c r="A135"/>
  <c r="B135"/>
  <c r="A136"/>
  <c r="B136"/>
  <c r="A137"/>
  <c r="B137"/>
  <c r="A138"/>
  <c r="B138"/>
  <c r="A139"/>
  <c r="B139"/>
  <c r="A140"/>
  <c r="B140"/>
  <c r="A141"/>
  <c r="B141"/>
  <c r="A142"/>
  <c r="B142"/>
  <c r="A143"/>
  <c r="B143"/>
  <c r="A144"/>
  <c r="B144"/>
  <c r="A145"/>
  <c r="B145"/>
  <c r="A146"/>
  <c r="B146"/>
  <c r="A147"/>
  <c r="B147"/>
  <c r="A148"/>
  <c r="B148"/>
  <c r="A149"/>
  <c r="B149"/>
  <c r="A150"/>
  <c r="B150"/>
  <c r="A151"/>
  <c r="B151"/>
  <c r="A152"/>
  <c r="B152"/>
  <c r="A153"/>
  <c r="B153"/>
  <c r="A154"/>
  <c r="B154"/>
  <c r="A155"/>
  <c r="B155"/>
  <c r="A156"/>
  <c r="B156"/>
  <c r="A157"/>
  <c r="B157"/>
  <c r="A158"/>
  <c r="B158"/>
  <c r="A159"/>
  <c r="B159"/>
  <c r="A160"/>
  <c r="B160"/>
  <c r="A161"/>
  <c r="B161"/>
  <c r="A162"/>
  <c r="B162"/>
  <c r="A163"/>
  <c r="B163"/>
  <c r="A164"/>
  <c r="B164"/>
  <c r="A165"/>
  <c r="B165"/>
  <c r="A166"/>
  <c r="B166"/>
  <c r="A167"/>
  <c r="B167"/>
  <c r="A168"/>
  <c r="B168"/>
  <c r="A169"/>
  <c r="B169"/>
  <c r="A170"/>
  <c r="B170"/>
  <c r="A171"/>
  <c r="B171"/>
  <c r="A172"/>
  <c r="B172"/>
  <c r="A173"/>
  <c r="B173"/>
  <c r="A174"/>
  <c r="B174"/>
  <c r="A175"/>
  <c r="B175"/>
  <c r="A176"/>
  <c r="B176"/>
  <c r="A177"/>
  <c r="B177"/>
  <c r="A178"/>
  <c r="B178"/>
  <c r="A179"/>
  <c r="B179"/>
  <c r="A180"/>
  <c r="B180"/>
  <c r="A181"/>
  <c r="B181"/>
  <c r="A182"/>
  <c r="B182"/>
  <c r="A183"/>
  <c r="B183"/>
  <c r="A184"/>
  <c r="B184"/>
  <c r="A185"/>
  <c r="B185"/>
  <c r="A186"/>
  <c r="B186"/>
  <c r="A187"/>
  <c r="B187"/>
  <c r="A188"/>
  <c r="B188"/>
  <c r="A189"/>
  <c r="B189"/>
  <c r="A190"/>
  <c r="B190"/>
  <c r="A191"/>
  <c r="B191"/>
  <c r="A192"/>
  <c r="B192"/>
  <c r="A193"/>
  <c r="B193"/>
  <c r="A194"/>
  <c r="B194"/>
  <c r="A195"/>
  <c r="B195"/>
  <c r="A196"/>
  <c r="B196"/>
  <c r="A197"/>
  <c r="B197"/>
  <c r="A198"/>
  <c r="B198"/>
  <c r="A199"/>
  <c r="B199"/>
  <c r="A200"/>
  <c r="B200"/>
  <c r="A201"/>
  <c r="B201"/>
  <c r="A202"/>
  <c r="B202"/>
  <c r="A203"/>
  <c r="B203"/>
  <c r="A204"/>
  <c r="B204"/>
  <c r="A205"/>
  <c r="B205"/>
  <c r="A206"/>
  <c r="B206"/>
  <c r="A207"/>
  <c r="B207"/>
  <c r="A208"/>
  <c r="B208"/>
  <c r="A209"/>
  <c r="B209"/>
  <c r="A210"/>
  <c r="B210"/>
  <c r="A211"/>
  <c r="B211"/>
  <c r="A212"/>
  <c r="B212"/>
  <c r="A213"/>
  <c r="B213"/>
  <c r="A214"/>
  <c r="B214"/>
  <c r="A215"/>
  <c r="B215"/>
  <c r="A216"/>
  <c r="B216"/>
  <c r="A217"/>
  <c r="B217"/>
  <c r="A218"/>
  <c r="B218"/>
  <c r="A219"/>
  <c r="B219"/>
  <c r="A220"/>
  <c r="B220"/>
  <c r="A221"/>
  <c r="B221"/>
  <c r="A222"/>
  <c r="B222"/>
  <c r="A223"/>
  <c r="B223"/>
  <c r="A224"/>
  <c r="B224"/>
  <c r="A225"/>
  <c r="B225"/>
  <c r="A226"/>
  <c r="B226"/>
  <c r="A227"/>
  <c r="B227"/>
  <c r="A228"/>
  <c r="B228"/>
  <c r="A229"/>
  <c r="B229"/>
  <c r="A230"/>
  <c r="B230"/>
  <c r="A231"/>
  <c r="B231"/>
  <c r="A232"/>
  <c r="B232"/>
  <c r="A233"/>
  <c r="B233"/>
  <c r="A234"/>
  <c r="B234"/>
  <c r="A235"/>
  <c r="B235"/>
  <c r="A236"/>
  <c r="B236"/>
  <c r="A237"/>
  <c r="B237"/>
  <c r="A238"/>
  <c r="B238"/>
  <c r="A239"/>
  <c r="B239"/>
  <c r="A240"/>
  <c r="B240"/>
  <c r="A241"/>
  <c r="B241"/>
  <c r="A242"/>
  <c r="B242"/>
  <c r="A243"/>
  <c r="B243"/>
  <c r="A244"/>
  <c r="B244"/>
  <c r="A245"/>
  <c r="B245"/>
  <c r="A246"/>
  <c r="B246"/>
  <c r="A247"/>
  <c r="B247"/>
  <c r="A248"/>
  <c r="B248"/>
  <c r="A249"/>
  <c r="B249"/>
  <c r="A250"/>
  <c r="B250"/>
  <c r="A251"/>
  <c r="B251"/>
  <c r="A252"/>
  <c r="B252"/>
  <c r="A253"/>
  <c r="B253"/>
  <c r="A254"/>
  <c r="B254"/>
  <c r="A255"/>
  <c r="B255"/>
  <c r="A256"/>
  <c r="B256"/>
  <c r="A257"/>
  <c r="B257"/>
  <c r="A258"/>
  <c r="B258"/>
  <c r="A259"/>
  <c r="B259"/>
  <c r="A260"/>
  <c r="B260"/>
  <c r="A261"/>
  <c r="B261"/>
  <c r="A262"/>
  <c r="B262"/>
  <c r="A263"/>
  <c r="B263"/>
  <c r="A264"/>
  <c r="B264"/>
  <c r="A265"/>
  <c r="B265"/>
  <c r="A266"/>
  <c r="B266"/>
  <c r="A267"/>
  <c r="B267"/>
  <c r="A268"/>
  <c r="B268"/>
  <c r="A269"/>
  <c r="B269"/>
  <c r="A270"/>
  <c r="B270"/>
  <c r="A271"/>
  <c r="B271"/>
  <c r="A272"/>
  <c r="B272"/>
  <c r="A273"/>
  <c r="B273"/>
  <c r="A274"/>
  <c r="B274"/>
  <c r="A275"/>
  <c r="B275"/>
  <c r="A276"/>
  <c r="B276"/>
  <c r="A277"/>
  <c r="B277"/>
  <c r="A278"/>
  <c r="B278"/>
  <c r="A279"/>
  <c r="B279"/>
  <c r="A280"/>
  <c r="B280"/>
  <c r="A281"/>
  <c r="B281"/>
  <c r="A282"/>
  <c r="B282"/>
  <c r="A283"/>
  <c r="B283"/>
  <c r="A284"/>
  <c r="B284"/>
  <c r="A285"/>
  <c r="B285"/>
  <c r="A286"/>
  <c r="B286"/>
  <c r="A287"/>
  <c r="B287"/>
  <c r="A288"/>
  <c r="B288"/>
  <c r="A289"/>
  <c r="B289"/>
  <c r="A290"/>
  <c r="B290"/>
  <c r="A291"/>
  <c r="B291"/>
  <c r="A292"/>
  <c r="B292"/>
  <c r="A293"/>
  <c r="B293"/>
  <c r="A294"/>
  <c r="B294"/>
  <c r="A295"/>
  <c r="B295"/>
  <c r="A296"/>
  <c r="B296"/>
  <c r="A297"/>
  <c r="B297"/>
  <c r="A298"/>
  <c r="B298"/>
  <c r="A299"/>
  <c r="B299"/>
  <c r="A300"/>
  <c r="B300"/>
  <c r="A301"/>
  <c r="B301"/>
  <c r="A302"/>
  <c r="B302"/>
  <c r="A303"/>
  <c r="B303"/>
  <c r="A304"/>
  <c r="B304"/>
  <c r="A305"/>
  <c r="B305"/>
  <c r="A306"/>
  <c r="B306"/>
  <c r="A307"/>
  <c r="B307"/>
  <c r="A308"/>
  <c r="B308"/>
  <c r="A309"/>
  <c r="B309"/>
  <c r="A310"/>
  <c r="B310"/>
  <c r="A311"/>
  <c r="B311"/>
  <c r="A312"/>
  <c r="B312"/>
  <c r="A313"/>
  <c r="B313"/>
  <c r="A314"/>
  <c r="B314"/>
  <c r="A315"/>
  <c r="B315"/>
  <c r="A316"/>
  <c r="B316"/>
  <c r="A317"/>
  <c r="B317"/>
  <c r="A318"/>
  <c r="B318"/>
  <c r="A319"/>
  <c r="B319"/>
  <c r="A320"/>
  <c r="B320"/>
  <c r="A321"/>
  <c r="B321"/>
  <c r="A322"/>
  <c r="B322"/>
  <c r="A323"/>
  <c r="B323"/>
  <c r="A324"/>
  <c r="B324"/>
  <c r="A325"/>
  <c r="B325"/>
  <c r="A326"/>
  <c r="B326"/>
  <c r="A327"/>
  <c r="B327"/>
  <c r="A328"/>
  <c r="B328"/>
  <c r="A329"/>
  <c r="B329"/>
  <c r="A330"/>
  <c r="B330"/>
  <c r="A331"/>
  <c r="B331"/>
  <c r="A332"/>
  <c r="B332"/>
  <c r="A333"/>
  <c r="B333"/>
  <c r="A334"/>
  <c r="B334"/>
  <c r="A335"/>
  <c r="B335"/>
  <c r="A336"/>
  <c r="B336"/>
  <c r="A337"/>
  <c r="B337"/>
  <c r="A338"/>
  <c r="B338"/>
  <c r="A339"/>
  <c r="B339"/>
  <c r="A340"/>
  <c r="B340"/>
  <c r="A341"/>
  <c r="B341"/>
  <c r="A342"/>
  <c r="B342"/>
  <c r="A343"/>
  <c r="B343"/>
  <c r="A344"/>
  <c r="B344"/>
  <c r="A345"/>
  <c r="B345"/>
  <c r="A346"/>
  <c r="B346"/>
  <c r="A347"/>
  <c r="B347"/>
  <c r="A348"/>
  <c r="B348"/>
  <c r="A349"/>
  <c r="B349"/>
  <c r="A350"/>
  <c r="B350"/>
  <c r="A351"/>
  <c r="B351"/>
  <c r="A352"/>
  <c r="B352"/>
  <c r="A353"/>
  <c r="B353"/>
  <c r="A354"/>
  <c r="B354"/>
  <c r="A355"/>
  <c r="B355"/>
  <c r="A356"/>
  <c r="B356"/>
  <c r="A357"/>
  <c r="B357"/>
  <c r="A358"/>
  <c r="B358"/>
  <c r="A359"/>
  <c r="B359"/>
  <c r="A360"/>
  <c r="B360"/>
  <c r="A361"/>
  <c r="B361"/>
  <c r="A362"/>
  <c r="B362"/>
  <c r="A363"/>
  <c r="B363"/>
  <c r="A364"/>
  <c r="B364"/>
  <c r="A365"/>
  <c r="B365"/>
  <c r="A366"/>
  <c r="B366"/>
  <c r="A367"/>
  <c r="B367"/>
  <c r="A368"/>
  <c r="B368"/>
  <c r="A369"/>
  <c r="B369"/>
  <c r="A370"/>
  <c r="B370"/>
  <c r="A371"/>
  <c r="B371"/>
  <c r="A372"/>
  <c r="B372"/>
  <c r="A373"/>
  <c r="B373"/>
  <c r="A374"/>
  <c r="B374"/>
  <c r="A375"/>
  <c r="B375"/>
  <c r="A376"/>
  <c r="B376"/>
  <c r="A377"/>
  <c r="B377"/>
  <c r="A378"/>
  <c r="B378"/>
  <c r="A379"/>
  <c r="B379"/>
  <c r="A380"/>
  <c r="B380"/>
  <c r="A381"/>
  <c r="B381"/>
  <c r="A382"/>
  <c r="B382"/>
  <c r="A383"/>
  <c r="B383"/>
  <c r="A384"/>
  <c r="B384"/>
  <c r="A385"/>
  <c r="B385"/>
  <c r="A386"/>
  <c r="B386"/>
  <c r="A387"/>
  <c r="B387"/>
  <c r="A388"/>
  <c r="B388"/>
  <c r="A389"/>
  <c r="B389"/>
  <c r="A390"/>
  <c r="B390"/>
  <c r="A391"/>
  <c r="B391"/>
  <c r="A392"/>
  <c r="B392"/>
  <c r="A393"/>
  <c r="B393"/>
  <c r="A394"/>
  <c r="B394"/>
  <c r="A395"/>
  <c r="B395"/>
  <c r="A396"/>
  <c r="B396"/>
  <c r="A397"/>
  <c r="B397"/>
  <c r="A398"/>
  <c r="B398"/>
  <c r="A399"/>
  <c r="B399"/>
  <c r="A400"/>
  <c r="B400"/>
  <c r="A401"/>
  <c r="B401"/>
  <c r="A402"/>
  <c r="B402"/>
  <c r="A403"/>
  <c r="B403"/>
  <c r="A404"/>
  <c r="B404"/>
  <c r="A405"/>
  <c r="B405"/>
  <c r="A406"/>
  <c r="B406"/>
  <c r="A407"/>
  <c r="B407"/>
  <c r="A408"/>
  <c r="B408"/>
  <c r="A409"/>
  <c r="B409"/>
  <c r="A410"/>
  <c r="B410"/>
  <c r="A411"/>
  <c r="B411"/>
  <c r="A412"/>
  <c r="B412"/>
  <c r="A413"/>
  <c r="B413"/>
  <c r="A414"/>
  <c r="B414"/>
  <c r="A415"/>
  <c r="B415"/>
  <c r="A416"/>
  <c r="B416"/>
  <c r="A417"/>
  <c r="B417"/>
  <c r="A418"/>
  <c r="B418"/>
  <c r="A419"/>
  <c r="B419"/>
  <c r="A420"/>
  <c r="B420"/>
  <c r="A421"/>
  <c r="B421"/>
  <c r="A422"/>
  <c r="B422"/>
  <c r="A423"/>
  <c r="B423"/>
  <c r="A424"/>
  <c r="B424"/>
  <c r="A425"/>
  <c r="B425"/>
  <c r="A426"/>
  <c r="B426"/>
  <c r="A427"/>
  <c r="B427"/>
  <c r="A428"/>
  <c r="B428"/>
  <c r="A429"/>
  <c r="B429"/>
  <c r="A430"/>
  <c r="B430"/>
  <c r="A431"/>
  <c r="B431"/>
  <c r="A432"/>
  <c r="B432"/>
  <c r="A433"/>
  <c r="B433"/>
  <c r="A434"/>
  <c r="B434"/>
  <c r="A435"/>
  <c r="B435"/>
  <c r="A436"/>
  <c r="B436"/>
  <c r="A437"/>
  <c r="B437"/>
  <c r="A438"/>
  <c r="B438"/>
  <c r="A439"/>
  <c r="B439"/>
  <c r="A440"/>
  <c r="B440"/>
  <c r="A441"/>
  <c r="B441"/>
  <c r="A442"/>
  <c r="B442"/>
  <c r="A443"/>
  <c r="B443"/>
  <c r="A444"/>
  <c r="B444"/>
  <c r="A445"/>
  <c r="B445"/>
  <c r="A446"/>
  <c r="B446"/>
  <c r="A447"/>
  <c r="B447"/>
  <c r="A448"/>
  <c r="B448"/>
  <c r="A449"/>
  <c r="B449"/>
  <c r="A450"/>
  <c r="B450"/>
  <c r="A451"/>
  <c r="B451"/>
  <c r="A452"/>
  <c r="B452"/>
  <c r="A453"/>
  <c r="B453"/>
  <c r="A454"/>
  <c r="B454"/>
  <c r="A455"/>
  <c r="B455"/>
  <c r="A456"/>
  <c r="B456"/>
  <c r="A457"/>
  <c r="B457"/>
  <c r="A458"/>
  <c r="B458"/>
  <c r="A459"/>
  <c r="B459"/>
  <c r="A460"/>
  <c r="B460"/>
  <c r="A461"/>
  <c r="B461"/>
  <c r="A462"/>
  <c r="B462"/>
  <c r="A463"/>
  <c r="B463"/>
  <c r="A464"/>
  <c r="B464"/>
  <c r="A465"/>
  <c r="B465"/>
  <c r="A466"/>
  <c r="B466"/>
  <c r="A467"/>
  <c r="B467"/>
  <c r="A468"/>
  <c r="B468"/>
  <c r="A469"/>
  <c r="B469"/>
  <c r="A470"/>
  <c r="B470"/>
  <c r="A471"/>
  <c r="B471"/>
  <c r="A472"/>
  <c r="B472"/>
  <c r="A473"/>
  <c r="B473"/>
  <c r="A474"/>
  <c r="B474"/>
  <c r="A475"/>
  <c r="B475"/>
  <c r="A476"/>
  <c r="B476"/>
  <c r="A477"/>
  <c r="B477"/>
  <c r="A478"/>
  <c r="B478"/>
  <c r="A479"/>
  <c r="B479"/>
  <c r="A480"/>
  <c r="B480"/>
  <c r="A481"/>
  <c r="B481"/>
  <c r="A482"/>
  <c r="B482"/>
  <c r="A483"/>
  <c r="B483"/>
  <c r="A484"/>
  <c r="B484"/>
  <c r="A485"/>
  <c r="B485"/>
  <c r="A486"/>
  <c r="B486"/>
  <c r="A487"/>
  <c r="B487"/>
  <c r="A488"/>
  <c r="B488"/>
  <c r="A489"/>
  <c r="B489"/>
  <c r="A490"/>
  <c r="B490"/>
  <c r="A491"/>
  <c r="B491"/>
  <c r="A492"/>
  <c r="B492"/>
  <c r="A493"/>
  <c r="B493"/>
  <c r="A494"/>
  <c r="B494"/>
  <c r="A495"/>
  <c r="B495"/>
  <c r="A496"/>
  <c r="B496"/>
  <c r="A497"/>
  <c r="B497"/>
  <c r="A498"/>
  <c r="B498"/>
  <c r="A499"/>
  <c r="B499"/>
  <c r="A500"/>
  <c r="B500"/>
  <c r="A501"/>
  <c r="B501"/>
  <c r="A502"/>
  <c r="B502"/>
  <c r="A503"/>
  <c r="B503"/>
  <c r="A504"/>
  <c r="B504"/>
  <c r="A505"/>
  <c r="B505"/>
  <c r="A506"/>
  <c r="B506"/>
  <c r="A507"/>
  <c r="B507"/>
  <c r="A508"/>
  <c r="B508"/>
  <c r="A509"/>
  <c r="B509"/>
  <c r="A510"/>
  <c r="B510"/>
  <c r="A511"/>
  <c r="B511"/>
  <c r="A512"/>
  <c r="B512"/>
  <c r="A513"/>
  <c r="B513"/>
  <c r="A514"/>
  <c r="B514"/>
  <c r="A515"/>
  <c r="B515"/>
  <c r="A516"/>
  <c r="B516"/>
  <c r="A517"/>
  <c r="B517"/>
  <c r="A518"/>
  <c r="B518"/>
  <c r="A519"/>
  <c r="B519"/>
  <c r="A520"/>
  <c r="B520"/>
  <c r="A521"/>
  <c r="B521"/>
  <c r="A522"/>
  <c r="B522"/>
  <c r="A523"/>
  <c r="B523"/>
  <c r="A524"/>
  <c r="B524"/>
  <c r="A525"/>
  <c r="B525"/>
  <c r="A526"/>
  <c r="B526"/>
  <c r="A527"/>
  <c r="B527"/>
  <c r="A528"/>
  <c r="B528"/>
  <c r="A529"/>
  <c r="B529"/>
  <c r="A530"/>
  <c r="B530"/>
  <c r="A531"/>
  <c r="B531"/>
  <c r="A532"/>
  <c r="B532"/>
  <c r="A533"/>
  <c r="B533"/>
  <c r="A534"/>
  <c r="B534"/>
  <c r="A535"/>
  <c r="B535"/>
  <c r="A536"/>
  <c r="B536"/>
  <c r="A537"/>
  <c r="B537"/>
  <c r="A538"/>
  <c r="B538"/>
  <c r="A539"/>
  <c r="B539"/>
  <c r="A540"/>
  <c r="B540"/>
  <c r="A541"/>
  <c r="B541"/>
  <c r="A542"/>
  <c r="B542"/>
  <c r="A543"/>
  <c r="B543"/>
  <c r="A544"/>
  <c r="B544"/>
  <c r="A545"/>
  <c r="B545"/>
  <c r="A546"/>
  <c r="B546"/>
  <c r="A547"/>
  <c r="B547"/>
  <c r="A548"/>
  <c r="B548"/>
  <c r="A549"/>
  <c r="B549"/>
  <c r="A550"/>
  <c r="B550"/>
  <c r="A551"/>
  <c r="B551"/>
  <c r="A552"/>
  <c r="B552"/>
  <c r="A553"/>
  <c r="B553"/>
  <c r="A554"/>
  <c r="B554"/>
  <c r="A555"/>
  <c r="B555"/>
  <c r="A556"/>
  <c r="B556"/>
  <c r="A557"/>
  <c r="B557"/>
  <c r="A558"/>
  <c r="B558"/>
  <c r="A559"/>
  <c r="B559"/>
  <c r="A560"/>
  <c r="B560"/>
  <c r="A561"/>
  <c r="B561"/>
  <c r="A562"/>
  <c r="B562"/>
  <c r="A563"/>
  <c r="B563"/>
  <c r="A564"/>
  <c r="B564"/>
  <c r="A565"/>
  <c r="B565"/>
  <c r="A566"/>
  <c r="B566"/>
  <c r="A567"/>
  <c r="B567"/>
  <c r="A568"/>
  <c r="B568"/>
  <c r="A569"/>
  <c r="B569"/>
  <c r="A570"/>
  <c r="B570"/>
  <c r="A571"/>
  <c r="B571"/>
  <c r="A572"/>
  <c r="B572"/>
  <c r="A573"/>
  <c r="B573"/>
  <c r="A574"/>
  <c r="B574"/>
  <c r="A575"/>
  <c r="B575"/>
  <c r="A576"/>
  <c r="B576"/>
  <c r="A577"/>
  <c r="B577"/>
  <c r="A578"/>
  <c r="B578"/>
  <c r="A579"/>
  <c r="B579"/>
  <c r="A580"/>
  <c r="B580"/>
  <c r="A581"/>
  <c r="B581"/>
  <c r="A582"/>
  <c r="B582"/>
  <c r="A583"/>
  <c r="B583"/>
  <c r="A584"/>
  <c r="B584"/>
  <c r="A585"/>
  <c r="B585"/>
  <c r="A586"/>
  <c r="B586"/>
  <c r="A587"/>
  <c r="B587"/>
  <c r="A588"/>
  <c r="B588"/>
  <c r="A589"/>
  <c r="B589"/>
  <c r="A590"/>
  <c r="B590"/>
  <c r="A591"/>
  <c r="B591"/>
  <c r="A592"/>
  <c r="B592"/>
  <c r="A593"/>
  <c r="B593"/>
  <c r="A594"/>
  <c r="B594"/>
  <c r="A595"/>
  <c r="B595"/>
  <c r="A596"/>
  <c r="B596"/>
  <c r="A597"/>
  <c r="B597"/>
  <c r="A598"/>
  <c r="B598"/>
  <c r="A599"/>
  <c r="B599"/>
  <c r="A600"/>
  <c r="B600"/>
  <c r="A601"/>
  <c r="B601"/>
  <c r="A602"/>
  <c r="B602"/>
  <c r="A603"/>
  <c r="B603"/>
  <c r="A604"/>
  <c r="B604"/>
  <c r="A605"/>
  <c r="B605"/>
  <c r="A606"/>
  <c r="B606"/>
  <c r="A607"/>
  <c r="B607"/>
  <c r="A608"/>
  <c r="B608"/>
  <c r="A609"/>
  <c r="B609"/>
  <c r="A610"/>
  <c r="B610"/>
  <c r="A611"/>
  <c r="B611"/>
  <c r="A612"/>
  <c r="B612"/>
  <c r="A613"/>
  <c r="B613"/>
  <c r="A614"/>
  <c r="B614"/>
  <c r="A615"/>
  <c r="B615"/>
  <c r="A616"/>
  <c r="B616"/>
  <c r="A617"/>
  <c r="B617"/>
  <c r="A618"/>
  <c r="B618"/>
  <c r="A619"/>
  <c r="B619"/>
  <c r="A620"/>
  <c r="B620"/>
  <c r="A621"/>
  <c r="B621"/>
  <c r="A622"/>
  <c r="B622"/>
  <c r="A623"/>
  <c r="B623"/>
  <c r="A624"/>
  <c r="B624"/>
  <c r="A625"/>
  <c r="B625"/>
  <c r="A626"/>
  <c r="B626"/>
  <c r="A627"/>
  <c r="B627"/>
  <c r="A628"/>
  <c r="B628"/>
  <c r="A629"/>
  <c r="B629"/>
  <c r="A630"/>
  <c r="B630"/>
  <c r="A631"/>
  <c r="B631"/>
  <c r="A632"/>
  <c r="B632"/>
  <c r="A633"/>
  <c r="B633"/>
  <c r="A634"/>
  <c r="B634"/>
  <c r="A635"/>
  <c r="B635"/>
  <c r="A636"/>
  <c r="B636"/>
  <c r="A637"/>
  <c r="B637"/>
  <c r="A638"/>
  <c r="B638"/>
  <c r="A639"/>
  <c r="B639"/>
  <c r="A640"/>
  <c r="B640"/>
  <c r="A641"/>
  <c r="B641"/>
  <c r="A642"/>
  <c r="B642"/>
  <c r="A643"/>
  <c r="B643"/>
  <c r="A644"/>
  <c r="B644"/>
  <c r="A645"/>
  <c r="B645"/>
  <c r="A646"/>
  <c r="B646"/>
  <c r="A647"/>
  <c r="B647"/>
  <c r="A648"/>
  <c r="B648"/>
  <c r="A649"/>
  <c r="B649"/>
  <c r="A650"/>
  <c r="B650"/>
  <c r="A651"/>
  <c r="B651"/>
  <c r="A652"/>
  <c r="B652"/>
  <c r="A653"/>
  <c r="B653"/>
  <c r="A654"/>
  <c r="B654"/>
  <c r="A655"/>
  <c r="B655"/>
  <c r="A656"/>
  <c r="B656"/>
  <c r="A657"/>
  <c r="B657"/>
  <c r="A658"/>
  <c r="B658"/>
  <c r="A659"/>
  <c r="B659"/>
  <c r="A660"/>
  <c r="B660"/>
  <c r="A661"/>
  <c r="B661"/>
  <c r="A662"/>
  <c r="B662"/>
  <c r="A663"/>
  <c r="B663"/>
  <c r="A664"/>
  <c r="B664"/>
  <c r="A665"/>
  <c r="B665"/>
  <c r="A666"/>
  <c r="B666"/>
  <c r="A667"/>
  <c r="B667"/>
  <c r="A668"/>
  <c r="B668"/>
  <c r="A669"/>
  <c r="B669"/>
  <c r="A670"/>
  <c r="B670"/>
  <c r="A671"/>
  <c r="B671"/>
  <c r="A672"/>
  <c r="B672"/>
  <c r="A673"/>
  <c r="B673"/>
  <c r="A674"/>
  <c r="B674"/>
  <c r="A675"/>
  <c r="B675"/>
  <c r="A676"/>
  <c r="B676"/>
  <c r="A677"/>
  <c r="B677"/>
  <c r="A678"/>
  <c r="B678"/>
  <c r="A679"/>
  <c r="B679"/>
  <c r="A680"/>
  <c r="B680"/>
  <c r="A681"/>
  <c r="B681"/>
  <c r="A682"/>
  <c r="B682"/>
  <c r="A683"/>
  <c r="B683"/>
  <c r="A684"/>
  <c r="B684"/>
  <c r="A685"/>
  <c r="B685"/>
  <c r="A686"/>
  <c r="B686"/>
  <c r="A687"/>
  <c r="B687"/>
  <c r="A688"/>
  <c r="B688"/>
  <c r="A689"/>
  <c r="B689"/>
  <c r="A690"/>
  <c r="B690"/>
  <c r="A691"/>
  <c r="B691"/>
  <c r="A692"/>
  <c r="B692"/>
  <c r="A693"/>
  <c r="B693"/>
  <c r="A694"/>
  <c r="B694"/>
  <c r="A695"/>
  <c r="B695"/>
  <c r="A696"/>
  <c r="B696"/>
  <c r="A697"/>
  <c r="B697"/>
  <c r="A698"/>
  <c r="B698"/>
  <c r="A699"/>
  <c r="B699"/>
  <c r="A700"/>
  <c r="B700"/>
  <c r="A701"/>
  <c r="B701"/>
  <c r="A702"/>
  <c r="B702"/>
  <c r="A703"/>
  <c r="B703"/>
  <c r="A704"/>
  <c r="B704"/>
  <c r="A705"/>
  <c r="B705"/>
  <c r="A706"/>
  <c r="B706"/>
  <c r="A707"/>
  <c r="B707"/>
  <c r="A708"/>
  <c r="B708"/>
  <c r="A709"/>
  <c r="B709"/>
  <c r="A710"/>
  <c r="B710"/>
  <c r="A711"/>
  <c r="B711"/>
  <c r="A712"/>
  <c r="B712"/>
  <c r="A713"/>
  <c r="B713"/>
  <c r="A714"/>
  <c r="B714"/>
  <c r="A715"/>
  <c r="B715"/>
  <c r="A716"/>
  <c r="B716"/>
  <c r="A717"/>
  <c r="B717"/>
  <c r="A718"/>
  <c r="B718"/>
  <c r="A719"/>
  <c r="B719"/>
  <c r="A720"/>
  <c r="B720"/>
  <c r="A721"/>
  <c r="B721"/>
  <c r="A722"/>
  <c r="B722"/>
  <c r="A723"/>
  <c r="B723"/>
  <c r="A724"/>
  <c r="B724"/>
  <c r="A725"/>
  <c r="B725"/>
  <c r="A726"/>
  <c r="B726"/>
  <c r="A727"/>
  <c r="B727"/>
  <c r="A728"/>
  <c r="B728"/>
  <c r="A729"/>
  <c r="B729"/>
  <c r="A730"/>
  <c r="B730"/>
  <c r="A731"/>
  <c r="B731"/>
  <c r="A732"/>
  <c r="B732"/>
  <c r="A733"/>
  <c r="B733"/>
  <c r="A734"/>
  <c r="B734"/>
  <c r="A735"/>
  <c r="B735"/>
  <c r="A736"/>
  <c r="B736"/>
  <c r="A737"/>
  <c r="B737"/>
  <c r="A738"/>
  <c r="B738"/>
  <c r="A739"/>
  <c r="B739"/>
  <c r="A740"/>
  <c r="B740"/>
  <c r="A741"/>
  <c r="B741"/>
  <c r="A742"/>
  <c r="B742"/>
  <c r="A743"/>
  <c r="B743"/>
  <c r="A744"/>
  <c r="B744"/>
  <c r="A745"/>
  <c r="B745"/>
  <c r="A746"/>
  <c r="B746"/>
  <c r="A747"/>
  <c r="B747"/>
  <c r="A748"/>
  <c r="B748"/>
  <c r="A749"/>
  <c r="B749"/>
  <c r="A750"/>
  <c r="B750"/>
  <c r="A751"/>
  <c r="B751"/>
  <c r="A752"/>
  <c r="B752"/>
  <c r="A753"/>
  <c r="B753"/>
  <c r="A754"/>
  <c r="B754"/>
  <c r="A755"/>
  <c r="B755"/>
  <c r="A756"/>
  <c r="B756"/>
  <c r="A757"/>
  <c r="B757"/>
  <c r="A758"/>
  <c r="B758"/>
  <c r="A759"/>
  <c r="B759"/>
  <c r="A760"/>
  <c r="B760"/>
  <c r="A761"/>
  <c r="B761"/>
  <c r="A762"/>
  <c r="B762"/>
  <c r="A763"/>
  <c r="B763"/>
  <c r="A764"/>
  <c r="B764"/>
  <c r="A765"/>
  <c r="B765"/>
  <c r="A766"/>
  <c r="B766"/>
  <c r="A767"/>
  <c r="B767"/>
  <c r="A768"/>
  <c r="B768"/>
  <c r="A769"/>
  <c r="B769"/>
  <c r="A770"/>
  <c r="B770"/>
  <c r="A771"/>
  <c r="B771"/>
  <c r="A772"/>
  <c r="B772"/>
  <c r="A773"/>
  <c r="B773"/>
  <c r="A774"/>
  <c r="B774"/>
  <c r="A775"/>
  <c r="B775"/>
  <c r="A776"/>
  <c r="B776"/>
  <c r="A777"/>
  <c r="B777"/>
  <c r="A778"/>
  <c r="B778"/>
  <c r="A779"/>
  <c r="B779"/>
  <c r="A780"/>
  <c r="B780"/>
  <c r="A781"/>
  <c r="B781"/>
  <c r="A782"/>
  <c r="B782"/>
  <c r="A783"/>
  <c r="B783"/>
  <c r="A784"/>
  <c r="B784"/>
  <c r="A785"/>
  <c r="B785"/>
  <c r="A786"/>
  <c r="B786"/>
  <c r="A787"/>
  <c r="B787"/>
  <c r="A788"/>
  <c r="B788"/>
  <c r="A789"/>
  <c r="B789"/>
  <c r="A790"/>
  <c r="B790"/>
  <c r="A791"/>
  <c r="B791"/>
  <c r="A792"/>
  <c r="B792"/>
  <c r="A793"/>
  <c r="B793"/>
  <c r="A794"/>
  <c r="B794"/>
  <c r="A795"/>
  <c r="B795"/>
  <c r="A796"/>
  <c r="B796"/>
  <c r="A797"/>
  <c r="B797"/>
  <c r="A798"/>
  <c r="B798"/>
  <c r="A799"/>
  <c r="B799"/>
  <c r="A800"/>
  <c r="B800"/>
  <c r="A801"/>
  <c r="B801"/>
  <c r="A802"/>
  <c r="B802"/>
  <c r="A803"/>
  <c r="B803"/>
  <c r="A804"/>
  <c r="B804"/>
  <c r="A805"/>
  <c r="B805"/>
  <c r="A806"/>
  <c r="B806"/>
  <c r="A807"/>
  <c r="B807"/>
  <c r="A808"/>
  <c r="B808"/>
  <c r="A809"/>
  <c r="B809"/>
  <c r="A810"/>
  <c r="B810"/>
  <c r="A811"/>
  <c r="B811"/>
  <c r="A812"/>
  <c r="B812"/>
  <c r="A813"/>
  <c r="B813"/>
  <c r="A814"/>
  <c r="B814"/>
  <c r="A815"/>
  <c r="B815"/>
  <c r="A816"/>
  <c r="B816"/>
  <c r="A817"/>
  <c r="B817"/>
  <c r="A818"/>
  <c r="B818"/>
  <c r="A819"/>
  <c r="B819"/>
  <c r="A820"/>
  <c r="B820"/>
  <c r="A821"/>
  <c r="B821"/>
  <c r="A822"/>
  <c r="B822"/>
  <c r="A823"/>
  <c r="B823"/>
  <c r="A824"/>
  <c r="B824"/>
  <c r="A825"/>
  <c r="B825"/>
  <c r="A826"/>
  <c r="B826"/>
  <c r="A827"/>
  <c r="B827"/>
  <c r="A828"/>
  <c r="B828"/>
  <c r="A829"/>
  <c r="B829"/>
  <c r="A830"/>
  <c r="B830"/>
  <c r="A831"/>
  <c r="B831"/>
  <c r="A832"/>
  <c r="B832"/>
  <c r="A833"/>
  <c r="B833"/>
  <c r="A834"/>
  <c r="B834"/>
  <c r="A835"/>
  <c r="B835"/>
  <c r="A836"/>
  <c r="B836"/>
  <c r="A837"/>
  <c r="B837"/>
  <c r="A838"/>
  <c r="B838"/>
  <c r="A839"/>
  <c r="B839"/>
  <c r="A840"/>
  <c r="B840"/>
  <c r="A841"/>
  <c r="B841"/>
  <c r="A842"/>
  <c r="B842"/>
  <c r="A843"/>
  <c r="B843"/>
  <c r="A844"/>
  <c r="B844"/>
  <c r="A845"/>
  <c r="B845"/>
  <c r="A846"/>
  <c r="B846"/>
  <c r="A847"/>
  <c r="B847"/>
  <c r="A848"/>
  <c r="B848"/>
  <c r="A849"/>
  <c r="B849"/>
  <c r="A850"/>
  <c r="B850"/>
  <c r="A851"/>
  <c r="B851"/>
  <c r="A852"/>
  <c r="B852"/>
  <c r="A853"/>
  <c r="B853"/>
  <c r="A854"/>
  <c r="B854"/>
  <c r="A855"/>
  <c r="B855"/>
  <c r="A856"/>
  <c r="B856"/>
  <c r="A857"/>
  <c r="B857"/>
  <c r="A858"/>
  <c r="B858"/>
  <c r="A859"/>
  <c r="B859"/>
  <c r="A860"/>
  <c r="B860"/>
  <c r="A861"/>
  <c r="B861"/>
  <c r="A862"/>
  <c r="B862"/>
  <c r="A863"/>
  <c r="B863"/>
  <c r="A864"/>
  <c r="B864"/>
  <c r="A865"/>
  <c r="B865"/>
  <c r="A866"/>
  <c r="B866"/>
  <c r="A867"/>
  <c r="B867"/>
  <c r="A868"/>
  <c r="B868"/>
  <c r="A869"/>
  <c r="B869"/>
  <c r="A870"/>
  <c r="B870"/>
  <c r="A871"/>
  <c r="B871"/>
  <c r="A872"/>
  <c r="B872"/>
  <c r="A873"/>
  <c r="B873"/>
  <c r="A874"/>
  <c r="B874"/>
  <c r="A875"/>
  <c r="B875"/>
  <c r="A876"/>
  <c r="B876"/>
  <c r="A877"/>
  <c r="B877"/>
  <c r="A878"/>
  <c r="B878"/>
  <c r="A879"/>
  <c r="B879"/>
  <c r="A880"/>
  <c r="B880"/>
  <c r="A881"/>
  <c r="B881"/>
  <c r="A882"/>
  <c r="B882"/>
  <c r="A883"/>
  <c r="B883"/>
  <c r="A884"/>
  <c r="B884"/>
  <c r="A885"/>
  <c r="B885"/>
  <c r="A886"/>
  <c r="B886"/>
  <c r="A887"/>
  <c r="B887"/>
  <c r="A888"/>
  <c r="B888"/>
  <c r="A889"/>
  <c r="B889"/>
  <c r="A890"/>
  <c r="B890"/>
  <c r="A891"/>
  <c r="B891"/>
  <c r="A892"/>
  <c r="B892"/>
  <c r="A893"/>
  <c r="B893"/>
  <c r="A894"/>
  <c r="B894"/>
  <c r="A895"/>
  <c r="B895"/>
  <c r="A896"/>
  <c r="B896"/>
  <c r="A897"/>
  <c r="B897"/>
  <c r="A898"/>
  <c r="B898"/>
  <c r="A899"/>
  <c r="B899"/>
  <c r="A900"/>
  <c r="B900"/>
  <c r="A901"/>
  <c r="B901"/>
  <c r="A902"/>
  <c r="B902"/>
  <c r="A903"/>
  <c r="B903"/>
  <c r="A904"/>
  <c r="B904"/>
  <c r="A905"/>
  <c r="B905"/>
  <c r="A906"/>
  <c r="B906"/>
  <c r="A907"/>
  <c r="B907"/>
  <c r="A908"/>
  <c r="B908"/>
  <c r="A909"/>
  <c r="B909"/>
  <c r="A910"/>
  <c r="B910"/>
  <c r="A911"/>
  <c r="B911"/>
  <c r="A912"/>
  <c r="B912"/>
  <c r="A913"/>
  <c r="B913"/>
  <c r="A914"/>
  <c r="B914"/>
  <c r="A915"/>
  <c r="B915"/>
  <c r="A916"/>
  <c r="B916"/>
  <c r="A917"/>
  <c r="B917"/>
  <c r="A918"/>
  <c r="B918"/>
  <c r="A919"/>
  <c r="B919"/>
  <c r="A920"/>
  <c r="B920"/>
  <c r="A921"/>
  <c r="B921"/>
  <c r="A922"/>
  <c r="B922"/>
  <c r="A923"/>
  <c r="B923"/>
  <c r="A924"/>
  <c r="B924"/>
  <c r="A925"/>
  <c r="B925"/>
  <c r="A926"/>
  <c r="B926"/>
  <c r="A927"/>
  <c r="B927"/>
  <c r="A928"/>
  <c r="B928"/>
  <c r="A929"/>
  <c r="B929"/>
  <c r="A930"/>
  <c r="B930"/>
  <c r="A931"/>
  <c r="B931"/>
  <c r="A932"/>
  <c r="B932"/>
  <c r="A933"/>
  <c r="B933"/>
  <c r="A934"/>
  <c r="B934"/>
  <c r="A935"/>
  <c r="B935"/>
  <c r="A936"/>
  <c r="B936"/>
  <c r="A937"/>
  <c r="B937"/>
  <c r="A938"/>
  <c r="B938"/>
  <c r="A939"/>
  <c r="B939"/>
  <c r="A940"/>
  <c r="B940"/>
  <c r="A941"/>
  <c r="B941"/>
  <c r="A942"/>
  <c r="B942"/>
  <c r="A943"/>
  <c r="B943"/>
  <c r="A944"/>
  <c r="B944"/>
  <c r="A945"/>
  <c r="B945"/>
  <c r="A946"/>
  <c r="B946"/>
  <c r="A947"/>
  <c r="B947"/>
  <c r="A948"/>
  <c r="B948"/>
  <c r="A949"/>
  <c r="B949"/>
  <c r="A950"/>
  <c r="B950"/>
  <c r="A951"/>
  <c r="B951"/>
  <c r="A952"/>
  <c r="B952"/>
  <c r="A953"/>
  <c r="B953"/>
  <c r="A954"/>
  <c r="B954"/>
  <c r="A955"/>
  <c r="B955"/>
  <c r="A956"/>
  <c r="B956"/>
  <c r="A957"/>
  <c r="B957"/>
  <c r="A958"/>
  <c r="B958"/>
  <c r="A959"/>
  <c r="B959"/>
  <c r="A960"/>
  <c r="B960"/>
  <c r="A961"/>
  <c r="B961"/>
  <c r="A962"/>
  <c r="B962"/>
  <c r="A963"/>
  <c r="B963"/>
  <c r="A964"/>
  <c r="B964"/>
  <c r="A965"/>
  <c r="B965"/>
  <c r="A966"/>
  <c r="B966"/>
  <c r="A967"/>
  <c r="B967"/>
  <c r="A968"/>
  <c r="B968"/>
  <c r="A969"/>
  <c r="B969"/>
  <c r="A970"/>
  <c r="B970"/>
  <c r="A971"/>
  <c r="B971"/>
  <c r="A972"/>
  <c r="B972"/>
  <c r="A973"/>
  <c r="B973"/>
  <c r="A974"/>
  <c r="B974"/>
  <c r="A975"/>
  <c r="B975"/>
  <c r="A976"/>
  <c r="B976"/>
  <c r="A977"/>
  <c r="B977"/>
  <c r="A978"/>
  <c r="B978"/>
  <c r="A979"/>
  <c r="B979"/>
  <c r="A980"/>
  <c r="B980"/>
  <c r="A981"/>
  <c r="B981"/>
  <c r="A982"/>
  <c r="B982"/>
  <c r="A983"/>
  <c r="B983"/>
  <c r="A984"/>
  <c r="B984"/>
  <c r="A985"/>
  <c r="B985"/>
  <c r="A986"/>
  <c r="B986"/>
  <c r="A987"/>
  <c r="B987"/>
  <c r="A988"/>
  <c r="B988"/>
  <c r="A989"/>
  <c r="B989"/>
  <c r="A990"/>
  <c r="B990"/>
  <c r="A991"/>
  <c r="B991"/>
  <c r="A992"/>
  <c r="B992"/>
  <c r="A993"/>
  <c r="B993"/>
  <c r="A994"/>
  <c r="B994"/>
  <c r="A995"/>
  <c r="B995"/>
  <c r="A996"/>
  <c r="B996"/>
  <c r="A997"/>
  <c r="B997"/>
  <c r="A998"/>
  <c r="B998"/>
  <c r="A999"/>
  <c r="B999"/>
  <c r="A1000"/>
  <c r="B1000"/>
  <c r="A1001"/>
  <c r="B1001"/>
  <c r="A1002"/>
  <c r="B1002"/>
  <c r="A1003"/>
  <c r="B1003"/>
  <c r="A1004"/>
  <c r="B1004"/>
  <c r="A1005"/>
  <c r="B1005"/>
  <c r="A1006"/>
  <c r="B1006"/>
  <c r="A1007"/>
  <c r="B1007"/>
  <c r="A1008"/>
  <c r="B1008"/>
  <c r="A1009"/>
  <c r="B1009"/>
  <c r="A1010"/>
  <c r="B1010"/>
  <c r="A1011"/>
  <c r="B1011"/>
  <c r="A1012"/>
  <c r="B1012"/>
  <c r="A1013"/>
  <c r="B1013"/>
  <c r="A1014"/>
  <c r="B1014"/>
  <c r="A1015"/>
  <c r="B1015"/>
  <c r="A1016"/>
  <c r="B1016"/>
  <c r="A1017"/>
  <c r="B1017"/>
  <c r="A1018"/>
  <c r="B1018"/>
  <c r="A1019"/>
  <c r="B1019"/>
  <c r="A1020"/>
  <c r="B1020"/>
  <c r="A1021"/>
  <c r="B1021"/>
  <c r="A1022"/>
  <c r="B1022"/>
  <c r="A1023"/>
  <c r="B1023"/>
  <c r="A1024"/>
  <c r="B1024"/>
  <c r="A1025"/>
  <c r="B1025"/>
  <c r="A1026"/>
  <c r="B1026"/>
  <c r="A1027"/>
  <c r="B1027"/>
  <c r="A1028"/>
  <c r="B1028"/>
  <c r="A1029"/>
  <c r="B1029"/>
  <c r="A1030"/>
  <c r="B1030"/>
  <c r="A1031"/>
  <c r="B1031"/>
  <c r="A1032"/>
  <c r="B1032"/>
  <c r="A1033"/>
  <c r="B1033"/>
  <c r="A1034"/>
  <c r="B1034"/>
  <c r="A1035"/>
  <c r="B1035"/>
  <c r="A1036"/>
  <c r="B1036"/>
  <c r="A1037"/>
  <c r="B1037"/>
  <c r="A1038"/>
  <c r="B1038"/>
  <c r="A1039"/>
  <c r="B1039"/>
  <c r="A1040"/>
  <c r="B1040"/>
  <c r="A1041"/>
  <c r="B1041"/>
  <c r="A1042"/>
  <c r="B1042"/>
  <c r="A1043"/>
  <c r="B1043"/>
  <c r="A1044"/>
  <c r="B1044"/>
  <c r="A1045"/>
  <c r="B1045"/>
  <c r="A1046"/>
  <c r="B1046"/>
  <c r="A1047"/>
  <c r="B1047"/>
  <c r="A1048"/>
  <c r="B1048"/>
  <c r="A1049"/>
  <c r="B1049"/>
  <c r="A1050"/>
  <c r="B1050"/>
  <c r="A1051"/>
  <c r="B1051"/>
  <c r="A1052"/>
  <c r="B1052"/>
  <c r="A1053"/>
  <c r="B1053"/>
  <c r="A1054"/>
  <c r="B1054"/>
  <c r="A1055"/>
  <c r="B1055"/>
  <c r="A1056"/>
  <c r="B1056"/>
  <c r="A1057"/>
  <c r="B1057"/>
  <c r="A1058"/>
  <c r="B1058"/>
  <c r="A1059"/>
  <c r="B1059"/>
  <c r="A1060"/>
  <c r="B1060"/>
  <c r="A1061"/>
  <c r="B1061"/>
  <c r="A1062"/>
  <c r="B1062"/>
  <c r="A1063"/>
  <c r="B1063"/>
  <c r="A1064"/>
  <c r="B1064"/>
  <c r="A1065"/>
  <c r="B1065"/>
  <c r="A1066"/>
  <c r="B1066"/>
  <c r="A1067"/>
  <c r="B1067"/>
  <c r="A1068"/>
  <c r="B1068"/>
  <c r="A1069"/>
  <c r="B1069"/>
  <c r="A1070"/>
  <c r="B1070"/>
  <c r="A1071"/>
  <c r="B1071"/>
  <c r="A1072"/>
  <c r="B1072"/>
  <c r="A1073"/>
  <c r="B1073"/>
  <c r="A1074"/>
  <c r="B1074"/>
  <c r="A1075"/>
  <c r="B1075"/>
  <c r="A1076"/>
  <c r="B1076"/>
  <c r="A1077"/>
  <c r="B1077"/>
  <c r="A1078"/>
  <c r="B1078"/>
  <c r="A1079"/>
  <c r="B1079"/>
  <c r="A1080"/>
  <c r="B1080"/>
  <c r="A1081"/>
  <c r="B1081"/>
  <c r="A1082"/>
  <c r="B1082"/>
  <c r="A1083"/>
  <c r="B1083"/>
  <c r="A1084"/>
  <c r="B1084"/>
  <c r="A1085"/>
  <c r="B1085"/>
  <c r="A1086"/>
  <c r="B1086"/>
  <c r="A1087"/>
  <c r="B1087"/>
  <c r="A1088"/>
  <c r="B1088"/>
  <c r="A1089"/>
  <c r="B1089"/>
  <c r="A1090"/>
  <c r="B1090"/>
  <c r="A1091"/>
  <c r="B1091"/>
  <c r="A1092"/>
  <c r="B1092"/>
  <c r="A1093"/>
  <c r="B1093"/>
  <c r="A1094"/>
  <c r="B1094"/>
  <c r="A1095"/>
  <c r="B1095"/>
  <c r="A1096"/>
  <c r="B1096"/>
  <c r="A1097"/>
  <c r="B1097"/>
  <c r="A1098"/>
  <c r="B1098"/>
  <c r="A1099"/>
  <c r="B1099"/>
  <c r="A1100"/>
  <c r="B1100"/>
  <c r="A1101"/>
  <c r="B1101"/>
  <c r="A1102"/>
  <c r="B1102"/>
  <c r="A1103"/>
  <c r="B1103"/>
  <c r="A1104"/>
  <c r="B1104"/>
  <c r="A1105"/>
  <c r="B1105"/>
  <c r="A1106"/>
  <c r="B1106"/>
  <c r="A1107"/>
  <c r="B1107"/>
  <c r="A1108"/>
  <c r="B1108"/>
  <c r="A1109"/>
  <c r="B1109"/>
  <c r="A1110"/>
  <c r="B1110"/>
  <c r="A1111"/>
  <c r="B1111"/>
  <c r="A1112"/>
  <c r="B1112"/>
  <c r="A1113"/>
  <c r="B1113"/>
  <c r="A1114"/>
  <c r="B1114"/>
  <c r="A1115"/>
  <c r="B1115"/>
  <c r="A1116"/>
  <c r="B1116"/>
  <c r="A1117"/>
  <c r="B1117"/>
  <c r="A1118"/>
  <c r="B1118"/>
  <c r="A1119"/>
  <c r="B1119"/>
  <c r="A1120"/>
  <c r="B1120"/>
  <c r="A1121"/>
  <c r="B1121"/>
  <c r="A1122"/>
  <c r="B1122"/>
  <c r="A1123"/>
  <c r="B1123"/>
  <c r="A1124"/>
  <c r="B1124"/>
  <c r="A1125"/>
  <c r="B1125"/>
  <c r="A1126"/>
  <c r="B1126"/>
  <c r="A1127"/>
  <c r="B1127"/>
  <c r="A1128"/>
  <c r="B1128"/>
  <c r="A1129"/>
  <c r="B1129"/>
  <c r="A1130"/>
  <c r="B1130"/>
  <c r="A1131"/>
  <c r="B1131"/>
  <c r="A1132"/>
  <c r="B1132"/>
  <c r="A1133"/>
  <c r="B1133"/>
  <c r="A1134"/>
  <c r="B1134"/>
  <c r="A1135"/>
  <c r="B1135"/>
  <c r="A1136"/>
  <c r="B1136"/>
  <c r="A1137"/>
  <c r="B1137"/>
  <c r="A1138"/>
  <c r="B1138"/>
  <c r="A1139"/>
  <c r="B1139"/>
  <c r="A1140"/>
  <c r="B1140"/>
  <c r="A1141"/>
  <c r="B1141"/>
  <c r="A1142"/>
  <c r="B1142"/>
  <c r="A1143"/>
  <c r="B1143"/>
  <c r="A1144"/>
  <c r="B1144"/>
  <c r="A1145"/>
  <c r="B1145"/>
  <c r="A1146"/>
  <c r="B1146"/>
  <c r="A1147"/>
  <c r="B1147"/>
  <c r="A1148"/>
  <c r="B1148"/>
  <c r="A1149"/>
  <c r="B1149"/>
  <c r="A1150"/>
  <c r="B1150"/>
  <c r="A1151"/>
  <c r="B1151"/>
  <c r="A1152"/>
  <c r="B1152"/>
  <c r="A1153"/>
  <c r="B1153"/>
  <c r="A1154"/>
  <c r="B1154"/>
  <c r="A1155"/>
  <c r="B1155"/>
  <c r="A1156"/>
  <c r="B1156"/>
  <c r="A1157"/>
  <c r="B1157"/>
  <c r="A1158"/>
  <c r="B1158"/>
  <c r="A1159"/>
  <c r="B1159"/>
  <c r="A1160"/>
  <c r="B1160"/>
  <c r="A1161"/>
  <c r="B1161"/>
  <c r="A1162"/>
  <c r="B1162"/>
  <c r="A1163"/>
  <c r="B1163"/>
  <c r="A1164"/>
  <c r="B1164"/>
  <c r="A1165"/>
  <c r="B1165"/>
  <c r="A1166"/>
  <c r="B1166"/>
  <c r="A1167"/>
  <c r="B1167"/>
  <c r="A1168"/>
  <c r="B1168"/>
  <c r="A1169"/>
  <c r="B1169"/>
  <c r="A1170"/>
  <c r="B1170"/>
  <c r="A1171"/>
  <c r="B1171"/>
  <c r="A1172"/>
  <c r="B1172"/>
  <c r="A1173"/>
  <c r="B1173"/>
  <c r="A1174"/>
  <c r="B1174"/>
  <c r="A1175"/>
  <c r="B1175"/>
  <c r="A1176"/>
  <c r="B1176"/>
  <c r="A1177"/>
  <c r="B1177"/>
  <c r="A1178"/>
  <c r="B1178"/>
  <c r="A1179"/>
  <c r="B1179"/>
  <c r="A1180"/>
  <c r="B1180"/>
  <c r="A1181"/>
  <c r="B1181"/>
  <c r="A1182"/>
  <c r="B1182"/>
  <c r="A1183"/>
  <c r="B1183"/>
  <c r="A1184"/>
  <c r="B1184"/>
  <c r="A1185"/>
  <c r="B1185"/>
  <c r="A1186"/>
  <c r="B1186"/>
  <c r="A1187"/>
  <c r="B1187"/>
  <c r="A1188"/>
  <c r="B1188"/>
  <c r="A1189"/>
  <c r="B1189"/>
  <c r="A1190"/>
  <c r="B1190"/>
  <c r="A1191"/>
  <c r="B1191"/>
  <c r="A1192"/>
  <c r="B1192"/>
  <c r="A1193"/>
  <c r="B1193"/>
  <c r="A1194"/>
  <c r="B1194"/>
  <c r="A1195"/>
  <c r="B1195"/>
  <c r="A1196"/>
  <c r="B1196"/>
  <c r="A1197"/>
  <c r="B1197"/>
  <c r="A1198"/>
  <c r="B1198"/>
  <c r="A1199"/>
  <c r="B1199"/>
  <c r="A1200"/>
  <c r="B1200"/>
  <c r="A1201"/>
  <c r="B1201"/>
  <c r="A1202"/>
  <c r="B1202"/>
  <c r="A1203"/>
  <c r="B1203"/>
  <c r="A1204"/>
  <c r="B1204"/>
  <c r="A1205"/>
  <c r="B1205"/>
  <c r="A1206"/>
  <c r="B1206"/>
  <c r="A1207"/>
  <c r="B1207"/>
  <c r="A1208"/>
  <c r="B1208"/>
  <c r="A1209"/>
  <c r="B1209"/>
  <c r="A1210"/>
  <c r="B1210"/>
  <c r="A1211"/>
  <c r="B1211"/>
  <c r="A1212"/>
  <c r="B1212"/>
  <c r="A1213"/>
  <c r="B1213"/>
  <c r="A1214"/>
  <c r="B1214"/>
  <c r="A1215"/>
  <c r="B1215"/>
  <c r="A1216"/>
  <c r="B1216"/>
  <c r="A1217"/>
  <c r="B1217"/>
  <c r="A1218"/>
  <c r="B1218"/>
  <c r="A1219"/>
  <c r="B1219"/>
  <c r="A1220"/>
  <c r="B1220"/>
  <c r="A1221"/>
  <c r="B1221"/>
  <c r="A1222"/>
  <c r="B1222"/>
  <c r="A1223"/>
  <c r="B1223"/>
  <c r="A1224"/>
  <c r="B1224"/>
  <c r="A1225"/>
  <c r="B1225"/>
  <c r="A1226"/>
  <c r="B1226"/>
  <c r="A1227"/>
  <c r="B1227"/>
  <c r="A1228"/>
  <c r="B1228"/>
  <c r="A1229"/>
  <c r="B1229"/>
  <c r="A1230"/>
  <c r="B1230"/>
  <c r="A1231"/>
  <c r="B1231"/>
  <c r="A1232"/>
  <c r="B1232"/>
  <c r="A1233"/>
  <c r="B1233"/>
  <c r="A1234"/>
  <c r="B1234"/>
  <c r="A1235"/>
  <c r="B1235"/>
  <c r="A1236"/>
  <c r="B1236"/>
  <c r="A1237"/>
  <c r="B1237"/>
  <c r="A1238"/>
  <c r="B1238"/>
  <c r="A1239"/>
  <c r="B1239"/>
  <c r="A1240"/>
  <c r="B1240"/>
  <c r="A1241"/>
  <c r="B1241"/>
  <c r="A1242"/>
  <c r="B1242"/>
  <c r="A1243"/>
  <c r="B1243"/>
  <c r="A1244"/>
  <c r="B1244"/>
  <c r="A1245"/>
  <c r="B1245"/>
  <c r="A1246"/>
  <c r="B1246"/>
  <c r="A1247"/>
  <c r="B1247"/>
  <c r="A1248"/>
  <c r="B1248"/>
  <c r="A1249"/>
  <c r="B1249"/>
  <c r="A1250"/>
  <c r="B1250"/>
  <c r="A1251"/>
  <c r="B1251"/>
  <c r="A1252"/>
  <c r="B1252"/>
  <c r="A1253"/>
  <c r="B1253"/>
  <c r="A1254"/>
  <c r="B1254"/>
  <c r="A1255"/>
  <c r="B1255"/>
  <c r="A1256"/>
  <c r="B1256"/>
  <c r="A1257"/>
  <c r="B1257"/>
  <c r="A1258"/>
  <c r="B1258"/>
  <c r="A1259"/>
  <c r="B1259"/>
  <c r="A1260"/>
  <c r="B1260"/>
  <c r="A1261"/>
  <c r="B1261"/>
  <c r="A1262"/>
  <c r="B1262"/>
  <c r="A1263"/>
  <c r="B1263"/>
  <c r="A1264"/>
  <c r="B1264"/>
  <c r="A1265"/>
  <c r="B1265"/>
  <c r="A1266"/>
  <c r="B1266"/>
  <c r="A1267"/>
  <c r="B1267"/>
  <c r="A1268"/>
  <c r="B1268"/>
  <c r="A1269"/>
  <c r="B1269"/>
  <c r="A1270"/>
  <c r="B1270"/>
  <c r="A1271"/>
  <c r="B1271"/>
  <c r="A1272"/>
  <c r="B1272"/>
  <c r="A1273"/>
  <c r="B1273"/>
  <c r="A1274"/>
  <c r="B1274"/>
  <c r="A1275"/>
  <c r="B1275"/>
  <c r="A1276"/>
  <c r="B1276"/>
  <c r="A1277"/>
  <c r="B1277"/>
  <c r="A1278"/>
  <c r="B1278"/>
  <c r="A1279"/>
  <c r="B1279"/>
  <c r="A1280"/>
  <c r="B1280"/>
  <c r="A1281"/>
  <c r="B1281"/>
  <c r="A1282"/>
  <c r="B1282"/>
  <c r="A1283"/>
  <c r="B1283"/>
  <c r="A1284"/>
  <c r="B1284"/>
  <c r="A1285"/>
  <c r="B1285"/>
  <c r="A1286"/>
  <c r="B1286"/>
  <c r="A1287"/>
  <c r="B1287"/>
  <c r="A1288"/>
  <c r="B1288"/>
  <c r="A1289"/>
  <c r="B1289"/>
  <c r="A1290"/>
  <c r="B1290"/>
  <c r="A1291"/>
  <c r="B1291"/>
  <c r="A1292"/>
  <c r="B1292"/>
  <c r="A1293"/>
  <c r="B1293"/>
  <c r="A1294"/>
  <c r="B1294"/>
  <c r="A1295"/>
  <c r="B1295"/>
  <c r="A1296"/>
  <c r="B1296"/>
  <c r="A1297"/>
  <c r="B1297"/>
  <c r="A1298"/>
  <c r="B1298"/>
  <c r="A1299"/>
  <c r="B1299"/>
  <c r="A1300"/>
  <c r="B1300"/>
  <c r="A1301"/>
  <c r="B1301"/>
  <c r="A1302"/>
  <c r="B1302"/>
  <c r="A1303"/>
  <c r="B1303"/>
  <c r="A1304"/>
  <c r="B1304"/>
  <c r="A1305"/>
  <c r="B1305"/>
  <c r="A1306"/>
  <c r="B1306"/>
  <c r="A1307"/>
  <c r="B1307"/>
  <c r="A1308"/>
  <c r="B1308"/>
  <c r="A1309"/>
  <c r="B1309"/>
  <c r="A1310"/>
  <c r="B1310"/>
  <c r="A1311"/>
  <c r="B1311"/>
  <c r="A1312"/>
  <c r="B1312"/>
  <c r="A1313"/>
  <c r="B1313"/>
  <c r="A1314"/>
  <c r="B1314"/>
  <c r="A1315"/>
  <c r="B1315"/>
  <c r="A1316"/>
  <c r="B1316"/>
  <c r="A1317"/>
  <c r="B1317"/>
  <c r="A1318"/>
  <c r="B1318"/>
  <c r="A1319"/>
  <c r="B1319"/>
  <c r="A1320"/>
  <c r="B1320"/>
  <c r="A1321"/>
  <c r="B1321"/>
  <c r="A1322"/>
  <c r="B1322"/>
  <c r="A1323"/>
  <c r="B1323"/>
  <c r="A1324"/>
  <c r="B1324"/>
  <c r="A1325"/>
  <c r="B1325"/>
  <c r="A1326"/>
  <c r="B1326"/>
  <c r="A1327"/>
  <c r="B1327"/>
  <c r="A1328"/>
  <c r="B1328"/>
  <c r="A1329"/>
  <c r="B1329"/>
  <c r="A1330"/>
  <c r="B1330"/>
  <c r="A1331"/>
  <c r="B1331"/>
  <c r="A1332"/>
  <c r="B1332"/>
  <c r="A1333"/>
  <c r="B1333"/>
  <c r="A1334"/>
  <c r="B1334"/>
  <c r="A1335"/>
  <c r="B1335"/>
  <c r="A1336"/>
  <c r="B1336"/>
  <c r="A1337"/>
  <c r="B1337"/>
  <c r="A1338"/>
  <c r="B1338"/>
  <c r="A1339"/>
  <c r="B1339"/>
  <c r="A1340"/>
  <c r="B1340"/>
  <c r="A1341"/>
  <c r="B1341"/>
  <c r="A1342"/>
  <c r="B1342"/>
  <c r="A1343"/>
  <c r="B1343"/>
  <c r="A1344"/>
  <c r="B1344"/>
  <c r="A1345"/>
  <c r="B1345"/>
  <c r="A1346"/>
  <c r="B1346"/>
  <c r="A1347"/>
  <c r="B1347"/>
  <c r="A1348"/>
  <c r="B1348"/>
  <c r="A1349"/>
  <c r="B1349"/>
  <c r="A1350"/>
  <c r="B1350"/>
  <c r="A1351"/>
  <c r="B1351"/>
  <c r="A1352"/>
  <c r="B1352"/>
  <c r="A1353"/>
  <c r="B1353"/>
  <c r="A1354"/>
  <c r="B1354"/>
  <c r="A1355"/>
  <c r="B1355"/>
  <c r="A1356"/>
  <c r="B1356"/>
  <c r="A1357"/>
  <c r="B1357"/>
  <c r="A1358"/>
  <c r="B1358"/>
  <c r="A1359"/>
  <c r="B1359"/>
  <c r="A1360"/>
  <c r="B1360"/>
  <c r="A1361"/>
  <c r="B1361"/>
  <c r="A1362"/>
  <c r="B1362"/>
  <c r="A1363"/>
  <c r="B1363"/>
  <c r="A1364"/>
  <c r="B1364"/>
  <c r="A1365"/>
  <c r="B1365"/>
  <c r="A1366"/>
  <c r="B1366"/>
  <c r="A1367"/>
  <c r="B1367"/>
  <c r="A1368"/>
  <c r="B1368"/>
  <c r="A1369"/>
  <c r="B1369"/>
  <c r="A1370"/>
  <c r="B1370"/>
  <c r="A1371"/>
  <c r="B1371"/>
  <c r="A1372"/>
  <c r="B1372"/>
  <c r="A1373"/>
  <c r="B1373"/>
  <c r="A1374"/>
  <c r="B1374"/>
  <c r="A1375"/>
  <c r="B1375"/>
  <c r="A1376"/>
  <c r="B1376"/>
  <c r="A1377"/>
  <c r="B1377"/>
  <c r="A1378"/>
  <c r="B1378"/>
  <c r="A1379"/>
  <c r="B1379"/>
  <c r="A1380"/>
  <c r="B1380"/>
  <c r="A1381"/>
  <c r="B1381"/>
  <c r="A1382"/>
  <c r="B1382"/>
  <c r="A1383"/>
  <c r="B1383"/>
  <c r="A1384"/>
  <c r="B1384"/>
  <c r="A1385"/>
  <c r="B1385"/>
  <c r="A1386"/>
  <c r="B1386"/>
  <c r="A1387"/>
  <c r="B1387"/>
  <c r="A1388"/>
  <c r="B1388"/>
  <c r="A1389"/>
  <c r="B1389"/>
  <c r="A1390"/>
  <c r="B1390"/>
  <c r="A1391"/>
  <c r="B1391"/>
  <c r="A1392"/>
  <c r="B1392"/>
  <c r="A1393"/>
  <c r="B1393"/>
  <c r="A1394"/>
  <c r="B1394"/>
  <c r="A1395"/>
  <c r="B1395"/>
  <c r="A1396"/>
  <c r="B1396"/>
  <c r="A1397"/>
  <c r="B1397"/>
  <c r="A1398"/>
  <c r="B1398"/>
  <c r="A1399"/>
  <c r="B1399"/>
  <c r="A1400"/>
  <c r="B1400"/>
  <c r="A1401"/>
  <c r="B1401"/>
  <c r="A1402"/>
  <c r="B1402"/>
  <c r="A1403"/>
  <c r="B1403"/>
  <c r="A1404"/>
  <c r="B1404"/>
  <c r="A1405"/>
  <c r="B1405"/>
  <c r="A1406"/>
  <c r="B1406"/>
  <c r="A1407"/>
  <c r="B1407"/>
  <c r="A1408"/>
  <c r="B1408"/>
  <c r="A1409"/>
  <c r="B1409"/>
  <c r="A1410"/>
  <c r="B1410"/>
  <c r="A1411"/>
  <c r="B1411"/>
  <c r="A1412"/>
  <c r="B1412"/>
  <c r="A1413"/>
  <c r="B1413"/>
  <c r="A1414"/>
  <c r="B1414"/>
  <c r="A1415"/>
  <c r="B1415"/>
  <c r="A1416"/>
  <c r="B1416"/>
  <c r="A1417"/>
  <c r="B1417"/>
  <c r="A1418"/>
  <c r="B1418"/>
  <c r="A1419"/>
  <c r="B1419"/>
  <c r="A1420"/>
  <c r="B1420"/>
  <c r="A1421"/>
  <c r="B1421"/>
  <c r="A1422"/>
  <c r="B1422"/>
  <c r="A1423"/>
  <c r="B1423"/>
  <c r="A1424"/>
  <c r="B1424"/>
  <c r="A1425"/>
  <c r="B1425"/>
  <c r="A1426"/>
  <c r="B1426"/>
  <c r="A1427"/>
  <c r="B1427"/>
  <c r="A1428"/>
  <c r="B1428"/>
  <c r="A1429"/>
  <c r="B1429"/>
  <c r="A1430"/>
  <c r="B1430"/>
  <c r="A1431"/>
  <c r="B1431"/>
  <c r="A1432"/>
  <c r="B1432"/>
  <c r="A1433"/>
  <c r="B1433"/>
  <c r="A1434"/>
  <c r="B1434"/>
  <c r="A1435"/>
  <c r="B1435"/>
  <c r="A1436"/>
  <c r="B1436"/>
  <c r="A1437"/>
  <c r="B1437"/>
  <c r="A1438"/>
  <c r="B1438"/>
  <c r="A1439"/>
  <c r="B1439"/>
  <c r="A1440"/>
  <c r="B1440"/>
  <c r="A1441"/>
  <c r="B1441"/>
  <c r="A1442"/>
  <c r="B1442"/>
  <c r="A1443"/>
  <c r="B1443"/>
  <c r="A1444"/>
  <c r="B1444"/>
  <c r="A1445"/>
  <c r="B1445"/>
  <c r="A1446"/>
  <c r="B1446"/>
  <c r="A1447"/>
  <c r="B1447"/>
  <c r="A1448"/>
  <c r="B1448"/>
  <c r="A1449"/>
  <c r="B1449"/>
  <c r="A1450"/>
  <c r="B1450"/>
  <c r="A1451"/>
  <c r="B1451"/>
  <c r="A1452"/>
  <c r="B1452"/>
  <c r="A1453"/>
  <c r="B1453"/>
  <c r="A1454"/>
  <c r="B1454"/>
  <c r="A1455"/>
  <c r="B1455"/>
  <c r="A1456"/>
  <c r="B1456"/>
  <c r="A1457"/>
  <c r="B1457"/>
  <c r="A1458"/>
  <c r="B1458"/>
  <c r="A1459"/>
  <c r="B1459"/>
  <c r="A1460"/>
  <c r="B1460"/>
  <c r="A1461"/>
  <c r="B1461"/>
  <c r="A1462"/>
  <c r="B1462"/>
  <c r="A1463"/>
  <c r="B1463"/>
  <c r="A1464"/>
  <c r="B1464"/>
  <c r="A1465"/>
  <c r="B1465"/>
  <c r="A1466"/>
  <c r="B1466"/>
  <c r="A1467"/>
  <c r="B1467"/>
  <c r="A1468"/>
  <c r="B1468"/>
  <c r="A1469"/>
  <c r="B1469"/>
  <c r="A1470"/>
  <c r="B1470"/>
  <c r="A1471"/>
  <c r="B1471"/>
  <c r="A1472"/>
  <c r="B1472"/>
  <c r="A1473"/>
  <c r="B1473"/>
  <c r="A1474"/>
  <c r="B1474"/>
  <c r="A1475"/>
  <c r="B1475"/>
  <c r="A1476"/>
  <c r="B1476"/>
  <c r="A1477"/>
  <c r="B1477"/>
  <c r="A1478"/>
  <c r="B1478"/>
  <c r="A1479"/>
  <c r="B1479"/>
  <c r="A1480"/>
  <c r="B1480"/>
  <c r="A1481"/>
  <c r="B1481"/>
  <c r="A1482"/>
  <c r="B1482"/>
  <c r="A1483"/>
  <c r="B1483"/>
  <c r="A1484"/>
  <c r="B1484"/>
  <c r="A1485"/>
  <c r="B1485"/>
  <c r="A1486"/>
  <c r="B1486"/>
  <c r="A1487"/>
  <c r="B1487"/>
  <c r="A1488"/>
  <c r="B1488"/>
  <c r="A1489"/>
  <c r="B1489"/>
  <c r="A1490"/>
  <c r="B1490"/>
  <c r="A1491"/>
  <c r="B1491"/>
  <c r="A1492"/>
  <c r="B1492"/>
  <c r="A1493"/>
  <c r="B1493"/>
  <c r="A1494"/>
  <c r="B1494"/>
  <c r="A1495"/>
  <c r="B1495"/>
  <c r="A1496"/>
  <c r="B1496"/>
  <c r="A1497"/>
  <c r="B1497"/>
  <c r="A1498"/>
  <c r="B1498"/>
  <c r="A1499"/>
  <c r="B1499"/>
  <c r="A1500"/>
  <c r="B1500"/>
  <c r="A1501"/>
  <c r="B1501"/>
  <c r="A1502"/>
  <c r="B1502"/>
  <c r="A1503"/>
  <c r="B1503"/>
  <c r="A1504"/>
  <c r="B1504"/>
  <c r="A1505"/>
  <c r="B1505"/>
  <c r="A1506"/>
  <c r="B1506"/>
  <c r="A1507"/>
  <c r="B1507"/>
  <c r="A1508"/>
  <c r="B1508"/>
  <c r="A1509"/>
  <c r="B1509"/>
  <c r="A1510"/>
  <c r="B1510"/>
  <c r="A1511"/>
  <c r="B1511"/>
  <c r="A1512"/>
  <c r="B1512"/>
  <c r="A1513"/>
  <c r="B1513"/>
  <c r="A1514"/>
  <c r="B1514"/>
  <c r="A1515"/>
  <c r="B1515"/>
  <c r="A1516"/>
  <c r="B1516"/>
  <c r="A1517"/>
  <c r="B1517"/>
  <c r="A1518"/>
  <c r="B1518"/>
  <c r="A1519"/>
  <c r="B1519"/>
  <c r="A1520"/>
  <c r="B1520"/>
  <c r="A1521"/>
  <c r="B1521"/>
  <c r="A1522"/>
  <c r="B1522"/>
  <c r="A1523"/>
  <c r="B1523"/>
  <c r="A1524"/>
  <c r="B1524"/>
  <c r="A1525"/>
  <c r="B1525"/>
  <c r="A1526"/>
  <c r="B1526"/>
  <c r="A1527"/>
  <c r="B1527"/>
  <c r="A1528"/>
  <c r="B1528"/>
  <c r="A1529"/>
  <c r="B1529"/>
  <c r="A1530"/>
  <c r="B1530"/>
  <c r="A1531"/>
  <c r="B1531"/>
  <c r="A1532"/>
  <c r="B1532"/>
  <c r="A1533"/>
  <c r="B1533"/>
  <c r="A1534"/>
  <c r="B1534"/>
  <c r="A1535"/>
  <c r="B1535"/>
  <c r="A1536"/>
  <c r="B1536"/>
  <c r="A1537"/>
  <c r="B1537"/>
  <c r="A1538"/>
  <c r="B1538"/>
  <c r="A1539"/>
  <c r="B1539"/>
  <c r="A1540"/>
  <c r="B1540"/>
  <c r="A1541"/>
  <c r="B1541"/>
  <c r="A1542"/>
  <c r="B1542"/>
  <c r="A1543"/>
  <c r="B1543"/>
  <c r="A1544"/>
  <c r="B1544"/>
  <c r="A1545"/>
  <c r="B1545"/>
  <c r="A1546"/>
  <c r="B1546"/>
  <c r="A1547"/>
  <c r="B1547"/>
  <c r="A1548"/>
  <c r="B1548"/>
  <c r="A1549"/>
  <c r="B1549"/>
  <c r="A1550"/>
  <c r="B1550"/>
  <c r="A1551"/>
  <c r="B1551"/>
  <c r="A1552"/>
  <c r="B1552"/>
  <c r="A1553"/>
  <c r="B1553"/>
  <c r="A1554"/>
  <c r="B1554"/>
  <c r="A1555"/>
  <c r="B1555"/>
  <c r="A1556"/>
  <c r="B1556"/>
  <c r="A1557"/>
  <c r="B1557"/>
  <c r="A1558"/>
  <c r="B1558"/>
  <c r="A1559"/>
  <c r="B1559"/>
  <c r="A1560"/>
  <c r="B1560"/>
  <c r="A1561"/>
  <c r="B1561"/>
  <c r="A1562"/>
  <c r="B1562"/>
  <c r="A1563"/>
  <c r="B1563"/>
  <c r="A1564"/>
  <c r="B1564"/>
  <c r="A1565"/>
  <c r="B1565"/>
  <c r="A1566"/>
  <c r="B1566"/>
  <c r="A1567"/>
  <c r="B1567"/>
  <c r="A1568"/>
  <c r="B1568"/>
  <c r="A1569"/>
  <c r="B1569"/>
  <c r="A1570"/>
  <c r="B1570"/>
  <c r="A1571"/>
  <c r="B1571"/>
  <c r="A1572"/>
  <c r="B1572"/>
  <c r="A1573"/>
  <c r="B1573"/>
  <c r="A1574"/>
  <c r="B1574"/>
  <c r="A1575"/>
  <c r="B1575"/>
  <c r="A1576"/>
  <c r="B1576"/>
  <c r="A1577"/>
  <c r="B1577"/>
  <c r="A1578"/>
  <c r="B1578"/>
  <c r="A1579"/>
  <c r="B1579"/>
  <c r="A1580"/>
  <c r="B1580"/>
  <c r="A1581"/>
  <c r="B1581"/>
  <c r="A1582"/>
  <c r="B1582"/>
  <c r="A1583"/>
  <c r="B1583"/>
  <c r="A1584"/>
  <c r="B1584"/>
  <c r="A1585"/>
  <c r="B1585"/>
  <c r="A1586"/>
  <c r="B1586"/>
  <c r="A1587"/>
  <c r="B1587"/>
  <c r="A1588"/>
  <c r="B1588"/>
  <c r="A1589"/>
  <c r="B1589"/>
  <c r="A1590"/>
  <c r="B1590"/>
  <c r="A1591"/>
  <c r="B1591"/>
  <c r="A1592"/>
  <c r="B1592"/>
  <c r="A1593"/>
  <c r="B1593"/>
  <c r="A1594"/>
  <c r="B1594"/>
  <c r="A1595"/>
  <c r="B1595"/>
  <c r="A1596"/>
  <c r="B1596"/>
  <c r="A1597"/>
  <c r="B1597"/>
  <c r="A1598"/>
  <c r="B1598"/>
  <c r="A1599"/>
  <c r="B1599"/>
  <c r="A1600"/>
  <c r="B1600"/>
  <c r="A1601"/>
  <c r="B1601"/>
  <c r="A1602"/>
  <c r="B1602"/>
  <c r="A1603"/>
  <c r="B1603"/>
  <c r="A1604"/>
  <c r="B1604"/>
  <c r="A1605"/>
  <c r="B1605"/>
  <c r="A1606"/>
  <c r="B1606"/>
  <c r="A1607"/>
  <c r="B1607"/>
  <c r="A1608"/>
  <c r="B1608"/>
  <c r="A1609"/>
  <c r="B1609"/>
  <c r="A1610"/>
  <c r="B1610"/>
  <c r="A1611"/>
  <c r="B1611"/>
  <c r="A1612"/>
  <c r="B1612"/>
  <c r="A1613"/>
  <c r="B1613"/>
  <c r="A1614"/>
  <c r="B1614"/>
  <c r="A1615"/>
  <c r="B1615"/>
  <c r="A1616"/>
  <c r="B1616"/>
  <c r="A1617"/>
  <c r="B1617"/>
  <c r="A1618"/>
  <c r="B1618"/>
  <c r="A1619"/>
  <c r="B1619"/>
  <c r="A1620"/>
  <c r="B1620"/>
  <c r="A1621"/>
  <c r="B1621"/>
  <c r="A1622"/>
  <c r="B1622"/>
  <c r="A1623"/>
  <c r="B1623"/>
  <c r="A1624"/>
  <c r="B1624"/>
  <c r="A1625"/>
  <c r="B1625"/>
  <c r="A1626"/>
  <c r="B1626"/>
  <c r="A1627"/>
  <c r="B1627"/>
  <c r="A1628"/>
  <c r="B1628"/>
  <c r="A1629"/>
  <c r="B1629"/>
  <c r="A1630"/>
  <c r="B1630"/>
  <c r="A1631"/>
  <c r="B1631"/>
  <c r="A1632"/>
  <c r="B1632"/>
  <c r="A1633"/>
  <c r="B1633"/>
  <c r="A1634"/>
  <c r="B1634"/>
  <c r="A1635"/>
  <c r="B1635"/>
  <c r="A1636"/>
  <c r="B1636"/>
  <c r="A1637"/>
  <c r="B1637"/>
  <c r="A1638"/>
  <c r="B1638"/>
  <c r="A1639"/>
  <c r="B1639"/>
  <c r="A1640"/>
  <c r="B1640"/>
  <c r="A1641"/>
  <c r="B1641"/>
  <c r="A1642"/>
  <c r="B1642"/>
  <c r="A1643"/>
  <c r="B1643"/>
  <c r="A1644"/>
  <c r="B1644"/>
  <c r="A1645"/>
  <c r="B1645"/>
  <c r="A1646"/>
  <c r="B1646"/>
  <c r="A1647"/>
  <c r="B1647"/>
  <c r="A1648"/>
  <c r="B1648"/>
  <c r="A1649"/>
  <c r="B1649"/>
  <c r="A1650"/>
  <c r="B1650"/>
  <c r="A1651"/>
  <c r="B1651"/>
  <c r="A1652"/>
  <c r="B1652"/>
  <c r="A1653"/>
  <c r="B1653"/>
  <c r="A1654"/>
  <c r="B1654"/>
  <c r="A1655"/>
  <c r="B1655"/>
  <c r="A1656"/>
  <c r="B1656"/>
  <c r="A1657"/>
  <c r="B1657"/>
  <c r="A1658"/>
  <c r="B1658"/>
  <c r="A1659"/>
  <c r="B1659"/>
  <c r="A1660"/>
  <c r="B1660"/>
  <c r="A1661"/>
  <c r="B1661"/>
  <c r="A1662"/>
  <c r="B1662"/>
  <c r="A1663"/>
  <c r="B1663"/>
  <c r="A1664"/>
  <c r="B1664"/>
  <c r="A1665"/>
  <c r="B1665"/>
  <c r="A1666"/>
  <c r="B1666"/>
  <c r="A1667"/>
  <c r="B1667"/>
  <c r="A1668"/>
  <c r="B1668"/>
  <c r="A1669"/>
  <c r="B1669"/>
  <c r="A1670"/>
  <c r="B1670"/>
  <c r="A1671"/>
  <c r="B1671"/>
  <c r="A1672"/>
  <c r="B1672"/>
  <c r="A1673"/>
  <c r="B1673"/>
  <c r="A1674"/>
  <c r="B1674"/>
  <c r="A1675"/>
  <c r="B1675"/>
  <c r="A1676"/>
  <c r="B1676"/>
  <c r="A1677"/>
  <c r="B1677"/>
  <c r="A1678"/>
  <c r="B1678"/>
  <c r="A1679"/>
  <c r="B1679"/>
  <c r="A1680"/>
  <c r="B1680"/>
  <c r="A1681"/>
  <c r="B1681"/>
  <c r="A1682"/>
  <c r="B1682"/>
  <c r="A1683"/>
  <c r="B1683"/>
  <c r="A1684"/>
  <c r="B1684"/>
  <c r="A1685"/>
  <c r="B1685"/>
  <c r="A1686"/>
  <c r="B1686"/>
  <c r="A1687"/>
  <c r="B1687"/>
  <c r="A1688"/>
  <c r="B1688"/>
  <c r="A1689"/>
  <c r="B1689"/>
  <c r="A1690"/>
  <c r="B1690"/>
  <c r="A1691"/>
  <c r="B1691"/>
  <c r="A1692"/>
  <c r="B1692"/>
  <c r="A1693"/>
  <c r="B1693"/>
  <c r="A1694"/>
  <c r="B1694"/>
  <c r="A1695"/>
  <c r="B1695"/>
  <c r="A1696"/>
  <c r="B1696"/>
  <c r="A1697"/>
  <c r="B1697"/>
  <c r="A1698"/>
  <c r="B1698"/>
  <c r="A1699"/>
  <c r="B1699"/>
  <c r="A1700"/>
  <c r="B1700"/>
  <c r="A1701"/>
  <c r="B1701"/>
  <c r="A1702"/>
  <c r="B1702"/>
  <c r="A1703"/>
  <c r="B1703"/>
  <c r="A1704"/>
  <c r="B1704"/>
  <c r="A1705"/>
  <c r="B1705"/>
  <c r="A1706"/>
  <c r="B1706"/>
  <c r="A1707"/>
  <c r="B1707"/>
  <c r="A1708"/>
  <c r="B1708"/>
  <c r="A1709"/>
  <c r="B1709"/>
  <c r="A1710"/>
  <c r="B1710"/>
  <c r="A1711"/>
  <c r="B1711"/>
  <c r="A1712"/>
  <c r="B1712"/>
  <c r="A1713"/>
  <c r="B1713"/>
  <c r="A1714"/>
  <c r="B1714"/>
  <c r="A1715"/>
  <c r="B1715"/>
  <c r="A1716"/>
  <c r="B1716"/>
  <c r="A1717"/>
  <c r="B1717"/>
  <c r="A1718"/>
  <c r="B1718"/>
  <c r="A1719"/>
  <c r="B1719"/>
  <c r="A1720"/>
  <c r="B1720"/>
  <c r="A1721"/>
  <c r="B1721"/>
  <c r="A1722"/>
  <c r="B1722"/>
  <c r="A1723"/>
  <c r="B1723"/>
  <c r="A1724"/>
  <c r="B1724"/>
  <c r="A1725"/>
  <c r="B1725"/>
  <c r="A1726"/>
  <c r="B1726"/>
  <c r="A1727"/>
  <c r="B1727"/>
  <c r="A1728"/>
  <c r="B1728"/>
  <c r="A1729"/>
  <c r="B1729"/>
  <c r="A1730"/>
  <c r="B1730"/>
  <c r="A1731"/>
  <c r="B1731"/>
  <c r="A1732"/>
  <c r="B1732"/>
  <c r="A1733"/>
  <c r="B1733"/>
  <c r="A1734"/>
  <c r="B1734"/>
  <c r="A1735"/>
  <c r="B1735"/>
  <c r="A1736"/>
  <c r="B1736"/>
  <c r="A1737"/>
  <c r="B1737"/>
  <c r="A1738"/>
  <c r="B1738"/>
  <c r="A1739"/>
  <c r="B1739"/>
  <c r="A1740"/>
  <c r="B1740"/>
  <c r="A1741"/>
  <c r="B1741"/>
  <c r="A1742"/>
  <c r="B1742"/>
  <c r="A1743"/>
  <c r="B1743"/>
  <c r="A1744"/>
  <c r="B1744"/>
  <c r="A1745"/>
  <c r="B1745"/>
  <c r="A1746"/>
  <c r="B1746"/>
  <c r="A1747"/>
  <c r="B1747"/>
  <c r="A1748"/>
  <c r="B1748"/>
  <c r="A1749"/>
  <c r="B1749"/>
  <c r="A1750"/>
  <c r="B1750"/>
  <c r="A1751"/>
  <c r="B1751"/>
  <c r="A1752"/>
  <c r="B1752"/>
  <c r="A1753"/>
  <c r="B1753"/>
  <c r="A1754"/>
  <c r="B1754"/>
  <c r="A1755"/>
  <c r="B1755"/>
  <c r="A1756"/>
  <c r="B1756"/>
  <c r="A1757"/>
  <c r="B1757"/>
  <c r="A1758"/>
  <c r="B1758"/>
  <c r="A1759"/>
  <c r="B1759"/>
  <c r="A1760"/>
  <c r="B1760"/>
  <c r="A1761"/>
  <c r="B1761"/>
  <c r="A1762"/>
  <c r="B1762"/>
  <c r="A1763"/>
  <c r="B1763"/>
  <c r="A1764"/>
  <c r="B1764"/>
  <c r="A1765"/>
  <c r="B1765"/>
  <c r="A1766"/>
  <c r="B1766"/>
  <c r="A1767"/>
  <c r="B1767"/>
  <c r="A1768"/>
  <c r="B1768"/>
  <c r="A1769"/>
  <c r="B1769"/>
  <c r="A1770"/>
  <c r="B1770"/>
  <c r="A1771"/>
  <c r="B1771"/>
  <c r="A1772"/>
  <c r="B1772"/>
  <c r="A1773"/>
  <c r="B1773"/>
  <c r="A1774"/>
  <c r="B1774"/>
  <c r="A1775"/>
  <c r="B1775"/>
  <c r="A1776"/>
  <c r="B1776"/>
  <c r="A1777"/>
  <c r="B1777"/>
  <c r="A1778"/>
  <c r="B1778"/>
  <c r="A1779"/>
  <c r="B1779"/>
  <c r="A1780"/>
  <c r="B1780"/>
  <c r="A1781"/>
  <c r="B1781"/>
  <c r="A1782"/>
  <c r="B1782"/>
  <c r="A1783"/>
  <c r="B1783"/>
  <c r="A1784"/>
  <c r="B1784"/>
  <c r="A1785"/>
  <c r="B1785"/>
  <c r="A1786"/>
  <c r="B1786"/>
  <c r="A1787"/>
  <c r="B1787"/>
  <c r="A1788"/>
  <c r="B1788"/>
  <c r="A1789"/>
  <c r="B1789"/>
  <c r="A1790"/>
  <c r="B1790"/>
  <c r="A1791"/>
  <c r="B1791"/>
  <c r="A1792"/>
  <c r="B1792"/>
  <c r="A1793"/>
  <c r="B1793"/>
  <c r="A1794"/>
  <c r="B1794"/>
  <c r="A1795"/>
  <c r="B1795"/>
  <c r="A1796"/>
  <c r="B1796"/>
  <c r="A1797"/>
  <c r="B1797"/>
  <c r="A1798"/>
  <c r="B1798"/>
  <c r="A1799"/>
  <c r="B1799"/>
  <c r="A1800"/>
  <c r="B1800"/>
  <c r="A1801"/>
  <c r="B1801"/>
  <c r="A1802"/>
  <c r="B1802"/>
  <c r="A1803"/>
  <c r="B1803"/>
  <c r="A1804"/>
  <c r="B1804"/>
  <c r="A1805"/>
  <c r="B1805"/>
  <c r="A1806"/>
  <c r="B1806"/>
  <c r="A1807"/>
  <c r="B1807"/>
  <c r="A1808"/>
  <c r="B1808"/>
  <c r="A1809"/>
  <c r="B1809"/>
  <c r="A1810"/>
  <c r="B1810"/>
  <c r="A1811"/>
  <c r="B1811"/>
  <c r="A1812"/>
  <c r="B1812"/>
  <c r="A1813"/>
  <c r="B1813"/>
  <c r="A1814"/>
  <c r="B1814"/>
  <c r="A1815"/>
  <c r="B1815"/>
  <c r="A1816"/>
  <c r="B1816"/>
  <c r="A1817"/>
  <c r="B1817"/>
  <c r="A1818"/>
  <c r="B1818"/>
  <c r="A1819"/>
  <c r="B1819"/>
  <c r="A1820"/>
  <c r="B1820"/>
  <c r="A1821"/>
  <c r="B1821"/>
  <c r="A1822"/>
  <c r="B1822"/>
  <c r="A1823"/>
  <c r="B1823"/>
  <c r="A1824"/>
  <c r="B1824"/>
  <c r="A1825"/>
  <c r="B1825"/>
  <c r="A1826"/>
  <c r="B1826"/>
  <c r="A1827"/>
  <c r="B1827"/>
  <c r="A1828"/>
  <c r="B1828"/>
  <c r="A1829"/>
  <c r="B1829"/>
  <c r="A1830"/>
  <c r="B1830"/>
  <c r="A1831"/>
  <c r="B1831"/>
  <c r="A1832"/>
  <c r="B1832"/>
  <c r="A1833"/>
  <c r="B1833"/>
  <c r="A1834"/>
  <c r="B1834"/>
  <c r="A1835"/>
  <c r="B1835"/>
  <c r="A1836"/>
  <c r="B1836"/>
  <c r="A1837"/>
  <c r="B1837"/>
  <c r="A1838"/>
  <c r="B1838"/>
  <c r="A1839"/>
  <c r="B1839"/>
  <c r="A1840"/>
  <c r="B1840"/>
  <c r="A1841"/>
  <c r="B1841"/>
  <c r="A1842"/>
  <c r="B1842"/>
  <c r="A1843"/>
  <c r="B1843"/>
  <c r="A1844"/>
  <c r="B1844"/>
  <c r="A1845"/>
  <c r="B1845"/>
  <c r="A1846"/>
  <c r="B1846"/>
  <c r="A1847"/>
  <c r="B1847"/>
  <c r="A1848"/>
  <c r="B1848"/>
  <c r="A1849"/>
  <c r="B1849"/>
  <c r="A1850"/>
  <c r="B1850"/>
  <c r="A1851"/>
  <c r="B1851"/>
  <c r="A1852"/>
  <c r="B1852"/>
  <c r="A1853"/>
  <c r="B1853"/>
  <c r="A1854"/>
  <c r="B1854"/>
  <c r="A1855"/>
  <c r="B1855"/>
  <c r="A1856"/>
  <c r="B1856"/>
  <c r="A1857"/>
  <c r="B1857"/>
  <c r="A1858"/>
  <c r="B1858"/>
  <c r="A1859"/>
  <c r="B1859"/>
  <c r="A1860"/>
  <c r="B1860"/>
  <c r="A1861"/>
  <c r="B1861"/>
  <c r="A1862"/>
  <c r="B1862"/>
  <c r="A1863"/>
  <c r="B1863"/>
  <c r="A1864"/>
  <c r="B1864"/>
  <c r="A1865"/>
  <c r="B1865"/>
  <c r="A1866"/>
  <c r="B1866"/>
  <c r="A1867"/>
  <c r="B1867"/>
  <c r="A1868"/>
  <c r="B1868"/>
  <c r="A1869"/>
  <c r="B1869"/>
  <c r="A1870"/>
  <c r="B1870"/>
  <c r="A1871"/>
  <c r="B1871"/>
  <c r="A1872"/>
  <c r="B1872"/>
  <c r="A1873"/>
  <c r="B1873"/>
  <c r="A1874"/>
  <c r="B1874"/>
  <c r="A1875"/>
  <c r="B1875"/>
  <c r="A1876"/>
  <c r="B1876"/>
  <c r="A1877"/>
  <c r="B1877"/>
  <c r="A1878"/>
  <c r="B1878"/>
  <c r="A1879"/>
  <c r="B1879"/>
  <c r="A1880"/>
  <c r="B1880"/>
  <c r="A1881"/>
  <c r="B1881"/>
  <c r="A1882"/>
  <c r="B1882"/>
  <c r="A1883"/>
  <c r="B1883"/>
  <c r="A1884"/>
  <c r="B1884"/>
  <c r="A1885"/>
  <c r="B1885"/>
  <c r="A1886"/>
  <c r="B1886"/>
  <c r="A1887"/>
  <c r="B1887"/>
  <c r="A1888"/>
  <c r="B1888"/>
  <c r="A1889"/>
  <c r="B1889"/>
  <c r="A1890"/>
  <c r="B1890"/>
  <c r="A1891"/>
  <c r="B1891"/>
  <c r="A1892"/>
  <c r="B1892"/>
  <c r="A1893"/>
  <c r="B1893"/>
  <c r="A1894"/>
  <c r="B1894"/>
  <c r="A1895"/>
  <c r="B1895"/>
  <c r="A1896"/>
  <c r="B1896"/>
  <c r="A1897"/>
  <c r="B1897"/>
  <c r="A1898"/>
  <c r="B1898"/>
  <c r="A1899"/>
  <c r="B1899"/>
  <c r="A1900"/>
  <c r="B1900"/>
  <c r="A1901"/>
  <c r="B1901"/>
  <c r="A1902"/>
  <c r="B1902"/>
  <c r="A1903"/>
  <c r="B1903"/>
  <c r="A1904"/>
  <c r="B1904"/>
  <c r="A1905"/>
  <c r="B1905"/>
  <c r="A1906"/>
  <c r="B1906"/>
  <c r="A1907"/>
  <c r="B1907"/>
  <c r="A1908"/>
  <c r="B1908"/>
  <c r="A1909"/>
  <c r="B1909"/>
  <c r="A1910"/>
  <c r="B1910"/>
  <c r="A1911"/>
  <c r="B1911"/>
  <c r="A1912"/>
  <c r="B1912"/>
  <c r="A1913"/>
  <c r="B1913"/>
  <c r="A1914"/>
  <c r="B1914"/>
  <c r="A1915"/>
  <c r="B1915"/>
  <c r="A1916"/>
  <c r="B1916"/>
  <c r="A1917"/>
  <c r="B1917"/>
  <c r="A1918"/>
  <c r="B1918"/>
  <c r="A1919"/>
  <c r="B1919"/>
  <c r="A1920"/>
  <c r="B1920"/>
  <c r="A1921"/>
  <c r="B1921"/>
  <c r="A1922"/>
  <c r="B1922"/>
  <c r="A1923"/>
  <c r="B1923"/>
  <c r="A1924"/>
  <c r="B1924"/>
  <c r="A1925"/>
  <c r="B1925"/>
  <c r="A1926"/>
  <c r="B1926"/>
  <c r="A1927"/>
  <c r="B1927"/>
  <c r="A1928"/>
  <c r="B1928"/>
  <c r="A1929"/>
  <c r="B1929"/>
  <c r="A1930"/>
  <c r="B1930"/>
  <c r="A1931"/>
  <c r="B1931"/>
  <c r="A1932"/>
  <c r="B1932"/>
  <c r="A1933"/>
  <c r="B1933"/>
  <c r="A1934"/>
  <c r="B1934"/>
  <c r="A1935"/>
  <c r="B1935"/>
  <c r="A1936"/>
  <c r="B1936"/>
  <c r="A1937"/>
  <c r="B1937"/>
  <c r="A1938"/>
  <c r="B1938"/>
  <c r="A1939"/>
  <c r="B1939"/>
  <c r="A1940"/>
  <c r="B1940"/>
  <c r="A1941"/>
  <c r="B1941"/>
  <c r="A1942"/>
  <c r="B1942"/>
  <c r="A1943"/>
  <c r="B1943"/>
  <c r="A1944"/>
  <c r="B1944"/>
  <c r="A1945"/>
  <c r="B1945"/>
  <c r="A1946"/>
  <c r="B1946"/>
  <c r="A1947"/>
  <c r="B1947"/>
  <c r="A1948"/>
  <c r="B1948"/>
  <c r="A1949"/>
  <c r="B1949"/>
  <c r="A1950"/>
  <c r="B1950"/>
  <c r="A1951"/>
  <c r="B1951"/>
  <c r="A1952"/>
  <c r="B1952"/>
  <c r="A1953"/>
  <c r="B1953"/>
  <c r="A1954"/>
  <c r="B1954"/>
  <c r="A1955"/>
  <c r="B1955"/>
  <c r="A1956"/>
  <c r="B1956"/>
  <c r="A1957"/>
  <c r="B1957"/>
  <c r="A1958"/>
  <c r="B1958"/>
  <c r="A1959"/>
  <c r="B1959"/>
  <c r="A1960"/>
  <c r="B1960"/>
  <c r="A1961"/>
  <c r="B1961"/>
  <c r="A1962"/>
  <c r="B1962"/>
  <c r="A1963"/>
  <c r="B1963"/>
  <c r="A1964"/>
  <c r="B1964"/>
  <c r="A1965"/>
  <c r="B1965"/>
  <c r="A1966"/>
  <c r="B1966"/>
  <c r="A1967"/>
  <c r="B1967"/>
  <c r="A1968"/>
  <c r="B1968"/>
  <c r="A1969"/>
  <c r="B1969"/>
  <c r="A1970"/>
  <c r="B1970"/>
  <c r="A1971"/>
  <c r="B1971"/>
  <c r="A1972"/>
  <c r="B1972"/>
  <c r="A1973"/>
  <c r="B1973"/>
  <c r="A1974"/>
  <c r="B1974"/>
  <c r="A1975"/>
  <c r="B1975"/>
  <c r="A1976"/>
  <c r="B1976"/>
  <c r="A1977"/>
  <c r="B1977"/>
  <c r="A1978"/>
  <c r="B1978"/>
  <c r="A1979"/>
  <c r="B1979"/>
  <c r="A1980"/>
  <c r="B1980"/>
  <c r="A1981"/>
  <c r="B1981"/>
  <c r="A1982"/>
  <c r="B1982"/>
  <c r="A1983"/>
  <c r="B1983"/>
  <c r="A1984"/>
  <c r="B1984"/>
  <c r="A1985"/>
  <c r="B1985"/>
  <c r="A1986"/>
  <c r="B1986"/>
  <c r="A1987"/>
  <c r="B1987"/>
  <c r="A1988"/>
  <c r="B1988"/>
  <c r="A1989"/>
  <c r="B1989"/>
  <c r="A1990"/>
  <c r="B1990"/>
  <c r="A1991"/>
  <c r="B1991"/>
  <c r="A1992"/>
  <c r="B1992"/>
  <c r="A1993"/>
  <c r="B1993"/>
  <c r="A1994"/>
  <c r="B1994"/>
  <c r="A1995"/>
  <c r="B1995"/>
  <c r="A1996"/>
  <c r="B1996"/>
  <c r="A1997"/>
  <c r="B1997"/>
  <c r="A1998"/>
  <c r="B1998"/>
  <c r="A1999"/>
  <c r="B1999"/>
  <c r="A2000"/>
  <c r="B2000"/>
  <c r="A2001"/>
  <c r="B2001"/>
  <c r="A2002"/>
  <c r="B2002"/>
  <c r="A2003"/>
  <c r="B2003"/>
  <c r="A2004"/>
  <c r="B2004"/>
  <c r="A2005"/>
  <c r="B2005"/>
  <c r="A2006"/>
  <c r="B2006"/>
  <c r="A2007"/>
  <c r="B2007"/>
  <c r="A2008"/>
  <c r="B2008"/>
  <c r="A2009"/>
  <c r="B2009"/>
  <c r="A2010"/>
  <c r="B2010"/>
  <c r="A2011"/>
  <c r="B2011"/>
  <c r="A2012"/>
  <c r="B2012"/>
  <c r="A2013"/>
  <c r="B2013"/>
  <c r="A2014"/>
  <c r="B2014"/>
  <c r="A2015"/>
  <c r="B2015"/>
  <c r="A2016"/>
  <c r="B2016"/>
  <c r="A2017"/>
  <c r="B2017"/>
  <c r="A2018"/>
  <c r="B2018"/>
  <c r="A2019"/>
  <c r="B2019"/>
  <c r="A2020"/>
  <c r="B2020"/>
  <c r="A2021"/>
  <c r="B2021"/>
  <c r="A2022"/>
  <c r="B2022"/>
  <c r="A2023"/>
  <c r="B2023"/>
  <c r="A2024"/>
  <c r="B2024"/>
  <c r="A2025"/>
  <c r="B2025"/>
  <c r="A2026"/>
  <c r="B2026"/>
  <c r="A2027"/>
  <c r="B2027"/>
  <c r="A2028"/>
  <c r="B2028"/>
  <c r="A2029"/>
  <c r="B2029"/>
  <c r="A2030"/>
  <c r="B2030"/>
  <c r="A2031"/>
  <c r="B2031"/>
  <c r="A2032"/>
  <c r="B2032"/>
  <c r="A2033"/>
  <c r="B2033"/>
  <c r="A2034"/>
  <c r="B2034"/>
  <c r="A2035"/>
  <c r="B2035"/>
  <c r="A2036"/>
  <c r="B2036"/>
  <c r="A2037"/>
  <c r="B2037"/>
  <c r="A2038"/>
  <c r="B2038"/>
  <c r="A2039"/>
  <c r="B2039"/>
  <c r="A2040"/>
  <c r="B2040"/>
  <c r="A2041"/>
  <c r="B2041"/>
  <c r="A2042"/>
  <c r="B2042"/>
  <c r="A2043"/>
  <c r="B2043"/>
  <c r="A2044"/>
  <c r="B2044"/>
  <c r="A2045"/>
  <c r="B2045"/>
  <c r="A2046"/>
  <c r="B2046"/>
  <c r="A2047"/>
  <c r="B2047"/>
  <c r="A2048"/>
  <c r="B2048"/>
  <c r="A2049"/>
  <c r="B2049"/>
  <c r="A2050"/>
  <c r="B2050"/>
  <c r="A2051"/>
  <c r="B2051"/>
  <c r="A2052"/>
  <c r="B2052"/>
  <c r="A2053"/>
  <c r="B2053"/>
  <c r="A2054"/>
  <c r="B2054"/>
  <c r="A2055"/>
  <c r="B2055"/>
  <c r="A2056"/>
  <c r="B2056"/>
  <c r="A2057"/>
  <c r="B2057"/>
  <c r="A2058"/>
  <c r="B2058"/>
  <c r="A2059"/>
  <c r="B2059"/>
  <c r="A2060"/>
  <c r="B2060"/>
  <c r="A2061"/>
  <c r="B2061"/>
  <c r="A2062"/>
  <c r="B2062"/>
  <c r="A2063"/>
  <c r="B2063"/>
  <c r="A2064"/>
  <c r="B2064"/>
  <c r="A2065"/>
  <c r="B2065"/>
  <c r="A2066"/>
  <c r="B2066"/>
  <c r="A2067"/>
  <c r="B2067"/>
  <c r="A2068"/>
  <c r="B2068"/>
  <c r="A2069"/>
  <c r="B2069"/>
  <c r="A2070"/>
  <c r="B2070"/>
  <c r="A2071"/>
  <c r="B2071"/>
  <c r="A2072"/>
  <c r="B2072"/>
  <c r="A2073"/>
  <c r="B2073"/>
  <c r="A2074"/>
  <c r="B2074"/>
  <c r="A2075"/>
  <c r="B2075"/>
  <c r="A2076"/>
  <c r="B2076"/>
  <c r="A2077"/>
  <c r="B2077"/>
  <c r="A2078"/>
  <c r="B2078"/>
  <c r="A2079"/>
  <c r="B2079"/>
  <c r="A2080"/>
  <c r="B2080"/>
  <c r="A2081"/>
  <c r="B2081"/>
  <c r="A2082"/>
  <c r="B2082"/>
  <c r="A2083"/>
  <c r="B2083"/>
  <c r="A2084"/>
  <c r="B2084"/>
  <c r="A2085"/>
  <c r="B2085"/>
  <c r="A2086"/>
  <c r="B2086"/>
  <c r="A2087"/>
  <c r="B2087"/>
  <c r="A2088"/>
  <c r="B2088"/>
  <c r="A2089"/>
  <c r="B2089"/>
  <c r="A2090"/>
  <c r="B2090"/>
  <c r="A2091"/>
  <c r="B2091"/>
  <c r="A2092"/>
  <c r="B2092"/>
  <c r="A2093"/>
  <c r="B2093"/>
  <c r="A2094"/>
  <c r="B2094"/>
  <c r="A2095"/>
  <c r="B2095"/>
  <c r="A2096"/>
  <c r="B2096"/>
  <c r="A2097"/>
  <c r="B2097"/>
  <c r="A2098"/>
  <c r="B2098"/>
  <c r="A2099"/>
  <c r="B2099"/>
  <c r="A2100"/>
  <c r="B2100"/>
  <c r="A2101"/>
  <c r="B2101"/>
  <c r="A2102"/>
  <c r="B2102"/>
  <c r="A2103"/>
  <c r="B2103"/>
  <c r="A2104"/>
  <c r="B2104"/>
  <c r="A2105"/>
  <c r="B2105"/>
  <c r="A2106"/>
  <c r="B2106"/>
  <c r="A2107"/>
  <c r="B2107"/>
  <c r="A2108"/>
  <c r="B2108"/>
  <c r="A2109"/>
  <c r="B2109"/>
  <c r="A2110"/>
  <c r="B2110"/>
  <c r="A2111"/>
  <c r="B2111"/>
  <c r="A2112"/>
  <c r="B2112"/>
  <c r="A2113"/>
  <c r="B2113"/>
  <c r="A2114"/>
  <c r="B2114"/>
  <c r="A2115"/>
  <c r="B2115"/>
  <c r="A2116"/>
  <c r="B2116"/>
  <c r="A2117"/>
  <c r="B2117"/>
  <c r="A2118"/>
  <c r="B2118"/>
  <c r="A2119"/>
  <c r="B2119"/>
  <c r="A2120"/>
  <c r="B2120"/>
  <c r="A2121"/>
  <c r="B2121"/>
  <c r="A2122"/>
  <c r="B2122"/>
  <c r="A2123"/>
  <c r="B2123"/>
  <c r="A2124"/>
  <c r="B2124"/>
  <c r="A2125"/>
  <c r="B2125"/>
  <c r="A2126"/>
  <c r="B2126"/>
  <c r="A2127"/>
  <c r="B2127"/>
  <c r="A2128"/>
  <c r="B2128"/>
  <c r="A2129"/>
  <c r="B2129"/>
  <c r="A2130"/>
  <c r="B2130"/>
  <c r="A2131"/>
  <c r="B2131"/>
  <c r="A2132"/>
  <c r="B2132"/>
  <c r="A2133"/>
  <c r="B2133"/>
  <c r="A2134"/>
  <c r="B2134"/>
  <c r="A2135"/>
  <c r="B2135"/>
  <c r="A2136"/>
  <c r="B2136"/>
  <c r="A2137"/>
  <c r="B2137"/>
  <c r="A2138"/>
  <c r="B2138"/>
  <c r="A2139"/>
  <c r="B2139"/>
  <c r="A2140"/>
  <c r="B2140"/>
  <c r="A2141"/>
  <c r="B2141"/>
  <c r="A2142"/>
  <c r="B2142"/>
  <c r="A2143"/>
  <c r="B2143"/>
  <c r="A2144"/>
  <c r="B2144"/>
  <c r="A2145"/>
  <c r="B2145"/>
  <c r="A2146"/>
  <c r="B2146"/>
  <c r="A2147"/>
  <c r="B2147"/>
  <c r="A2148"/>
  <c r="B2148"/>
  <c r="A2149"/>
  <c r="B2149"/>
  <c r="A2150"/>
  <c r="B2150"/>
  <c r="A2151"/>
  <c r="B2151"/>
  <c r="A2152"/>
  <c r="B2152"/>
  <c r="A2153"/>
  <c r="B2153"/>
  <c r="A2154"/>
  <c r="B2154"/>
  <c r="A2155"/>
  <c r="B2155"/>
  <c r="A2156"/>
  <c r="B2156"/>
  <c r="A2157"/>
  <c r="B2157"/>
  <c r="A2158"/>
  <c r="B2158"/>
  <c r="A2159"/>
  <c r="B2159"/>
  <c r="A2160"/>
  <c r="B2160"/>
  <c r="A2161"/>
  <c r="B2161"/>
  <c r="A2162"/>
  <c r="B2162"/>
  <c r="A2163"/>
  <c r="B2163"/>
  <c r="A2164"/>
  <c r="B2164"/>
  <c r="A2165"/>
  <c r="B2165"/>
  <c r="A2166"/>
  <c r="B2166"/>
  <c r="A2167"/>
  <c r="B2167"/>
  <c r="A2168"/>
  <c r="B2168"/>
  <c r="A2169"/>
  <c r="B2169"/>
  <c r="A2170"/>
  <c r="B2170"/>
  <c r="A2171"/>
  <c r="B2171"/>
  <c r="A2172"/>
  <c r="B2172"/>
  <c r="A2173"/>
  <c r="B2173"/>
  <c r="A2174"/>
  <c r="B2174"/>
  <c r="A2175"/>
  <c r="B2175"/>
  <c r="A2176"/>
  <c r="B2176"/>
  <c r="A2177"/>
  <c r="B2177"/>
  <c r="A2178"/>
  <c r="B2178"/>
  <c r="A2179"/>
  <c r="B2179"/>
  <c r="A2180"/>
  <c r="B2180"/>
  <c r="A2181"/>
  <c r="B2181"/>
  <c r="A2182"/>
  <c r="B2182"/>
  <c r="A2183"/>
  <c r="B2183"/>
  <c r="A2184"/>
  <c r="B2184"/>
  <c r="A2185"/>
  <c r="B2185"/>
  <c r="A2186"/>
  <c r="B2186"/>
  <c r="A2187"/>
  <c r="B2187"/>
  <c r="A2188"/>
  <c r="B2188"/>
  <c r="A2189"/>
  <c r="B2189"/>
  <c r="A2190"/>
  <c r="B2190"/>
  <c r="A2191"/>
  <c r="B2191"/>
  <c r="A2192"/>
  <c r="B2192"/>
  <c r="A2193"/>
  <c r="B2193"/>
  <c r="A2194"/>
  <c r="B2194"/>
  <c r="A2195"/>
  <c r="B2195"/>
  <c r="A2196"/>
  <c r="B2196"/>
  <c r="A2197"/>
  <c r="B2197"/>
  <c r="A2198"/>
  <c r="B2198"/>
  <c r="A2199"/>
  <c r="B2199"/>
  <c r="A2200"/>
  <c r="B2200"/>
  <c r="A2201"/>
  <c r="B2201"/>
  <c r="A2202"/>
  <c r="B2202"/>
  <c r="A2203"/>
  <c r="B2203"/>
  <c r="A2204"/>
  <c r="B2204"/>
  <c r="A2205"/>
  <c r="B2205"/>
  <c r="A2206"/>
  <c r="B2206"/>
  <c r="A2207"/>
  <c r="B2207"/>
  <c r="A2208"/>
  <c r="B2208"/>
  <c r="A2209"/>
  <c r="B2209"/>
  <c r="A2210"/>
  <c r="B2210"/>
  <c r="A2211"/>
  <c r="B2211"/>
  <c r="A2212"/>
  <c r="B2212"/>
  <c r="A2213"/>
  <c r="B2213"/>
  <c r="A2214"/>
  <c r="B2214"/>
  <c r="A2215"/>
  <c r="B2215"/>
  <c r="A2216"/>
  <c r="B2216"/>
  <c r="A2217"/>
  <c r="B2217"/>
  <c r="A2218"/>
  <c r="B2218"/>
  <c r="A2219"/>
  <c r="B2219"/>
  <c r="A2220"/>
  <c r="B2220"/>
  <c r="A2221"/>
  <c r="B2221"/>
  <c r="A2222"/>
  <c r="B2222"/>
  <c r="A2223"/>
  <c r="B2223"/>
  <c r="A2224"/>
  <c r="B2224"/>
  <c r="A2225"/>
  <c r="B2225"/>
  <c r="A2226"/>
  <c r="B2226"/>
  <c r="A2227"/>
  <c r="B2227"/>
  <c r="A2228"/>
  <c r="B2228"/>
  <c r="A2229"/>
  <c r="B2229"/>
  <c r="A2230"/>
  <c r="B2230"/>
  <c r="A2231"/>
  <c r="B2231"/>
  <c r="A2232"/>
  <c r="B2232"/>
  <c r="A2233"/>
  <c r="B2233"/>
  <c r="A2234"/>
  <c r="B2234"/>
  <c r="A2235"/>
  <c r="B2235"/>
  <c r="A2236"/>
  <c r="B2236"/>
  <c r="A2237"/>
  <c r="B2237"/>
  <c r="A2238"/>
  <c r="B2238"/>
  <c r="A2239"/>
  <c r="B2239"/>
  <c r="A2240"/>
  <c r="B2240"/>
  <c r="A2241"/>
  <c r="B2241"/>
  <c r="A2242"/>
  <c r="B2242"/>
  <c r="A2243"/>
  <c r="B2243"/>
  <c r="A2244"/>
  <c r="B2244"/>
  <c r="A2245"/>
  <c r="B2245"/>
  <c r="A2246"/>
  <c r="B2246"/>
  <c r="A2247"/>
  <c r="B2247"/>
  <c r="A2248"/>
  <c r="B2248"/>
  <c r="A2249"/>
  <c r="B2249"/>
  <c r="A2250"/>
  <c r="B2250"/>
  <c r="A2251"/>
  <c r="B2251"/>
  <c r="A2252"/>
  <c r="B2252"/>
  <c r="A2253"/>
  <c r="B2253"/>
  <c r="A2254"/>
  <c r="B2254"/>
  <c r="A2255"/>
  <c r="B2255"/>
  <c r="A2256"/>
  <c r="B2256"/>
  <c r="A2257"/>
  <c r="B2257"/>
  <c r="A2258"/>
  <c r="B2258"/>
  <c r="A2259"/>
  <c r="B2259"/>
  <c r="A2260"/>
  <c r="B2260"/>
  <c r="A2261"/>
  <c r="B2261"/>
  <c r="A2262"/>
  <c r="B2262"/>
  <c r="A2263"/>
  <c r="B2263"/>
  <c r="A2264"/>
  <c r="B2264"/>
  <c r="A2265"/>
  <c r="B2265"/>
  <c r="A2266"/>
  <c r="B2266"/>
  <c r="A2267"/>
  <c r="B2267"/>
  <c r="A2268"/>
  <c r="B2268"/>
  <c r="A2269"/>
  <c r="B2269"/>
  <c r="A2270"/>
  <c r="B2270"/>
  <c r="A2271"/>
  <c r="B2271"/>
  <c r="A2272"/>
  <c r="B2272"/>
  <c r="A2273"/>
  <c r="B2273"/>
  <c r="A2274"/>
  <c r="B2274"/>
  <c r="A2275"/>
  <c r="B2275"/>
  <c r="A2276"/>
  <c r="B2276"/>
  <c r="A2277"/>
  <c r="B2277"/>
  <c r="A2278"/>
  <c r="B2278"/>
  <c r="A2279"/>
  <c r="B2279"/>
  <c r="A2280"/>
  <c r="B2280"/>
  <c r="A2281"/>
  <c r="B2281"/>
  <c r="A2282"/>
  <c r="B2282"/>
  <c r="A2283"/>
  <c r="B2283"/>
  <c r="A2284"/>
  <c r="B2284"/>
  <c r="A2285"/>
  <c r="B2285"/>
  <c r="A2286"/>
  <c r="B2286"/>
  <c r="A2287"/>
  <c r="B2287"/>
  <c r="A2288"/>
  <c r="B2288"/>
  <c r="A2289"/>
  <c r="B2289"/>
  <c r="A2290"/>
  <c r="B2290"/>
  <c r="A2291"/>
  <c r="B2291"/>
  <c r="A2292"/>
  <c r="B2292"/>
  <c r="A2293"/>
  <c r="B2293"/>
  <c r="A2294"/>
  <c r="B2294"/>
  <c r="A2295"/>
  <c r="B2295"/>
  <c r="A2296"/>
  <c r="B2296"/>
  <c r="A2297"/>
  <c r="B2297"/>
  <c r="A2298"/>
  <c r="B2298"/>
  <c r="A2299"/>
  <c r="B2299"/>
  <c r="A2300"/>
  <c r="B2300"/>
  <c r="A2301"/>
  <c r="B2301"/>
  <c r="A2302"/>
  <c r="B2302"/>
  <c r="A2303"/>
  <c r="B2303"/>
  <c r="A2304"/>
  <c r="B2304"/>
  <c r="A2305"/>
  <c r="B2305"/>
  <c r="A2306"/>
  <c r="B2306"/>
  <c r="A2307"/>
  <c r="B2307"/>
  <c r="A2308"/>
  <c r="B2308"/>
  <c r="A2309"/>
  <c r="B2309"/>
  <c r="A2310"/>
  <c r="B2310"/>
  <c r="A2311"/>
  <c r="B2311"/>
  <c r="A2312"/>
  <c r="B2312"/>
  <c r="A2313"/>
  <c r="B2313"/>
  <c r="A2314"/>
  <c r="B2314"/>
  <c r="A2315"/>
  <c r="B2315"/>
  <c r="A2316"/>
  <c r="B2316"/>
  <c r="A2317"/>
  <c r="B2317"/>
  <c r="A2318"/>
  <c r="B2318"/>
  <c r="A2319"/>
  <c r="B2319"/>
  <c r="A2320"/>
  <c r="B2320"/>
  <c r="A2321"/>
  <c r="B2321"/>
  <c r="A2322"/>
  <c r="B2322"/>
  <c r="A2323"/>
  <c r="B2323"/>
  <c r="A2324"/>
  <c r="B2324"/>
  <c r="A2325"/>
  <c r="B2325"/>
  <c r="A2326"/>
  <c r="B2326"/>
  <c r="A2327"/>
  <c r="B2327"/>
  <c r="A2328"/>
  <c r="B2328"/>
  <c r="A2329"/>
  <c r="B2329"/>
  <c r="A2330"/>
  <c r="B2330"/>
  <c r="A2331"/>
  <c r="B2331"/>
  <c r="A2332"/>
  <c r="B2332"/>
  <c r="A2333"/>
  <c r="B2333"/>
  <c r="A2334"/>
  <c r="B2334"/>
  <c r="A2335"/>
  <c r="B2335"/>
  <c r="A2336"/>
  <c r="B2336"/>
  <c r="A2337"/>
  <c r="B2337"/>
  <c r="A2338"/>
  <c r="B2338"/>
  <c r="A2339"/>
  <c r="B2339"/>
  <c r="A2340"/>
  <c r="B2340"/>
  <c r="A2341"/>
  <c r="B2341"/>
  <c r="A2342"/>
  <c r="B2342"/>
  <c r="A2343"/>
  <c r="B2343"/>
  <c r="A2344"/>
  <c r="B2344"/>
  <c r="A2345"/>
  <c r="B2345"/>
  <c r="A2346"/>
  <c r="B2346"/>
  <c r="A2347"/>
  <c r="B2347"/>
  <c r="A2348"/>
  <c r="B2348"/>
  <c r="A2349"/>
  <c r="B2349"/>
  <c r="A2350"/>
  <c r="B2350"/>
  <c r="A2351"/>
  <c r="B2351"/>
  <c r="A2352"/>
  <c r="B2352"/>
  <c r="A2353"/>
  <c r="B2353"/>
  <c r="A2354"/>
  <c r="B2354"/>
  <c r="A2355"/>
  <c r="B2355"/>
  <c r="A2356"/>
  <c r="B2356"/>
  <c r="A2357"/>
  <c r="B2357"/>
  <c r="A2358"/>
  <c r="B2358"/>
  <c r="A2359"/>
  <c r="B2359"/>
  <c r="A2360"/>
  <c r="B2360"/>
  <c r="A2361"/>
  <c r="B2361"/>
  <c r="A2362"/>
  <c r="B2362"/>
  <c r="A2363"/>
  <c r="B2363"/>
  <c r="A2364"/>
  <c r="B2364"/>
  <c r="A2365"/>
  <c r="B2365"/>
  <c r="A2366"/>
  <c r="B2366"/>
  <c r="A2367"/>
  <c r="B2367"/>
  <c r="A2368"/>
  <c r="B2368"/>
  <c r="A2369"/>
  <c r="B2369"/>
  <c r="A2370"/>
  <c r="B2370"/>
  <c r="A2371"/>
  <c r="B2371"/>
  <c r="A2372"/>
  <c r="B2372"/>
  <c r="A2373"/>
  <c r="B2373"/>
  <c r="A2374"/>
  <c r="B2374"/>
  <c r="A2375"/>
  <c r="B2375"/>
  <c r="A2376"/>
  <c r="B2376"/>
  <c r="A2377"/>
  <c r="B2377"/>
  <c r="A2378"/>
  <c r="B2378"/>
  <c r="A2379"/>
  <c r="B2379"/>
  <c r="A2380"/>
  <c r="B2380"/>
  <c r="A2381"/>
  <c r="B2381"/>
  <c r="A2382"/>
  <c r="B2382"/>
  <c r="A2383"/>
  <c r="B2383"/>
  <c r="A2384"/>
  <c r="B2384"/>
  <c r="A2385"/>
  <c r="B2385"/>
  <c r="A2386"/>
  <c r="B2386"/>
  <c r="A2387"/>
  <c r="B2387"/>
  <c r="A2388"/>
  <c r="B2388"/>
  <c r="A2389"/>
  <c r="B2389"/>
  <c r="A2390"/>
  <c r="B2390"/>
  <c r="A2391"/>
  <c r="B2391"/>
  <c r="A2392"/>
  <c r="B2392"/>
  <c r="A2393"/>
  <c r="B2393"/>
  <c r="A2394"/>
  <c r="B2394"/>
  <c r="A2395"/>
  <c r="B2395"/>
  <c r="A2396"/>
  <c r="B2396"/>
  <c r="A2397"/>
  <c r="B2397"/>
  <c r="A2398"/>
  <c r="B2398"/>
  <c r="A2399"/>
  <c r="B2399"/>
  <c r="A2400"/>
  <c r="B2400"/>
  <c r="A2401"/>
  <c r="B2401"/>
  <c r="A2402"/>
  <c r="B2402"/>
  <c r="A2403"/>
  <c r="B2403"/>
  <c r="A2404"/>
  <c r="B2404"/>
  <c r="A2405"/>
  <c r="B2405"/>
  <c r="A2406"/>
  <c r="B2406"/>
  <c r="A2407"/>
  <c r="B2407"/>
  <c r="A2408"/>
  <c r="B2408"/>
  <c r="A2409"/>
  <c r="B2409"/>
  <c r="A2410"/>
  <c r="B2410"/>
  <c r="A2411"/>
  <c r="B2411"/>
  <c r="A2412"/>
  <c r="B2412"/>
  <c r="A2413"/>
  <c r="B2413"/>
  <c r="A2414"/>
  <c r="B2414"/>
  <c r="A2415"/>
  <c r="B2415"/>
  <c r="A2416"/>
  <c r="B2416"/>
  <c r="A2417"/>
  <c r="B2417"/>
  <c r="A2418"/>
  <c r="B2418"/>
  <c r="A2419"/>
  <c r="B2419"/>
  <c r="A2420"/>
  <c r="B2420"/>
  <c r="A2421"/>
  <c r="B2421"/>
  <c r="A2422"/>
  <c r="B2422"/>
  <c r="A2423"/>
  <c r="B2423"/>
  <c r="A2424"/>
  <c r="B2424"/>
  <c r="A2425"/>
  <c r="B2425"/>
  <c r="A2426"/>
  <c r="B2426"/>
  <c r="A2427"/>
  <c r="B2427"/>
  <c r="A2428"/>
  <c r="B2428"/>
  <c r="A2429"/>
  <c r="B2429"/>
  <c r="A2430"/>
  <c r="B2430"/>
  <c r="A2431"/>
  <c r="B2431"/>
  <c r="A2432"/>
  <c r="B2432"/>
  <c r="A2433"/>
  <c r="B2433"/>
  <c r="A2434"/>
  <c r="B2434"/>
  <c r="A2435"/>
  <c r="B2435"/>
  <c r="A2436"/>
  <c r="B2436"/>
  <c r="A2437"/>
  <c r="B2437"/>
  <c r="A2438"/>
  <c r="B2438"/>
  <c r="A2439"/>
  <c r="B2439"/>
  <c r="A2440"/>
  <c r="B2440"/>
  <c r="A2441"/>
  <c r="B2441"/>
  <c r="A2442"/>
  <c r="B2442"/>
  <c r="A2443"/>
  <c r="B2443"/>
  <c r="A2444"/>
  <c r="B2444"/>
  <c r="A2445"/>
  <c r="B2445"/>
  <c r="A2446"/>
  <c r="B2446"/>
  <c r="A2447"/>
  <c r="B2447"/>
  <c r="A2448"/>
  <c r="B2448"/>
  <c r="A2449"/>
  <c r="B2449"/>
  <c r="A2450"/>
  <c r="B2450"/>
  <c r="A2451"/>
  <c r="B2451"/>
  <c r="A2452"/>
  <c r="B2452"/>
  <c r="A2453"/>
  <c r="B2453"/>
  <c r="A2454"/>
  <c r="B2454"/>
  <c r="A2455"/>
  <c r="B2455"/>
  <c r="A2456"/>
  <c r="B2456"/>
  <c r="A2457"/>
  <c r="B2457"/>
  <c r="A2458"/>
  <c r="B2458"/>
  <c r="A2459"/>
  <c r="B2459"/>
  <c r="A2460"/>
  <c r="B2460"/>
  <c r="A2461"/>
  <c r="B2461"/>
  <c r="A2462"/>
  <c r="B2462"/>
  <c r="A2463"/>
  <c r="B2463"/>
  <c r="A2464"/>
  <c r="B2464"/>
  <c r="A2465"/>
  <c r="B2465"/>
  <c r="A2466"/>
  <c r="B2466"/>
  <c r="A2467"/>
  <c r="B2467"/>
  <c r="A2468"/>
  <c r="B2468"/>
  <c r="A2469"/>
  <c r="B2469"/>
  <c r="A2470"/>
  <c r="B2470"/>
  <c r="A2471"/>
  <c r="B2471"/>
  <c r="A2472"/>
  <c r="B2472"/>
  <c r="A2473"/>
  <c r="B2473"/>
  <c r="A2474"/>
  <c r="B2474"/>
  <c r="A2475"/>
  <c r="B2475"/>
  <c r="A2476"/>
  <c r="B2476"/>
  <c r="A2477"/>
  <c r="B2477"/>
  <c r="A2478"/>
  <c r="B2478"/>
  <c r="A2479"/>
  <c r="B2479"/>
  <c r="A2480"/>
  <c r="B2480"/>
  <c r="A2481"/>
  <c r="B2481"/>
  <c r="A2482"/>
  <c r="B2482"/>
  <c r="A2483"/>
  <c r="B2483"/>
  <c r="A2484"/>
  <c r="B2484"/>
  <c r="A2485"/>
  <c r="B2485"/>
  <c r="A2486"/>
  <c r="B2486"/>
  <c r="A2487"/>
  <c r="B2487"/>
  <c r="A2488"/>
  <c r="B2488"/>
  <c r="A2489"/>
  <c r="B2489"/>
  <c r="A2490"/>
  <c r="B2490"/>
  <c r="A2491"/>
  <c r="B2491"/>
  <c r="A2492"/>
  <c r="B2492"/>
  <c r="A2493"/>
  <c r="B2493"/>
  <c r="A2494"/>
  <c r="B2494"/>
  <c r="A2495"/>
  <c r="B2495"/>
  <c r="A2496"/>
  <c r="B2496"/>
  <c r="A2497"/>
  <c r="B2497"/>
  <c r="A2498"/>
  <c r="B2498"/>
  <c r="A2499"/>
  <c r="B2499"/>
  <c r="A2500"/>
  <c r="B2500"/>
  <c r="A2501"/>
  <c r="B2501"/>
  <c r="A2502"/>
  <c r="B2502"/>
  <c r="A2503"/>
  <c r="B2503"/>
  <c r="A2504"/>
  <c r="B2504"/>
  <c r="A2505"/>
  <c r="B2505"/>
  <c r="A2506"/>
  <c r="B2506"/>
  <c r="A2507"/>
  <c r="B2507"/>
  <c r="A2508"/>
  <c r="B2508"/>
  <c r="A2509"/>
  <c r="B2509"/>
  <c r="A2510"/>
  <c r="B2510"/>
  <c r="A2511"/>
  <c r="B2511"/>
  <c r="A2512"/>
  <c r="B2512"/>
  <c r="A2513"/>
  <c r="B2513"/>
  <c r="A2514"/>
  <c r="B2514"/>
  <c r="A2515"/>
  <c r="B2515"/>
  <c r="A2516"/>
  <c r="B2516"/>
  <c r="A2517"/>
  <c r="B2517"/>
  <c r="A2518"/>
  <c r="B2518"/>
  <c r="A2519"/>
  <c r="B2519"/>
  <c r="A2520"/>
  <c r="B2520"/>
  <c r="A2521"/>
  <c r="B2521"/>
  <c r="A2522"/>
  <c r="B2522"/>
  <c r="A2523"/>
  <c r="B2523"/>
  <c r="A2524"/>
  <c r="B2524"/>
  <c r="A2525"/>
  <c r="B2525"/>
  <c r="A2526"/>
  <c r="B2526"/>
  <c r="A2527"/>
  <c r="B2527"/>
  <c r="A2528"/>
  <c r="B2528"/>
  <c r="A2529"/>
  <c r="B2529"/>
  <c r="A2530"/>
  <c r="B2530"/>
  <c r="A2531"/>
  <c r="B2531"/>
  <c r="A2532"/>
  <c r="B2532"/>
  <c r="A2533"/>
  <c r="B2533"/>
  <c r="A2534"/>
  <c r="B2534"/>
  <c r="A2535"/>
  <c r="B2535"/>
  <c r="A2536"/>
  <c r="B2536"/>
  <c r="A2537"/>
  <c r="B2537"/>
  <c r="A2538"/>
  <c r="B2538"/>
  <c r="A2539"/>
  <c r="B2539"/>
  <c r="A2540"/>
  <c r="B2540"/>
  <c r="A2541"/>
  <c r="B2541"/>
  <c r="A2542"/>
  <c r="B2542"/>
  <c r="A2543"/>
  <c r="B2543"/>
  <c r="A2544"/>
  <c r="B2544"/>
  <c r="A2545"/>
  <c r="B2545"/>
  <c r="A2546"/>
  <c r="B2546"/>
  <c r="A2547"/>
  <c r="B2547"/>
  <c r="A2548"/>
  <c r="B2548"/>
  <c r="A2549"/>
  <c r="B2549"/>
  <c r="A2550"/>
  <c r="B2550"/>
  <c r="A2551"/>
  <c r="B2551"/>
  <c r="A2552"/>
  <c r="B2552"/>
  <c r="A2553"/>
  <c r="B2553"/>
  <c r="A2554"/>
  <c r="B2554"/>
  <c r="A2555"/>
  <c r="B2555"/>
  <c r="A2556"/>
  <c r="B2556"/>
  <c r="A2557"/>
  <c r="B2557"/>
  <c r="A2558"/>
  <c r="B2558"/>
  <c r="A2559"/>
  <c r="B2559"/>
  <c r="A2560"/>
  <c r="B2560"/>
  <c r="A2561"/>
  <c r="B2561"/>
  <c r="A2562"/>
  <c r="B2562"/>
  <c r="A2563"/>
  <c r="B2563"/>
  <c r="A2564"/>
  <c r="B2564"/>
  <c r="A2565"/>
  <c r="B2565"/>
  <c r="A2566"/>
  <c r="B2566"/>
  <c r="A2567"/>
  <c r="B2567"/>
  <c r="A2568"/>
  <c r="B2568"/>
  <c r="A2569"/>
  <c r="B2569"/>
  <c r="A2570"/>
  <c r="B2570"/>
  <c r="A2571"/>
  <c r="B2571"/>
  <c r="A2572"/>
  <c r="B2572"/>
  <c r="A2573"/>
  <c r="B2573"/>
  <c r="A2574"/>
  <c r="B2574"/>
  <c r="A2575"/>
  <c r="B2575"/>
  <c r="A2576"/>
  <c r="B2576"/>
  <c r="A2577"/>
  <c r="B2577"/>
  <c r="A2578"/>
  <c r="B2578"/>
  <c r="A2579"/>
  <c r="B2579"/>
  <c r="A2580"/>
  <c r="B2580"/>
  <c r="A2581"/>
  <c r="B2581"/>
  <c r="A2582"/>
  <c r="B2582"/>
  <c r="A2583"/>
  <c r="B2583"/>
  <c r="A2584"/>
  <c r="B2584"/>
  <c r="A2585"/>
  <c r="B2585"/>
  <c r="A2586"/>
  <c r="B2586"/>
  <c r="A2587"/>
  <c r="B2587"/>
  <c r="A2588"/>
  <c r="B2588"/>
  <c r="A2589"/>
  <c r="B2589"/>
  <c r="A2590"/>
  <c r="B2590"/>
  <c r="A2591"/>
  <c r="B2591"/>
  <c r="A2592"/>
  <c r="B2592"/>
  <c r="A2593"/>
  <c r="B2593"/>
  <c r="A2594"/>
  <c r="B2594"/>
  <c r="A2595"/>
  <c r="B2595"/>
  <c r="A2596"/>
  <c r="B2596"/>
  <c r="A2597"/>
  <c r="B2597"/>
  <c r="A2598"/>
  <c r="B2598"/>
  <c r="A2599"/>
  <c r="B2599"/>
  <c r="A2600"/>
  <c r="B2600"/>
  <c r="A2601"/>
  <c r="B2601"/>
  <c r="A2602"/>
  <c r="B2602"/>
  <c r="A2603"/>
  <c r="B2603"/>
  <c r="A2604"/>
  <c r="B2604"/>
  <c r="A2605"/>
  <c r="B2605"/>
  <c r="A2606"/>
  <c r="B2606"/>
  <c r="A2607"/>
  <c r="B2607"/>
  <c r="A2608"/>
  <c r="B2608"/>
  <c r="A2609"/>
  <c r="B2609"/>
  <c r="A2610"/>
  <c r="B2610"/>
  <c r="A2611"/>
  <c r="B2611"/>
  <c r="A2612"/>
  <c r="B2612"/>
  <c r="A2613"/>
  <c r="B2613"/>
  <c r="A2614"/>
  <c r="B2614"/>
  <c r="A2615"/>
  <c r="B2615"/>
  <c r="A2616"/>
  <c r="B2616"/>
  <c r="A2617"/>
  <c r="B2617"/>
  <c r="A2618"/>
  <c r="B2618"/>
  <c r="A2619"/>
  <c r="B2619"/>
  <c r="A2620"/>
  <c r="B2620"/>
  <c r="A2621"/>
  <c r="B2621"/>
  <c r="A2622"/>
  <c r="B2622"/>
  <c r="A2623"/>
  <c r="B2623"/>
  <c r="A2624"/>
  <c r="B2624"/>
  <c r="A2625"/>
  <c r="B2625"/>
  <c r="A2626"/>
  <c r="B2626"/>
  <c r="A2627"/>
  <c r="B2627"/>
  <c r="A2628"/>
  <c r="B2628"/>
  <c r="A2629"/>
  <c r="B2629"/>
  <c r="A2630"/>
  <c r="B2630"/>
  <c r="A2631"/>
  <c r="B2631"/>
  <c r="A2632"/>
  <c r="B2632"/>
  <c r="A2633"/>
  <c r="B2633"/>
  <c r="A2634"/>
  <c r="B2634"/>
  <c r="A2635"/>
  <c r="B2635"/>
  <c r="A2636"/>
  <c r="B2636"/>
  <c r="A2637"/>
  <c r="B2637"/>
  <c r="A2638"/>
  <c r="B2638"/>
  <c r="A2639"/>
  <c r="B2639"/>
  <c r="A2640"/>
  <c r="B2640"/>
  <c r="A2641"/>
  <c r="B2641"/>
  <c r="A2642"/>
  <c r="B2642"/>
  <c r="A2643"/>
  <c r="B2643"/>
  <c r="A2644"/>
  <c r="B2644"/>
  <c r="A2645"/>
  <c r="B2645"/>
  <c r="A2646"/>
  <c r="B2646"/>
  <c r="A2647"/>
  <c r="B2647"/>
  <c r="A2648"/>
  <c r="B2648"/>
  <c r="A2649"/>
  <c r="B2649"/>
  <c r="A2650"/>
  <c r="B2650"/>
  <c r="A2651"/>
  <c r="B2651"/>
  <c r="A2652"/>
  <c r="B2652"/>
  <c r="A2653"/>
  <c r="B2653"/>
  <c r="A2654"/>
  <c r="B2654"/>
  <c r="A2655"/>
  <c r="B2655"/>
  <c r="A2656"/>
  <c r="B2656"/>
  <c r="A2657"/>
  <c r="B2657"/>
  <c r="A2658"/>
  <c r="B2658"/>
  <c r="A2659"/>
  <c r="B2659"/>
  <c r="A2660"/>
  <c r="B2660"/>
  <c r="A2661"/>
  <c r="B2661"/>
  <c r="A2662"/>
  <c r="B2662"/>
  <c r="A2663"/>
  <c r="B2663"/>
  <c r="A2664"/>
  <c r="B2664"/>
  <c r="A2665"/>
  <c r="B2665"/>
  <c r="A2666"/>
  <c r="B2666"/>
  <c r="A2667"/>
  <c r="B2667"/>
  <c r="A2668"/>
  <c r="B2668"/>
  <c r="A2669"/>
  <c r="B2669"/>
  <c r="A2670"/>
  <c r="B2670"/>
  <c r="A2671"/>
  <c r="B2671"/>
  <c r="A2672"/>
  <c r="B2672"/>
  <c r="A2673"/>
  <c r="B2673"/>
  <c r="A2674"/>
  <c r="B2674"/>
  <c r="A2675"/>
  <c r="B2675"/>
  <c r="A2676"/>
  <c r="B2676"/>
  <c r="A2677"/>
  <c r="B2677"/>
  <c r="A2678"/>
  <c r="B2678"/>
  <c r="A2679"/>
  <c r="B2679"/>
  <c r="A2680"/>
  <c r="B2680"/>
  <c r="A2681"/>
  <c r="B2681"/>
  <c r="A2682"/>
  <c r="B2682"/>
  <c r="A2683"/>
  <c r="B2683"/>
  <c r="A2684"/>
  <c r="B2684"/>
  <c r="A2685"/>
  <c r="B2685"/>
  <c r="A2686"/>
  <c r="B2686"/>
  <c r="A2687"/>
  <c r="B2687"/>
  <c r="A2688"/>
  <c r="B2688"/>
  <c r="A2689"/>
  <c r="B2689"/>
  <c r="A2690"/>
  <c r="B2690"/>
  <c r="A2691"/>
  <c r="B2691"/>
  <c r="A2692"/>
  <c r="B2692"/>
  <c r="A2693"/>
  <c r="B2693"/>
  <c r="A2694"/>
  <c r="B2694"/>
  <c r="A2695"/>
  <c r="B2695"/>
  <c r="A2696"/>
  <c r="B2696"/>
  <c r="A2697"/>
  <c r="B2697"/>
  <c r="A2698"/>
  <c r="B2698"/>
  <c r="A2699"/>
  <c r="B2699"/>
  <c r="A2700"/>
  <c r="B2700"/>
  <c r="A2701"/>
  <c r="B2701"/>
  <c r="A2702"/>
  <c r="B2702"/>
  <c r="A2703"/>
  <c r="B2703"/>
  <c r="A2704"/>
  <c r="B2704"/>
  <c r="A2705"/>
  <c r="B2705"/>
  <c r="A2706"/>
  <c r="B2706"/>
  <c r="A2707"/>
  <c r="B2707"/>
  <c r="A2708"/>
  <c r="B2708"/>
  <c r="A2709"/>
  <c r="B2709"/>
  <c r="A2710"/>
  <c r="B2710"/>
  <c r="A2711"/>
  <c r="B2711"/>
  <c r="A2712"/>
  <c r="B2712"/>
  <c r="A2713"/>
  <c r="B2713"/>
  <c r="A2714"/>
  <c r="B2714"/>
  <c r="A2715"/>
  <c r="B2715"/>
  <c r="A2716"/>
  <c r="B2716"/>
  <c r="A2717"/>
  <c r="B2717"/>
  <c r="A2718"/>
  <c r="B2718"/>
  <c r="A2719"/>
  <c r="B2719"/>
  <c r="A2720"/>
  <c r="B2720"/>
  <c r="A2721"/>
  <c r="B2721"/>
  <c r="A2722"/>
  <c r="B2722"/>
  <c r="A2723"/>
  <c r="B2723"/>
  <c r="A2724"/>
  <c r="B2724"/>
  <c r="A2725"/>
  <c r="B2725"/>
  <c r="A2726"/>
  <c r="B2726"/>
  <c r="A2727"/>
  <c r="B2727"/>
  <c r="A2728"/>
  <c r="B2728"/>
  <c r="A2729"/>
  <c r="B2729"/>
  <c r="A2730"/>
  <c r="B2730"/>
  <c r="A2731"/>
  <c r="B2731"/>
  <c r="A2732"/>
  <c r="B2732"/>
  <c r="A2733"/>
  <c r="B2733"/>
  <c r="A2734"/>
  <c r="B2734"/>
  <c r="A2735"/>
  <c r="B2735"/>
  <c r="A2736"/>
  <c r="B2736"/>
  <c r="A2737"/>
  <c r="B2737"/>
  <c r="A2738"/>
  <c r="B2738"/>
  <c r="A2739"/>
  <c r="B2739"/>
  <c r="A2740"/>
  <c r="B2740"/>
  <c r="A2741"/>
  <c r="B2741"/>
  <c r="A2742"/>
  <c r="B2742"/>
  <c r="A2743"/>
  <c r="B2743"/>
  <c r="A2744"/>
  <c r="B2744"/>
  <c r="A2745"/>
  <c r="B2745"/>
  <c r="A2746"/>
  <c r="B2746"/>
  <c r="A2747"/>
  <c r="B2747"/>
  <c r="A2748"/>
  <c r="B2748"/>
  <c r="A2749"/>
  <c r="B2749"/>
  <c r="A2750"/>
  <c r="B2750"/>
  <c r="A2751"/>
  <c r="B2751"/>
  <c r="A2752"/>
  <c r="B2752"/>
  <c r="A2753"/>
  <c r="B2753"/>
  <c r="A2754"/>
  <c r="B2754"/>
  <c r="A2755"/>
  <c r="B2755"/>
  <c r="A2756"/>
  <c r="B2756"/>
  <c r="A2757"/>
  <c r="B2757"/>
  <c r="A2758"/>
  <c r="B2758"/>
  <c r="A2759"/>
  <c r="B2759"/>
  <c r="A2760"/>
  <c r="B2760"/>
  <c r="A2761"/>
  <c r="B2761"/>
  <c r="A2762"/>
  <c r="B2762"/>
  <c r="A2763"/>
  <c r="B2763"/>
  <c r="A2764"/>
  <c r="B2764"/>
  <c r="A2765"/>
  <c r="B2765"/>
  <c r="A2766"/>
  <c r="B2766"/>
  <c r="A2767"/>
  <c r="B2767"/>
  <c r="A2768"/>
  <c r="B2768"/>
  <c r="A2769"/>
  <c r="B2769"/>
  <c r="A2770"/>
  <c r="B2770"/>
  <c r="A2771"/>
  <c r="B2771"/>
  <c r="A2772"/>
  <c r="B2772"/>
  <c r="A2773"/>
  <c r="B2773"/>
  <c r="A2774"/>
  <c r="B2774"/>
  <c r="A2775"/>
  <c r="B2775"/>
  <c r="A2776"/>
  <c r="B2776"/>
  <c r="A2777"/>
  <c r="B2777"/>
  <c r="A2778"/>
  <c r="B2778"/>
  <c r="A2779"/>
  <c r="B2779"/>
  <c r="A2780"/>
  <c r="B2780"/>
  <c r="A2781"/>
  <c r="B2781"/>
  <c r="A2782"/>
  <c r="B2782"/>
  <c r="A2783"/>
  <c r="B2783"/>
  <c r="A2784"/>
  <c r="B2784"/>
  <c r="A2785"/>
  <c r="B2785"/>
  <c r="A2786"/>
  <c r="B2786"/>
  <c r="A2787"/>
  <c r="B2787"/>
  <c r="A2788"/>
  <c r="B2788"/>
  <c r="A2789"/>
  <c r="B2789"/>
  <c r="A2790"/>
  <c r="B2790"/>
  <c r="A2791"/>
  <c r="B2791"/>
  <c r="A2792"/>
  <c r="B2792"/>
  <c r="A2793"/>
  <c r="B2793"/>
  <c r="A2794"/>
  <c r="B2794"/>
  <c r="A2795"/>
  <c r="B2795"/>
  <c r="A2796"/>
  <c r="B2796"/>
  <c r="A2797"/>
  <c r="B2797"/>
  <c r="A2798"/>
  <c r="B2798"/>
  <c r="A2799"/>
  <c r="B2799"/>
  <c r="A2800"/>
  <c r="B2800"/>
  <c r="A2801"/>
  <c r="B2801"/>
  <c r="A2802"/>
  <c r="B2802"/>
  <c r="A2803"/>
  <c r="B2803"/>
  <c r="A2804"/>
  <c r="B2804"/>
  <c r="A2805"/>
  <c r="B2805"/>
  <c r="A2806"/>
  <c r="B2806"/>
  <c r="A2807"/>
  <c r="B2807"/>
  <c r="A2808"/>
  <c r="B2808"/>
  <c r="A2809"/>
  <c r="B2809"/>
  <c r="A2810"/>
  <c r="B2810"/>
  <c r="A2811"/>
  <c r="B2811"/>
  <c r="A2812"/>
  <c r="B2812"/>
  <c r="A2813"/>
  <c r="B2813"/>
  <c r="A2814"/>
  <c r="B2814"/>
  <c r="A2815"/>
  <c r="B2815"/>
  <c r="A2816"/>
  <c r="B2816"/>
  <c r="A2817"/>
  <c r="B2817"/>
  <c r="A2818"/>
  <c r="B2818"/>
  <c r="A2819"/>
  <c r="B2819"/>
  <c r="A2820"/>
  <c r="B2820"/>
  <c r="A2821"/>
  <c r="B2821"/>
  <c r="A2822"/>
  <c r="B2822"/>
  <c r="A2823"/>
  <c r="B2823"/>
  <c r="A2824"/>
  <c r="B2824"/>
  <c r="A2825"/>
  <c r="B2825"/>
  <c r="A2826"/>
  <c r="B2826"/>
  <c r="A2827"/>
  <c r="B2827"/>
  <c r="A2828"/>
  <c r="B2828"/>
  <c r="A2829"/>
  <c r="B2829"/>
  <c r="A2830"/>
  <c r="B2830"/>
  <c r="A2831"/>
  <c r="B2831"/>
  <c r="A2832"/>
  <c r="B2832"/>
  <c r="A2833"/>
  <c r="B2833"/>
  <c r="A2834"/>
  <c r="B2834"/>
  <c r="A2835"/>
  <c r="B2835"/>
  <c r="A2836"/>
  <c r="B2836"/>
  <c r="A2837"/>
  <c r="B2837"/>
  <c r="A2838"/>
  <c r="B2838"/>
  <c r="A2839"/>
  <c r="B2839"/>
  <c r="A2840"/>
  <c r="B2840"/>
  <c r="A2841"/>
  <c r="B2841"/>
  <c r="A2842"/>
  <c r="B2842"/>
  <c r="A2843"/>
  <c r="B2843"/>
  <c r="A2844"/>
  <c r="B2844"/>
  <c r="A2845"/>
  <c r="B2845"/>
  <c r="A2846"/>
  <c r="B2846"/>
  <c r="A2847"/>
  <c r="B2847"/>
  <c r="A2848"/>
  <c r="B2848"/>
  <c r="A2849"/>
  <c r="B2849"/>
  <c r="A2850"/>
  <c r="B2850"/>
  <c r="A2851"/>
  <c r="B2851"/>
  <c r="A2852"/>
  <c r="B2852"/>
  <c r="A2853"/>
  <c r="B2853"/>
  <c r="A2854"/>
  <c r="B2854"/>
  <c r="A2855"/>
  <c r="B2855"/>
  <c r="A2856"/>
  <c r="B2856"/>
  <c r="A2857"/>
  <c r="B2857"/>
  <c r="A2858"/>
  <c r="B2858"/>
  <c r="A2859"/>
  <c r="B2859"/>
  <c r="A2860"/>
  <c r="B2860"/>
  <c r="A2861"/>
  <c r="B2861"/>
  <c r="A2862"/>
  <c r="B2862"/>
  <c r="A2863"/>
  <c r="B2863"/>
  <c r="A2864"/>
  <c r="B2864"/>
  <c r="A2865"/>
  <c r="B2865"/>
  <c r="A2866"/>
  <c r="B2866"/>
  <c r="A2867"/>
  <c r="B2867"/>
  <c r="A2868"/>
  <c r="B2868"/>
  <c r="A2869"/>
  <c r="B2869"/>
  <c r="A2870"/>
  <c r="B2870"/>
  <c r="A2871"/>
  <c r="B2871"/>
  <c r="A2872"/>
  <c r="B2872"/>
  <c r="A2873"/>
  <c r="B2873"/>
  <c r="A2874"/>
  <c r="B2874"/>
  <c r="A2875"/>
  <c r="B2875"/>
  <c r="A2876"/>
  <c r="B2876"/>
  <c r="A2877"/>
  <c r="B2877"/>
  <c r="A2878"/>
  <c r="B2878"/>
  <c r="A2879"/>
  <c r="B2879"/>
  <c r="A2880"/>
  <c r="B2880"/>
  <c r="A2881"/>
  <c r="B2881"/>
  <c r="A2882"/>
  <c r="B2882"/>
  <c r="A2883"/>
  <c r="B2883"/>
  <c r="A2884"/>
  <c r="B2884"/>
  <c r="A2885"/>
  <c r="B2885"/>
  <c r="A2886"/>
  <c r="B2886"/>
  <c r="A2887"/>
  <c r="B2887"/>
  <c r="A2888"/>
  <c r="B2888"/>
  <c r="A2889"/>
  <c r="B2889"/>
  <c r="A2890"/>
  <c r="B2890"/>
  <c r="A2891"/>
  <c r="B2891"/>
  <c r="A2892"/>
  <c r="B2892"/>
  <c r="A2893"/>
  <c r="B2893"/>
  <c r="A2894"/>
  <c r="B2894"/>
  <c r="A2895"/>
  <c r="B2895"/>
  <c r="A2896"/>
  <c r="B2896"/>
  <c r="A2897"/>
  <c r="B2897"/>
  <c r="A2898"/>
  <c r="B2898"/>
  <c r="A2899"/>
  <c r="B2899"/>
  <c r="A2900"/>
  <c r="B2900"/>
  <c r="A2901"/>
  <c r="B2901"/>
  <c r="A2902"/>
  <c r="B2902"/>
  <c r="A2903"/>
  <c r="B2903"/>
  <c r="A2904"/>
  <c r="B2904"/>
  <c r="A2905"/>
  <c r="B2905"/>
  <c r="A2906"/>
  <c r="B2906"/>
  <c r="A2907"/>
  <c r="B2907"/>
  <c r="A2908"/>
  <c r="B2908"/>
  <c r="A2909"/>
  <c r="B2909"/>
  <c r="A2910"/>
  <c r="B2910"/>
  <c r="A2911"/>
  <c r="B2911"/>
  <c r="A2912"/>
  <c r="B2912"/>
  <c r="A2913"/>
  <c r="B2913"/>
  <c r="A2914"/>
  <c r="B2914"/>
  <c r="A2915"/>
  <c r="B2915"/>
  <c r="A2916"/>
  <c r="B2916"/>
  <c r="A2917"/>
  <c r="B2917"/>
  <c r="A2918"/>
  <c r="B2918"/>
  <c r="A2919"/>
  <c r="B2919"/>
  <c r="A2920"/>
  <c r="B2920"/>
  <c r="A2921"/>
  <c r="B2921"/>
  <c r="A2922"/>
  <c r="B2922"/>
  <c r="A2923"/>
  <c r="B2923"/>
  <c r="A2924"/>
  <c r="B2924"/>
  <c r="A2925"/>
  <c r="B2925"/>
  <c r="A2926"/>
  <c r="B2926"/>
  <c r="A2927"/>
  <c r="B2927"/>
  <c r="A2928"/>
  <c r="B2928"/>
  <c r="A2929"/>
  <c r="B2929"/>
  <c r="A2930"/>
  <c r="B2930"/>
  <c r="A2931"/>
  <c r="B2931"/>
  <c r="A2932"/>
  <c r="B2932"/>
  <c r="A2933"/>
  <c r="B2933"/>
  <c r="A2934"/>
  <c r="B2934"/>
  <c r="A2935"/>
  <c r="B2935"/>
  <c r="A2936"/>
  <c r="B2936"/>
  <c r="A2937"/>
  <c r="B2937"/>
  <c r="A2938"/>
  <c r="B2938"/>
  <c r="A2939"/>
  <c r="B2939"/>
  <c r="A2940"/>
  <c r="B2940"/>
  <c r="A2941"/>
  <c r="B2941"/>
  <c r="A2942"/>
  <c r="B2942"/>
  <c r="A2943"/>
  <c r="B2943"/>
  <c r="A2944"/>
  <c r="B2944"/>
  <c r="A2945"/>
  <c r="B2945"/>
  <c r="A2946"/>
  <c r="B2946"/>
  <c r="A2947"/>
  <c r="B2947"/>
  <c r="A2948"/>
  <c r="B2948"/>
  <c r="A2949"/>
  <c r="B2949"/>
  <c r="A2950"/>
  <c r="B2950"/>
  <c r="A2951"/>
  <c r="B2951"/>
  <c r="A2952"/>
  <c r="B2952"/>
  <c r="A2953"/>
  <c r="B2953"/>
  <c r="A2954"/>
  <c r="B2954"/>
  <c r="A2955"/>
  <c r="B2955"/>
  <c r="A2956"/>
  <c r="B2956"/>
  <c r="A2957"/>
  <c r="B2957"/>
  <c r="A2958"/>
  <c r="B2958"/>
  <c r="A2959"/>
  <c r="B2959"/>
  <c r="A2960"/>
  <c r="B2960"/>
  <c r="A2961"/>
  <c r="B2961"/>
  <c r="A2962"/>
  <c r="B2962"/>
  <c r="A2963"/>
  <c r="B2963"/>
  <c r="A2964"/>
  <c r="B2964"/>
  <c r="A2965"/>
  <c r="B2965"/>
  <c r="A2966"/>
  <c r="B2966"/>
  <c r="A2967"/>
  <c r="B2967"/>
  <c r="A2968"/>
  <c r="B2968"/>
  <c r="A2969"/>
  <c r="B2969"/>
  <c r="A2970"/>
  <c r="B2970"/>
  <c r="A2971"/>
  <c r="B2971"/>
  <c r="A2972"/>
  <c r="B2972"/>
  <c r="A2973"/>
  <c r="B2973"/>
  <c r="A2974"/>
  <c r="B2974"/>
  <c r="A2975"/>
  <c r="B2975"/>
  <c r="A2976"/>
  <c r="B2976"/>
  <c r="A2977"/>
  <c r="B2977"/>
  <c r="A2978"/>
  <c r="B2978"/>
  <c r="A2979"/>
  <c r="B2979"/>
  <c r="A2980"/>
  <c r="B2980"/>
  <c r="A2981"/>
  <c r="B2981"/>
  <c r="A2982"/>
  <c r="B2982"/>
  <c r="A2983"/>
  <c r="B2983"/>
  <c r="A2984"/>
  <c r="B2984"/>
  <c r="A2985"/>
  <c r="B2985"/>
  <c r="A2986"/>
  <c r="B2986"/>
  <c r="A2987"/>
  <c r="B2987"/>
  <c r="A2988"/>
  <c r="B2988"/>
  <c r="A2989"/>
  <c r="B2989"/>
  <c r="A2990"/>
  <c r="B2990"/>
  <c r="A2991"/>
  <c r="B2991"/>
  <c r="A2992"/>
  <c r="B2992"/>
  <c r="A2993"/>
  <c r="B2993"/>
  <c r="A2994"/>
  <c r="B2994"/>
  <c r="A2995"/>
  <c r="B2995"/>
  <c r="A2996"/>
  <c r="B2996"/>
  <c r="A2997"/>
  <c r="B2997"/>
  <c r="A2998"/>
  <c r="B2998"/>
  <c r="A2999"/>
  <c r="B2999"/>
  <c r="A3000"/>
  <c r="B3000"/>
  <c r="A3001"/>
  <c r="B3001"/>
  <c r="A3002"/>
  <c r="B3002"/>
  <c r="A3003"/>
  <c r="B3003"/>
  <c r="A3004"/>
  <c r="B3004"/>
  <c r="A3005"/>
  <c r="B3005"/>
  <c r="A3006"/>
  <c r="B3006"/>
  <c r="A3007"/>
  <c r="B3007"/>
  <c r="A3008"/>
  <c r="B3008"/>
  <c r="A3009"/>
  <c r="B3009"/>
  <c r="A3010"/>
  <c r="B3010"/>
  <c r="A3011"/>
  <c r="B3011"/>
  <c r="A3012"/>
  <c r="B3012"/>
  <c r="A3013"/>
  <c r="B3013"/>
  <c r="A3014"/>
  <c r="B3014"/>
  <c r="A3015"/>
  <c r="B3015"/>
  <c r="A3016"/>
  <c r="B3016"/>
  <c r="A3017"/>
  <c r="B3017"/>
  <c r="A3018"/>
  <c r="B3018"/>
  <c r="A3019"/>
  <c r="B3019"/>
  <c r="A3020"/>
  <c r="B3020"/>
  <c r="A3021"/>
  <c r="B3021"/>
  <c r="A3022"/>
  <c r="B3022"/>
  <c r="A3023"/>
  <c r="B3023"/>
  <c r="A3024"/>
  <c r="B3024"/>
  <c r="A3025"/>
  <c r="B3025"/>
  <c r="A3026"/>
  <c r="B3026"/>
  <c r="A3027"/>
  <c r="B3027"/>
  <c r="A3028"/>
  <c r="B3028"/>
  <c r="A3029"/>
  <c r="B3029"/>
  <c r="A3030"/>
  <c r="B3030"/>
  <c r="A3031"/>
  <c r="B3031"/>
  <c r="A3032"/>
  <c r="B3032"/>
  <c r="A3033"/>
  <c r="B3033"/>
  <c r="A3034"/>
  <c r="B3034"/>
  <c r="A3035"/>
  <c r="B3035"/>
  <c r="A3036"/>
  <c r="B3036"/>
  <c r="A3037"/>
  <c r="B3037"/>
  <c r="A3038"/>
  <c r="B3038"/>
  <c r="A3039"/>
  <c r="B3039"/>
  <c r="A3040"/>
  <c r="B3040"/>
  <c r="A3041"/>
  <c r="B3041"/>
  <c r="A3042"/>
  <c r="B3042"/>
  <c r="A3043"/>
  <c r="B3043"/>
  <c r="A3044"/>
  <c r="B3044"/>
  <c r="A3045"/>
  <c r="B3045"/>
  <c r="A3046"/>
  <c r="B3046"/>
  <c r="A3047"/>
  <c r="B3047"/>
  <c r="A3048"/>
  <c r="B3048"/>
  <c r="A3049"/>
  <c r="B3049"/>
  <c r="A3050"/>
  <c r="B3050"/>
  <c r="A3051"/>
  <c r="B3051"/>
  <c r="A3052"/>
  <c r="B3052"/>
  <c r="A3053"/>
  <c r="B3053"/>
  <c r="A3054"/>
  <c r="B3054"/>
  <c r="A3055"/>
  <c r="B3055"/>
  <c r="A3056"/>
  <c r="B3056"/>
  <c r="A3057"/>
  <c r="B3057"/>
  <c r="A3058"/>
  <c r="B3058"/>
  <c r="A3059"/>
  <c r="B3059"/>
  <c r="A3060"/>
  <c r="B3060"/>
  <c r="A3061"/>
  <c r="B3061"/>
  <c r="A3062"/>
  <c r="B3062"/>
  <c r="A3063"/>
  <c r="B3063"/>
  <c r="A3064"/>
  <c r="B3064"/>
  <c r="A3065"/>
  <c r="B3065"/>
  <c r="A3066"/>
  <c r="B3066"/>
  <c r="A3067"/>
  <c r="B3067"/>
  <c r="A3068"/>
  <c r="B3068"/>
  <c r="A3069"/>
  <c r="B3069"/>
  <c r="A3070"/>
  <c r="B3070"/>
  <c r="A3071"/>
  <c r="B3071"/>
  <c r="A3072"/>
  <c r="B3072"/>
  <c r="A3073"/>
  <c r="B3073"/>
  <c r="A3074"/>
  <c r="B3074"/>
  <c r="A3075"/>
  <c r="B3075"/>
  <c r="A3076"/>
  <c r="B3076"/>
  <c r="A3077"/>
  <c r="B3077"/>
  <c r="A3078"/>
  <c r="B3078"/>
  <c r="A3079"/>
  <c r="B3079"/>
  <c r="A3080"/>
  <c r="B3080"/>
  <c r="A3081"/>
  <c r="B3081"/>
  <c r="A3082"/>
  <c r="B3082"/>
  <c r="A3083"/>
  <c r="B3083"/>
  <c r="A3084"/>
  <c r="B3084"/>
  <c r="A3085"/>
  <c r="B3085"/>
  <c r="A3086"/>
  <c r="B3086"/>
  <c r="A3087"/>
  <c r="B3087"/>
  <c r="A3088"/>
  <c r="B3088"/>
  <c r="A3089"/>
  <c r="B3089"/>
  <c r="A3090"/>
  <c r="B3090"/>
  <c r="A3091"/>
  <c r="B3091"/>
  <c r="A3092"/>
  <c r="B3092"/>
  <c r="A3093"/>
  <c r="B3093"/>
  <c r="A3094"/>
  <c r="B3094"/>
  <c r="A3095"/>
  <c r="B3095"/>
  <c r="A3096"/>
  <c r="B3096"/>
  <c r="A3097"/>
  <c r="B3097"/>
  <c r="A3098"/>
  <c r="B3098"/>
  <c r="A3099"/>
  <c r="B3099"/>
  <c r="A3100"/>
  <c r="B3100"/>
  <c r="A3101"/>
  <c r="B3101"/>
  <c r="A3102"/>
  <c r="B3102"/>
  <c r="A3103"/>
  <c r="B3103"/>
  <c r="A3104"/>
  <c r="B3104"/>
  <c r="A3105"/>
  <c r="B3105"/>
  <c r="A3106"/>
  <c r="B3106"/>
  <c r="A3107"/>
  <c r="B3107"/>
  <c r="A3108"/>
  <c r="B3108"/>
  <c r="A3109"/>
  <c r="B3109"/>
  <c r="A3110"/>
  <c r="B3110"/>
  <c r="A3111"/>
  <c r="B3111"/>
  <c r="A3112"/>
  <c r="B3112"/>
  <c r="A3113"/>
  <c r="B3113"/>
  <c r="A3114"/>
  <c r="B3114"/>
  <c r="A3115"/>
  <c r="B3115"/>
  <c r="A3116"/>
  <c r="B3116"/>
  <c r="A3117"/>
  <c r="B3117"/>
  <c r="A3118"/>
  <c r="B3118"/>
  <c r="A3119"/>
  <c r="B3119"/>
  <c r="A3120"/>
  <c r="B3120"/>
  <c r="A3121"/>
  <c r="B3121"/>
  <c r="A3122"/>
  <c r="B3122"/>
  <c r="A3123"/>
  <c r="B3123"/>
  <c r="A3124"/>
  <c r="B3124"/>
  <c r="A3125"/>
  <c r="B3125"/>
  <c r="A3126"/>
  <c r="B3126"/>
  <c r="A3127"/>
  <c r="B3127"/>
  <c r="A3128"/>
  <c r="B3128"/>
  <c r="A3129"/>
  <c r="B3129"/>
  <c r="A3130"/>
  <c r="B3130"/>
  <c r="A3131"/>
  <c r="B3131"/>
  <c r="A3132"/>
  <c r="B3132"/>
  <c r="A3133"/>
  <c r="B3133"/>
  <c r="A3134"/>
  <c r="B3134"/>
  <c r="A3135"/>
  <c r="B3135"/>
  <c r="A3136"/>
  <c r="B3136"/>
  <c r="A3137"/>
  <c r="B3137"/>
  <c r="A3138"/>
  <c r="B3138"/>
  <c r="A3139"/>
  <c r="B3139"/>
  <c r="A3140"/>
  <c r="B3140"/>
  <c r="A3141"/>
  <c r="B3141"/>
  <c r="A3142"/>
  <c r="B3142"/>
  <c r="A3143"/>
  <c r="B3143"/>
  <c r="A3144"/>
  <c r="B3144"/>
  <c r="A3145"/>
  <c r="B3145"/>
  <c r="A3146"/>
  <c r="B3146"/>
  <c r="A3147"/>
  <c r="B3147"/>
  <c r="A3148"/>
  <c r="B3148"/>
  <c r="A3149"/>
  <c r="B3149"/>
  <c r="A3150"/>
  <c r="B3150"/>
  <c r="A3151"/>
  <c r="B3151"/>
  <c r="A3152"/>
  <c r="B3152"/>
  <c r="A3153"/>
  <c r="B3153"/>
  <c r="A3154"/>
  <c r="B3154"/>
  <c r="A3155"/>
  <c r="B3155"/>
  <c r="A3156"/>
  <c r="B3156"/>
  <c r="A3157"/>
  <c r="B3157"/>
  <c r="A3158"/>
  <c r="B3158"/>
  <c r="A3159"/>
  <c r="B3159"/>
  <c r="A3160"/>
  <c r="B3160"/>
  <c r="A3161"/>
  <c r="B3161"/>
  <c r="A3162"/>
  <c r="B3162"/>
  <c r="A3163"/>
  <c r="B3163"/>
  <c r="A3164"/>
  <c r="B3164"/>
  <c r="A3165"/>
  <c r="B3165"/>
  <c r="A3166"/>
  <c r="B3166"/>
  <c r="A3167"/>
  <c r="B3167"/>
  <c r="A3168"/>
  <c r="B3168"/>
  <c r="A3169"/>
  <c r="B3169"/>
  <c r="A3170"/>
  <c r="B3170"/>
  <c r="A3171"/>
  <c r="B3171"/>
  <c r="A3172"/>
  <c r="B3172"/>
  <c r="A3173"/>
  <c r="B3173"/>
  <c r="A3174"/>
  <c r="B3174"/>
  <c r="A3175"/>
  <c r="B3175"/>
  <c r="A3176"/>
  <c r="B3176"/>
  <c r="A3177"/>
  <c r="B3177"/>
  <c r="A3178"/>
  <c r="B3178"/>
  <c r="A3179"/>
  <c r="B3179"/>
  <c r="A3180"/>
  <c r="B3180"/>
  <c r="A3181"/>
  <c r="B3181"/>
  <c r="A3182"/>
  <c r="B3182"/>
  <c r="A3183"/>
  <c r="B3183"/>
  <c r="A3184"/>
  <c r="B3184"/>
  <c r="A3185"/>
  <c r="B3185"/>
  <c r="A3186"/>
  <c r="B3186"/>
  <c r="A3187"/>
  <c r="B3187"/>
  <c r="A3188"/>
  <c r="B3188"/>
  <c r="A3189"/>
  <c r="B3189"/>
  <c r="A3190"/>
  <c r="B3190"/>
  <c r="A3191"/>
  <c r="B3191"/>
  <c r="A3192"/>
  <c r="B3192"/>
  <c r="A3193"/>
  <c r="B3193"/>
  <c r="A3194"/>
  <c r="B3194"/>
  <c r="A3195"/>
  <c r="B3195"/>
  <c r="A3196"/>
  <c r="B3196"/>
  <c r="A3197"/>
  <c r="B3197"/>
  <c r="A3198"/>
  <c r="B3198"/>
  <c r="A3199"/>
  <c r="B3199"/>
  <c r="A3200"/>
  <c r="B3200"/>
  <c r="A3201"/>
  <c r="B3201"/>
  <c r="A3202"/>
  <c r="B3202"/>
  <c r="A3203"/>
  <c r="B3203"/>
  <c r="A3204"/>
  <c r="B3204"/>
  <c r="A3205"/>
  <c r="B3205"/>
  <c r="A3206"/>
  <c r="B3206"/>
  <c r="A3207"/>
  <c r="B3207"/>
  <c r="A3208"/>
  <c r="B3208"/>
  <c r="A3209"/>
  <c r="B3209"/>
  <c r="A3210"/>
  <c r="B3210"/>
  <c r="A3211"/>
  <c r="B3211"/>
  <c r="A3212"/>
  <c r="B3212"/>
  <c r="A3213"/>
  <c r="B3213"/>
  <c r="A3214"/>
  <c r="B3214"/>
  <c r="A3215"/>
  <c r="B3215"/>
  <c r="A3216"/>
  <c r="B3216"/>
  <c r="A3217"/>
  <c r="B3217"/>
  <c r="A3218"/>
  <c r="B3218"/>
  <c r="A3219"/>
  <c r="B3219"/>
  <c r="A3220"/>
  <c r="B3220"/>
  <c r="A3221"/>
  <c r="B3221"/>
  <c r="A3222"/>
  <c r="B3222"/>
  <c r="A3223"/>
  <c r="B3223"/>
  <c r="A3224"/>
  <c r="B3224"/>
  <c r="A3225"/>
  <c r="B3225"/>
  <c r="A3226"/>
  <c r="B3226"/>
  <c r="A3227"/>
  <c r="B3227"/>
  <c r="A3228"/>
  <c r="B3228"/>
  <c r="A3229"/>
  <c r="B3229"/>
  <c r="A3230"/>
  <c r="B3230"/>
  <c r="A3231"/>
  <c r="B3231"/>
  <c r="A3232"/>
  <c r="B3232"/>
  <c r="A3233"/>
  <c r="B3233"/>
  <c r="A3234"/>
  <c r="B3234"/>
  <c r="A3235"/>
  <c r="B3235"/>
  <c r="A3236"/>
  <c r="B3236"/>
  <c r="A3237"/>
  <c r="B3237"/>
  <c r="A3238"/>
  <c r="B3238"/>
  <c r="A3239"/>
  <c r="B3239"/>
  <c r="A3240"/>
  <c r="B3240"/>
  <c r="A3241"/>
  <c r="B3241"/>
  <c r="A3242"/>
  <c r="B3242"/>
  <c r="A3243"/>
  <c r="B3243"/>
  <c r="A3244"/>
  <c r="B3244"/>
  <c r="A3245"/>
  <c r="B3245"/>
  <c r="A3246"/>
  <c r="B3246"/>
  <c r="A3247"/>
  <c r="B3247"/>
  <c r="A3248"/>
  <c r="B3248"/>
  <c r="A3249"/>
  <c r="B3249"/>
  <c r="A3250"/>
  <c r="B3250"/>
  <c r="A3251"/>
  <c r="B3251"/>
  <c r="A3252"/>
  <c r="B3252"/>
  <c r="A3253"/>
  <c r="B3253"/>
  <c r="A3254"/>
  <c r="B3254"/>
  <c r="A3255"/>
  <c r="B3255"/>
  <c r="A3256"/>
  <c r="B3256"/>
  <c r="A3257"/>
  <c r="B3257"/>
  <c r="A3258"/>
  <c r="B3258"/>
  <c r="A3259"/>
  <c r="B3259"/>
  <c r="A3260"/>
  <c r="B3260"/>
  <c r="A3261"/>
  <c r="B3261"/>
  <c r="A3262"/>
  <c r="B3262"/>
  <c r="A3263"/>
  <c r="B3263"/>
  <c r="A3264"/>
  <c r="B3264"/>
  <c r="A3265"/>
  <c r="B3265"/>
  <c r="A3266"/>
  <c r="B3266"/>
  <c r="A3267"/>
  <c r="B3267"/>
  <c r="A3268"/>
  <c r="B3268"/>
  <c r="A3269"/>
  <c r="B3269"/>
  <c r="A3270"/>
  <c r="B3270"/>
  <c r="A3271"/>
  <c r="B3271"/>
  <c r="A3272"/>
  <c r="B3272"/>
  <c r="A3273"/>
  <c r="B3273"/>
  <c r="A3274"/>
  <c r="B3274"/>
  <c r="A3275"/>
  <c r="B3275"/>
  <c r="A3276"/>
  <c r="B3276"/>
  <c r="A3277"/>
  <c r="B3277"/>
  <c r="A3278"/>
  <c r="B3278"/>
  <c r="A3279"/>
  <c r="B3279"/>
  <c r="A3280"/>
  <c r="B3280"/>
  <c r="A3281"/>
  <c r="B3281"/>
  <c r="A3282"/>
  <c r="B3282"/>
  <c r="A3283"/>
  <c r="B3283"/>
  <c r="A3284"/>
  <c r="B3284"/>
  <c r="A3285"/>
  <c r="B3285"/>
  <c r="A3286"/>
  <c r="B3286"/>
  <c r="A3287"/>
  <c r="B3287"/>
  <c r="A3288"/>
  <c r="B3288"/>
  <c r="A3289"/>
  <c r="B3289"/>
  <c r="A3290"/>
  <c r="B3290"/>
  <c r="A3291"/>
  <c r="B3291"/>
  <c r="A3292"/>
  <c r="B3292"/>
  <c r="A3293"/>
  <c r="B3293"/>
  <c r="A3294"/>
  <c r="B3294"/>
  <c r="A3295"/>
  <c r="B3295"/>
  <c r="A3296"/>
  <c r="B3296"/>
  <c r="A3297"/>
  <c r="B3297"/>
  <c r="A3298"/>
  <c r="B3298"/>
  <c r="A3299"/>
  <c r="B3299"/>
  <c r="A3300"/>
  <c r="B3300"/>
  <c r="A3301"/>
  <c r="B3301"/>
  <c r="A3302"/>
  <c r="B3302"/>
  <c r="A3303"/>
  <c r="B3303"/>
  <c r="A3304"/>
  <c r="B3304"/>
  <c r="A3305"/>
  <c r="B3305"/>
  <c r="A3306"/>
  <c r="B3306"/>
  <c r="A3307"/>
  <c r="B3307"/>
  <c r="A3308"/>
  <c r="B3308"/>
  <c r="A3309"/>
  <c r="B3309"/>
  <c r="A3310"/>
  <c r="B3310"/>
  <c r="A3311"/>
  <c r="B3311"/>
  <c r="A3312"/>
  <c r="B3312"/>
  <c r="A3313"/>
  <c r="B3313"/>
  <c r="A3314"/>
  <c r="B3314"/>
  <c r="A3315"/>
  <c r="B3315"/>
  <c r="A3316"/>
  <c r="B3316"/>
  <c r="A3317"/>
  <c r="B3317"/>
  <c r="A3318"/>
  <c r="B3318"/>
  <c r="A3319"/>
  <c r="B3319"/>
  <c r="A3320"/>
  <c r="B3320"/>
  <c r="A3321"/>
  <c r="B3321"/>
  <c r="A3322"/>
  <c r="B3322"/>
  <c r="A3323"/>
  <c r="B3323"/>
  <c r="A3324"/>
  <c r="B3324"/>
  <c r="A3325"/>
  <c r="B3325"/>
  <c r="A3326"/>
  <c r="B3326"/>
  <c r="A3327"/>
  <c r="B3327"/>
  <c r="A3328"/>
  <c r="B3328"/>
  <c r="A3329"/>
  <c r="B3329"/>
  <c r="A3330"/>
  <c r="B3330"/>
  <c r="A3331"/>
  <c r="B3331"/>
  <c r="A3332"/>
  <c r="B3332"/>
  <c r="A3333"/>
  <c r="B3333"/>
  <c r="A3334"/>
  <c r="B3334"/>
  <c r="A3335"/>
  <c r="B3335"/>
  <c r="A3336"/>
  <c r="B3336"/>
  <c r="A3337"/>
  <c r="B3337"/>
  <c r="A3338"/>
  <c r="B3338"/>
  <c r="A3339"/>
  <c r="B3339"/>
  <c r="A3340"/>
  <c r="B3340"/>
  <c r="A3341"/>
  <c r="B3341"/>
  <c r="A3342"/>
  <c r="B3342"/>
  <c r="A3343"/>
  <c r="B3343"/>
  <c r="A3344"/>
  <c r="B3344"/>
  <c r="A3345"/>
  <c r="B3345"/>
  <c r="A3346"/>
  <c r="B3346"/>
  <c r="A3347"/>
  <c r="B3347"/>
  <c r="A3348"/>
  <c r="B3348"/>
  <c r="A3349"/>
  <c r="B3349"/>
  <c r="A3350"/>
  <c r="B3350"/>
  <c r="A3351"/>
  <c r="B3351"/>
  <c r="A3352"/>
  <c r="B3352"/>
  <c r="A3353"/>
  <c r="B3353"/>
  <c r="A3354"/>
  <c r="B3354"/>
  <c r="A3355"/>
  <c r="B3355"/>
  <c r="A3356"/>
  <c r="B3356"/>
  <c r="A3357"/>
  <c r="B3357"/>
  <c r="A3358"/>
  <c r="B3358"/>
  <c r="A3359"/>
  <c r="B3359"/>
  <c r="A3360"/>
  <c r="B3360"/>
  <c r="A3361"/>
  <c r="B3361"/>
  <c r="A3362"/>
  <c r="B3362"/>
  <c r="A3363"/>
  <c r="B3363"/>
  <c r="A3364"/>
  <c r="B3364"/>
  <c r="A3365"/>
  <c r="B3365"/>
  <c r="A3366"/>
  <c r="B3366"/>
  <c r="A3367"/>
  <c r="B3367"/>
  <c r="A3368"/>
  <c r="B3368"/>
  <c r="A3369"/>
  <c r="B3369"/>
  <c r="A3370"/>
  <c r="B3370"/>
  <c r="A3371"/>
  <c r="B3371"/>
  <c r="A3372"/>
  <c r="B3372"/>
  <c r="A3373"/>
  <c r="B3373"/>
  <c r="A3374"/>
  <c r="B3374"/>
  <c r="A3375"/>
  <c r="B3375"/>
  <c r="A3376"/>
  <c r="B3376"/>
  <c r="A3377"/>
  <c r="B3377"/>
  <c r="A3378"/>
  <c r="B3378"/>
  <c r="A3379"/>
  <c r="B3379"/>
  <c r="A3380"/>
  <c r="B3380"/>
  <c r="A3381"/>
  <c r="B3381"/>
  <c r="A3382"/>
  <c r="B3382"/>
  <c r="A3383"/>
  <c r="B3383"/>
  <c r="A3384"/>
  <c r="B3384"/>
  <c r="A3385"/>
  <c r="B3385"/>
  <c r="A3386"/>
  <c r="B3386"/>
  <c r="A3387"/>
  <c r="B3387"/>
  <c r="A3388"/>
  <c r="B3388"/>
  <c r="A3389"/>
  <c r="B3389"/>
  <c r="A3390"/>
  <c r="B3390"/>
  <c r="A3391"/>
  <c r="B3391"/>
  <c r="A3392"/>
  <c r="B3392"/>
  <c r="A3393"/>
  <c r="B3393"/>
  <c r="A3394"/>
  <c r="B3394"/>
  <c r="A3395"/>
  <c r="B3395"/>
  <c r="A3396"/>
  <c r="B3396"/>
  <c r="A3397"/>
  <c r="B3397"/>
  <c r="A3398"/>
  <c r="B3398"/>
  <c r="A3399"/>
  <c r="B3399"/>
  <c r="A3400"/>
  <c r="B3400"/>
  <c r="A3401"/>
  <c r="B3401"/>
  <c r="A3402"/>
  <c r="B3402"/>
  <c r="A3403"/>
  <c r="B3403"/>
  <c r="A3404"/>
  <c r="B3404"/>
  <c r="A3405"/>
  <c r="B3405"/>
  <c r="A3406"/>
  <c r="B3406"/>
  <c r="A3407"/>
  <c r="B3407"/>
  <c r="A3408"/>
  <c r="B3408"/>
  <c r="A3409"/>
  <c r="B3409"/>
  <c r="A3410"/>
  <c r="B3410"/>
  <c r="A3411"/>
  <c r="B3411"/>
  <c r="A3412"/>
  <c r="B3412"/>
  <c r="A3413"/>
  <c r="B3413"/>
  <c r="A3414"/>
  <c r="B3414"/>
  <c r="A3415"/>
  <c r="B3415"/>
  <c r="A3416"/>
  <c r="B3416"/>
  <c r="A3417"/>
  <c r="B3417"/>
  <c r="A3418"/>
  <c r="B3418"/>
  <c r="A3419"/>
  <c r="B3419"/>
  <c r="A3420"/>
  <c r="B3420"/>
  <c r="A3421"/>
  <c r="B3421"/>
  <c r="A3422"/>
  <c r="B3422"/>
  <c r="A3423"/>
  <c r="B3423"/>
  <c r="A3424"/>
  <c r="B3424"/>
  <c r="A3425"/>
  <c r="B3425"/>
  <c r="A3426"/>
  <c r="B3426"/>
  <c r="A3427"/>
  <c r="B3427"/>
  <c r="A3428"/>
  <c r="B3428"/>
  <c r="A3429"/>
  <c r="B3429"/>
  <c r="A3430"/>
  <c r="B3430"/>
  <c r="A3431"/>
  <c r="B3431"/>
  <c r="A3432"/>
  <c r="B3432"/>
  <c r="A3433"/>
  <c r="B3433"/>
  <c r="A3434"/>
  <c r="B3434"/>
  <c r="A3435"/>
  <c r="B3435"/>
  <c r="A3436"/>
  <c r="B3436"/>
  <c r="A3437"/>
  <c r="B3437"/>
  <c r="A3438"/>
  <c r="B3438"/>
  <c r="A3439"/>
  <c r="B3439"/>
  <c r="A3440"/>
  <c r="B3440"/>
  <c r="A3441"/>
  <c r="B3441"/>
  <c r="A3442"/>
  <c r="B3442"/>
  <c r="A3443"/>
  <c r="B3443"/>
  <c r="A3444"/>
  <c r="B3444"/>
  <c r="A3445"/>
  <c r="B3445"/>
  <c r="A3446"/>
  <c r="B3446"/>
  <c r="A3447"/>
  <c r="B3447"/>
  <c r="A3448"/>
  <c r="B3448"/>
  <c r="A3449"/>
  <c r="B3449"/>
  <c r="A3450"/>
  <c r="B3450"/>
  <c r="A3451"/>
  <c r="B3451"/>
  <c r="A3452"/>
  <c r="B3452"/>
  <c r="A3453"/>
  <c r="B3453"/>
  <c r="A3454"/>
  <c r="B3454"/>
  <c r="A3455"/>
  <c r="B3455"/>
  <c r="A3456"/>
  <c r="B3456"/>
  <c r="A3457"/>
  <c r="B3457"/>
  <c r="A3458"/>
  <c r="B3458"/>
  <c r="A3459"/>
  <c r="B3459"/>
  <c r="A3460"/>
  <c r="B3460"/>
  <c r="A3461"/>
  <c r="B3461"/>
  <c r="A3462"/>
  <c r="B3462"/>
  <c r="A3463"/>
  <c r="B3463"/>
  <c r="A3464"/>
  <c r="B3464"/>
  <c r="A3465"/>
  <c r="B3465"/>
  <c r="A3466"/>
  <c r="B3466"/>
  <c r="A3467"/>
  <c r="B3467"/>
  <c r="A3468"/>
  <c r="B3468"/>
  <c r="A3469"/>
  <c r="B3469"/>
  <c r="A3470"/>
  <c r="B3470"/>
  <c r="A3471"/>
  <c r="B3471"/>
  <c r="A3472"/>
  <c r="B3472"/>
  <c r="A3473"/>
  <c r="B3473"/>
  <c r="A3474"/>
  <c r="B3474"/>
  <c r="A3475"/>
  <c r="B3475"/>
  <c r="A3476"/>
  <c r="B3476"/>
  <c r="A3477"/>
  <c r="B3477"/>
  <c r="A3478"/>
  <c r="B3478"/>
  <c r="A3479"/>
  <c r="B3479"/>
  <c r="A3480"/>
  <c r="B3480"/>
  <c r="A3481"/>
  <c r="B3481"/>
  <c r="A3482"/>
  <c r="B3482"/>
  <c r="A3483"/>
  <c r="B3483"/>
  <c r="A3484"/>
  <c r="B3484"/>
  <c r="A3485"/>
  <c r="B3485"/>
  <c r="A3486"/>
  <c r="B3486"/>
  <c r="A3487"/>
  <c r="B3487"/>
  <c r="A3488"/>
  <c r="B3488"/>
  <c r="A3489"/>
  <c r="B3489"/>
  <c r="A3490"/>
  <c r="B3490"/>
  <c r="A3491"/>
  <c r="B3491"/>
  <c r="A3492"/>
  <c r="B3492"/>
  <c r="A3493"/>
  <c r="B3493"/>
  <c r="A3494"/>
  <c r="B3494"/>
  <c r="A3495"/>
  <c r="B3495"/>
  <c r="A3496"/>
  <c r="B3496"/>
  <c r="A3497"/>
  <c r="B3497"/>
  <c r="A3498"/>
  <c r="B3498"/>
  <c r="A3499"/>
  <c r="B3499"/>
  <c r="A3500"/>
  <c r="B3500"/>
  <c r="A3501"/>
  <c r="B3501"/>
  <c r="A3502"/>
  <c r="B3502"/>
  <c r="A3503"/>
  <c r="B3503"/>
  <c r="A3504"/>
  <c r="B3504"/>
  <c r="A3505"/>
  <c r="B3505"/>
  <c r="A3506"/>
  <c r="B3506"/>
  <c r="A3507"/>
  <c r="B3507"/>
  <c r="A3508"/>
  <c r="B3508"/>
  <c r="A3509"/>
  <c r="B3509"/>
  <c r="A3510"/>
  <c r="B3510"/>
  <c r="A3511"/>
  <c r="B3511"/>
  <c r="A3512"/>
  <c r="B3512"/>
  <c r="A3513"/>
  <c r="B3513"/>
  <c r="A3514"/>
  <c r="B3514"/>
  <c r="A3515"/>
  <c r="B3515"/>
  <c r="A3516"/>
  <c r="B3516"/>
  <c r="A3517"/>
  <c r="B3517"/>
  <c r="A3518"/>
  <c r="B3518"/>
  <c r="A3519"/>
  <c r="B3519"/>
  <c r="A3520"/>
  <c r="B3520"/>
  <c r="A3521"/>
  <c r="B3521"/>
  <c r="A3522"/>
  <c r="B3522"/>
  <c r="A3523"/>
  <c r="B3523"/>
  <c r="A3524"/>
  <c r="B3524"/>
  <c r="A3525"/>
  <c r="B3525"/>
  <c r="A3526"/>
  <c r="B3526"/>
  <c r="A3527"/>
  <c r="B3527"/>
  <c r="A3528"/>
  <c r="B3528"/>
  <c r="A3529"/>
  <c r="B3529"/>
  <c r="A3530"/>
  <c r="B3530"/>
  <c r="A3531"/>
  <c r="B3531"/>
  <c r="A3532"/>
  <c r="B3532"/>
  <c r="A3533"/>
  <c r="B3533"/>
  <c r="A3534"/>
  <c r="B3534"/>
  <c r="A3535"/>
  <c r="B3535"/>
  <c r="A3536"/>
  <c r="B3536"/>
  <c r="A3537"/>
  <c r="B3537"/>
  <c r="A3538"/>
  <c r="B3538"/>
  <c r="A3539"/>
  <c r="B3539"/>
  <c r="A3540"/>
  <c r="B3540"/>
  <c r="A3541"/>
  <c r="B3541"/>
  <c r="A3542"/>
  <c r="B3542"/>
  <c r="A3543"/>
  <c r="B3543"/>
  <c r="A3544"/>
  <c r="B3544"/>
  <c r="A3545"/>
  <c r="B3545"/>
  <c r="A3546"/>
  <c r="B3546"/>
  <c r="A3547"/>
  <c r="B3547"/>
  <c r="A3548"/>
  <c r="B3548"/>
  <c r="A3549"/>
  <c r="B3549"/>
  <c r="A3550"/>
  <c r="B3550"/>
  <c r="A3551"/>
  <c r="B3551"/>
  <c r="A3552"/>
  <c r="B3552"/>
  <c r="A3553"/>
  <c r="B3553"/>
  <c r="A3554"/>
  <c r="B3554"/>
  <c r="A3555"/>
  <c r="B3555"/>
  <c r="A3556"/>
  <c r="B3556"/>
  <c r="A3557"/>
  <c r="B3557"/>
  <c r="A3558"/>
  <c r="B3558"/>
  <c r="A3559"/>
  <c r="B3559"/>
  <c r="A3560"/>
  <c r="B3560"/>
  <c r="A3561"/>
  <c r="B3561"/>
  <c r="A3562"/>
  <c r="B3562"/>
  <c r="A3563"/>
  <c r="B3563"/>
  <c r="A3564"/>
  <c r="B3564"/>
  <c r="A3565"/>
  <c r="B3565"/>
  <c r="A3566"/>
  <c r="B3566"/>
  <c r="A3567"/>
  <c r="B3567"/>
  <c r="A3568"/>
  <c r="B3568"/>
  <c r="A3569"/>
  <c r="B3569"/>
  <c r="A3570"/>
  <c r="B3570"/>
  <c r="A3571"/>
  <c r="B3571"/>
  <c r="A3572"/>
  <c r="B3572"/>
  <c r="A3573"/>
  <c r="B3573"/>
  <c r="A3574"/>
  <c r="B3574"/>
  <c r="A3575"/>
  <c r="B3575"/>
  <c r="A3576"/>
  <c r="B3576"/>
  <c r="A3577"/>
  <c r="B3577"/>
  <c r="A3578"/>
  <c r="B3578"/>
  <c r="A3579"/>
  <c r="B3579"/>
  <c r="A3580"/>
  <c r="B3580"/>
  <c r="A3581"/>
  <c r="B3581"/>
  <c r="A3582"/>
  <c r="B3582"/>
  <c r="A3583"/>
  <c r="B3583"/>
  <c r="A3584"/>
  <c r="B3584"/>
  <c r="A3585"/>
  <c r="B3585"/>
  <c r="A3586"/>
  <c r="B3586"/>
  <c r="A3587"/>
  <c r="B3587"/>
  <c r="A3588"/>
  <c r="B3588"/>
  <c r="A3589"/>
  <c r="B3589"/>
  <c r="A3590"/>
  <c r="B3590"/>
  <c r="A3591"/>
  <c r="B3591"/>
  <c r="A3592"/>
  <c r="B3592"/>
  <c r="A3593"/>
  <c r="B3593"/>
  <c r="A3594"/>
  <c r="B3594"/>
  <c r="A3595"/>
  <c r="B3595"/>
  <c r="A3596"/>
  <c r="B3596"/>
  <c r="A3597"/>
  <c r="B3597"/>
  <c r="A3598"/>
  <c r="A3599"/>
  <c r="B3599"/>
  <c r="A3600"/>
  <c r="B3600"/>
  <c r="A3601"/>
  <c r="B3601"/>
  <c r="A3602"/>
  <c r="B3602"/>
  <c r="A3603"/>
  <c r="B3603"/>
  <c r="A3604"/>
  <c r="B3604"/>
  <c r="A3605"/>
  <c r="B3605"/>
  <c r="A3606"/>
  <c r="B3606"/>
  <c r="A3607"/>
  <c r="B3607"/>
  <c r="A3608"/>
  <c r="B3608"/>
  <c r="A3609"/>
  <c r="B3609"/>
  <c r="A3610"/>
  <c r="B3610"/>
  <c r="A3611"/>
  <c r="B3611"/>
  <c r="A3612"/>
  <c r="B3612"/>
  <c r="A3613"/>
  <c r="B3613"/>
  <c r="A3614"/>
  <c r="B3614"/>
  <c r="A3615"/>
  <c r="B3615"/>
  <c r="A3616"/>
  <c r="B3616"/>
  <c r="A3617"/>
  <c r="B3617"/>
  <c r="A3618"/>
  <c r="B3618"/>
  <c r="A3619"/>
  <c r="B3619"/>
  <c r="A3620"/>
  <c r="B3620"/>
  <c r="A3621"/>
  <c r="B3621"/>
  <c r="A3622"/>
  <c r="B3622"/>
  <c r="A3623"/>
  <c r="B3623"/>
  <c r="A3624"/>
  <c r="B3624"/>
  <c r="A3625"/>
  <c r="B3625"/>
  <c r="A3626"/>
  <c r="B3626"/>
  <c r="A3627"/>
  <c r="B3627"/>
  <c r="A3628"/>
  <c r="B3628"/>
  <c r="A3629"/>
  <c r="B3629"/>
  <c r="A3630"/>
  <c r="B3630"/>
  <c r="A3631"/>
  <c r="B3631"/>
  <c r="A3632"/>
  <c r="B3632"/>
  <c r="A3633"/>
  <c r="B3633"/>
  <c r="A3634"/>
  <c r="B3634"/>
  <c r="A3635"/>
  <c r="B3635"/>
  <c r="A3636"/>
  <c r="B3636"/>
  <c r="A3637"/>
  <c r="B3637"/>
  <c r="A3638"/>
  <c r="B3638"/>
  <c r="A3639"/>
  <c r="B3639"/>
  <c r="A3640"/>
  <c r="B3640"/>
  <c r="A3641"/>
  <c r="B3641"/>
  <c r="A3642"/>
  <c r="B3642"/>
  <c r="A3643"/>
  <c r="B3643"/>
  <c r="A3644"/>
  <c r="B3644"/>
  <c r="A3645"/>
  <c r="B3645"/>
  <c r="A3646"/>
  <c r="B3646"/>
  <c r="A3647"/>
  <c r="B3647"/>
  <c r="A3648"/>
  <c r="B3648"/>
  <c r="A3649"/>
  <c r="B3649"/>
  <c r="A3650"/>
  <c r="B3650"/>
  <c r="A3651"/>
  <c r="B3651"/>
  <c r="A3652"/>
  <c r="B3652"/>
  <c r="A3653"/>
  <c r="B3653"/>
  <c r="A3654"/>
  <c r="B3654"/>
  <c r="A3655"/>
  <c r="B3655"/>
  <c r="A3656"/>
  <c r="B3656"/>
  <c r="A3657"/>
  <c r="B3657"/>
  <c r="A3658"/>
  <c r="B3658"/>
  <c r="A3659"/>
  <c r="B3659"/>
  <c r="A3660"/>
  <c r="B3660"/>
  <c r="A3661"/>
  <c r="B3661"/>
  <c r="A3662"/>
  <c r="B3662"/>
  <c r="A3663"/>
  <c r="B3663"/>
  <c r="A3664"/>
  <c r="B3664"/>
  <c r="A3665"/>
  <c r="B3665"/>
  <c r="A3666"/>
  <c r="B3666"/>
  <c r="A3667"/>
  <c r="B3667"/>
  <c r="A3668"/>
  <c r="B3668"/>
  <c r="A3669"/>
  <c r="B3669"/>
  <c r="A3670"/>
  <c r="B3670"/>
  <c r="A3671"/>
  <c r="B3671"/>
  <c r="A3672"/>
  <c r="B3672"/>
  <c r="A3673"/>
  <c r="B3673"/>
  <c r="A3674"/>
  <c r="B3674"/>
  <c r="A3675"/>
  <c r="B3675"/>
  <c r="A3676"/>
  <c r="B3676"/>
  <c r="A3677"/>
  <c r="B3677"/>
  <c r="A3678"/>
  <c r="B3678"/>
  <c r="A3679"/>
  <c r="B3679"/>
  <c r="A3680"/>
  <c r="B3680"/>
  <c r="A3681"/>
  <c r="B3681"/>
  <c r="A3682"/>
  <c r="B3682"/>
  <c r="A3683"/>
  <c r="B3683"/>
  <c r="A3684"/>
  <c r="B3684"/>
  <c r="A3685"/>
  <c r="B3685"/>
  <c r="A3686"/>
  <c r="B3686"/>
  <c r="A3687"/>
  <c r="B3687"/>
  <c r="A3688"/>
  <c r="B3688"/>
  <c r="A3689"/>
  <c r="B3689"/>
  <c r="A3690"/>
  <c r="B3690"/>
  <c r="A3691"/>
  <c r="B3691"/>
  <c r="A3692"/>
  <c r="B3692"/>
  <c r="A3693"/>
  <c r="B3693"/>
  <c r="A3694"/>
  <c r="B3694"/>
  <c r="A3695"/>
  <c r="B3695"/>
  <c r="A3696"/>
  <c r="B3696"/>
  <c r="A3697"/>
  <c r="B3697"/>
  <c r="A3698"/>
  <c r="B3698"/>
  <c r="A3699"/>
  <c r="B3699"/>
  <c r="A3700"/>
  <c r="B3700"/>
  <c r="A3701"/>
  <c r="B3701"/>
  <c r="A3702"/>
  <c r="B3702"/>
  <c r="A3703"/>
  <c r="B3703"/>
  <c r="A3704"/>
  <c r="B3704"/>
  <c r="A3705"/>
  <c r="B3705"/>
  <c r="A3706"/>
  <c r="B3706"/>
  <c r="A3707"/>
  <c r="B3707"/>
  <c r="A3708"/>
  <c r="B3708"/>
  <c r="A3709"/>
  <c r="B3709"/>
  <c r="A3710"/>
  <c r="B3710"/>
  <c r="A3711"/>
  <c r="B3711"/>
  <c r="A3712"/>
  <c r="B3712"/>
  <c r="A3713"/>
  <c r="B3713"/>
  <c r="A3714"/>
  <c r="B3714"/>
  <c r="A3715"/>
  <c r="B3715"/>
  <c r="A3716"/>
  <c r="B3716"/>
  <c r="A3717"/>
  <c r="B3717"/>
  <c r="A3718"/>
  <c r="B3718"/>
  <c r="A3719"/>
  <c r="B3719"/>
  <c r="A3720"/>
  <c r="B3720"/>
  <c r="A3721"/>
  <c r="B3721"/>
  <c r="A3722"/>
  <c r="B3722"/>
  <c r="A3723"/>
  <c r="B3723"/>
  <c r="A3724"/>
  <c r="B3724"/>
  <c r="A3725"/>
  <c r="B3725"/>
  <c r="A3726"/>
  <c r="B3726"/>
  <c r="A3727"/>
  <c r="B3727"/>
  <c r="A3728"/>
  <c r="B3728"/>
  <c r="A3729"/>
  <c r="B3729"/>
  <c r="A3730"/>
  <c r="B3730"/>
  <c r="A3731"/>
  <c r="B3731"/>
  <c r="A3732"/>
  <c r="B3732"/>
  <c r="A3733"/>
  <c r="B3733"/>
  <c r="A3734"/>
  <c r="B3734"/>
  <c r="A3735"/>
  <c r="B3735"/>
  <c r="A3736"/>
  <c r="B3736"/>
  <c r="A3737"/>
  <c r="B3737"/>
  <c r="A3738"/>
  <c r="B3738"/>
  <c r="A3739"/>
  <c r="B3739"/>
  <c r="A3740"/>
  <c r="B3740"/>
  <c r="A3741"/>
  <c r="B3741"/>
  <c r="A3742"/>
  <c r="B3742"/>
  <c r="A3743"/>
  <c r="B3743"/>
  <c r="A3744"/>
  <c r="B3744"/>
  <c r="A3745"/>
  <c r="B3745"/>
  <c r="A3746"/>
  <c r="B3746"/>
  <c r="A3747"/>
  <c r="B3747"/>
  <c r="A3748"/>
  <c r="B3748"/>
  <c r="A3749"/>
  <c r="B3749"/>
  <c r="A3750"/>
  <c r="B3750"/>
  <c r="A3751"/>
  <c r="B3751"/>
  <c r="A3752"/>
  <c r="B3752"/>
  <c r="A3753"/>
  <c r="B3753"/>
  <c r="A3754"/>
  <c r="B3754"/>
  <c r="A3755"/>
  <c r="B3755"/>
  <c r="A3756"/>
  <c r="B3756"/>
  <c r="A3757"/>
  <c r="B3757"/>
  <c r="A3758"/>
  <c r="B3758"/>
  <c r="A3759"/>
  <c r="B3759"/>
  <c r="A3760"/>
  <c r="B3760"/>
  <c r="A3761"/>
  <c r="B3761"/>
  <c r="A3762"/>
  <c r="B3762"/>
  <c r="A3763"/>
  <c r="B3763"/>
  <c r="A3764"/>
  <c r="B3764"/>
  <c r="A3765"/>
  <c r="B3765"/>
  <c r="A3766"/>
  <c r="B3766"/>
  <c r="A3767"/>
  <c r="B3767"/>
  <c r="A3768"/>
  <c r="B3768"/>
  <c r="A3769"/>
  <c r="B3769"/>
  <c r="A3770"/>
  <c r="B3770"/>
  <c r="A3771"/>
  <c r="B3771"/>
  <c r="A3772"/>
  <c r="B3772"/>
  <c r="A3773"/>
  <c r="B3773"/>
  <c r="A3774"/>
  <c r="B3774"/>
  <c r="A3775"/>
  <c r="B3775"/>
  <c r="A3776"/>
  <c r="B3776"/>
  <c r="A3777"/>
  <c r="B3777"/>
  <c r="A3778"/>
  <c r="B3778"/>
  <c r="A3779"/>
  <c r="B3779"/>
  <c r="A3780"/>
  <c r="B3780"/>
  <c r="A3781"/>
  <c r="B3781"/>
  <c r="A3782"/>
  <c r="B3782"/>
  <c r="A3783"/>
  <c r="B3783"/>
  <c r="A3784"/>
  <c r="B3784"/>
  <c r="A3785"/>
  <c r="B3785"/>
  <c r="A3786"/>
  <c r="B3786"/>
  <c r="A3787"/>
  <c r="B3787"/>
  <c r="A3788"/>
  <c r="B3788"/>
  <c r="A3789"/>
  <c r="B3789"/>
  <c r="A3790"/>
  <c r="B3790"/>
  <c r="A3791"/>
  <c r="B3791"/>
  <c r="A3792"/>
  <c r="B3792"/>
  <c r="A3793"/>
  <c r="B3793"/>
  <c r="A3794"/>
  <c r="B3794"/>
  <c r="A3795"/>
  <c r="B3795"/>
  <c r="A3796"/>
  <c r="B3796"/>
  <c r="A3797"/>
  <c r="B3797"/>
  <c r="A3798"/>
  <c r="B3798"/>
  <c r="A3799"/>
  <c r="B3799"/>
  <c r="A3800"/>
  <c r="B3800"/>
  <c r="A3801"/>
  <c r="B3801"/>
  <c r="A3802"/>
  <c r="B3802"/>
  <c r="A3803"/>
  <c r="B3803"/>
  <c r="A3804"/>
  <c r="B3804"/>
  <c r="A3805"/>
  <c r="B3805"/>
  <c r="A3806"/>
  <c r="B3806"/>
  <c r="A3807"/>
  <c r="B3807"/>
  <c r="A3808"/>
  <c r="B3808"/>
  <c r="A3809"/>
  <c r="B3809"/>
  <c r="A3810"/>
  <c r="B3810"/>
  <c r="A3811"/>
  <c r="B3811"/>
  <c r="A3812"/>
  <c r="B3812"/>
  <c r="A3813"/>
  <c r="B3813"/>
  <c r="A3814"/>
  <c r="B3814"/>
  <c r="A3815"/>
  <c r="B3815"/>
  <c r="A3816"/>
  <c r="B3816"/>
  <c r="A3817"/>
  <c r="B3817"/>
  <c r="A3818"/>
  <c r="B3818"/>
  <c r="A3819"/>
  <c r="B3819"/>
  <c r="A3820"/>
  <c r="B3820"/>
  <c r="A3821"/>
  <c r="B3821"/>
  <c r="A3822"/>
  <c r="B3822"/>
  <c r="A3823"/>
  <c r="B3823"/>
  <c r="A3824"/>
  <c r="B3824"/>
  <c r="A3825"/>
  <c r="B3825"/>
  <c r="A3826"/>
  <c r="B3826"/>
  <c r="A3827"/>
  <c r="B3827"/>
  <c r="A3828"/>
  <c r="B3828"/>
  <c r="A3829"/>
  <c r="B3829"/>
  <c r="A3830"/>
  <c r="B3830"/>
  <c r="A3831"/>
  <c r="B3831"/>
  <c r="A3832"/>
  <c r="B3832"/>
  <c r="A3833"/>
  <c r="B3833"/>
  <c r="A3834"/>
  <c r="B3834"/>
  <c r="A3835"/>
  <c r="B3835"/>
  <c r="A3836"/>
  <c r="B3836"/>
  <c r="A3837"/>
  <c r="B3837"/>
  <c r="A3838"/>
  <c r="B3838"/>
  <c r="A3839"/>
  <c r="B3839"/>
  <c r="A3840"/>
  <c r="B3840"/>
  <c r="A3841"/>
  <c r="B3841"/>
  <c r="A3842"/>
  <c r="B3842"/>
  <c r="A3843"/>
  <c r="B3843"/>
  <c r="A3844"/>
  <c r="B3844"/>
  <c r="A3845"/>
  <c r="B3845"/>
  <c r="A3846"/>
  <c r="B3846"/>
  <c r="A3847"/>
  <c r="B3847"/>
  <c r="A3848"/>
  <c r="B3848"/>
  <c r="A3849"/>
  <c r="B3849"/>
  <c r="A3850"/>
  <c r="B3850"/>
  <c r="A3851"/>
  <c r="B3851"/>
  <c r="A3852"/>
  <c r="B3852"/>
  <c r="A3853"/>
  <c r="B3853"/>
  <c r="A3854"/>
  <c r="B3854"/>
  <c r="A3855"/>
  <c r="B3855"/>
  <c r="A3856"/>
  <c r="B3856"/>
  <c r="A3857"/>
  <c r="B3857"/>
  <c r="A3858"/>
  <c r="B3858"/>
  <c r="A3859"/>
  <c r="B3859"/>
  <c r="A3860"/>
  <c r="B3860"/>
  <c r="A3861"/>
  <c r="B3861"/>
  <c r="A3862"/>
  <c r="B3862"/>
  <c r="A3863"/>
  <c r="B3863"/>
  <c r="A3864"/>
  <c r="B3864"/>
  <c r="A3865"/>
  <c r="B3865"/>
  <c r="A3866"/>
  <c r="B3866"/>
  <c r="A3867"/>
  <c r="B3867"/>
  <c r="A3868"/>
  <c r="B3868"/>
  <c r="A3869"/>
  <c r="B3869"/>
  <c r="A3870"/>
  <c r="B3870"/>
  <c r="A3871"/>
  <c r="B3871"/>
  <c r="A3872"/>
  <c r="B3872"/>
  <c r="A3873"/>
  <c r="B3873"/>
  <c r="A3874"/>
  <c r="B3874"/>
  <c r="A3875"/>
  <c r="B3875"/>
  <c r="A3876"/>
  <c r="B3876"/>
  <c r="A3877"/>
  <c r="B3877"/>
  <c r="A3878"/>
  <c r="B3878"/>
  <c r="A3879"/>
  <c r="B3879"/>
  <c r="A3880"/>
  <c r="B3880"/>
  <c r="A3881"/>
  <c r="B3881"/>
  <c r="A3882"/>
  <c r="B3882"/>
  <c r="A3883"/>
  <c r="B3883"/>
  <c r="A3884"/>
  <c r="B3884"/>
  <c r="A3885"/>
  <c r="B3885"/>
  <c r="A3886"/>
  <c r="B3886"/>
  <c r="A3887"/>
  <c r="B3887"/>
  <c r="A3888"/>
  <c r="B3888"/>
  <c r="A3889"/>
  <c r="B3889"/>
  <c r="A3890"/>
  <c r="B3890"/>
  <c r="A3891"/>
  <c r="B3891"/>
  <c r="A3892"/>
  <c r="B3892"/>
  <c r="A3893"/>
  <c r="B3893"/>
  <c r="A3894"/>
  <c r="B3894"/>
  <c r="A3895"/>
  <c r="B3895"/>
  <c r="A3896"/>
  <c r="B3896"/>
  <c r="A3897"/>
  <c r="B3897"/>
  <c r="A3898"/>
  <c r="B3898"/>
  <c r="A3899"/>
  <c r="B3899"/>
  <c r="A3900"/>
  <c r="B3900"/>
  <c r="A3901"/>
  <c r="B3901"/>
  <c r="A3902"/>
  <c r="B3902"/>
  <c r="A3903"/>
  <c r="B3903"/>
  <c r="A3904"/>
  <c r="B3904"/>
  <c r="A3905"/>
  <c r="B3905"/>
  <c r="A3906"/>
  <c r="B3906"/>
  <c r="A3907"/>
  <c r="B3907"/>
  <c r="A3908"/>
  <c r="B3908"/>
  <c r="A3909"/>
  <c r="B3909"/>
  <c r="A3910"/>
  <c r="B3910"/>
  <c r="A3911"/>
  <c r="B3911"/>
  <c r="A3912"/>
  <c r="B3912"/>
  <c r="A3913"/>
  <c r="B3913"/>
  <c r="A3914"/>
  <c r="B3914"/>
  <c r="A3915"/>
  <c r="B3915"/>
  <c r="A3916"/>
  <c r="B3916"/>
  <c r="A3917"/>
  <c r="B3917"/>
  <c r="A3918"/>
  <c r="B3918"/>
  <c r="A3919"/>
  <c r="B3919"/>
  <c r="A3920"/>
  <c r="B3920"/>
  <c r="A3921"/>
  <c r="B3921"/>
  <c r="A3922"/>
  <c r="B3922"/>
  <c r="A3923"/>
  <c r="B3923"/>
  <c r="A3924"/>
  <c r="B3924"/>
  <c r="A3925"/>
  <c r="B3925"/>
  <c r="A3926"/>
  <c r="B3926"/>
  <c r="A3927"/>
  <c r="B3927"/>
  <c r="A3928"/>
  <c r="B3928"/>
  <c r="A3929"/>
  <c r="B3929"/>
  <c r="A3930"/>
  <c r="B3930"/>
  <c r="A3931"/>
  <c r="B3931"/>
  <c r="A3932"/>
  <c r="B3932"/>
  <c r="A3933"/>
  <c r="B3933"/>
  <c r="A3934"/>
  <c r="B3934"/>
  <c r="A3935"/>
  <c r="B3935"/>
  <c r="A3936"/>
  <c r="B3936"/>
  <c r="A3937"/>
  <c r="B3937"/>
  <c r="A3938"/>
  <c r="B3938"/>
  <c r="A3939"/>
  <c r="B3939"/>
  <c r="A3940"/>
  <c r="B3940"/>
  <c r="A3941"/>
  <c r="B3941"/>
  <c r="A3942"/>
  <c r="B3942"/>
  <c r="A3943"/>
  <c r="B3943"/>
  <c r="A3944"/>
  <c r="B3944"/>
  <c r="A3945"/>
  <c r="B3945"/>
  <c r="A3946"/>
  <c r="B3946"/>
  <c r="A3947"/>
  <c r="B3947"/>
  <c r="A3948"/>
  <c r="B3948"/>
  <c r="A3949"/>
  <c r="B3949"/>
  <c r="A3950"/>
  <c r="B3950"/>
  <c r="A3951"/>
  <c r="B3951"/>
  <c r="A3952"/>
  <c r="B3952"/>
  <c r="A3953"/>
  <c r="B3953"/>
  <c r="A3954"/>
  <c r="B3954"/>
  <c r="A3955"/>
  <c r="B3955"/>
  <c r="A3956"/>
  <c r="B3956"/>
  <c r="A3957"/>
  <c r="B3957"/>
  <c r="A3958"/>
  <c r="B3958"/>
  <c r="A3959"/>
  <c r="B3959"/>
  <c r="A3960"/>
  <c r="B3960"/>
  <c r="A3961"/>
  <c r="B3961"/>
  <c r="A3962"/>
  <c r="B3962"/>
  <c r="A3963"/>
  <c r="B3963"/>
  <c r="A3964"/>
  <c r="B3964"/>
  <c r="A3965"/>
  <c r="B3965"/>
  <c r="A3966"/>
  <c r="B3966"/>
  <c r="A3967"/>
  <c r="B3967"/>
  <c r="A3968"/>
  <c r="B3968"/>
  <c r="A3969"/>
  <c r="B3969"/>
  <c r="A3970"/>
  <c r="B3970"/>
  <c r="A3971"/>
  <c r="B3971"/>
  <c r="A3972"/>
  <c r="B3972"/>
  <c r="A3973"/>
  <c r="B3973"/>
  <c r="A3974"/>
  <c r="B3974"/>
  <c r="A3975"/>
  <c r="B3975"/>
  <c r="A3976"/>
  <c r="B3976"/>
  <c r="A3977"/>
  <c r="B3977"/>
  <c r="A3978"/>
  <c r="B3978"/>
  <c r="A3979"/>
  <c r="B3979"/>
  <c r="A3980"/>
  <c r="B3980"/>
  <c r="A3981"/>
  <c r="B3981"/>
  <c r="A3982"/>
  <c r="B3982"/>
  <c r="A3983"/>
  <c r="B3983"/>
  <c r="A3984"/>
  <c r="B3984"/>
  <c r="A3985"/>
  <c r="B3985"/>
  <c r="A3986"/>
  <c r="B3986"/>
  <c r="A3987"/>
  <c r="B3987"/>
  <c r="A3988"/>
  <c r="B3988"/>
  <c r="A3989"/>
  <c r="B3989"/>
  <c r="A3990"/>
  <c r="B3990"/>
  <c r="A3991"/>
  <c r="B3991"/>
  <c r="A3992"/>
  <c r="B3992"/>
  <c r="A3993"/>
  <c r="B3993"/>
  <c r="A3994"/>
  <c r="B3994"/>
  <c r="A3995"/>
  <c r="B3995"/>
  <c r="A3996"/>
  <c r="B3996"/>
  <c r="A3997"/>
  <c r="B3997"/>
  <c r="A3998"/>
  <c r="B3998"/>
  <c r="A3999"/>
  <c r="B3999"/>
  <c r="A4000"/>
  <c r="B4000"/>
  <c r="A4001"/>
  <c r="B4001"/>
  <c r="A4002"/>
  <c r="B4002"/>
  <c r="A4003"/>
  <c r="B4003"/>
  <c r="A4004"/>
  <c r="B4004"/>
  <c r="A4005"/>
  <c r="B4005"/>
  <c r="A4006"/>
  <c r="B4006"/>
  <c r="A4007"/>
  <c r="B4007"/>
  <c r="A4008"/>
  <c r="B4008"/>
  <c r="A4009"/>
  <c r="B4009"/>
  <c r="A4010"/>
  <c r="B4010"/>
  <c r="A4011"/>
  <c r="B4011"/>
  <c r="A4012"/>
  <c r="B4012"/>
  <c r="A4013"/>
  <c r="B4013"/>
  <c r="A4014"/>
  <c r="B4014"/>
  <c r="A4015"/>
  <c r="B4015"/>
  <c r="A4016"/>
  <c r="B4016"/>
  <c r="A4017"/>
  <c r="B4017"/>
  <c r="A4018"/>
  <c r="B4018"/>
  <c r="A4019"/>
  <c r="B4019"/>
  <c r="A4020"/>
  <c r="B4020"/>
  <c r="A4021"/>
  <c r="B4021"/>
  <c r="A4022"/>
  <c r="B4022"/>
  <c r="A4023"/>
  <c r="B4023"/>
  <c r="A4024"/>
  <c r="B4024"/>
  <c r="A4025"/>
  <c r="B4025"/>
  <c r="A4026"/>
  <c r="B4026"/>
  <c r="A4027"/>
  <c r="B4027"/>
  <c r="A4028"/>
  <c r="B4028"/>
  <c r="A4029"/>
  <c r="B4029"/>
  <c r="A4030"/>
  <c r="B4030"/>
  <c r="A4031"/>
  <c r="B4031"/>
  <c r="A4032"/>
  <c r="B4032"/>
  <c r="A4033"/>
  <c r="B4033"/>
  <c r="A4034"/>
  <c r="B4034"/>
  <c r="A4035"/>
  <c r="B4035"/>
  <c r="A4036"/>
  <c r="B4036"/>
  <c r="A4037"/>
  <c r="B4037"/>
  <c r="A4038"/>
  <c r="B4038"/>
  <c r="A4039"/>
  <c r="B4039"/>
  <c r="A4040"/>
  <c r="B4040"/>
  <c r="A4041"/>
  <c r="B4041"/>
  <c r="A4042"/>
  <c r="B4042"/>
  <c r="A4043"/>
  <c r="B4043"/>
  <c r="A4044"/>
  <c r="B4044"/>
  <c r="A4045"/>
  <c r="B4045"/>
  <c r="A4046"/>
  <c r="B4046"/>
  <c r="A4047"/>
  <c r="B4047"/>
  <c r="A4048"/>
  <c r="B4048"/>
  <c r="A4049"/>
  <c r="B4049"/>
  <c r="A4050"/>
  <c r="B4050"/>
  <c r="A4051"/>
  <c r="B4051"/>
  <c r="A4052"/>
  <c r="B4052"/>
  <c r="A4053"/>
  <c r="B4053"/>
  <c r="A4054"/>
  <c r="B4054"/>
  <c r="A4055"/>
  <c r="B4055"/>
  <c r="A4056"/>
  <c r="B4056"/>
  <c r="A4057"/>
  <c r="B4057"/>
  <c r="A4058"/>
  <c r="B4058"/>
  <c r="A4059"/>
  <c r="B4059"/>
  <c r="A4060"/>
  <c r="B4060"/>
  <c r="A4061"/>
  <c r="B4061"/>
  <c r="A4062"/>
  <c r="B4062"/>
  <c r="A4063"/>
  <c r="B4063"/>
  <c r="A4064"/>
  <c r="B4064"/>
  <c r="A4065"/>
  <c r="B4065"/>
  <c r="A4066"/>
  <c r="B4066"/>
  <c r="A4067"/>
  <c r="B4067"/>
  <c r="A4068"/>
  <c r="B4068"/>
  <c r="A4069"/>
  <c r="B4069"/>
  <c r="A4070"/>
  <c r="B4070"/>
  <c r="A4071"/>
  <c r="B4071"/>
  <c r="A4072"/>
  <c r="B4072"/>
  <c r="A4073"/>
  <c r="B4073"/>
  <c r="A4074"/>
  <c r="B4074"/>
  <c r="A4075"/>
  <c r="B4075"/>
  <c r="A4076"/>
  <c r="B4076"/>
  <c r="A4077"/>
  <c r="B4077"/>
  <c r="A4078"/>
  <c r="B4078"/>
  <c r="A4079"/>
  <c r="B4079"/>
  <c r="A4080"/>
  <c r="B4080"/>
  <c r="A4081"/>
  <c r="B4081"/>
  <c r="A4082"/>
  <c r="B4082"/>
  <c r="A4083"/>
  <c r="B4083"/>
  <c r="A4084"/>
  <c r="B4084"/>
  <c r="A4085"/>
  <c r="B4085"/>
  <c r="A4086"/>
  <c r="B4086"/>
  <c r="A4087"/>
  <c r="B4087"/>
  <c r="A4088"/>
  <c r="B4088"/>
  <c r="A4089"/>
  <c r="B4089"/>
  <c r="A4090"/>
  <c r="B4090"/>
  <c r="A4091"/>
  <c r="B4091"/>
  <c r="A4092"/>
  <c r="B4092"/>
  <c r="A4093"/>
  <c r="B4093"/>
  <c r="A4094"/>
  <c r="B4094"/>
  <c r="A4095"/>
  <c r="B4095"/>
  <c r="A4096"/>
  <c r="B4096"/>
  <c r="A4097"/>
  <c r="B4097"/>
  <c r="A4098"/>
  <c r="B4098"/>
  <c r="A4099"/>
  <c r="B4099"/>
  <c r="A4100"/>
  <c r="B4100"/>
  <c r="A4101"/>
  <c r="B4101"/>
  <c r="A4102"/>
  <c r="B4102"/>
  <c r="A4103"/>
  <c r="B4103"/>
  <c r="A4104"/>
  <c r="B4104"/>
  <c r="A4105"/>
  <c r="B4105"/>
  <c r="A4106"/>
  <c r="B4106"/>
  <c r="A4107"/>
  <c r="B4107"/>
  <c r="A4108"/>
  <c r="B4108"/>
  <c r="A4109"/>
  <c r="B4109"/>
  <c r="A4110"/>
  <c r="B4110"/>
  <c r="A4111"/>
  <c r="B4111"/>
  <c r="A4112"/>
  <c r="B4112"/>
  <c r="A4113"/>
  <c r="B4113"/>
  <c r="A4114"/>
  <c r="B4114"/>
  <c r="A4115"/>
  <c r="B4115"/>
  <c r="A4116"/>
  <c r="B4116"/>
  <c r="A4117"/>
  <c r="B4117"/>
  <c r="A4118"/>
  <c r="B4118"/>
  <c r="A4119"/>
  <c r="B4119"/>
  <c r="A4120"/>
  <c r="B4120"/>
  <c r="A4121"/>
  <c r="B4121"/>
  <c r="A4122"/>
  <c r="B4122"/>
  <c r="A4123"/>
  <c r="B4123"/>
  <c r="A4124"/>
  <c r="B4124"/>
  <c r="A4125"/>
  <c r="B4125"/>
  <c r="A4126"/>
  <c r="B4126"/>
  <c r="A4127"/>
  <c r="B4127"/>
  <c r="A4128"/>
  <c r="B4128"/>
  <c r="A4129"/>
  <c r="B4129"/>
  <c r="A4130"/>
  <c r="B4130"/>
  <c r="A4131"/>
  <c r="B4131"/>
  <c r="A4132"/>
  <c r="B4132"/>
  <c r="A4133"/>
  <c r="B4133"/>
  <c r="A4134"/>
  <c r="B4134"/>
  <c r="A4135"/>
  <c r="B4135"/>
  <c r="A4136"/>
  <c r="B4136"/>
  <c r="A4137"/>
  <c r="B4137"/>
  <c r="A4138"/>
  <c r="B4138"/>
  <c r="A4139"/>
  <c r="B4139"/>
  <c r="A4140"/>
  <c r="B4140"/>
  <c r="A4141"/>
  <c r="B4141"/>
  <c r="A4142"/>
  <c r="B4142"/>
  <c r="A4143"/>
  <c r="B4143"/>
  <c r="A4144"/>
  <c r="B4144"/>
  <c r="A4145"/>
  <c r="B4145"/>
  <c r="A4146"/>
  <c r="B4146"/>
  <c r="A4147"/>
  <c r="B4147"/>
  <c r="A4148"/>
  <c r="B4148"/>
  <c r="A4149"/>
  <c r="B4149"/>
  <c r="A4150"/>
  <c r="B4150"/>
  <c r="A4151"/>
  <c r="B4151"/>
  <c r="A4152"/>
  <c r="B4152"/>
  <c r="A4153"/>
  <c r="B4153"/>
  <c r="A4154"/>
  <c r="B4154"/>
  <c r="A4155"/>
  <c r="B4155"/>
  <c r="A4156"/>
  <c r="B4156"/>
  <c r="A4157"/>
  <c r="B4157"/>
  <c r="A4158"/>
  <c r="B4158"/>
  <c r="A4159"/>
  <c r="B4159"/>
  <c r="A4160"/>
  <c r="B4160"/>
  <c r="A4161"/>
  <c r="B4161"/>
  <c r="A4162"/>
  <c r="B4162"/>
  <c r="A4163"/>
  <c r="B4163"/>
  <c r="A4164"/>
  <c r="B4164"/>
  <c r="A4165"/>
  <c r="B4165"/>
  <c r="A4166"/>
  <c r="B4166"/>
  <c r="A4167"/>
  <c r="B4167"/>
  <c r="A4168"/>
  <c r="B4168"/>
  <c r="A4169"/>
  <c r="B4169"/>
  <c r="A4170"/>
  <c r="B4170"/>
  <c r="A4171"/>
  <c r="B4171"/>
  <c r="A4172"/>
  <c r="B4172"/>
  <c r="A4173"/>
  <c r="B4173"/>
  <c r="A4174"/>
  <c r="B4174"/>
  <c r="A4175"/>
  <c r="B4175"/>
  <c r="A4176"/>
  <c r="B4176"/>
  <c r="A4177"/>
  <c r="B4177"/>
  <c r="A4178"/>
  <c r="B4178"/>
  <c r="A4179"/>
  <c r="B4179"/>
  <c r="A4180"/>
  <c r="B4180"/>
  <c r="A4181"/>
  <c r="B4181"/>
  <c r="A4182"/>
  <c r="B4182"/>
  <c r="A4183"/>
  <c r="B4183"/>
  <c r="A4184"/>
  <c r="B4184"/>
  <c r="A4185"/>
  <c r="B4185"/>
  <c r="A4186"/>
  <c r="B4186"/>
  <c r="A4187"/>
  <c r="B4187"/>
  <c r="A4188"/>
  <c r="B4188"/>
  <c r="A4189"/>
  <c r="B4189"/>
  <c r="A4190"/>
  <c r="B4190"/>
  <c r="A4191"/>
  <c r="B4191"/>
  <c r="A4192"/>
  <c r="B4192"/>
  <c r="A4193"/>
  <c r="B4193"/>
  <c r="A4194"/>
  <c r="B4194"/>
  <c r="A4195"/>
  <c r="B4195"/>
  <c r="A4196"/>
  <c r="B4196"/>
  <c r="A4197"/>
  <c r="B4197"/>
  <c r="A4198"/>
  <c r="B4198"/>
  <c r="A4199"/>
  <c r="B4199"/>
  <c r="A4200"/>
  <c r="B4200"/>
  <c r="A4201"/>
  <c r="B4201"/>
  <c r="A4202"/>
  <c r="B4202"/>
  <c r="A4203"/>
  <c r="B4203"/>
  <c r="A4204"/>
  <c r="B4204"/>
  <c r="A4205"/>
  <c r="B4205"/>
  <c r="A4206"/>
  <c r="B4206"/>
  <c r="A4207"/>
  <c r="B4207"/>
  <c r="A4208"/>
  <c r="B4208"/>
  <c r="A4209"/>
  <c r="B4209"/>
  <c r="A4210"/>
  <c r="B4210"/>
  <c r="A4211"/>
  <c r="B4211"/>
  <c r="A4212"/>
  <c r="B4212"/>
  <c r="A4213"/>
  <c r="B4213"/>
  <c r="A4214"/>
  <c r="B4214"/>
  <c r="A4215"/>
  <c r="B4215"/>
  <c r="A4216"/>
  <c r="B4216"/>
  <c r="A4217"/>
  <c r="B4217"/>
  <c r="A4218"/>
  <c r="B4218"/>
  <c r="A4219"/>
  <c r="B4219"/>
  <c r="A4220"/>
  <c r="B4220"/>
  <c r="A4221"/>
  <c r="B4221"/>
  <c r="A4222"/>
  <c r="B4222"/>
  <c r="A4223"/>
  <c r="B4223"/>
  <c r="A4224"/>
  <c r="B4224"/>
  <c r="A4225"/>
  <c r="B4225"/>
  <c r="A4226"/>
  <c r="B4226"/>
  <c r="A4227"/>
  <c r="B4227"/>
  <c r="A4228"/>
  <c r="B4228"/>
  <c r="A4229"/>
  <c r="B4229"/>
  <c r="A4230"/>
  <c r="B4230"/>
  <c r="A4231"/>
  <c r="B4231"/>
  <c r="A4232"/>
  <c r="B4232"/>
  <c r="A4233"/>
  <c r="B4233"/>
  <c r="A4234"/>
  <c r="B4234"/>
  <c r="A4235"/>
  <c r="B4235"/>
  <c r="A4236"/>
  <c r="B4236"/>
  <c r="A4237"/>
  <c r="B4237"/>
  <c r="A4238"/>
  <c r="B4238"/>
  <c r="A4239"/>
  <c r="B4239"/>
  <c r="A4240"/>
  <c r="B4240"/>
  <c r="A4241"/>
  <c r="B4241"/>
  <c r="A4242"/>
  <c r="B4242"/>
  <c r="A4243"/>
  <c r="B4243"/>
  <c r="A4244"/>
  <c r="B4244"/>
  <c r="A4245"/>
  <c r="B4245"/>
  <c r="A4246"/>
  <c r="B4246"/>
  <c r="A4247"/>
  <c r="B4247"/>
  <c r="A4248"/>
  <c r="B4248"/>
  <c r="A4249"/>
  <c r="B4249"/>
  <c r="A4250"/>
  <c r="B4250"/>
  <c r="A4251"/>
  <c r="B4251"/>
  <c r="A4252"/>
  <c r="B4252"/>
  <c r="A4253"/>
  <c r="B4253"/>
  <c r="A4254"/>
  <c r="B4254"/>
  <c r="A4255"/>
  <c r="B4255"/>
  <c r="A4256"/>
  <c r="B4256"/>
  <c r="A4257"/>
  <c r="B4257"/>
  <c r="A4258"/>
  <c r="B4258"/>
  <c r="A4259"/>
  <c r="B4259"/>
  <c r="A4260"/>
  <c r="B4260"/>
  <c r="A4261"/>
  <c r="B4261"/>
  <c r="A4262"/>
  <c r="B4262"/>
  <c r="A4263"/>
  <c r="B4263"/>
  <c r="A4264"/>
  <c r="B4264"/>
  <c r="A4265"/>
  <c r="B4265"/>
  <c r="A4266"/>
  <c r="B4266"/>
  <c r="A4267"/>
  <c r="B4267"/>
  <c r="A4268"/>
  <c r="B4268"/>
  <c r="A4269"/>
  <c r="B4269"/>
  <c r="A4270"/>
  <c r="B4270"/>
  <c r="A4271"/>
  <c r="B4271"/>
  <c r="A4272"/>
  <c r="B4272"/>
  <c r="A4273"/>
  <c r="B4273"/>
  <c r="A4274"/>
  <c r="B4274"/>
  <c r="A4275"/>
  <c r="B4275"/>
  <c r="A4276"/>
  <c r="B4276"/>
  <c r="A4277"/>
  <c r="B4277"/>
  <c r="A4278"/>
  <c r="B4278"/>
  <c r="A4279"/>
  <c r="B4279"/>
  <c r="A4280"/>
  <c r="B4280"/>
  <c r="A4281"/>
  <c r="B4281"/>
  <c r="A4282"/>
  <c r="B4282"/>
  <c r="A4283"/>
  <c r="B4283"/>
  <c r="A4284"/>
  <c r="B4284"/>
  <c r="A4285"/>
  <c r="B4285"/>
  <c r="A4286"/>
  <c r="B4286"/>
  <c r="A4287"/>
  <c r="B4287"/>
  <c r="A4288"/>
  <c r="B4288"/>
  <c r="A4289"/>
  <c r="B4289"/>
  <c r="A4290"/>
  <c r="B4290"/>
  <c r="A4291"/>
  <c r="B4291"/>
  <c r="A4292"/>
  <c r="B4292"/>
  <c r="A4293"/>
  <c r="B4293"/>
  <c r="A4294"/>
  <c r="B4294"/>
  <c r="A4295"/>
  <c r="B4295"/>
  <c r="A4296"/>
  <c r="B4296"/>
  <c r="A4297"/>
  <c r="B4297"/>
  <c r="A4298"/>
  <c r="B4298"/>
  <c r="A4299"/>
  <c r="B4299"/>
  <c r="A4300"/>
  <c r="B4300"/>
  <c r="A4301"/>
  <c r="B4301"/>
  <c r="A4302"/>
  <c r="B4302"/>
  <c r="A4303"/>
  <c r="B4303"/>
  <c r="A4304"/>
  <c r="B4304"/>
  <c r="A4305"/>
  <c r="B4305"/>
  <c r="A4306"/>
  <c r="B4306"/>
  <c r="A4307"/>
  <c r="B4307"/>
  <c r="A4308"/>
  <c r="B4308"/>
  <c r="A4309"/>
  <c r="B4309"/>
  <c r="A4310"/>
  <c r="B4310"/>
  <c r="A4311"/>
  <c r="B4311"/>
  <c r="A4312"/>
  <c r="B4312"/>
  <c r="A4313"/>
  <c r="B4313"/>
  <c r="A4314"/>
  <c r="B4314"/>
  <c r="A4315"/>
  <c r="B4315"/>
  <c r="A4316"/>
  <c r="B4316"/>
  <c r="A4317"/>
  <c r="B4317"/>
  <c r="A4318"/>
  <c r="B4318"/>
  <c r="A4319"/>
  <c r="B4319"/>
  <c r="A4320"/>
  <c r="B4320"/>
  <c r="A4321"/>
  <c r="B4321"/>
  <c r="A4322"/>
  <c r="B4322"/>
  <c r="A4323"/>
  <c r="B4323"/>
  <c r="A4324"/>
  <c r="B4324"/>
  <c r="A4325"/>
  <c r="B4325"/>
  <c r="A4326"/>
  <c r="B4326"/>
  <c r="A4327"/>
  <c r="B4327"/>
  <c r="A4328"/>
  <c r="B4328"/>
  <c r="A4329"/>
  <c r="B4329"/>
  <c r="A4330"/>
  <c r="B4330"/>
  <c r="A4331"/>
  <c r="B4331"/>
  <c r="A4332"/>
  <c r="B4332"/>
  <c r="A4333"/>
  <c r="B4333"/>
  <c r="A4334"/>
  <c r="B4334"/>
  <c r="A4335"/>
  <c r="B4335"/>
  <c r="A4336"/>
  <c r="B4336"/>
  <c r="A4337"/>
  <c r="B4337"/>
  <c r="A4338"/>
  <c r="B4338"/>
  <c r="A4339"/>
  <c r="B4339"/>
  <c r="A4340"/>
  <c r="B4340"/>
  <c r="A4341"/>
  <c r="B4341"/>
  <c r="A4342"/>
  <c r="B4342"/>
  <c r="A4343"/>
  <c r="B4343"/>
  <c r="A4344"/>
  <c r="B4344"/>
  <c r="A4345"/>
  <c r="B4345"/>
  <c r="A4346"/>
  <c r="B4346"/>
  <c r="A4347"/>
  <c r="B4347"/>
  <c r="A4348"/>
  <c r="B4348"/>
  <c r="A4349"/>
  <c r="B4349"/>
  <c r="A4350"/>
  <c r="B4350"/>
  <c r="A4351"/>
  <c r="B4351"/>
  <c r="A4352"/>
  <c r="B4352"/>
  <c r="A4353"/>
  <c r="B4353"/>
  <c r="A4354"/>
  <c r="B4354"/>
  <c r="A4355"/>
  <c r="B4355"/>
  <c r="A4356"/>
  <c r="B4356"/>
  <c r="A4357"/>
  <c r="B4357"/>
  <c r="A4358"/>
  <c r="B4358"/>
  <c r="A4359"/>
  <c r="B4359"/>
  <c r="A4360"/>
  <c r="B4360"/>
  <c r="A4361"/>
  <c r="B4361"/>
  <c r="A4362"/>
  <c r="B4362"/>
  <c r="A4363"/>
  <c r="B4363"/>
  <c r="A4364"/>
  <c r="B4364"/>
  <c r="A4365"/>
  <c r="B4365"/>
  <c r="A4366"/>
  <c r="B4366"/>
  <c r="A4367"/>
  <c r="B4367"/>
  <c r="A4368"/>
  <c r="B4368"/>
  <c r="A4369"/>
  <c r="B4369"/>
  <c r="A4370"/>
  <c r="B4370"/>
  <c r="A4371"/>
  <c r="B4371"/>
  <c r="A4372"/>
  <c r="B4372"/>
  <c r="A4373"/>
  <c r="B4373"/>
  <c r="A4374"/>
  <c r="B4374"/>
  <c r="A4375"/>
  <c r="B4375"/>
  <c r="A4376"/>
  <c r="B4376"/>
  <c r="A4377"/>
  <c r="B4377"/>
  <c r="A4378"/>
  <c r="B4378"/>
  <c r="A4379"/>
  <c r="B4379"/>
  <c r="A4380"/>
  <c r="B4380"/>
  <c r="A4381"/>
  <c r="B4381"/>
  <c r="A4382"/>
  <c r="B4382"/>
  <c r="A4383"/>
  <c r="B4383"/>
  <c r="A4384"/>
  <c r="B4384"/>
  <c r="A4385"/>
  <c r="B4385"/>
  <c r="A4386"/>
  <c r="B4386"/>
  <c r="A4387"/>
  <c r="B4387"/>
  <c r="A4388"/>
  <c r="B4388"/>
  <c r="A4389"/>
  <c r="B4389"/>
  <c r="A4390"/>
  <c r="B4390"/>
  <c r="A4391"/>
  <c r="B4391"/>
  <c r="A4392"/>
  <c r="B4392"/>
  <c r="A4393"/>
  <c r="B4393"/>
  <c r="A4394"/>
  <c r="B4394"/>
  <c r="A4395"/>
  <c r="B4395"/>
  <c r="A4396"/>
  <c r="B4396"/>
  <c r="A4397"/>
  <c r="B4397"/>
  <c r="A4398"/>
  <c r="B4398"/>
  <c r="A4399"/>
  <c r="B4399"/>
  <c r="A4400"/>
  <c r="B4400"/>
  <c r="A4401"/>
  <c r="B4401"/>
  <c r="A4402"/>
  <c r="B4402"/>
  <c r="A4403"/>
  <c r="B4403"/>
  <c r="A4404"/>
  <c r="B4404"/>
  <c r="A4405"/>
  <c r="B4405"/>
  <c r="A4406"/>
  <c r="B4406"/>
  <c r="A4407"/>
  <c r="B4407"/>
  <c r="A4408"/>
  <c r="B4408"/>
  <c r="A4409"/>
  <c r="B4409"/>
  <c r="A4410"/>
  <c r="B4410"/>
  <c r="A4411"/>
  <c r="B4411"/>
  <c r="A4412"/>
  <c r="B4412"/>
  <c r="A4413"/>
  <c r="B4413"/>
  <c r="A4414"/>
  <c r="B4414"/>
  <c r="A4415"/>
  <c r="B4415"/>
  <c r="A4416"/>
  <c r="B4416"/>
  <c r="A4417"/>
  <c r="B4417"/>
  <c r="A4418"/>
  <c r="B4418"/>
  <c r="A4419"/>
  <c r="B4419"/>
  <c r="A4420"/>
  <c r="B4420"/>
  <c r="A4421"/>
  <c r="B4421"/>
  <c r="A4422"/>
  <c r="B4422"/>
  <c r="A4423"/>
  <c r="B4423"/>
  <c r="A4424"/>
  <c r="B4424"/>
  <c r="A4425"/>
  <c r="B4425"/>
  <c r="A4426"/>
  <c r="B4426"/>
  <c r="A4427"/>
  <c r="B4427"/>
  <c r="A4428"/>
  <c r="B4428"/>
  <c r="A4429"/>
  <c r="B4429"/>
  <c r="A4430"/>
  <c r="B4430"/>
  <c r="A4431"/>
  <c r="B4431"/>
  <c r="A4432"/>
  <c r="B4432"/>
  <c r="A4433"/>
  <c r="B4433"/>
  <c r="A4434"/>
  <c r="B4434"/>
  <c r="A4435"/>
  <c r="B4435"/>
  <c r="A4436"/>
  <c r="B4436"/>
  <c r="A4437"/>
  <c r="B4437"/>
  <c r="A4438"/>
  <c r="B4438"/>
  <c r="A4439"/>
  <c r="B4439"/>
  <c r="A4440"/>
  <c r="B4440"/>
  <c r="A4441"/>
  <c r="B4441"/>
  <c r="A4442"/>
  <c r="B4442"/>
  <c r="A4443"/>
  <c r="B4443"/>
  <c r="A4444"/>
  <c r="B4444"/>
  <c r="A4445"/>
  <c r="B4445"/>
  <c r="A4446"/>
  <c r="B4446"/>
  <c r="A4447"/>
  <c r="B4447"/>
  <c r="A4448"/>
  <c r="B4448"/>
  <c r="A4449"/>
  <c r="B4449"/>
  <c r="A4450"/>
  <c r="B4450"/>
  <c r="A4451"/>
  <c r="B4451"/>
  <c r="A4452"/>
  <c r="B4452"/>
  <c r="A4453"/>
  <c r="B4453"/>
  <c r="A4454"/>
  <c r="B4454"/>
  <c r="A4455"/>
  <c r="B4455"/>
  <c r="A4456"/>
  <c r="B4456"/>
  <c r="A4457"/>
  <c r="B4457"/>
  <c r="A4458"/>
  <c r="B4458"/>
  <c r="A4459"/>
  <c r="B4459"/>
  <c r="A4460"/>
  <c r="B4460"/>
  <c r="A4461"/>
  <c r="B4461"/>
  <c r="A4462"/>
  <c r="B4462"/>
  <c r="A4463"/>
  <c r="B4463"/>
  <c r="A4464"/>
  <c r="B4464"/>
  <c r="A4465"/>
  <c r="B4465"/>
  <c r="A4466"/>
  <c r="B4466"/>
  <c r="A4467"/>
  <c r="B4467"/>
  <c r="A4468"/>
  <c r="B4468"/>
  <c r="A4469"/>
  <c r="B4469"/>
  <c r="A4470"/>
  <c r="B4470"/>
  <c r="A4471"/>
  <c r="B4471"/>
  <c r="A4472"/>
  <c r="B4472"/>
  <c r="A4473"/>
  <c r="B4473"/>
  <c r="A4474"/>
  <c r="B4474"/>
  <c r="A4475"/>
  <c r="B4475"/>
  <c r="A4476"/>
  <c r="B4476"/>
  <c r="A4477"/>
  <c r="B4477"/>
  <c r="A4478"/>
  <c r="B4478"/>
  <c r="A4479"/>
  <c r="B4479"/>
  <c r="A4480"/>
  <c r="B4480"/>
  <c r="A4481"/>
  <c r="B4481"/>
  <c r="A4482"/>
  <c r="B4482"/>
  <c r="A4483"/>
  <c r="B4483"/>
  <c r="A4484"/>
  <c r="B4484"/>
  <c r="A4485"/>
  <c r="B4485"/>
  <c r="A4486"/>
  <c r="B4486"/>
  <c r="A4487"/>
  <c r="B4487"/>
  <c r="A4488"/>
  <c r="B4488"/>
  <c r="A4489"/>
  <c r="B4489"/>
  <c r="A4490"/>
  <c r="B4490"/>
  <c r="A4491"/>
  <c r="B4491"/>
  <c r="A4492"/>
  <c r="B4492"/>
  <c r="A4493"/>
  <c r="B4493"/>
  <c r="A4494"/>
  <c r="B4494"/>
  <c r="A4495"/>
  <c r="B4495"/>
  <c r="A4496"/>
  <c r="B4496"/>
  <c r="A4497"/>
  <c r="B4497"/>
  <c r="A4498"/>
  <c r="B4498"/>
  <c r="A4499"/>
  <c r="B4499"/>
  <c r="A4500"/>
  <c r="B4500"/>
  <c r="A4501"/>
  <c r="B4501"/>
  <c r="A4502"/>
  <c r="B4502"/>
  <c r="A4503"/>
  <c r="B4503"/>
  <c r="A4504"/>
  <c r="B4504"/>
  <c r="A4505"/>
  <c r="B4505"/>
  <c r="A4506"/>
  <c r="B4506"/>
  <c r="A4507"/>
  <c r="B4507"/>
  <c r="A4508"/>
  <c r="B4508"/>
  <c r="A4509"/>
  <c r="B4509"/>
  <c r="A4510"/>
  <c r="B4510"/>
  <c r="A4511"/>
  <c r="B4511"/>
  <c r="A4512"/>
  <c r="B4512"/>
  <c r="A4513"/>
  <c r="B4513"/>
  <c r="A4514"/>
  <c r="B4514"/>
  <c r="A4515"/>
  <c r="B4515"/>
  <c r="A4516"/>
  <c r="B4516"/>
  <c r="A4517"/>
  <c r="B4517"/>
  <c r="A4518"/>
  <c r="B4518"/>
  <c r="A4519"/>
  <c r="B4519"/>
  <c r="A4520"/>
  <c r="B4520"/>
  <c r="A4521"/>
  <c r="B4521"/>
  <c r="A4522"/>
  <c r="B4522"/>
  <c r="A4523"/>
  <c r="B4523"/>
  <c r="A4524"/>
  <c r="B4524"/>
  <c r="A4525"/>
  <c r="B4525"/>
  <c r="A4526"/>
  <c r="B4526"/>
  <c r="A4527"/>
  <c r="B4527"/>
  <c r="A4528"/>
  <c r="B4528"/>
  <c r="A4529"/>
  <c r="B4529"/>
  <c r="A4530"/>
  <c r="B4530"/>
  <c r="A4531"/>
  <c r="B4531"/>
  <c r="A4532"/>
  <c r="B4532"/>
  <c r="A4533"/>
  <c r="B4533"/>
  <c r="A4534"/>
  <c r="B4534"/>
  <c r="A4535"/>
  <c r="B4535"/>
  <c r="A4536"/>
  <c r="B4536"/>
  <c r="A4537"/>
  <c r="B4537"/>
  <c r="A4538"/>
  <c r="B4538"/>
  <c r="A4539"/>
  <c r="B4539"/>
  <c r="A4540"/>
  <c r="B4540"/>
  <c r="A4541"/>
  <c r="B4541"/>
  <c r="A4542"/>
  <c r="B4542"/>
  <c r="A4543"/>
  <c r="B4543"/>
  <c r="A4544"/>
  <c r="B4544"/>
  <c r="A4545"/>
  <c r="B4545"/>
  <c r="A4546"/>
  <c r="B4546"/>
  <c r="A4547"/>
  <c r="B4547"/>
  <c r="A4548"/>
  <c r="B4548"/>
  <c r="A4549"/>
  <c r="B4549"/>
  <c r="A4550"/>
  <c r="B4550"/>
  <c r="A4551"/>
  <c r="B4551"/>
  <c r="A4552"/>
  <c r="B4552"/>
  <c r="A4553"/>
  <c r="B4553"/>
  <c r="A4554"/>
  <c r="B4554"/>
  <c r="A4555"/>
  <c r="B4555"/>
  <c r="A4556"/>
  <c r="B4556"/>
  <c r="A4557"/>
  <c r="B4557"/>
  <c r="A4558"/>
  <c r="B4558"/>
  <c r="A4559"/>
  <c r="B4559"/>
  <c r="A4560"/>
  <c r="B4560"/>
  <c r="A4561"/>
  <c r="B4561"/>
  <c r="A4562"/>
  <c r="B4562"/>
  <c r="A4563"/>
  <c r="B4563"/>
  <c r="A4564"/>
  <c r="B4564"/>
  <c r="A4565"/>
  <c r="B4565"/>
  <c r="A4566"/>
  <c r="B4566"/>
  <c r="A4567"/>
  <c r="B4567"/>
  <c r="A4568"/>
  <c r="B4568"/>
  <c r="A4569"/>
  <c r="B4569"/>
  <c r="A4570"/>
  <c r="B4570"/>
  <c r="A4571"/>
  <c r="B4571"/>
  <c r="A4572"/>
  <c r="B4572"/>
  <c r="A4573"/>
  <c r="B4573"/>
  <c r="A4574"/>
  <c r="B4574"/>
  <c r="A4575"/>
  <c r="B4575"/>
  <c r="A4576"/>
  <c r="B4576"/>
  <c r="A4577"/>
  <c r="B4577"/>
  <c r="A4578"/>
  <c r="B4578"/>
  <c r="A4579"/>
  <c r="B4579"/>
  <c r="A4580"/>
  <c r="B4580"/>
  <c r="A4581"/>
  <c r="B4581"/>
  <c r="A4582"/>
  <c r="B4582"/>
  <c r="A4583"/>
  <c r="B4583"/>
  <c r="A4584"/>
  <c r="B4584"/>
  <c r="A4585"/>
  <c r="B4585"/>
  <c r="A4586"/>
  <c r="B4586"/>
  <c r="A4587"/>
  <c r="B4587"/>
  <c r="A4588"/>
  <c r="B4588"/>
  <c r="A4589"/>
  <c r="B4589"/>
  <c r="A4590"/>
  <c r="B4590"/>
  <c r="A4591"/>
  <c r="B4591"/>
  <c r="A4592"/>
  <c r="B4592"/>
  <c r="A4593"/>
  <c r="B4593"/>
  <c r="A4594"/>
  <c r="B4594"/>
  <c r="A4595"/>
  <c r="B4595"/>
  <c r="A4596"/>
  <c r="B4596"/>
  <c r="A4597"/>
  <c r="B4597"/>
  <c r="A4598"/>
  <c r="B4598"/>
  <c r="A4599"/>
  <c r="B4599"/>
  <c r="A4600"/>
  <c r="B4600"/>
  <c r="A4601"/>
  <c r="B4601"/>
  <c r="A4602"/>
  <c r="B4602"/>
  <c r="A4603"/>
  <c r="B4603"/>
  <c r="A4604"/>
  <c r="B4604"/>
  <c r="A4605"/>
  <c r="B4605"/>
  <c r="A4606"/>
  <c r="B4606"/>
  <c r="A4607"/>
  <c r="B4607"/>
  <c r="A4608"/>
  <c r="B4608"/>
  <c r="A4609"/>
  <c r="B4609"/>
  <c r="A4610"/>
  <c r="B4610"/>
  <c r="A4611"/>
  <c r="B4611"/>
  <c r="A4612"/>
  <c r="B4612"/>
  <c r="A4613"/>
  <c r="B4613"/>
  <c r="A4614"/>
  <c r="B4614"/>
  <c r="A4615"/>
  <c r="B4615"/>
  <c r="A4616"/>
  <c r="B4616"/>
  <c r="A4617"/>
  <c r="B4617"/>
  <c r="A4618"/>
  <c r="B4618"/>
  <c r="A4619"/>
  <c r="B4619"/>
  <c r="A4620"/>
  <c r="B4620"/>
  <c r="A4621"/>
  <c r="B4621"/>
  <c r="A4622"/>
  <c r="B4622"/>
  <c r="A4623"/>
  <c r="B4623"/>
  <c r="A4624"/>
  <c r="B4624"/>
  <c r="A4625"/>
  <c r="B4625"/>
  <c r="A4626"/>
  <c r="B4626"/>
  <c r="A4627"/>
  <c r="B4627"/>
  <c r="A4628"/>
  <c r="B4628"/>
  <c r="A4629"/>
  <c r="B4629"/>
  <c r="A4630"/>
  <c r="B4630"/>
  <c r="A4631"/>
  <c r="B4631"/>
  <c r="A4632"/>
  <c r="B4632"/>
  <c r="A4633"/>
  <c r="B4633"/>
  <c r="A4634"/>
  <c r="B4634"/>
  <c r="A4635"/>
  <c r="B4635"/>
  <c r="A4636"/>
  <c r="B4636"/>
  <c r="A4637"/>
  <c r="B4637"/>
  <c r="A4638"/>
  <c r="B4638"/>
  <c r="A4639"/>
  <c r="B4639"/>
  <c r="A4640"/>
  <c r="B4640"/>
  <c r="A4641"/>
  <c r="B4641"/>
  <c r="A4642"/>
  <c r="B4642"/>
  <c r="A4643"/>
  <c r="B4643"/>
  <c r="A4644"/>
  <c r="B4644"/>
  <c r="A4645"/>
  <c r="B4645"/>
  <c r="A4646"/>
  <c r="B4646"/>
  <c r="A4647"/>
  <c r="B4647"/>
  <c r="A4648"/>
  <c r="B4648"/>
  <c r="A4649"/>
  <c r="B4649"/>
  <c r="A4650"/>
  <c r="B4650"/>
  <c r="A4651"/>
  <c r="B4651"/>
  <c r="A4652"/>
  <c r="B4652"/>
  <c r="A4653"/>
  <c r="B4653"/>
  <c r="A4654"/>
  <c r="B4654"/>
  <c r="A4655"/>
  <c r="B4655"/>
  <c r="A4656"/>
  <c r="B4656"/>
  <c r="A4657"/>
  <c r="B4657"/>
  <c r="A4658"/>
  <c r="B4658"/>
  <c r="A4659"/>
  <c r="B4659"/>
  <c r="A4660"/>
  <c r="B4660"/>
  <c r="A4661"/>
  <c r="B4661"/>
  <c r="A4662"/>
  <c r="B4662"/>
  <c r="A4663"/>
  <c r="B4663"/>
  <c r="A4664"/>
  <c r="B4664"/>
  <c r="A4665"/>
  <c r="B4665"/>
  <c r="A4666"/>
  <c r="B4666"/>
  <c r="A4667"/>
  <c r="B4667"/>
  <c r="A4668"/>
  <c r="B4668"/>
  <c r="A4669"/>
  <c r="B4669"/>
  <c r="A4670"/>
  <c r="B4670"/>
  <c r="A4671"/>
  <c r="B4671"/>
  <c r="A4672"/>
  <c r="B4672"/>
  <c r="A4673"/>
  <c r="B4673"/>
  <c r="A4674"/>
  <c r="B4674"/>
  <c r="A4675"/>
  <c r="B4675"/>
  <c r="A4676"/>
  <c r="B4676"/>
  <c r="A4677"/>
  <c r="B4677"/>
  <c r="A4678"/>
  <c r="B4678"/>
  <c r="A4679"/>
  <c r="B4679"/>
  <c r="A4680"/>
  <c r="B4680"/>
  <c r="A4681"/>
  <c r="B4681"/>
  <c r="A4682"/>
  <c r="B4682"/>
  <c r="A4683"/>
  <c r="B4683"/>
  <c r="A4684"/>
  <c r="B4684"/>
  <c r="A4685"/>
  <c r="B4685"/>
  <c r="A4686"/>
  <c r="B4686"/>
  <c r="A4687"/>
  <c r="B4687"/>
  <c r="A4688"/>
  <c r="B4688"/>
  <c r="A4689"/>
  <c r="B4689"/>
  <c r="A4690"/>
  <c r="B4690"/>
  <c r="A4691"/>
  <c r="B4691"/>
  <c r="A4692"/>
  <c r="B4692"/>
  <c r="A4693"/>
  <c r="B4693"/>
  <c r="A4694"/>
  <c r="B4694"/>
  <c r="A4695"/>
  <c r="B4695"/>
  <c r="A4696"/>
  <c r="B4696"/>
  <c r="A4697"/>
  <c r="B4697"/>
  <c r="A4698"/>
  <c r="B4698"/>
  <c r="A4699"/>
  <c r="B4699"/>
  <c r="A4700"/>
  <c r="B4700"/>
  <c r="A4701"/>
  <c r="B4701"/>
  <c r="A4702"/>
  <c r="B4702"/>
  <c r="A4703"/>
  <c r="B4703"/>
  <c r="A4704"/>
  <c r="B4704"/>
  <c r="A4705"/>
  <c r="B4705"/>
  <c r="A4706"/>
  <c r="B4706"/>
  <c r="A4707"/>
  <c r="B4707"/>
  <c r="A4708"/>
  <c r="B4708"/>
  <c r="A4709"/>
  <c r="B4709"/>
  <c r="A4710"/>
  <c r="B4710"/>
  <c r="A4711"/>
  <c r="B4711"/>
  <c r="A4712"/>
  <c r="B4712"/>
  <c r="A4713"/>
  <c r="B4713"/>
  <c r="A4714"/>
  <c r="B4714"/>
  <c r="A4715"/>
  <c r="B4715"/>
  <c r="A4716"/>
  <c r="B4716"/>
  <c r="A4717"/>
  <c r="B4717"/>
  <c r="A4718"/>
  <c r="B4718"/>
  <c r="A4719"/>
  <c r="B4719"/>
  <c r="A4720"/>
  <c r="B4720"/>
  <c r="A4721"/>
  <c r="B4721"/>
  <c r="A4722"/>
  <c r="B4722"/>
  <c r="A4723"/>
  <c r="B4723"/>
  <c r="A4724"/>
  <c r="B4724"/>
  <c r="A4725"/>
  <c r="B4725"/>
  <c r="A4726"/>
  <c r="B4726"/>
  <c r="A4727"/>
  <c r="B4727"/>
  <c r="A4728"/>
  <c r="B4728"/>
  <c r="A4729"/>
  <c r="B4729"/>
  <c r="A4730"/>
  <c r="B4730"/>
  <c r="A4731"/>
  <c r="B4731"/>
  <c r="A4732"/>
  <c r="B4732"/>
  <c r="A4733"/>
  <c r="B4733"/>
  <c r="A4734"/>
  <c r="B4734"/>
  <c r="A4735"/>
  <c r="B4735"/>
  <c r="A4736"/>
  <c r="B4736"/>
  <c r="A4737"/>
  <c r="B4737"/>
  <c r="A4738"/>
  <c r="B4738"/>
  <c r="A4739"/>
  <c r="B4739"/>
  <c r="A4740"/>
  <c r="B4740"/>
  <c r="A4741"/>
  <c r="B4741"/>
  <c r="A4742"/>
  <c r="B4742"/>
  <c r="A4743"/>
  <c r="B4743"/>
  <c r="A4744"/>
  <c r="B4744"/>
  <c r="A4745"/>
  <c r="B4745"/>
  <c r="A4746"/>
  <c r="B4746"/>
  <c r="A4747"/>
  <c r="B4747"/>
  <c r="A4748"/>
  <c r="B4748"/>
  <c r="A4749"/>
  <c r="B4749"/>
  <c r="A4750"/>
  <c r="B4750"/>
  <c r="A4751"/>
  <c r="B4751"/>
  <c r="A4752"/>
  <c r="B4752"/>
  <c r="A4753"/>
  <c r="B4753"/>
  <c r="A4754"/>
  <c r="B4754"/>
  <c r="A4755"/>
  <c r="B4755"/>
  <c r="A4756"/>
  <c r="B4756"/>
  <c r="A4757"/>
  <c r="B4757"/>
  <c r="A4758"/>
  <c r="B4758"/>
  <c r="A4759"/>
  <c r="B4759"/>
  <c r="A4760"/>
  <c r="B4760"/>
  <c r="A4761"/>
  <c r="B4761"/>
  <c r="A4762"/>
  <c r="B4762"/>
  <c r="A4763"/>
  <c r="B4763"/>
  <c r="A4764"/>
  <c r="B4764"/>
  <c r="A4765"/>
  <c r="B4765"/>
  <c r="A4766"/>
  <c r="B4766"/>
  <c r="A4767"/>
  <c r="B4767"/>
  <c r="A4768"/>
  <c r="B4768"/>
  <c r="A4769"/>
  <c r="B4769"/>
  <c r="A4770"/>
  <c r="B4770"/>
  <c r="A4771"/>
  <c r="B4771"/>
  <c r="A4772"/>
  <c r="B4772"/>
  <c r="A4773"/>
  <c r="B4773"/>
  <c r="A4774"/>
  <c r="B4774"/>
  <c r="A4775"/>
  <c r="B4775"/>
  <c r="A4776"/>
  <c r="B4776"/>
  <c r="A4777"/>
  <c r="B4777"/>
  <c r="A4778"/>
  <c r="B4778"/>
  <c r="A4779"/>
  <c r="B4779"/>
  <c r="A4780"/>
  <c r="B4780"/>
  <c r="A4781"/>
  <c r="B4781"/>
  <c r="A4782"/>
  <c r="B4782"/>
  <c r="A4783"/>
  <c r="B4783"/>
  <c r="A4784"/>
  <c r="B4784"/>
  <c r="A4785"/>
  <c r="B4785"/>
  <c r="A4786"/>
  <c r="B4786"/>
  <c r="A4787"/>
  <c r="B4787"/>
  <c r="A4788"/>
  <c r="B4788"/>
  <c r="A4789"/>
  <c r="B4789"/>
  <c r="A4790"/>
  <c r="B4790"/>
  <c r="A4791"/>
  <c r="B4791"/>
  <c r="A4792"/>
  <c r="B4792"/>
  <c r="A4793"/>
  <c r="B4793"/>
  <c r="A4794"/>
  <c r="B4794"/>
  <c r="A4795"/>
  <c r="B4795"/>
  <c r="A4796"/>
  <c r="B4796"/>
  <c r="A4797"/>
  <c r="B4797"/>
  <c r="A4798"/>
  <c r="B4798"/>
  <c r="A4799"/>
  <c r="B4799"/>
  <c r="A4800"/>
  <c r="B4800"/>
  <c r="A4801"/>
  <c r="B4801"/>
  <c r="A4802"/>
  <c r="B4802"/>
  <c r="A4803"/>
  <c r="B4803"/>
  <c r="A4804"/>
  <c r="B4804"/>
  <c r="A4805"/>
  <c r="B4805"/>
  <c r="A4806"/>
  <c r="B4806"/>
  <c r="A4807"/>
  <c r="B4807"/>
  <c r="A4808"/>
  <c r="B4808"/>
  <c r="A4809"/>
  <c r="B4809"/>
  <c r="A4810"/>
  <c r="B4810"/>
  <c r="A4811"/>
  <c r="B4811"/>
  <c r="A4812"/>
  <c r="B4812"/>
  <c r="A4813"/>
  <c r="B4813"/>
  <c r="A4814"/>
  <c r="B4814"/>
  <c r="A4815"/>
  <c r="B4815"/>
  <c r="A4816"/>
  <c r="B4816"/>
  <c r="A4817"/>
  <c r="B4817"/>
  <c r="A4818"/>
  <c r="B4818"/>
  <c r="A4819"/>
  <c r="B4819"/>
  <c r="A4820"/>
  <c r="B4820"/>
  <c r="A4821"/>
  <c r="B4821"/>
  <c r="A4822"/>
  <c r="B4822"/>
  <c r="A4823"/>
  <c r="B4823"/>
  <c r="A4824"/>
  <c r="B4824"/>
  <c r="A4825"/>
  <c r="B4825"/>
  <c r="A4826"/>
  <c r="B4826"/>
  <c r="A4827"/>
  <c r="B4827"/>
  <c r="A4828"/>
  <c r="B4828"/>
  <c r="A4829"/>
  <c r="B4829"/>
  <c r="A4830"/>
  <c r="B4830"/>
  <c r="A4831"/>
  <c r="B4831"/>
  <c r="A4832"/>
  <c r="B4832"/>
  <c r="A4833"/>
  <c r="B4833"/>
  <c r="A4834"/>
  <c r="B4834"/>
  <c r="A4835"/>
  <c r="B4835"/>
  <c r="A4836"/>
  <c r="B4836"/>
  <c r="A4837"/>
  <c r="B4837"/>
  <c r="A4838"/>
  <c r="B4838"/>
  <c r="A4839"/>
  <c r="B4839"/>
  <c r="A4840"/>
  <c r="B4840"/>
  <c r="A4841"/>
  <c r="B4841"/>
  <c r="A4842"/>
  <c r="B4842"/>
  <c r="A4843"/>
  <c r="B4843"/>
  <c r="A4844"/>
  <c r="B4844"/>
  <c r="A4845"/>
  <c r="B4845"/>
  <c r="A4846"/>
  <c r="B4846"/>
  <c r="A4847"/>
  <c r="B4847"/>
  <c r="A4848"/>
  <c r="B4848"/>
  <c r="A4849"/>
  <c r="B4849"/>
  <c r="A4850"/>
  <c r="B4850"/>
  <c r="A4851"/>
  <c r="B4851"/>
  <c r="A4852"/>
  <c r="B4852"/>
  <c r="A4853"/>
  <c r="B4853"/>
  <c r="A4854"/>
  <c r="B4854"/>
  <c r="A4855"/>
  <c r="B4855"/>
  <c r="A4856"/>
  <c r="B4856"/>
  <c r="A4857"/>
  <c r="B4857"/>
  <c r="A4858"/>
  <c r="B4858"/>
  <c r="A4859"/>
  <c r="B4859"/>
  <c r="A4860"/>
  <c r="B4860"/>
  <c r="A4861"/>
  <c r="B4861"/>
  <c r="A4862"/>
  <c r="B4862"/>
  <c r="A4863"/>
  <c r="B4863"/>
  <c r="A4864"/>
  <c r="B4864"/>
  <c r="A4865"/>
  <c r="B4865"/>
  <c r="A4866"/>
  <c r="B4866"/>
  <c r="A4867"/>
  <c r="B4867"/>
  <c r="A4868"/>
  <c r="B4868"/>
  <c r="A4869"/>
  <c r="B4869"/>
  <c r="A4870"/>
  <c r="B4870"/>
  <c r="A4871"/>
  <c r="B4871"/>
  <c r="A4872"/>
  <c r="B4872"/>
  <c r="A4873"/>
  <c r="B4873"/>
  <c r="A4874"/>
  <c r="B4874"/>
  <c r="A4875"/>
  <c r="B4875"/>
  <c r="A4876"/>
  <c r="B4876"/>
  <c r="A4877"/>
  <c r="B4877"/>
  <c r="A4878"/>
  <c r="B4878"/>
  <c r="A4879"/>
  <c r="B4879"/>
  <c r="A4880"/>
  <c r="B4880"/>
  <c r="A4881"/>
  <c r="B4881"/>
  <c r="A4882"/>
  <c r="B4882"/>
  <c r="A4883"/>
  <c r="B4883"/>
  <c r="A4884"/>
  <c r="B4884"/>
  <c r="A4885"/>
  <c r="B4885"/>
  <c r="A4886"/>
  <c r="B4886"/>
  <c r="A4887"/>
  <c r="B4887"/>
  <c r="A4888"/>
  <c r="B4888"/>
  <c r="A4889"/>
  <c r="B4889"/>
  <c r="A4890"/>
  <c r="B4890"/>
  <c r="A4891"/>
  <c r="B4891"/>
  <c r="A4892"/>
  <c r="B4892"/>
  <c r="A4893"/>
  <c r="B4893"/>
  <c r="A4894"/>
  <c r="B4894"/>
  <c r="A4895"/>
  <c r="B4895"/>
  <c r="A4896"/>
  <c r="B4896"/>
  <c r="A4897"/>
  <c r="B4897"/>
  <c r="A4898"/>
  <c r="B4898"/>
  <c r="A4899"/>
  <c r="B4899"/>
  <c r="A4900"/>
  <c r="B4900"/>
  <c r="A4901"/>
  <c r="B4901"/>
  <c r="A4902"/>
  <c r="B4902"/>
  <c r="A4903"/>
  <c r="B4903"/>
  <c r="A4904"/>
  <c r="B4904"/>
  <c r="A4905"/>
  <c r="B4905"/>
  <c r="A4906"/>
  <c r="B4906"/>
  <c r="A4907"/>
  <c r="B4907"/>
  <c r="A4908"/>
  <c r="B4908"/>
  <c r="A4909"/>
  <c r="B4909"/>
  <c r="A4910"/>
  <c r="B4910"/>
  <c r="A4911"/>
  <c r="B4911"/>
  <c r="A4912"/>
  <c r="B4912"/>
  <c r="A4913"/>
  <c r="B4913"/>
  <c r="A4914"/>
  <c r="B4914"/>
  <c r="A4915"/>
  <c r="B4915"/>
  <c r="A4916"/>
  <c r="B4916"/>
  <c r="A4917"/>
  <c r="B4917"/>
  <c r="A4918"/>
  <c r="B4918"/>
  <c r="A4919"/>
  <c r="B4919"/>
  <c r="A4920"/>
  <c r="B4920"/>
  <c r="A4921"/>
  <c r="B4921"/>
  <c r="A4922"/>
  <c r="B4922"/>
  <c r="A4923"/>
  <c r="B4923"/>
  <c r="A4924"/>
  <c r="B4924"/>
  <c r="A4925"/>
  <c r="B4925"/>
  <c r="A4926"/>
  <c r="B4926"/>
  <c r="A4927"/>
  <c r="B4927"/>
  <c r="A4928"/>
  <c r="B4928"/>
  <c r="A4929"/>
  <c r="B4929"/>
  <c r="A4930"/>
  <c r="B4930"/>
  <c r="A4931"/>
  <c r="B4931"/>
  <c r="A4932"/>
  <c r="B4932"/>
  <c r="A4933"/>
  <c r="B4933"/>
  <c r="A4934"/>
  <c r="B4934"/>
  <c r="A4935"/>
  <c r="B4935"/>
  <c r="A4936"/>
  <c r="B4936"/>
  <c r="A4937"/>
  <c r="B4937"/>
  <c r="A4938"/>
  <c r="B4938"/>
  <c r="A4939"/>
  <c r="B4939"/>
  <c r="A4940"/>
  <c r="B4940"/>
  <c r="A4941"/>
  <c r="B4941"/>
  <c r="A4942"/>
  <c r="B4942"/>
  <c r="A4943"/>
  <c r="B4943"/>
  <c r="A4944"/>
  <c r="B4944"/>
  <c r="A4945"/>
  <c r="B4945"/>
  <c r="A4946"/>
  <c r="B4946"/>
  <c r="A4947"/>
  <c r="B4947"/>
  <c r="A4948"/>
  <c r="B4948"/>
  <c r="A4949"/>
  <c r="B4949"/>
  <c r="A4950"/>
  <c r="B4950"/>
  <c r="A4951"/>
  <c r="B4951"/>
  <c r="A4952"/>
  <c r="B4952"/>
  <c r="A4953"/>
  <c r="B4953"/>
  <c r="A4954"/>
  <c r="B4954"/>
  <c r="A4955"/>
  <c r="B4955"/>
  <c r="A4956"/>
  <c r="B4956"/>
  <c r="A4957"/>
  <c r="B4957"/>
  <c r="A4958"/>
  <c r="B4958"/>
  <c r="A4959"/>
  <c r="B4959"/>
  <c r="A4960"/>
  <c r="B4960"/>
  <c r="A4961"/>
  <c r="B4961"/>
  <c r="A4962"/>
  <c r="B4962"/>
  <c r="A4963"/>
  <c r="B4963"/>
  <c r="A4964"/>
  <c r="B4964"/>
  <c r="A4965"/>
  <c r="B4965"/>
  <c r="A4966"/>
  <c r="B4966"/>
  <c r="A4967"/>
  <c r="B4967"/>
  <c r="A4968"/>
  <c r="B4968"/>
  <c r="A4969"/>
  <c r="B4969"/>
  <c r="A4970"/>
  <c r="B4970"/>
  <c r="A4971"/>
  <c r="B4971"/>
  <c r="A4972"/>
  <c r="B4972"/>
  <c r="A4973"/>
  <c r="B4973"/>
  <c r="A4974"/>
  <c r="B4974"/>
  <c r="A4975"/>
  <c r="B4975"/>
  <c r="A4976"/>
  <c r="B4976"/>
  <c r="A4977"/>
  <c r="B4977"/>
  <c r="A4978"/>
  <c r="B4978"/>
  <c r="A4979"/>
  <c r="B4979"/>
  <c r="A4980"/>
  <c r="B4980"/>
  <c r="A4981"/>
  <c r="B4981"/>
  <c r="A4982"/>
  <c r="B4982"/>
  <c r="A4983"/>
  <c r="B4983"/>
  <c r="A4984"/>
  <c r="A4985"/>
  <c r="B4985"/>
  <c r="A4986"/>
  <c r="B4986"/>
  <c r="A4987"/>
  <c r="B4987"/>
  <c r="A4988"/>
  <c r="B4988"/>
  <c r="A4989"/>
  <c r="B4989"/>
  <c r="A4990"/>
  <c r="B4990"/>
  <c r="A4991"/>
  <c r="B4991"/>
  <c r="A4992"/>
  <c r="B4992"/>
  <c r="A4993"/>
  <c r="B4993"/>
  <c r="A4994"/>
  <c r="B4994"/>
  <c r="A4995"/>
  <c r="B4995"/>
  <c r="A4996"/>
  <c r="B4996"/>
  <c r="A4997"/>
  <c r="B4997"/>
  <c r="A4998"/>
  <c r="B4998"/>
  <c r="A4999"/>
  <c r="B4999"/>
  <c r="A5000"/>
  <c r="B5000"/>
  <c r="A5001"/>
  <c r="B5001"/>
  <c r="A5002"/>
  <c r="B5002"/>
  <c r="A5003"/>
  <c r="B5003"/>
  <c r="A5004"/>
  <c r="B5004"/>
  <c r="A5005"/>
  <c r="B5005"/>
  <c r="A5006"/>
  <c r="B5006"/>
  <c r="A5007"/>
  <c r="B5007"/>
  <c r="A5008"/>
  <c r="B5008"/>
  <c r="A5009"/>
  <c r="B5009"/>
  <c r="A5010"/>
  <c r="B5010"/>
  <c r="A5011"/>
  <c r="B5011"/>
  <c r="A5012"/>
  <c r="B5012"/>
  <c r="A5013"/>
  <c r="B5013"/>
  <c r="A5014"/>
  <c r="B5014"/>
  <c r="A5015"/>
  <c r="B5015"/>
  <c r="A5016"/>
  <c r="B5016"/>
  <c r="A5017"/>
  <c r="B5017"/>
  <c r="A5018"/>
  <c r="B5018"/>
  <c r="A5019"/>
  <c r="B5019"/>
  <c r="A5020"/>
  <c r="B5020"/>
  <c r="A5021"/>
  <c r="B5021"/>
  <c r="A5022"/>
  <c r="B5022"/>
  <c r="A5023"/>
  <c r="B5023"/>
  <c r="A5024"/>
  <c r="B5024"/>
  <c r="A5025"/>
  <c r="B5025"/>
  <c r="A5026"/>
  <c r="B5026"/>
  <c r="A5027"/>
  <c r="B5027"/>
  <c r="A5028"/>
  <c r="B5028"/>
  <c r="A5029"/>
  <c r="B5029"/>
  <c r="A5030"/>
  <c r="B5030"/>
  <c r="A5031"/>
  <c r="B5031"/>
  <c r="A5032"/>
  <c r="B5032"/>
  <c r="A5033"/>
  <c r="B5033"/>
  <c r="A5034"/>
  <c r="B5034"/>
  <c r="A5035"/>
  <c r="B5035"/>
  <c r="A5036"/>
  <c r="B5036"/>
  <c r="A5037"/>
  <c r="B5037"/>
  <c r="A5038"/>
  <c r="B5038"/>
  <c r="A5039"/>
  <c r="B5039"/>
  <c r="A5040"/>
  <c r="B5040"/>
  <c r="A5041"/>
  <c r="B5041"/>
  <c r="A5042"/>
  <c r="B5042"/>
  <c r="A5043"/>
  <c r="B5043"/>
  <c r="A5044"/>
  <c r="B5044"/>
  <c r="A5045"/>
  <c r="B5045"/>
  <c r="A5046"/>
  <c r="B5046"/>
  <c r="A5047"/>
  <c r="B5047"/>
  <c r="A5048"/>
  <c r="B5048"/>
  <c r="A5049"/>
  <c r="B5049"/>
  <c r="A5050"/>
  <c r="B5050"/>
  <c r="A5051"/>
  <c r="B5051"/>
  <c r="A5052"/>
  <c r="B5052"/>
  <c r="A5053"/>
  <c r="B5053"/>
  <c r="A5054"/>
  <c r="B5054"/>
  <c r="A5055"/>
  <c r="B5055"/>
  <c r="A5056"/>
  <c r="B5056"/>
  <c r="A5057"/>
  <c r="B5057"/>
  <c r="A5058"/>
  <c r="B5058"/>
  <c r="A5059"/>
  <c r="B5059"/>
  <c r="A5060"/>
  <c r="B5060"/>
  <c r="A5061"/>
  <c r="B5061"/>
  <c r="A5062"/>
  <c r="B5062"/>
  <c r="A5063"/>
  <c r="B5063"/>
  <c r="A5064"/>
  <c r="B5064"/>
  <c r="A5065"/>
  <c r="B5065"/>
  <c r="A5066"/>
  <c r="B5066"/>
  <c r="A5067"/>
  <c r="B5067"/>
  <c r="A5068"/>
  <c r="B5068"/>
  <c r="A5069"/>
  <c r="B5069"/>
  <c r="A5070"/>
  <c r="B5070"/>
  <c r="A5071"/>
  <c r="B5071"/>
  <c r="A5072"/>
  <c r="B5072"/>
  <c r="A5073"/>
  <c r="B5073"/>
  <c r="A5074"/>
  <c r="B5074"/>
  <c r="A5075"/>
  <c r="B5075"/>
  <c r="A5076"/>
  <c r="B5076"/>
  <c r="A5077"/>
  <c r="B5077"/>
  <c r="A5078"/>
  <c r="B5078"/>
  <c r="A5079"/>
  <c r="B5079"/>
  <c r="A5080"/>
  <c r="B5080"/>
  <c r="A5081"/>
  <c r="B5081"/>
  <c r="A5082"/>
  <c r="B5082"/>
  <c r="A5083"/>
  <c r="B5083"/>
  <c r="A5084"/>
  <c r="B5084"/>
  <c r="A5085"/>
  <c r="B5085"/>
  <c r="A5086"/>
  <c r="B5086"/>
  <c r="A5087"/>
  <c r="B5087"/>
  <c r="A5088"/>
  <c r="B5088"/>
  <c r="A5089"/>
  <c r="B5089"/>
  <c r="A5090"/>
  <c r="B5090"/>
  <c r="A5091"/>
  <c r="B5091"/>
  <c r="A5092"/>
  <c r="B5092"/>
  <c r="A5093"/>
  <c r="B5093"/>
  <c r="A5094"/>
  <c r="B5094"/>
  <c r="A5095"/>
  <c r="B5095"/>
  <c r="A5096"/>
  <c r="B5096"/>
  <c r="A5097"/>
  <c r="B5097"/>
  <c r="A5098"/>
  <c r="B5098"/>
  <c r="A5099"/>
  <c r="B5099"/>
  <c r="A5100"/>
  <c r="B5100"/>
  <c r="A5101"/>
  <c r="B5101"/>
  <c r="A5102"/>
  <c r="B5102"/>
  <c r="A5103"/>
  <c r="B5103"/>
  <c r="A5104"/>
  <c r="B5104"/>
  <c r="A5105"/>
  <c r="B5105"/>
  <c r="A5106"/>
  <c r="B5106"/>
  <c r="A5107"/>
  <c r="B5107"/>
  <c r="A5108"/>
  <c r="B5108"/>
  <c r="A5109"/>
  <c r="B5109"/>
  <c r="A5110"/>
  <c r="B5110"/>
  <c r="A5111"/>
  <c r="B5111"/>
  <c r="A5112"/>
  <c r="B5112"/>
  <c r="A5113"/>
  <c r="B5113"/>
  <c r="A5114"/>
  <c r="B5114"/>
  <c r="A5115"/>
  <c r="B5115"/>
  <c r="A5116"/>
  <c r="B5116"/>
  <c r="A5117"/>
  <c r="B5117"/>
  <c r="A5118"/>
  <c r="B5118"/>
  <c r="A5119"/>
  <c r="B5119"/>
  <c r="A5120"/>
  <c r="B5120"/>
  <c r="A5121"/>
  <c r="B5121"/>
  <c r="A5122"/>
  <c r="B5122"/>
  <c r="A5123"/>
  <c r="B5123"/>
  <c r="A5124"/>
  <c r="B5124"/>
  <c r="A5125"/>
  <c r="B5125"/>
  <c r="A5126"/>
  <c r="B5126"/>
  <c r="A5127"/>
  <c r="B5127"/>
  <c r="A5128"/>
  <c r="B5128"/>
  <c r="A5129"/>
  <c r="B5129"/>
  <c r="A5130"/>
  <c r="B5130"/>
  <c r="A5131"/>
  <c r="B5131"/>
  <c r="A5132"/>
  <c r="B5132"/>
  <c r="A5133"/>
  <c r="B5133"/>
  <c r="A5134"/>
  <c r="B5134"/>
  <c r="A5135"/>
  <c r="B5135"/>
  <c r="A5136"/>
  <c r="B5136"/>
  <c r="A5137"/>
  <c r="B5137"/>
  <c r="A5138"/>
  <c r="B5138"/>
  <c r="A5139"/>
  <c r="B5139"/>
  <c r="A5140"/>
  <c r="B5140"/>
  <c r="A5141"/>
  <c r="B5141"/>
  <c r="A5142"/>
  <c r="B5142"/>
  <c r="A5143"/>
  <c r="B5143"/>
  <c r="A5144"/>
  <c r="B5144"/>
  <c r="A5145"/>
  <c r="B5145"/>
  <c r="A5146"/>
  <c r="B5146"/>
  <c r="A5147"/>
  <c r="B5147"/>
  <c r="A5148"/>
  <c r="B5148"/>
  <c r="A5149"/>
  <c r="B5149"/>
  <c r="A5150"/>
  <c r="B5150"/>
  <c r="A5151"/>
  <c r="B5151"/>
  <c r="A5152"/>
  <c r="B5152"/>
  <c r="A5153"/>
  <c r="B5153"/>
  <c r="A5154"/>
  <c r="B5154"/>
  <c r="A5155"/>
  <c r="B5155"/>
  <c r="A5156"/>
  <c r="B5156"/>
  <c r="A5157"/>
  <c r="B5157"/>
  <c r="A5158"/>
  <c r="B5158"/>
  <c r="A5159"/>
  <c r="B5159"/>
  <c r="A5160"/>
  <c r="B5160"/>
  <c r="A5161"/>
  <c r="B5161"/>
  <c r="A5162"/>
  <c r="B5162"/>
  <c r="A5163"/>
  <c r="B5163"/>
  <c r="A5164"/>
  <c r="B5164"/>
  <c r="A5165"/>
  <c r="B5165"/>
  <c r="A5166"/>
  <c r="B5166"/>
  <c r="A5167"/>
  <c r="B5167"/>
  <c r="A5168"/>
  <c r="B5168"/>
  <c r="A5169"/>
  <c r="B5169"/>
  <c r="A5170"/>
  <c r="B5170"/>
  <c r="A5171"/>
  <c r="B5171"/>
  <c r="A5172"/>
  <c r="B5172"/>
  <c r="A5173"/>
  <c r="B5173"/>
  <c r="A5174"/>
  <c r="B5174"/>
  <c r="A5175"/>
  <c r="B5175"/>
  <c r="A5176"/>
  <c r="B5176"/>
  <c r="A5177"/>
  <c r="B5177"/>
  <c r="A5178"/>
  <c r="B5178"/>
  <c r="A5179"/>
  <c r="B5179"/>
  <c r="A5180"/>
  <c r="B5180"/>
  <c r="A5181"/>
  <c r="B5181"/>
  <c r="A5182"/>
  <c r="B5182"/>
  <c r="A5183"/>
  <c r="B5183"/>
  <c r="A5184"/>
  <c r="B5184"/>
  <c r="A5185"/>
  <c r="B5185"/>
  <c r="A5186"/>
  <c r="B5186"/>
  <c r="A5187"/>
  <c r="B5187"/>
  <c r="A5188"/>
  <c r="B5188"/>
  <c r="A5189"/>
  <c r="B5189"/>
  <c r="A5190"/>
  <c r="B5190"/>
  <c r="A5191"/>
  <c r="B5191"/>
  <c r="A5192"/>
  <c r="B5192"/>
  <c r="A5193"/>
  <c r="B5193"/>
  <c r="A5194"/>
  <c r="B5194"/>
  <c r="A5195"/>
  <c r="B5195"/>
  <c r="A5196"/>
  <c r="B5196"/>
  <c r="A5197"/>
  <c r="B5197"/>
  <c r="A5198"/>
  <c r="B5198"/>
  <c r="A5199"/>
  <c r="B5199"/>
  <c r="A5200"/>
  <c r="B5200"/>
  <c r="A5201"/>
  <c r="B5201"/>
  <c r="A5202"/>
  <c r="B5202"/>
  <c r="A5203"/>
  <c r="B5203"/>
  <c r="A5204"/>
  <c r="B5204"/>
  <c r="A5205"/>
  <c r="B5205"/>
  <c r="A5206"/>
  <c r="B5206"/>
  <c r="A5207"/>
  <c r="B5207"/>
  <c r="A5208"/>
  <c r="B5208"/>
  <c r="A5209"/>
  <c r="B5209"/>
  <c r="A5210"/>
  <c r="B5210"/>
  <c r="A5211"/>
  <c r="B5211"/>
  <c r="A5212"/>
  <c r="B5212"/>
  <c r="A5213"/>
  <c r="B5213"/>
  <c r="A5214"/>
  <c r="B5214"/>
  <c r="A5215"/>
  <c r="B5215"/>
  <c r="A5216"/>
  <c r="B5216"/>
  <c r="A5217"/>
  <c r="B5217"/>
  <c r="A5218"/>
  <c r="B5218"/>
  <c r="A5219"/>
  <c r="B5219"/>
  <c r="A5220"/>
  <c r="B5220"/>
  <c r="A5221"/>
  <c r="B5221"/>
  <c r="A5222"/>
  <c r="B5222"/>
  <c r="A5223"/>
  <c r="B5223"/>
  <c r="A5224"/>
  <c r="B5224"/>
  <c r="A5225"/>
  <c r="B5225"/>
  <c r="A5226"/>
  <c r="B5226"/>
  <c r="A5227"/>
  <c r="B5227"/>
  <c r="A5228"/>
  <c r="B5228"/>
  <c r="A5229"/>
  <c r="B5229"/>
  <c r="A5230"/>
  <c r="B5230"/>
  <c r="A5231"/>
  <c r="B5231"/>
  <c r="A5232"/>
  <c r="B5232"/>
  <c r="A5233"/>
  <c r="B5233"/>
  <c r="A5234"/>
  <c r="B5234"/>
  <c r="A5235"/>
  <c r="B5235"/>
  <c r="A5236"/>
  <c r="B5236"/>
  <c r="A5237"/>
  <c r="B5237"/>
  <c r="A5238"/>
  <c r="B5238"/>
  <c r="A5239"/>
  <c r="B5239"/>
  <c r="A5240"/>
  <c r="B5240"/>
  <c r="A5241"/>
  <c r="B5241"/>
  <c r="A5242"/>
  <c r="B5242"/>
  <c r="A5243"/>
  <c r="B5243"/>
  <c r="A5244"/>
  <c r="B5244"/>
  <c r="A5245"/>
  <c r="B5245"/>
  <c r="A5246"/>
  <c r="B5246"/>
  <c r="A5247"/>
  <c r="B5247"/>
  <c r="A5248"/>
  <c r="B5248"/>
  <c r="A5249"/>
  <c r="B5249"/>
  <c r="A5250"/>
  <c r="B5250"/>
  <c r="A5251"/>
  <c r="B5251"/>
  <c r="A5252"/>
  <c r="B5252"/>
  <c r="A5253"/>
  <c r="B5253"/>
  <c r="A5254"/>
  <c r="B5254"/>
  <c r="A5255"/>
  <c r="B5255"/>
  <c r="A5256"/>
  <c r="B5256"/>
  <c r="A5257"/>
  <c r="B5257"/>
  <c r="A5258"/>
  <c r="B5258"/>
  <c r="A5259"/>
  <c r="B5259"/>
  <c r="A5260"/>
  <c r="B5260"/>
  <c r="A5261"/>
  <c r="B5261"/>
  <c r="A5262"/>
  <c r="B5262"/>
  <c r="A5263"/>
  <c r="B5263"/>
  <c r="A5264"/>
  <c r="B5264"/>
  <c r="A5265"/>
  <c r="B5265"/>
  <c r="A5266"/>
  <c r="B5266"/>
  <c r="A5267"/>
  <c r="B5267"/>
  <c r="A5268"/>
  <c r="B5268"/>
  <c r="A5269"/>
  <c r="B5269"/>
  <c r="A5270"/>
  <c r="B5270"/>
  <c r="A5271"/>
  <c r="B5271"/>
  <c r="A5272"/>
  <c r="B5272"/>
  <c r="A5273"/>
  <c r="B5273"/>
  <c r="A5274"/>
  <c r="B5274"/>
  <c r="A5275"/>
  <c r="B5275"/>
  <c r="A5276"/>
  <c r="B5276"/>
  <c r="A5277"/>
  <c r="B5277"/>
  <c r="A5278"/>
  <c r="B5278"/>
  <c r="A5279"/>
  <c r="B5279"/>
  <c r="A5280"/>
  <c r="B5280"/>
  <c r="A5281"/>
  <c r="B5281"/>
  <c r="A5282"/>
  <c r="B5282"/>
  <c r="A5283"/>
  <c r="B5283"/>
  <c r="A5284"/>
  <c r="B5284"/>
  <c r="A5285"/>
  <c r="B5285"/>
  <c r="A5286"/>
  <c r="B5286"/>
  <c r="A5287"/>
  <c r="B5287"/>
  <c r="A5288"/>
  <c r="B5288"/>
  <c r="A5289"/>
  <c r="B5289"/>
  <c r="A5290"/>
  <c r="B5290"/>
  <c r="A5291"/>
  <c r="B5291"/>
  <c r="A5292"/>
  <c r="B5292"/>
  <c r="A5293"/>
  <c r="B5293"/>
  <c r="A5294"/>
  <c r="B5294"/>
  <c r="A5295"/>
  <c r="B5295"/>
  <c r="A5296"/>
  <c r="B5296"/>
  <c r="A5297"/>
  <c r="B5297"/>
  <c r="A5298"/>
  <c r="B5298"/>
  <c r="A5299"/>
  <c r="B5299"/>
  <c r="A5300"/>
  <c r="B5300"/>
  <c r="A5301"/>
  <c r="B5301"/>
  <c r="A5302"/>
  <c r="B5302"/>
  <c r="A5303"/>
  <c r="B5303"/>
  <c r="A5304"/>
  <c r="B5304"/>
  <c r="A5305"/>
  <c r="B5305"/>
  <c r="A5306"/>
  <c r="B5306"/>
  <c r="A5307"/>
  <c r="B5307"/>
  <c r="A5308"/>
  <c r="B5308"/>
  <c r="A5309"/>
  <c r="B5309"/>
  <c r="A5310"/>
  <c r="B5310"/>
  <c r="A5311"/>
  <c r="B5311"/>
  <c r="A5312"/>
  <c r="B5312"/>
  <c r="A5313"/>
  <c r="B5313"/>
  <c r="A5314"/>
  <c r="B5314"/>
  <c r="A5315"/>
  <c r="B5315"/>
  <c r="A5316"/>
  <c r="B5316"/>
  <c r="A5317"/>
  <c r="B5317"/>
  <c r="A5318"/>
  <c r="B5318"/>
  <c r="A5319"/>
  <c r="B5319"/>
  <c r="A5320"/>
  <c r="B5320"/>
  <c r="A5321"/>
  <c r="B5321"/>
  <c r="A5322"/>
  <c r="B5322"/>
  <c r="A5323"/>
  <c r="B5323"/>
  <c r="A5324"/>
  <c r="B5324"/>
  <c r="A5325"/>
  <c r="B5325"/>
  <c r="A5326"/>
  <c r="B5326"/>
  <c r="A5327"/>
  <c r="B5327"/>
  <c r="A5328"/>
  <c r="B5328"/>
  <c r="A5329"/>
  <c r="B5329"/>
  <c r="A5330"/>
  <c r="B5330"/>
  <c r="A5331"/>
  <c r="B5331"/>
  <c r="A5332"/>
  <c r="B5332"/>
  <c r="A5333"/>
  <c r="B5333"/>
  <c r="A5334"/>
  <c r="B5334"/>
  <c r="A5335"/>
  <c r="B5335"/>
  <c r="A5336"/>
  <c r="B5336"/>
  <c r="A5337"/>
  <c r="B5337"/>
  <c r="A5338"/>
  <c r="B5338"/>
  <c r="A5339"/>
  <c r="B5339"/>
  <c r="A5340"/>
  <c r="B5340"/>
  <c r="A5341"/>
  <c r="B5341"/>
  <c r="A5342"/>
  <c r="B5342"/>
  <c r="A5343"/>
  <c r="B5343"/>
  <c r="A5344"/>
  <c r="B5344"/>
  <c r="A5345"/>
  <c r="B5345"/>
  <c r="A5346"/>
  <c r="B5346"/>
  <c r="A5347"/>
  <c r="B5347"/>
  <c r="A5348"/>
  <c r="B5348"/>
  <c r="A5349"/>
  <c r="B5349"/>
  <c r="A5350"/>
  <c r="B5350"/>
  <c r="A5351"/>
  <c r="B5351"/>
  <c r="A5352"/>
  <c r="B5352"/>
  <c r="A5353"/>
  <c r="B5353"/>
  <c r="A5354"/>
  <c r="B5354"/>
  <c r="A5355"/>
  <c r="B5355"/>
  <c r="A5356"/>
  <c r="B5356"/>
  <c r="A5357"/>
  <c r="B5357"/>
  <c r="A5358"/>
  <c r="B5358"/>
  <c r="A5359"/>
  <c r="B5359"/>
  <c r="A5360"/>
  <c r="B5360"/>
  <c r="A5361"/>
  <c r="B5361"/>
  <c r="A5362"/>
  <c r="B5362"/>
  <c r="A5363"/>
  <c r="B5363"/>
  <c r="A5364"/>
  <c r="B5364"/>
  <c r="A5365"/>
  <c r="B5365"/>
  <c r="A5366"/>
  <c r="B5366"/>
  <c r="A5367"/>
  <c r="B5367"/>
  <c r="A5368"/>
  <c r="B5368"/>
  <c r="A5369"/>
  <c r="B5369"/>
  <c r="A5370"/>
  <c r="B5370"/>
  <c r="A5371"/>
  <c r="B5371"/>
  <c r="A5372"/>
  <c r="B5372"/>
  <c r="A5373"/>
  <c r="B5373"/>
  <c r="A5374"/>
  <c r="B5374"/>
  <c r="A5375"/>
  <c r="B5375"/>
  <c r="A5376"/>
  <c r="B5376"/>
  <c r="A5377"/>
  <c r="B5377"/>
  <c r="A5378"/>
  <c r="B5378"/>
  <c r="A5379"/>
  <c r="B5379"/>
  <c r="A5380"/>
  <c r="B5380"/>
  <c r="A5381"/>
  <c r="B5381"/>
  <c r="A5382"/>
  <c r="B5382"/>
  <c r="A5383"/>
  <c r="B5383"/>
  <c r="A5384"/>
  <c r="B5384"/>
  <c r="A5385"/>
  <c r="B5385"/>
  <c r="A5386"/>
  <c r="B5386"/>
  <c r="A5387"/>
  <c r="B5387"/>
  <c r="A5388"/>
  <c r="B5388"/>
  <c r="A5389"/>
  <c r="B5389"/>
  <c r="A5390"/>
  <c r="B5390"/>
  <c r="A5391"/>
  <c r="B5391"/>
  <c r="A5392"/>
  <c r="B5392"/>
  <c r="A5393"/>
  <c r="B5393"/>
  <c r="A5394"/>
  <c r="B5394"/>
  <c r="A5395"/>
  <c r="B5395"/>
  <c r="A5396"/>
  <c r="B5396"/>
  <c r="A5397"/>
  <c r="B5397"/>
  <c r="A5398"/>
  <c r="B5398"/>
  <c r="A5399"/>
  <c r="B5399"/>
  <c r="A5400"/>
  <c r="B5400"/>
  <c r="A5401"/>
  <c r="B5401"/>
  <c r="A5402"/>
  <c r="B5402"/>
  <c r="A5403"/>
  <c r="B5403"/>
  <c r="A5404"/>
  <c r="B5404"/>
  <c r="A5405"/>
  <c r="B5405"/>
  <c r="A5406"/>
  <c r="B5406"/>
  <c r="A5407"/>
  <c r="B5407"/>
  <c r="A5408"/>
  <c r="B5408"/>
  <c r="A5409"/>
  <c r="B5409"/>
  <c r="A5410"/>
  <c r="B5410"/>
  <c r="A5411"/>
  <c r="B5411"/>
  <c r="A5412"/>
  <c r="B5412"/>
  <c r="A5413"/>
  <c r="B5413"/>
  <c r="A5414"/>
  <c r="B5414"/>
  <c r="A5415"/>
  <c r="B5415"/>
  <c r="A5416"/>
  <c r="B5416"/>
  <c r="A5417"/>
  <c r="B5417"/>
  <c r="A5418"/>
  <c r="B5418"/>
  <c r="A5419"/>
  <c r="B5419"/>
  <c r="A5420"/>
  <c r="B5420"/>
  <c r="A5421"/>
  <c r="B5421"/>
  <c r="A5422"/>
  <c r="B5422"/>
  <c r="A5423"/>
  <c r="B5423"/>
  <c r="A5424"/>
  <c r="B5424"/>
  <c r="A5425"/>
  <c r="B5425"/>
  <c r="A5426"/>
  <c r="B5426"/>
  <c r="A5427"/>
  <c r="B5427"/>
  <c r="A5428"/>
  <c r="B5428"/>
  <c r="A5429"/>
  <c r="B5429"/>
  <c r="A5430"/>
  <c r="B5430"/>
  <c r="A5431"/>
  <c r="B5431"/>
  <c r="A5432"/>
  <c r="B5432"/>
  <c r="A5433"/>
  <c r="B5433"/>
  <c r="A5434"/>
  <c r="B5434"/>
  <c r="B5435"/>
  <c r="A5436"/>
  <c r="B5436"/>
  <c r="A5437"/>
  <c r="B5437"/>
  <c r="A5438"/>
  <c r="B5438"/>
  <c r="A5439"/>
  <c r="B5439"/>
  <c r="A5440"/>
  <c r="B5440"/>
  <c r="A5441"/>
  <c r="B5441"/>
  <c r="A5442"/>
  <c r="B5442"/>
  <c r="A5443"/>
  <c r="B5443"/>
  <c r="A5444"/>
  <c r="B5444"/>
  <c r="A5445"/>
  <c r="B5445"/>
  <c r="A5446"/>
  <c r="B5446"/>
  <c r="A5447"/>
  <c r="B5447"/>
  <c r="A5448"/>
  <c r="B5448"/>
  <c r="A5449"/>
  <c r="B5449"/>
  <c r="A5450"/>
  <c r="B5450"/>
  <c r="A5451"/>
  <c r="B5451"/>
  <c r="A5452"/>
  <c r="B5452"/>
  <c r="A5453"/>
  <c r="B5453"/>
  <c r="A5454"/>
  <c r="B5454"/>
  <c r="A5455"/>
  <c r="B5455"/>
  <c r="A5456"/>
  <c r="B5456"/>
  <c r="A5457"/>
  <c r="B5457"/>
  <c r="A5458"/>
  <c r="B5458"/>
  <c r="A5459"/>
  <c r="B5459"/>
  <c r="A5460"/>
  <c r="B5460"/>
  <c r="A5461"/>
  <c r="B5461"/>
  <c r="A5462"/>
  <c r="B5462"/>
  <c r="A5463"/>
  <c r="B5463"/>
  <c r="A5464"/>
  <c r="B5464"/>
  <c r="A5465"/>
  <c r="B5465"/>
  <c r="A5466"/>
  <c r="B5466"/>
  <c r="A5467"/>
  <c r="B5467"/>
  <c r="A5468"/>
  <c r="B5468"/>
  <c r="A5469"/>
  <c r="B5469"/>
  <c r="A5470"/>
  <c r="B5470"/>
  <c r="A5471"/>
  <c r="B5471"/>
  <c r="A5472"/>
  <c r="B5472"/>
  <c r="A5473"/>
  <c r="B5473"/>
  <c r="A5474"/>
  <c r="B5474"/>
  <c r="A5475"/>
  <c r="B5475"/>
  <c r="A5476"/>
  <c r="B5476"/>
  <c r="A5477"/>
  <c r="B5477"/>
  <c r="A5478"/>
  <c r="B5478"/>
  <c r="A5479"/>
  <c r="B5479"/>
  <c r="A5480"/>
  <c r="B5480"/>
  <c r="A5481"/>
  <c r="B5481"/>
  <c r="A5482"/>
  <c r="B5482"/>
  <c r="A5483"/>
  <c r="B5483"/>
  <c r="A5484"/>
  <c r="B5484"/>
  <c r="A5485"/>
  <c r="B5485"/>
  <c r="A5486"/>
  <c r="B5486"/>
  <c r="A5487"/>
  <c r="B5487"/>
  <c r="A5488"/>
  <c r="B5488"/>
  <c r="A5489"/>
  <c r="B5489"/>
  <c r="A5490"/>
  <c r="B5490"/>
  <c r="A5491"/>
  <c r="B5491"/>
  <c r="A5492"/>
  <c r="B5492"/>
  <c r="A5493"/>
  <c r="B5493"/>
  <c r="A5494"/>
  <c r="B5494"/>
  <c r="A5495"/>
  <c r="B5495"/>
  <c r="A5496"/>
  <c r="B5496"/>
  <c r="A5497"/>
  <c r="B5497"/>
  <c r="A5498"/>
  <c r="B5498"/>
  <c r="A5499"/>
  <c r="B5499"/>
  <c r="A5500"/>
  <c r="B5500"/>
  <c r="A5501"/>
  <c r="B5501"/>
  <c r="A5502"/>
  <c r="B5502"/>
  <c r="A5503"/>
  <c r="B5503"/>
  <c r="A5504"/>
  <c r="B5504"/>
  <c r="A5505"/>
  <c r="B5505"/>
  <c r="A5506"/>
  <c r="B5506"/>
  <c r="A5507"/>
  <c r="B5507"/>
  <c r="A5508"/>
  <c r="B5508"/>
  <c r="A5509"/>
  <c r="B5509"/>
  <c r="A5510"/>
  <c r="B5510"/>
  <c r="A5511"/>
  <c r="B5511"/>
  <c r="A5512"/>
  <c r="B5512"/>
  <c r="A5513"/>
  <c r="B5513"/>
  <c r="A5514"/>
  <c r="B5514"/>
  <c r="A5515"/>
  <c r="B5515"/>
  <c r="A5516"/>
  <c r="B5516"/>
  <c r="A5517"/>
  <c r="B5517"/>
  <c r="A5518"/>
  <c r="B5518"/>
  <c r="A5519"/>
  <c r="B5519"/>
  <c r="A5520"/>
  <c r="B5520"/>
  <c r="A5521"/>
  <c r="B5521"/>
  <c r="A5522"/>
  <c r="B5522"/>
  <c r="A5523"/>
  <c r="B5523"/>
  <c r="A5524"/>
  <c r="B5524"/>
  <c r="A5525"/>
  <c r="B5525"/>
  <c r="A5526"/>
  <c r="B5526"/>
  <c r="A5527"/>
  <c r="B5527"/>
  <c r="A5528"/>
  <c r="B5528"/>
  <c r="A5529"/>
  <c r="B5529"/>
  <c r="A5530"/>
  <c r="B5530"/>
  <c r="A5531"/>
  <c r="B5531"/>
  <c r="A5532"/>
  <c r="B5532"/>
  <c r="A5533"/>
  <c r="B5533"/>
  <c r="A5534"/>
  <c r="B5534"/>
  <c r="A5535"/>
  <c r="B5535"/>
  <c r="A5536"/>
  <c r="B5536"/>
  <c r="A5537"/>
  <c r="B5537"/>
  <c r="A5538"/>
  <c r="B5538"/>
  <c r="A5539"/>
  <c r="B5539"/>
  <c r="A5540"/>
  <c r="B5540"/>
  <c r="A5541"/>
  <c r="B5541"/>
  <c r="A5542"/>
  <c r="B5542"/>
  <c r="A5543"/>
  <c r="B5543"/>
  <c r="A5544"/>
  <c r="B5544"/>
  <c r="A5545"/>
  <c r="B5545"/>
  <c r="A5546"/>
  <c r="B5546"/>
  <c r="A5547"/>
  <c r="B5547"/>
  <c r="A5548"/>
  <c r="B5548"/>
  <c r="A5549"/>
  <c r="B5549"/>
  <c r="A5550"/>
  <c r="B5550"/>
  <c r="A5551"/>
  <c r="B5551"/>
  <c r="A5552"/>
  <c r="B5552"/>
  <c r="A5553"/>
  <c r="B5553"/>
  <c r="A5554"/>
  <c r="B5554"/>
  <c r="A5555"/>
  <c r="B5555"/>
  <c r="A5556"/>
  <c r="B5556"/>
  <c r="A5557"/>
  <c r="B5557"/>
  <c r="A5558"/>
  <c r="B5558"/>
  <c r="A5559"/>
  <c r="B5559"/>
  <c r="A5560"/>
  <c r="B5560"/>
  <c r="A5561"/>
  <c r="B5561"/>
  <c r="A5562"/>
  <c r="B5562"/>
  <c r="A5563"/>
  <c r="B5563"/>
  <c r="A5564"/>
  <c r="B5564"/>
  <c r="A5565"/>
  <c r="B5565"/>
  <c r="A5566"/>
  <c r="B5566"/>
  <c r="A5567"/>
  <c r="B5567"/>
  <c r="A5568"/>
  <c r="B5568"/>
  <c r="A5569"/>
  <c r="B5569"/>
  <c r="A5570"/>
  <c r="B5570"/>
  <c r="A5571"/>
  <c r="B5571"/>
  <c r="A5572"/>
  <c r="B5572"/>
  <c r="A5573"/>
  <c r="B5573"/>
  <c r="A5574"/>
  <c r="B5574"/>
  <c r="A5575"/>
  <c r="B5575"/>
  <c r="A5576"/>
  <c r="B5576"/>
  <c r="A5577"/>
  <c r="B5577"/>
  <c r="A5578"/>
  <c r="B5578"/>
  <c r="A5579"/>
  <c r="B5579"/>
  <c r="A5580"/>
  <c r="B5580"/>
  <c r="A5581"/>
  <c r="B5581"/>
  <c r="A5582"/>
  <c r="B5582"/>
  <c r="A5583"/>
  <c r="B5583"/>
  <c r="A5584"/>
  <c r="B5584"/>
  <c r="A5585"/>
  <c r="B5585"/>
  <c r="A5586"/>
  <c r="B5586"/>
  <c r="A5587"/>
  <c r="B5587"/>
  <c r="A5588"/>
  <c r="B5588"/>
  <c r="A5589"/>
  <c r="B5589"/>
  <c r="A5590"/>
  <c r="B5590"/>
  <c r="A5591"/>
  <c r="B5591"/>
  <c r="A5592"/>
  <c r="B5592"/>
  <c r="A5593"/>
  <c r="B5593"/>
  <c r="A5594"/>
  <c r="B5594"/>
  <c r="A5595"/>
  <c r="B5595"/>
  <c r="A5596"/>
  <c r="B5596"/>
  <c r="A5597"/>
  <c r="B5597"/>
  <c r="A5598"/>
  <c r="B5598"/>
  <c r="A5599"/>
  <c r="B5599"/>
  <c r="A5600"/>
  <c r="B5600"/>
  <c r="A5601"/>
  <c r="B5601"/>
  <c r="A5602"/>
  <c r="B5602"/>
  <c r="A5603"/>
  <c r="B5603"/>
  <c r="A5604"/>
  <c r="B5604"/>
  <c r="A5605"/>
  <c r="B5605"/>
  <c r="A5606"/>
  <c r="B5606"/>
  <c r="A5607"/>
  <c r="B5607"/>
  <c r="A5608"/>
  <c r="B5608"/>
  <c r="A5609"/>
  <c r="B5609"/>
  <c r="A5610"/>
  <c r="B5610"/>
  <c r="A5611"/>
  <c r="B5611"/>
  <c r="A5612"/>
  <c r="B5612"/>
  <c r="A5613"/>
  <c r="B5613"/>
  <c r="A5614"/>
  <c r="B5614"/>
  <c r="A5615"/>
  <c r="B5615"/>
  <c r="A5616"/>
  <c r="B5616"/>
  <c r="A5617"/>
  <c r="B5617"/>
  <c r="A5618"/>
  <c r="B5618"/>
  <c r="A5619"/>
  <c r="B5619"/>
  <c r="A5620"/>
  <c r="B5620"/>
  <c r="A5621"/>
  <c r="B5621"/>
  <c r="A5622"/>
  <c r="B5622"/>
  <c r="A5623"/>
  <c r="B5623"/>
  <c r="A5624"/>
  <c r="B5624"/>
  <c r="A5625"/>
  <c r="B5625"/>
  <c r="A5626"/>
  <c r="B5626"/>
  <c r="A5627"/>
  <c r="B5627"/>
  <c r="A5628"/>
  <c r="B5628"/>
  <c r="A5629"/>
  <c r="B5629"/>
  <c r="A5630"/>
  <c r="B5630"/>
  <c r="A5631"/>
  <c r="B5631"/>
  <c r="A5632"/>
  <c r="B5632"/>
  <c r="A5633"/>
  <c r="B5633"/>
  <c r="A5634"/>
  <c r="B5634"/>
  <c r="A5635"/>
  <c r="B5635"/>
  <c r="A5636"/>
  <c r="B5636"/>
  <c r="A5637"/>
  <c r="B5637"/>
  <c r="A5638"/>
  <c r="B5638"/>
  <c r="A5639"/>
  <c r="B5639"/>
  <c r="A5640"/>
  <c r="B5640"/>
  <c r="A5641"/>
  <c r="B5641"/>
  <c r="A5642"/>
  <c r="B5642"/>
  <c r="A5643"/>
  <c r="B5643"/>
  <c r="A5644"/>
  <c r="B5644"/>
  <c r="A5645"/>
  <c r="B5645"/>
  <c r="A5646"/>
  <c r="B5646"/>
  <c r="A5647"/>
  <c r="B5647"/>
  <c r="A5648"/>
  <c r="B5648"/>
  <c r="A5649"/>
  <c r="B5649"/>
  <c r="A5650"/>
  <c r="B5650"/>
  <c r="A5651"/>
  <c r="B5651"/>
  <c r="A5652"/>
  <c r="B5652"/>
  <c r="A5653"/>
  <c r="B5653"/>
  <c r="A5654"/>
  <c r="B5654"/>
  <c r="A5655"/>
  <c r="B5655"/>
  <c r="A5656"/>
  <c r="B5656"/>
  <c r="A5657"/>
  <c r="B5657"/>
  <c r="A5658"/>
  <c r="B5658"/>
  <c r="A5659"/>
  <c r="B5659"/>
  <c r="A5660"/>
  <c r="B5660"/>
  <c r="A5661"/>
  <c r="B5661"/>
  <c r="A5662"/>
  <c r="B5662"/>
  <c r="A5663"/>
  <c r="B5663"/>
  <c r="A5664"/>
  <c r="B5664"/>
  <c r="A5665"/>
  <c r="B5665"/>
  <c r="A5666"/>
  <c r="B5666"/>
  <c r="A5667"/>
  <c r="B5667"/>
  <c r="A5668"/>
  <c r="B5668"/>
  <c r="A5669"/>
  <c r="B5669"/>
  <c r="A5670"/>
  <c r="B5670"/>
  <c r="A5671"/>
  <c r="B5671"/>
  <c r="A5672"/>
  <c r="B5672"/>
  <c r="A5673"/>
  <c r="B5673"/>
  <c r="A5674"/>
  <c r="B5674"/>
  <c r="A5675"/>
  <c r="B5675"/>
  <c r="A5676"/>
  <c r="B5676"/>
  <c r="A5677"/>
  <c r="B5677"/>
  <c r="A5678"/>
  <c r="B5678"/>
  <c r="A5679"/>
  <c r="B5679"/>
  <c r="A5680"/>
  <c r="B5680"/>
  <c r="A5681"/>
  <c r="B5681"/>
  <c r="A5682"/>
  <c r="B5682"/>
  <c r="A5683"/>
  <c r="B5683"/>
  <c r="A5684"/>
  <c r="B5684"/>
  <c r="A5685"/>
  <c r="B5685"/>
  <c r="A5686"/>
  <c r="B5686"/>
  <c r="A5687"/>
  <c r="B5687"/>
  <c r="A5688"/>
  <c r="B5688"/>
  <c r="A5689"/>
  <c r="B5689"/>
  <c r="A5690"/>
  <c r="B5690"/>
  <c r="A5691"/>
  <c r="B5691"/>
  <c r="A5692"/>
  <c r="B5692"/>
  <c r="A5693"/>
  <c r="B5693"/>
  <c r="A5694"/>
  <c r="B5694"/>
  <c r="A5695"/>
  <c r="B5695"/>
  <c r="A5696"/>
  <c r="B5696"/>
  <c r="A5697"/>
  <c r="B5697"/>
  <c r="A5698"/>
  <c r="B5698"/>
  <c r="A5699"/>
  <c r="B5699"/>
  <c r="A5700"/>
  <c r="B5700"/>
  <c r="A5701"/>
  <c r="B5701"/>
  <c r="A5702"/>
  <c r="B5702"/>
  <c r="A5703"/>
  <c r="B5703"/>
  <c r="A5704"/>
  <c r="B5704"/>
  <c r="A5705"/>
  <c r="B5705"/>
  <c r="A5706"/>
  <c r="B5706"/>
  <c r="A5707"/>
  <c r="B5707"/>
  <c r="A5708"/>
  <c r="B5708"/>
  <c r="A5709"/>
  <c r="B5709"/>
  <c r="A5710"/>
  <c r="B5710"/>
  <c r="A5711"/>
  <c r="B5711"/>
  <c r="A5712"/>
  <c r="B5712"/>
  <c r="A5713"/>
  <c r="B5713"/>
  <c r="A5714"/>
  <c r="B5714"/>
  <c r="A5715"/>
  <c r="B5715"/>
  <c r="A5716"/>
  <c r="B5716"/>
  <c r="A5717"/>
  <c r="B5717"/>
  <c r="A5718"/>
  <c r="B5718"/>
  <c r="A5719"/>
  <c r="B5719"/>
  <c r="A5720"/>
  <c r="B5720"/>
  <c r="A5721"/>
  <c r="B5721"/>
  <c r="A5722"/>
  <c r="B5722"/>
  <c r="A5723"/>
  <c r="B5723"/>
  <c r="A5724"/>
  <c r="B5724"/>
  <c r="A5725"/>
  <c r="B5725"/>
  <c r="A5726"/>
  <c r="B5726"/>
  <c r="A5727"/>
  <c r="B5727"/>
  <c r="A5728"/>
  <c r="B5728"/>
  <c r="A5729"/>
  <c r="B5729"/>
  <c r="A5730"/>
  <c r="B5730"/>
  <c r="A5731"/>
  <c r="B5731"/>
  <c r="A5732"/>
  <c r="B5732"/>
  <c r="A5733"/>
  <c r="B5733"/>
  <c r="A5734"/>
  <c r="B5734"/>
  <c r="A5735"/>
  <c r="B5735"/>
  <c r="A5736"/>
  <c r="B5736"/>
  <c r="A5737"/>
  <c r="B5737"/>
  <c r="A5738"/>
  <c r="B5738"/>
  <c r="A5739"/>
  <c r="B5739"/>
  <c r="A5740"/>
  <c r="B5740"/>
  <c r="A5741"/>
  <c r="B5741"/>
  <c r="A5742"/>
  <c r="B5742"/>
  <c r="A5743"/>
  <c r="B5743"/>
  <c r="A5744"/>
  <c r="B5744"/>
  <c r="A5745"/>
  <c r="B5745"/>
  <c r="A5746"/>
  <c r="B5746"/>
  <c r="A5747"/>
  <c r="B5747"/>
  <c r="A5748"/>
  <c r="B5748"/>
  <c r="A5749"/>
  <c r="B5749"/>
  <c r="A5750"/>
  <c r="B5750"/>
  <c r="A5751"/>
  <c r="B5751"/>
  <c r="A5752"/>
  <c r="B5752"/>
  <c r="A5753"/>
  <c r="B5753"/>
  <c r="A5754"/>
  <c r="B5754"/>
  <c r="A5755"/>
  <c r="B5755"/>
  <c r="A5756"/>
  <c r="B5756"/>
  <c r="A5757"/>
  <c r="B5757"/>
  <c r="A5758"/>
  <c r="B5758"/>
  <c r="A5759"/>
  <c r="B5759"/>
  <c r="A5760"/>
  <c r="B5760"/>
  <c r="A5761"/>
  <c r="B5761"/>
  <c r="A5762"/>
  <c r="B5762"/>
  <c r="A5763"/>
  <c r="B5763"/>
  <c r="A5764"/>
  <c r="B5764"/>
  <c r="A5765"/>
  <c r="B5765"/>
  <c r="A5766"/>
  <c r="B5766"/>
  <c r="A5767"/>
  <c r="B5767"/>
  <c r="A5768"/>
  <c r="B5768"/>
  <c r="A5769"/>
  <c r="B5769"/>
  <c r="A5770"/>
  <c r="B5770"/>
  <c r="A5771"/>
  <c r="B5771"/>
  <c r="A5772"/>
  <c r="B5772"/>
  <c r="A5773"/>
  <c r="B5773"/>
  <c r="A5774"/>
  <c r="B5774"/>
  <c r="A5775"/>
  <c r="B5775"/>
  <c r="A5776"/>
  <c r="B5776"/>
  <c r="A5777"/>
  <c r="B5777"/>
  <c r="A5778"/>
  <c r="B5778"/>
  <c r="A5779"/>
  <c r="B5779"/>
  <c r="A5780"/>
  <c r="B5780"/>
  <c r="A5781"/>
  <c r="B5781"/>
  <c r="A5782"/>
  <c r="B5782"/>
  <c r="A5783"/>
  <c r="B5783"/>
  <c r="A5784"/>
  <c r="B5784"/>
  <c r="A5785"/>
  <c r="B5785"/>
  <c r="A5786"/>
  <c r="B5786"/>
  <c r="A5787"/>
  <c r="B5787"/>
  <c r="A5788"/>
  <c r="B5788"/>
  <c r="A5789"/>
  <c r="B5789"/>
  <c r="A5790"/>
  <c r="B5790"/>
  <c r="A5791"/>
  <c r="B5791"/>
  <c r="A5792"/>
  <c r="B5792"/>
  <c r="A5793"/>
  <c r="B5793"/>
  <c r="A5794"/>
  <c r="B5794"/>
  <c r="A5795"/>
  <c r="B5795"/>
  <c r="A5796"/>
  <c r="B5796"/>
  <c r="A5797"/>
  <c r="B5797"/>
  <c r="A5798"/>
  <c r="B5798"/>
  <c r="A5799"/>
  <c r="B5799"/>
  <c r="A5800"/>
  <c r="B5800"/>
  <c r="A5801"/>
  <c r="B5801"/>
  <c r="A5802"/>
  <c r="B5802"/>
  <c r="A5803"/>
  <c r="B5803"/>
  <c r="A5804"/>
  <c r="B5804"/>
  <c r="A5805"/>
  <c r="B5805"/>
  <c r="A5806"/>
  <c r="B5806"/>
  <c r="A5807"/>
  <c r="B5807"/>
  <c r="A5808"/>
  <c r="B5808"/>
  <c r="A5809"/>
  <c r="B5809"/>
  <c r="A5810"/>
  <c r="B5810"/>
  <c r="A5811"/>
  <c r="B5811"/>
  <c r="A5812"/>
  <c r="B5812"/>
  <c r="A5813"/>
  <c r="B5813"/>
  <c r="A5814"/>
  <c r="B5814"/>
  <c r="A5815"/>
  <c r="B5815"/>
  <c r="A5816"/>
  <c r="B5816"/>
  <c r="A5817"/>
  <c r="B5817"/>
  <c r="A5818"/>
  <c r="B5818"/>
  <c r="A5819"/>
  <c r="B5819"/>
  <c r="A5820"/>
  <c r="B5820"/>
  <c r="A5821"/>
  <c r="B5821"/>
  <c r="A5822"/>
  <c r="B5822"/>
  <c r="A5823"/>
  <c r="B5823"/>
  <c r="A5824"/>
  <c r="B5824"/>
  <c r="A5825"/>
  <c r="B5825"/>
  <c r="A5826"/>
  <c r="B5826"/>
  <c r="A5827"/>
  <c r="B5827"/>
  <c r="A5828"/>
  <c r="B5828"/>
  <c r="A5829"/>
  <c r="B5829"/>
  <c r="A5830"/>
  <c r="B5830"/>
  <c r="A5831"/>
  <c r="B5831"/>
  <c r="A5832"/>
  <c r="B5832"/>
  <c r="A5833"/>
  <c r="B5833"/>
  <c r="A5834"/>
  <c r="B5834"/>
  <c r="A5835"/>
  <c r="B5835"/>
  <c r="A5836"/>
  <c r="B5836"/>
  <c r="A5837"/>
  <c r="B5837"/>
  <c r="A5838"/>
  <c r="B5838"/>
  <c r="A5839"/>
  <c r="B5839"/>
  <c r="A5840"/>
  <c r="B5840"/>
  <c r="A5841"/>
  <c r="B5841"/>
  <c r="A5842"/>
  <c r="B5842"/>
  <c r="A5843"/>
  <c r="B5843"/>
  <c r="A5844"/>
  <c r="B5844"/>
  <c r="A5845"/>
  <c r="B5845"/>
  <c r="A5846"/>
  <c r="B5846"/>
  <c r="A5847"/>
  <c r="B5847"/>
  <c r="A5848"/>
  <c r="B5848"/>
  <c r="A5849"/>
  <c r="B5849"/>
  <c r="A5850"/>
  <c r="B5850"/>
  <c r="A5851"/>
  <c r="B5851"/>
  <c r="A5852"/>
  <c r="B5852"/>
  <c r="A5853"/>
  <c r="B5853"/>
  <c r="A5854"/>
  <c r="B5854"/>
  <c r="A5855"/>
  <c r="B5855"/>
  <c r="A5856"/>
  <c r="B5856"/>
  <c r="A5857"/>
  <c r="B5857"/>
  <c r="A5858"/>
  <c r="B5858"/>
  <c r="A5859"/>
  <c r="B5859"/>
  <c r="A5860"/>
  <c r="B5860"/>
  <c r="A5861"/>
  <c r="B5861"/>
  <c r="A5862"/>
  <c r="B5862"/>
  <c r="A5863"/>
  <c r="B5863"/>
  <c r="A5864"/>
  <c r="B5864"/>
  <c r="A5865"/>
  <c r="B5865"/>
  <c r="A5866"/>
  <c r="B5866"/>
  <c r="A5867"/>
  <c r="B5867"/>
  <c r="A5868"/>
  <c r="B5868"/>
  <c r="A5869"/>
  <c r="B5869"/>
  <c r="A5870"/>
  <c r="B5870"/>
  <c r="A5871"/>
  <c r="B5871"/>
  <c r="A5872"/>
  <c r="B5872"/>
  <c r="A5873"/>
  <c r="B5873"/>
  <c r="A5874"/>
  <c r="B5874"/>
  <c r="A5875"/>
  <c r="B5875"/>
  <c r="A5876"/>
  <c r="B5876"/>
  <c r="A5877"/>
  <c r="B5877"/>
  <c r="A5878"/>
  <c r="B5878"/>
  <c r="A5879"/>
  <c r="B5879"/>
  <c r="A5880"/>
  <c r="B5880"/>
  <c r="A5881"/>
  <c r="B5881"/>
  <c r="A5882"/>
  <c r="B5882"/>
  <c r="A5883"/>
  <c r="B5883"/>
  <c r="A5884"/>
  <c r="B5884"/>
  <c r="A5885"/>
  <c r="B5885"/>
  <c r="A5886"/>
  <c r="B5886"/>
  <c r="A5887"/>
  <c r="B5887"/>
  <c r="A5888"/>
  <c r="B5888"/>
  <c r="A5889"/>
  <c r="B5889"/>
  <c r="A5890"/>
  <c r="B5890"/>
  <c r="A5891"/>
  <c r="B5891"/>
  <c r="A5892"/>
  <c r="B5892"/>
  <c r="A5893"/>
  <c r="B5893"/>
  <c r="A5894"/>
  <c r="B5894"/>
  <c r="A5895"/>
  <c r="B5895"/>
  <c r="A5896"/>
  <c r="B5896"/>
  <c r="A5897"/>
  <c r="B5897"/>
  <c r="A5898"/>
  <c r="B5898"/>
  <c r="A5899"/>
  <c r="B5899"/>
  <c r="A5900"/>
  <c r="B5900"/>
  <c r="A5901"/>
  <c r="B5901"/>
  <c r="A5902"/>
  <c r="B5902"/>
  <c r="A5903"/>
  <c r="B5903"/>
  <c r="A5904"/>
  <c r="B5904"/>
  <c r="A5905"/>
  <c r="B5905"/>
  <c r="A5906"/>
  <c r="B5906"/>
  <c r="A5907"/>
  <c r="B5907"/>
  <c r="A5908"/>
  <c r="B5908"/>
  <c r="A5909"/>
  <c r="B5909"/>
  <c r="A5910"/>
  <c r="B5910"/>
  <c r="A5911"/>
  <c r="B5911"/>
  <c r="A5912"/>
  <c r="B5912"/>
  <c r="A5913"/>
  <c r="B5913"/>
  <c r="A5914"/>
  <c r="B5914"/>
  <c r="A5915"/>
  <c r="B5915"/>
  <c r="A5916"/>
  <c r="B5916"/>
  <c r="A5917"/>
  <c r="B5917"/>
  <c r="A5918"/>
  <c r="B5918"/>
  <c r="A5919"/>
  <c r="B5919"/>
  <c r="A5920"/>
  <c r="B5920"/>
  <c r="A5921"/>
  <c r="B5921"/>
  <c r="A5922"/>
  <c r="B5922"/>
  <c r="A5923"/>
  <c r="B5923"/>
  <c r="A5924"/>
  <c r="B5924"/>
  <c r="A5925"/>
  <c r="B5925"/>
  <c r="A5926"/>
  <c r="B5926"/>
  <c r="A5927"/>
  <c r="B5927"/>
  <c r="A5928"/>
  <c r="B5928"/>
  <c r="A5929"/>
  <c r="B5929"/>
  <c r="A5930"/>
  <c r="B5930"/>
  <c r="A5931"/>
  <c r="B5931"/>
  <c r="A5932"/>
  <c r="B5932"/>
  <c r="A5933"/>
  <c r="B5933"/>
  <c r="A5934"/>
  <c r="B5934"/>
  <c r="A5935"/>
  <c r="B5935"/>
  <c r="A5936"/>
  <c r="B5936"/>
  <c r="A5937"/>
  <c r="B5937"/>
  <c r="A5938"/>
  <c r="B5938"/>
  <c r="A5939"/>
  <c r="B5939"/>
  <c r="A5940"/>
  <c r="B5940"/>
  <c r="A5941"/>
  <c r="B5941"/>
  <c r="A5942"/>
  <c r="B5942"/>
  <c r="A5943"/>
  <c r="B5943"/>
  <c r="A5944"/>
  <c r="B5944"/>
  <c r="A5945"/>
  <c r="B5945"/>
  <c r="A5946"/>
  <c r="B5946"/>
  <c r="A5947"/>
  <c r="B5947"/>
  <c r="A5948"/>
  <c r="B5948"/>
  <c r="A5949"/>
  <c r="B5949"/>
  <c r="A5950"/>
  <c r="B5950"/>
  <c r="A5951"/>
  <c r="B5951"/>
  <c r="A5952"/>
  <c r="B5952"/>
  <c r="A5953"/>
  <c r="B5953"/>
  <c r="A5954"/>
  <c r="B5954"/>
  <c r="A5955"/>
  <c r="B5955"/>
  <c r="A5956"/>
  <c r="B5956"/>
  <c r="A5957"/>
  <c r="B5957"/>
  <c r="A5958"/>
  <c r="B5958"/>
  <c r="A5959"/>
  <c r="B5959"/>
  <c r="A5960"/>
  <c r="B5960"/>
  <c r="A5961"/>
  <c r="B5961"/>
  <c r="A5962"/>
  <c r="B5962"/>
  <c r="A5963"/>
  <c r="B5963"/>
  <c r="A5964"/>
  <c r="B5964"/>
  <c r="A5965"/>
  <c r="B5965"/>
  <c r="A5966"/>
  <c r="B5966"/>
  <c r="A5967"/>
  <c r="B5967"/>
  <c r="A5968"/>
  <c r="B5968"/>
  <c r="A5969"/>
  <c r="B5969"/>
  <c r="A5970"/>
  <c r="B5970"/>
  <c r="A5971"/>
  <c r="B5971"/>
  <c r="A5972"/>
  <c r="B5972"/>
  <c r="A5973"/>
  <c r="B5973"/>
  <c r="A5974"/>
  <c r="B5974"/>
  <c r="A5975"/>
  <c r="B5975"/>
  <c r="A5976"/>
  <c r="B5976"/>
  <c r="A5977"/>
  <c r="B5977"/>
  <c r="A5978"/>
  <c r="B5978"/>
  <c r="A5979"/>
  <c r="B5979"/>
  <c r="A5980"/>
  <c r="B5980"/>
  <c r="A5981"/>
  <c r="B5981"/>
  <c r="A5982"/>
  <c r="B5982"/>
  <c r="A5983"/>
  <c r="B5983"/>
  <c r="A5984"/>
  <c r="B5984"/>
  <c r="A5985"/>
  <c r="B5985"/>
  <c r="A5986"/>
  <c r="B5986"/>
  <c r="A5987"/>
  <c r="B5987"/>
  <c r="A5988"/>
  <c r="B5988"/>
  <c r="A5989"/>
  <c r="B5989"/>
  <c r="A5990"/>
  <c r="B5990"/>
  <c r="A5991"/>
  <c r="B5991"/>
  <c r="A5992"/>
  <c r="B5992"/>
  <c r="A5993"/>
  <c r="B5993"/>
  <c r="A5994"/>
  <c r="B5994"/>
  <c r="A5995"/>
  <c r="B5995"/>
  <c r="A5996"/>
  <c r="B5996"/>
  <c r="A5997"/>
  <c r="B5997"/>
  <c r="A5998"/>
  <c r="B5998"/>
  <c r="A5999"/>
  <c r="B5999"/>
  <c r="A6000"/>
  <c r="B6000"/>
  <c r="A6001"/>
  <c r="B6001"/>
  <c r="A6002"/>
  <c r="B6002"/>
  <c r="A6003"/>
  <c r="B6003"/>
  <c r="A6004"/>
  <c r="B6004"/>
  <c r="A6005"/>
  <c r="B6005"/>
  <c r="A6006"/>
  <c r="B6006"/>
  <c r="A6007"/>
  <c r="B6007"/>
  <c r="A6008"/>
  <c r="B6008"/>
  <c r="A6009"/>
  <c r="B6009"/>
  <c r="A6010"/>
  <c r="B6010"/>
  <c r="A6011"/>
  <c r="B6011"/>
  <c r="A6012"/>
  <c r="B6012"/>
  <c r="A6013"/>
  <c r="B6013"/>
  <c r="A6014"/>
  <c r="B6014"/>
  <c r="A6015"/>
  <c r="B6015"/>
  <c r="A6016"/>
  <c r="B6016"/>
  <c r="A6017"/>
  <c r="B6017"/>
  <c r="A6018"/>
  <c r="B6018"/>
  <c r="A6019"/>
  <c r="B6019"/>
  <c r="A6020"/>
  <c r="B6020"/>
  <c r="A6021"/>
  <c r="B6021"/>
  <c r="A6022"/>
  <c r="B6022"/>
  <c r="A6023"/>
  <c r="B6023"/>
  <c r="A6024"/>
  <c r="B6024"/>
  <c r="A6025"/>
  <c r="B6025"/>
  <c r="A6026"/>
  <c r="B6026"/>
  <c r="A6027"/>
  <c r="B6027"/>
  <c r="A6028"/>
  <c r="B6028"/>
  <c r="A6029"/>
  <c r="B6029"/>
  <c r="A6030"/>
  <c r="B6030"/>
  <c r="A6031"/>
  <c r="B6031"/>
  <c r="A6032"/>
  <c r="B6032"/>
  <c r="A6033"/>
  <c r="B6033"/>
  <c r="A6034"/>
  <c r="B6034"/>
  <c r="A6035"/>
  <c r="B6035"/>
  <c r="A6036"/>
  <c r="B6036"/>
  <c r="A6037"/>
  <c r="B6037"/>
  <c r="A6038"/>
  <c r="B6038"/>
  <c r="A6039"/>
  <c r="B6039"/>
  <c r="A6040"/>
  <c r="B6040"/>
  <c r="A6041"/>
  <c r="B6041"/>
  <c r="A6042"/>
  <c r="B6042"/>
  <c r="A6043"/>
  <c r="B6043"/>
  <c r="A6044"/>
  <c r="B6044"/>
  <c r="A6045"/>
  <c r="B6045"/>
  <c r="A6046"/>
  <c r="B6046"/>
  <c r="A6047"/>
  <c r="B6047"/>
  <c r="A6048"/>
  <c r="B6048"/>
  <c r="A6049"/>
  <c r="B6049"/>
  <c r="A6050"/>
  <c r="B6050"/>
  <c r="A6051"/>
  <c r="B6051"/>
  <c r="A6052"/>
  <c r="B6052"/>
  <c r="A6053"/>
  <c r="B6053"/>
  <c r="A6054"/>
  <c r="B6054"/>
  <c r="A6055"/>
  <c r="B6055"/>
  <c r="A6056"/>
  <c r="B6056"/>
  <c r="A6057"/>
  <c r="B6057"/>
  <c r="A6058"/>
  <c r="B6058"/>
  <c r="A6059"/>
  <c r="B6059"/>
  <c r="A6060"/>
  <c r="B6060"/>
  <c r="A6061"/>
  <c r="B6061"/>
  <c r="A6062"/>
  <c r="B6062"/>
  <c r="A6063"/>
  <c r="B6063"/>
  <c r="A6064"/>
  <c r="B6064"/>
  <c r="A6065"/>
  <c r="B6065"/>
  <c r="A6066"/>
  <c r="B6066"/>
  <c r="A6067"/>
  <c r="B6067"/>
  <c r="A6068"/>
  <c r="B6068"/>
  <c r="A6069"/>
  <c r="B6069"/>
  <c r="A6070"/>
  <c r="B6070"/>
  <c r="A6071"/>
  <c r="B6071"/>
  <c r="A6072"/>
  <c r="B6072"/>
  <c r="A6073"/>
  <c r="B6073"/>
  <c r="A6074"/>
  <c r="B6074"/>
  <c r="A6075"/>
  <c r="B6075"/>
  <c r="A6076"/>
  <c r="B6076"/>
  <c r="A6077"/>
  <c r="B6077"/>
  <c r="A6078"/>
  <c r="B6078"/>
  <c r="A6079"/>
  <c r="B6079"/>
  <c r="A6080"/>
  <c r="B6080"/>
  <c r="A6081"/>
  <c r="B6081"/>
  <c r="A6082"/>
  <c r="B6082"/>
  <c r="A6083"/>
  <c r="B6083"/>
  <c r="A6084"/>
  <c r="B6084"/>
  <c r="A6085"/>
  <c r="B6085"/>
  <c r="A6086"/>
  <c r="B6086"/>
  <c r="A6087"/>
  <c r="B6087"/>
  <c r="A6088"/>
  <c r="B6088"/>
  <c r="A6089"/>
  <c r="B6089"/>
  <c r="A6090"/>
  <c r="B6090"/>
  <c r="A6091"/>
  <c r="B6091"/>
  <c r="A6092"/>
  <c r="B6092"/>
  <c r="A6093"/>
  <c r="B6093"/>
  <c r="A6094"/>
  <c r="B6094"/>
  <c r="A6095"/>
  <c r="B6095"/>
  <c r="A6096"/>
  <c r="B6096"/>
  <c r="A6097"/>
  <c r="B6097"/>
  <c r="A6098"/>
  <c r="B6098"/>
  <c r="A6099"/>
  <c r="B6099"/>
  <c r="A6100"/>
  <c r="B6100"/>
  <c r="A6101"/>
  <c r="B6101"/>
  <c r="A6102"/>
  <c r="B6102"/>
  <c r="A6103"/>
  <c r="B6103"/>
  <c r="A6104"/>
  <c r="B6104"/>
  <c r="A6105"/>
  <c r="B6105"/>
  <c r="A6106"/>
  <c r="B6106"/>
  <c r="A6107"/>
  <c r="B6107"/>
  <c r="A6108"/>
  <c r="B6108"/>
  <c r="A6109"/>
  <c r="B6109"/>
  <c r="A6110"/>
  <c r="B6110"/>
  <c r="A6111"/>
  <c r="B6111"/>
  <c r="A6112"/>
  <c r="B6112"/>
  <c r="A6113"/>
  <c r="B6113"/>
  <c r="A6114"/>
  <c r="B6114"/>
  <c r="A6115"/>
  <c r="B6115"/>
  <c r="A6116"/>
  <c r="B6116"/>
  <c r="A6117"/>
  <c r="B6117"/>
  <c r="A6118"/>
  <c r="B6118"/>
  <c r="A6119"/>
  <c r="B6119"/>
  <c r="A6120"/>
  <c r="B6120"/>
  <c r="A6121"/>
  <c r="B6121"/>
  <c r="A6122"/>
  <c r="B6122"/>
  <c r="A6123"/>
  <c r="B6123"/>
  <c r="A6124"/>
  <c r="B6124"/>
  <c r="A6125"/>
  <c r="B6125"/>
  <c r="A6126"/>
  <c r="B6126"/>
  <c r="A6127"/>
  <c r="B6127"/>
  <c r="A6128"/>
  <c r="B6128"/>
  <c r="A6129"/>
  <c r="B6129"/>
  <c r="A6130"/>
  <c r="B6130"/>
  <c r="A6131"/>
  <c r="B6131"/>
  <c r="A6132"/>
  <c r="B6132"/>
  <c r="A6133"/>
  <c r="B6133"/>
  <c r="A6134"/>
  <c r="B6134"/>
  <c r="A6135"/>
  <c r="B6135"/>
  <c r="A6136"/>
  <c r="B6136"/>
  <c r="A6137"/>
  <c r="B6137"/>
  <c r="A6138"/>
  <c r="B6138"/>
  <c r="A6139"/>
  <c r="B6139"/>
  <c r="A6140"/>
  <c r="B6140"/>
  <c r="A6141"/>
  <c r="B6141"/>
  <c r="A6142"/>
  <c r="B6142"/>
  <c r="A6143"/>
  <c r="B6143"/>
  <c r="A6144"/>
  <c r="B6144"/>
  <c r="A6145"/>
  <c r="B6145"/>
  <c r="A6146"/>
  <c r="B6146"/>
  <c r="A6147"/>
  <c r="B6147"/>
  <c r="A6148"/>
  <c r="B6148"/>
  <c r="A6149"/>
  <c r="B6149"/>
  <c r="A6150"/>
  <c r="B6150"/>
  <c r="A6151"/>
  <c r="B6151"/>
  <c r="A6152"/>
  <c r="B6152"/>
  <c r="A6153"/>
  <c r="B6153"/>
  <c r="A6154"/>
  <c r="B6154"/>
  <c r="A6155"/>
  <c r="B6155"/>
  <c r="A6156"/>
  <c r="B6156"/>
  <c r="A6157"/>
  <c r="B6157"/>
  <c r="A6158"/>
  <c r="B6158"/>
  <c r="A6159"/>
  <c r="B6159"/>
  <c r="A6160"/>
  <c r="B6160"/>
  <c r="A6161"/>
  <c r="B6161"/>
  <c r="A6162"/>
  <c r="B6162"/>
  <c r="A6163"/>
  <c r="B6163"/>
  <c r="A6164"/>
  <c r="B6164"/>
  <c r="A6165"/>
  <c r="B6165"/>
  <c r="A6166"/>
  <c r="B6166"/>
  <c r="A6167"/>
  <c r="B6167"/>
  <c r="A6168"/>
  <c r="B6168"/>
  <c r="A6169"/>
  <c r="B6169"/>
  <c r="A6170"/>
  <c r="B6170"/>
  <c r="A6171"/>
  <c r="B6171"/>
  <c r="A6172"/>
  <c r="B6172"/>
  <c r="A6173"/>
  <c r="B6173"/>
  <c r="A6174"/>
  <c r="B6174"/>
  <c r="A6175"/>
  <c r="B6175"/>
  <c r="A6176"/>
  <c r="B6176"/>
  <c r="A6177"/>
  <c r="B6177"/>
  <c r="A6178"/>
  <c r="B6178"/>
  <c r="A6179"/>
  <c r="B6179"/>
  <c r="A6180"/>
  <c r="B6180"/>
  <c r="A6181"/>
  <c r="B6181"/>
  <c r="A6182"/>
  <c r="B6182"/>
  <c r="A6183"/>
  <c r="B6183"/>
  <c r="A6184"/>
  <c r="B6184"/>
  <c r="A6185"/>
  <c r="B6185"/>
  <c r="A6186"/>
  <c r="B6186"/>
  <c r="A6187"/>
  <c r="B6187"/>
  <c r="A6188"/>
  <c r="B6188"/>
  <c r="A6189"/>
  <c r="B6189"/>
  <c r="A6190"/>
  <c r="B6190"/>
  <c r="A6191"/>
  <c r="B6191"/>
  <c r="A6192"/>
  <c r="B6192"/>
  <c r="A6193"/>
  <c r="B6193"/>
  <c r="A6194"/>
  <c r="B6194"/>
  <c r="A6195"/>
  <c r="B6195"/>
  <c r="A6196"/>
  <c r="B6196"/>
  <c r="A6197"/>
  <c r="B6197"/>
  <c r="A6198"/>
  <c r="B6198"/>
  <c r="A6199"/>
  <c r="B6199"/>
  <c r="A6200"/>
  <c r="B6200"/>
  <c r="A6201"/>
  <c r="B6201"/>
  <c r="A6202"/>
  <c r="B6202"/>
  <c r="A6203"/>
  <c r="B6203"/>
  <c r="A6204"/>
  <c r="B6204"/>
  <c r="A6205"/>
  <c r="B6205"/>
  <c r="A6206"/>
  <c r="B6206"/>
  <c r="A6207"/>
  <c r="B6207"/>
  <c r="A6208"/>
  <c r="B6208"/>
  <c r="A6209"/>
  <c r="B6209"/>
  <c r="A6210"/>
  <c r="B6210"/>
  <c r="A6211"/>
  <c r="B6211"/>
  <c r="A6212"/>
  <c r="B6212"/>
  <c r="A6213"/>
  <c r="B6213"/>
  <c r="A6214"/>
  <c r="B6214"/>
  <c r="A6215"/>
  <c r="B6215"/>
  <c r="A6216"/>
  <c r="B6216"/>
  <c r="A6217"/>
  <c r="B6217"/>
  <c r="A6218"/>
  <c r="B6218"/>
  <c r="A6219"/>
  <c r="B6219"/>
  <c r="A6220"/>
  <c r="B6220"/>
  <c r="A6221"/>
  <c r="B6221"/>
  <c r="A6222"/>
  <c r="B6222"/>
  <c r="A6223"/>
  <c r="B6223"/>
  <c r="A6224"/>
  <c r="B6224"/>
  <c r="A6225"/>
  <c r="B6225"/>
  <c r="A6226"/>
  <c r="B6226"/>
  <c r="A6227"/>
  <c r="B6227"/>
  <c r="A6228"/>
  <c r="B6228"/>
  <c r="A6229"/>
  <c r="B6229"/>
  <c r="A6230"/>
  <c r="B6230"/>
  <c r="A6231"/>
  <c r="B6231"/>
  <c r="A6232"/>
  <c r="B6232"/>
  <c r="A6233"/>
  <c r="B6233"/>
  <c r="A6234"/>
  <c r="B6234"/>
  <c r="A6235"/>
  <c r="B6235"/>
  <c r="A6236"/>
  <c r="B6236"/>
  <c r="A6237"/>
  <c r="B6237"/>
  <c r="A6238"/>
  <c r="B6238"/>
  <c r="A6239"/>
  <c r="B6239"/>
  <c r="A6240"/>
  <c r="B6240"/>
  <c r="A6241"/>
  <c r="B6241"/>
  <c r="A6242"/>
  <c r="B6242"/>
  <c r="A6243"/>
  <c r="B6243"/>
  <c r="A6244"/>
  <c r="B6244"/>
  <c r="A6245"/>
  <c r="B6245"/>
  <c r="A6246"/>
  <c r="B6246"/>
  <c r="A6247"/>
  <c r="B6247"/>
  <c r="A6248"/>
  <c r="B6248"/>
  <c r="A6249"/>
  <c r="B6249"/>
  <c r="A6250"/>
  <c r="B6250"/>
  <c r="A6251"/>
  <c r="B6251"/>
  <c r="A6252"/>
  <c r="B6252"/>
  <c r="A6253"/>
  <c r="B6253"/>
  <c r="A6254"/>
  <c r="B6254"/>
  <c r="A6255"/>
  <c r="B6255"/>
  <c r="A6256"/>
  <c r="B6256"/>
  <c r="A6257"/>
  <c r="B6257"/>
  <c r="A6258"/>
  <c r="B6258"/>
  <c r="A6259"/>
  <c r="B6259"/>
  <c r="A6260"/>
  <c r="B6260"/>
  <c r="A6261"/>
  <c r="B6261"/>
  <c r="A6262"/>
  <c r="B6262"/>
  <c r="A6263"/>
  <c r="B6263"/>
  <c r="A6264"/>
  <c r="B6264"/>
  <c r="A6265"/>
  <c r="B6265"/>
  <c r="A6266"/>
  <c r="B6266"/>
  <c r="A6267"/>
  <c r="B6267"/>
  <c r="A6268"/>
  <c r="B6268"/>
  <c r="A6269"/>
  <c r="B6269"/>
  <c r="A6270"/>
  <c r="B6270"/>
  <c r="A6271"/>
  <c r="B6271"/>
  <c r="A6272"/>
  <c r="B6272"/>
  <c r="A6273"/>
  <c r="B6273"/>
  <c r="A6274"/>
  <c r="B6274"/>
  <c r="A6275"/>
  <c r="B6275"/>
  <c r="A6276"/>
  <c r="B6276"/>
  <c r="A6277"/>
  <c r="B6277"/>
  <c r="A6278"/>
  <c r="B6278"/>
  <c r="A6279"/>
  <c r="B6279"/>
  <c r="A6280"/>
  <c r="B6280"/>
  <c r="A6281"/>
  <c r="B6281"/>
  <c r="A6282"/>
  <c r="B6282"/>
  <c r="A6283"/>
  <c r="B6283"/>
  <c r="A6284"/>
  <c r="B6284"/>
  <c r="A6285"/>
  <c r="B6285"/>
  <c r="A6286"/>
  <c r="B6286"/>
  <c r="A6287"/>
  <c r="B6287"/>
  <c r="A6288"/>
  <c r="B6288"/>
  <c r="A6289"/>
  <c r="B6289"/>
  <c r="A6290"/>
  <c r="B6290"/>
  <c r="A6291"/>
  <c r="B6291"/>
  <c r="A6292"/>
  <c r="B6292"/>
  <c r="A6293"/>
  <c r="B6293"/>
  <c r="A6294"/>
  <c r="B6294"/>
  <c r="A6295"/>
  <c r="B6295"/>
  <c r="A6296"/>
  <c r="B6296"/>
  <c r="A6297"/>
  <c r="B6297"/>
  <c r="A6298"/>
  <c r="B6298"/>
  <c r="A6299"/>
  <c r="B6299"/>
  <c r="A6300"/>
  <c r="B6300"/>
  <c r="A6301"/>
  <c r="B6301"/>
  <c r="A6302"/>
  <c r="B6302"/>
  <c r="A6303"/>
  <c r="B6303"/>
  <c r="A6304"/>
  <c r="B6304"/>
  <c r="A6305"/>
  <c r="B6305"/>
  <c r="A6306"/>
  <c r="B6306"/>
  <c r="A6307"/>
  <c r="B6307"/>
  <c r="A6308"/>
  <c r="B6308"/>
  <c r="A6309"/>
  <c r="B6309"/>
  <c r="A6310"/>
  <c r="B6310"/>
  <c r="A6311"/>
  <c r="B6311"/>
  <c r="A6312"/>
  <c r="B6312"/>
  <c r="A6313"/>
  <c r="B6313"/>
  <c r="A6314"/>
  <c r="B6314"/>
  <c r="A6315"/>
  <c r="B6315"/>
  <c r="A6316"/>
  <c r="B6316"/>
  <c r="A6317"/>
  <c r="B6317"/>
  <c r="A6318"/>
  <c r="B6318"/>
  <c r="A6319"/>
  <c r="B6319"/>
  <c r="A6320"/>
  <c r="B6320"/>
  <c r="A6321"/>
  <c r="B6321"/>
  <c r="A6322"/>
  <c r="B6322"/>
  <c r="A6323"/>
  <c r="B6323"/>
  <c r="A6324"/>
  <c r="B6324"/>
  <c r="A6325"/>
  <c r="B6325"/>
  <c r="A6326"/>
  <c r="B6326"/>
  <c r="A6327"/>
  <c r="B6327"/>
  <c r="A6328"/>
  <c r="B6328"/>
  <c r="A6329"/>
  <c r="B6329"/>
  <c r="A6330"/>
  <c r="B6330"/>
  <c r="A6331"/>
  <c r="B6331"/>
  <c r="A6332"/>
  <c r="B6332"/>
  <c r="A6333"/>
  <c r="B6333"/>
  <c r="A6334"/>
  <c r="B6334"/>
  <c r="A6335"/>
  <c r="B6335"/>
  <c r="A6336"/>
  <c r="B6336"/>
  <c r="A6337"/>
  <c r="B6337"/>
  <c r="A6338"/>
  <c r="B6338"/>
  <c r="A6339"/>
  <c r="B6339"/>
  <c r="A6340"/>
  <c r="B6340"/>
  <c r="A6341"/>
  <c r="B6341"/>
  <c r="A6342"/>
  <c r="B6342"/>
  <c r="A6343"/>
  <c r="B6343"/>
  <c r="A6344"/>
  <c r="B6344"/>
  <c r="A6345"/>
  <c r="B6345"/>
  <c r="A6346"/>
  <c r="B6346"/>
  <c r="A6347"/>
  <c r="B6347"/>
  <c r="A6348"/>
  <c r="B6348"/>
  <c r="A6349"/>
  <c r="B6349"/>
  <c r="A6350"/>
  <c r="B6350"/>
  <c r="A6351"/>
  <c r="B6351"/>
  <c r="A6352"/>
  <c r="B6352"/>
  <c r="A6353"/>
  <c r="B6353"/>
  <c r="A6354"/>
  <c r="B6354"/>
  <c r="A6355"/>
  <c r="B6355"/>
  <c r="A6356"/>
  <c r="B6356"/>
  <c r="A6357"/>
  <c r="B6357"/>
  <c r="A6358"/>
  <c r="B6358"/>
  <c r="A6359"/>
  <c r="B6359"/>
  <c r="A6360"/>
  <c r="B6360"/>
  <c r="A6361"/>
  <c r="B6361"/>
  <c r="A6362"/>
  <c r="B6362"/>
  <c r="A6363"/>
  <c r="B6363"/>
  <c r="A6364"/>
  <c r="B6364"/>
  <c r="A6365"/>
  <c r="B6365"/>
  <c r="A6366"/>
  <c r="B6366"/>
  <c r="A6367"/>
  <c r="B6367"/>
  <c r="A6368"/>
  <c r="B6368"/>
  <c r="A6369"/>
  <c r="B6369"/>
  <c r="A6370"/>
  <c r="B6370"/>
  <c r="A6371"/>
  <c r="B6371"/>
  <c r="A6372"/>
  <c r="B6372"/>
  <c r="A6373"/>
  <c r="B6373"/>
  <c r="A6374"/>
  <c r="B6374"/>
  <c r="A6375"/>
  <c r="B6375"/>
  <c r="A6376"/>
  <c r="B6376"/>
  <c r="A6377"/>
  <c r="B6377"/>
  <c r="A6378"/>
  <c r="B6378"/>
  <c r="A6379"/>
  <c r="B6379"/>
  <c r="A6380"/>
  <c r="B6380"/>
  <c r="A6381"/>
  <c r="B6381"/>
  <c r="A6382"/>
  <c r="B6382"/>
  <c r="A6383"/>
  <c r="B6383"/>
  <c r="A6384"/>
  <c r="B6384"/>
  <c r="A6385"/>
  <c r="B6385"/>
  <c r="A6386"/>
  <c r="B6386"/>
  <c r="A6387"/>
  <c r="B6387"/>
  <c r="A6388"/>
  <c r="B6388"/>
  <c r="A6389"/>
  <c r="B6389"/>
  <c r="A6390"/>
  <c r="B6390"/>
  <c r="A6391"/>
  <c r="B6391"/>
  <c r="A6392"/>
  <c r="B6392"/>
  <c r="A6393"/>
  <c r="B6393"/>
  <c r="A6394"/>
  <c r="B6394"/>
  <c r="A6395"/>
  <c r="B6395"/>
  <c r="A6396"/>
  <c r="B6396"/>
  <c r="A6397"/>
  <c r="B6397"/>
  <c r="A6398"/>
  <c r="B6398"/>
  <c r="A6399"/>
  <c r="B6399"/>
  <c r="A6400"/>
  <c r="B6400"/>
  <c r="A6401"/>
  <c r="B6401"/>
  <c r="A6402"/>
  <c r="B6402"/>
  <c r="A6403"/>
  <c r="B6403"/>
  <c r="A6404"/>
  <c r="B6404"/>
  <c r="A6405"/>
  <c r="B6405"/>
  <c r="A6406"/>
  <c r="B6406"/>
  <c r="A6407"/>
  <c r="B6407"/>
  <c r="A6408"/>
  <c r="B6408"/>
  <c r="A6409"/>
  <c r="B6409"/>
  <c r="A6410"/>
  <c r="B6410"/>
  <c r="A6411"/>
  <c r="B6411"/>
  <c r="A6412"/>
  <c r="B6412"/>
  <c r="A6413"/>
  <c r="B6413"/>
  <c r="A6414"/>
  <c r="B6414"/>
  <c r="A6415"/>
  <c r="B6415"/>
  <c r="A6416"/>
  <c r="B6416"/>
  <c r="A6417"/>
  <c r="B6417"/>
  <c r="A6418"/>
  <c r="B6418"/>
  <c r="A6419"/>
  <c r="B6419"/>
  <c r="A6420"/>
  <c r="B6420"/>
  <c r="A6421"/>
  <c r="B6421"/>
  <c r="A6422"/>
  <c r="B6422"/>
  <c r="A6423"/>
  <c r="B6423"/>
  <c r="A6424"/>
  <c r="B6424"/>
  <c r="A6425"/>
  <c r="B6425"/>
  <c r="A6426"/>
  <c r="B6426"/>
  <c r="A6427"/>
  <c r="B6427"/>
  <c r="A6428"/>
  <c r="B6428"/>
  <c r="A6429"/>
  <c r="B6429"/>
  <c r="A6430"/>
  <c r="B6430"/>
  <c r="A6431"/>
  <c r="B6431"/>
  <c r="A6432"/>
  <c r="B6432"/>
  <c r="A6433"/>
  <c r="B6433"/>
  <c r="A6434"/>
  <c r="B6434"/>
  <c r="A6435"/>
  <c r="B6435"/>
  <c r="A6436"/>
  <c r="B6436"/>
  <c r="A6437"/>
  <c r="B6437"/>
  <c r="A6438"/>
  <c r="B6438"/>
  <c r="A6439"/>
  <c r="B6439"/>
  <c r="A6440"/>
  <c r="B6440"/>
  <c r="A6441"/>
  <c r="B6441"/>
  <c r="A6442"/>
  <c r="B6442"/>
  <c r="A6443"/>
  <c r="B6443"/>
  <c r="A6444"/>
  <c r="B6444"/>
  <c r="A6445"/>
  <c r="B6445"/>
  <c r="A6446"/>
  <c r="B6446"/>
  <c r="A6447"/>
  <c r="B6447"/>
  <c r="A6448"/>
  <c r="B6448"/>
  <c r="A6449"/>
  <c r="B6449"/>
  <c r="A6450"/>
  <c r="B6450"/>
  <c r="A6451"/>
  <c r="B6451"/>
  <c r="A6452"/>
  <c r="B6452"/>
  <c r="A6453"/>
  <c r="B6453"/>
  <c r="A6454"/>
  <c r="B6454"/>
  <c r="A6455"/>
  <c r="B6455"/>
  <c r="A6456"/>
  <c r="B6456"/>
  <c r="A6457"/>
  <c r="B6457"/>
  <c r="A6458"/>
  <c r="B6458"/>
  <c r="A6459"/>
  <c r="B6459"/>
  <c r="A6460"/>
  <c r="B6460"/>
  <c r="A6461"/>
  <c r="B6461"/>
  <c r="A6462"/>
  <c r="B6462"/>
  <c r="A6463"/>
  <c r="B6463"/>
  <c r="A6464"/>
  <c r="B6464"/>
  <c r="A6465"/>
  <c r="B6465"/>
  <c r="A6466"/>
  <c r="B6466"/>
  <c r="A6467"/>
  <c r="B6467"/>
  <c r="A6468"/>
  <c r="B6468"/>
  <c r="A6469"/>
  <c r="B6469"/>
  <c r="A6470"/>
  <c r="B6470"/>
  <c r="A6471"/>
  <c r="B6471"/>
  <c r="A6472"/>
  <c r="B6472"/>
  <c r="A6473"/>
  <c r="B6473"/>
  <c r="A6474"/>
  <c r="B6474"/>
  <c r="A6475"/>
  <c r="B6475"/>
  <c r="A6476"/>
  <c r="B6476"/>
  <c r="A6477"/>
  <c r="B6477"/>
  <c r="A6478"/>
  <c r="B6478"/>
  <c r="A6479"/>
  <c r="B6479"/>
  <c r="A6480"/>
  <c r="B6480"/>
  <c r="A6481"/>
  <c r="B6481"/>
  <c r="A6482"/>
  <c r="B6482"/>
  <c r="A6483"/>
  <c r="B6483"/>
  <c r="A6484"/>
  <c r="B6484"/>
  <c r="A6485"/>
  <c r="B6485"/>
  <c r="A6486"/>
  <c r="B6486"/>
  <c r="A6487"/>
  <c r="B6487"/>
  <c r="A6488"/>
  <c r="B6488"/>
  <c r="A6489"/>
  <c r="B6489"/>
  <c r="A6490"/>
  <c r="B6490"/>
  <c r="A6491"/>
  <c r="B6491"/>
  <c r="A6492"/>
  <c r="B6492"/>
  <c r="A6493"/>
  <c r="B6493"/>
  <c r="A6494"/>
  <c r="B6494"/>
  <c r="A6495"/>
  <c r="B6495"/>
  <c r="A6496"/>
  <c r="B6496"/>
  <c r="A6497"/>
  <c r="B6497"/>
  <c r="A6498"/>
  <c r="B6498"/>
  <c r="A6499"/>
  <c r="B6499"/>
  <c r="A6500"/>
  <c r="B6500"/>
  <c r="A6501"/>
  <c r="B6501"/>
  <c r="A6502"/>
  <c r="B6502"/>
  <c r="A6503"/>
  <c r="B6503"/>
  <c r="A6504"/>
  <c r="B6504"/>
  <c r="A6505"/>
  <c r="B6505"/>
  <c r="A6506"/>
  <c r="B6506"/>
  <c r="A6507"/>
  <c r="B6507"/>
  <c r="A6508"/>
  <c r="B6508"/>
  <c r="A6509"/>
  <c r="B6509"/>
  <c r="A6510"/>
  <c r="B6510"/>
  <c r="A6511"/>
  <c r="B6511"/>
  <c r="A6512"/>
  <c r="B6512"/>
  <c r="A6513"/>
  <c r="B6513"/>
  <c r="A6514"/>
  <c r="B6514"/>
  <c r="A6515"/>
  <c r="B6515"/>
  <c r="A6516"/>
  <c r="B6516"/>
  <c r="A6517"/>
  <c r="B6517"/>
  <c r="A6518"/>
  <c r="B6518"/>
  <c r="A6519"/>
  <c r="B6519"/>
  <c r="A6520"/>
  <c r="B6520"/>
  <c r="A6521"/>
  <c r="B6521"/>
  <c r="A6522"/>
  <c r="B6522"/>
  <c r="A6523"/>
  <c r="B6523"/>
  <c r="A6524"/>
  <c r="B6524"/>
  <c r="A6525"/>
  <c r="B6525"/>
  <c r="A6526"/>
  <c r="B6526"/>
  <c r="A6527"/>
  <c r="B6527"/>
  <c r="A6528"/>
  <c r="B6528"/>
  <c r="A6529"/>
  <c r="B6529"/>
  <c r="A6530"/>
  <c r="B6530"/>
  <c r="A6531"/>
  <c r="B6531"/>
  <c r="A6532"/>
  <c r="B6532"/>
  <c r="A6533"/>
  <c r="B6533"/>
  <c r="A6534"/>
  <c r="B6534"/>
  <c r="A6535"/>
  <c r="B6535"/>
  <c r="A6536"/>
  <c r="B6536"/>
  <c r="A6537"/>
  <c r="B6537"/>
  <c r="A6538"/>
  <c r="B6538"/>
  <c r="A6539"/>
  <c r="B6539"/>
  <c r="A6540"/>
  <c r="B6540"/>
  <c r="A6541"/>
  <c r="B6541"/>
  <c r="A6542"/>
  <c r="B6542"/>
  <c r="A6543"/>
  <c r="B6543"/>
  <c r="A6544"/>
  <c r="B6544"/>
  <c r="A6545"/>
  <c r="B6545"/>
  <c r="A6546"/>
  <c r="B6546"/>
  <c r="A6547"/>
  <c r="B6547"/>
  <c r="A6548"/>
  <c r="B6548"/>
  <c r="A6549"/>
  <c r="B6549"/>
  <c r="A6550"/>
  <c r="B6550"/>
  <c r="A6551"/>
  <c r="B6551"/>
  <c r="A6552"/>
  <c r="B6552"/>
  <c r="A6553"/>
  <c r="B6553"/>
  <c r="A6554"/>
  <c r="B6554"/>
  <c r="A6555"/>
  <c r="B6555"/>
  <c r="A6556"/>
  <c r="B6556"/>
  <c r="A6557"/>
  <c r="B6557"/>
  <c r="A6558"/>
  <c r="B6558"/>
  <c r="A6559"/>
  <c r="B6559"/>
  <c r="A6560"/>
  <c r="B6560"/>
  <c r="A6561"/>
  <c r="B6561"/>
  <c r="A6562"/>
  <c r="B6562"/>
  <c r="A6563"/>
  <c r="B6563"/>
  <c r="A6564"/>
  <c r="B6564"/>
  <c r="A6565"/>
  <c r="B6565"/>
  <c r="A6566"/>
  <c r="B6566"/>
  <c r="A6567"/>
  <c r="B6567"/>
  <c r="A6568"/>
  <c r="B6568"/>
  <c r="A6569"/>
  <c r="B6569"/>
  <c r="A6570"/>
  <c r="B6570"/>
  <c r="A6571"/>
  <c r="B6571"/>
  <c r="A6572"/>
  <c r="B6572"/>
  <c r="A6573"/>
  <c r="B6573"/>
  <c r="A6574"/>
  <c r="B6574"/>
  <c r="A6575"/>
  <c r="B6575"/>
  <c r="A6576"/>
  <c r="B6576"/>
  <c r="A6577"/>
  <c r="B6577"/>
  <c r="A6578"/>
  <c r="B6578"/>
  <c r="A6579"/>
  <c r="B6579"/>
  <c r="A6580"/>
  <c r="B6580"/>
  <c r="A6581"/>
  <c r="B6581"/>
  <c r="A6582"/>
  <c r="B6582"/>
  <c r="A6583"/>
  <c r="B6583"/>
  <c r="A6584"/>
  <c r="B6584"/>
  <c r="A6585"/>
  <c r="B6585"/>
  <c r="A6586"/>
  <c r="B6586"/>
  <c r="A6587"/>
  <c r="B6587"/>
  <c r="A6588"/>
  <c r="B6588"/>
  <c r="A6589"/>
  <c r="B6589"/>
  <c r="A6590"/>
  <c r="B6590"/>
  <c r="A6591"/>
  <c r="B6591"/>
  <c r="A6592"/>
  <c r="B6592"/>
  <c r="A6593"/>
  <c r="B6593"/>
  <c r="A6594"/>
  <c r="B6594"/>
  <c r="A6595"/>
  <c r="B6595"/>
  <c r="A6596"/>
  <c r="B6596"/>
  <c r="A6597"/>
  <c r="B6597"/>
  <c r="A6598"/>
  <c r="B6598"/>
  <c r="A6599"/>
  <c r="B6599"/>
  <c r="A6600"/>
  <c r="B6600"/>
  <c r="A6601"/>
  <c r="B6601"/>
  <c r="A6602"/>
  <c r="B6602"/>
  <c r="A6603"/>
  <c r="B6603"/>
  <c r="A6604"/>
  <c r="B6604"/>
  <c r="A6605"/>
  <c r="B6605"/>
  <c r="A6606"/>
  <c r="B6606"/>
  <c r="A6607"/>
  <c r="B6607"/>
  <c r="A6608"/>
  <c r="B6608"/>
  <c r="A6609"/>
  <c r="B6609"/>
  <c r="A6610"/>
  <c r="B6610"/>
  <c r="A6611"/>
  <c r="B6611"/>
  <c r="A6612"/>
  <c r="B6612"/>
  <c r="A6613"/>
  <c r="B6613"/>
  <c r="A6614"/>
  <c r="B6614"/>
  <c r="A6615"/>
  <c r="B6615"/>
  <c r="A6616"/>
  <c r="B6616"/>
  <c r="A6617"/>
  <c r="B6617"/>
  <c r="A6618"/>
  <c r="B6618"/>
  <c r="A6619"/>
  <c r="B6619"/>
  <c r="A6620"/>
  <c r="B6620"/>
  <c r="A6621"/>
  <c r="B6621"/>
  <c r="A6622"/>
  <c r="B6622"/>
  <c r="A6623"/>
  <c r="B6623"/>
  <c r="A6624"/>
  <c r="B6624"/>
  <c r="A6625"/>
  <c r="B6625"/>
  <c r="A6626"/>
  <c r="B6626"/>
  <c r="A6627"/>
  <c r="B6627"/>
  <c r="A6628"/>
  <c r="B6628"/>
  <c r="A6629"/>
  <c r="B6629"/>
  <c r="A6630"/>
  <c r="B6630"/>
  <c r="A6631"/>
  <c r="B6631"/>
  <c r="A6632"/>
  <c r="B6632"/>
  <c r="A6633"/>
  <c r="B6633"/>
  <c r="A6634"/>
  <c r="B6634"/>
  <c r="A6635"/>
  <c r="B6635"/>
  <c r="A6636"/>
  <c r="B6636"/>
  <c r="A6637"/>
  <c r="B6637"/>
  <c r="A6638"/>
  <c r="B6638"/>
  <c r="A6639"/>
  <c r="B6639"/>
  <c r="A6640"/>
  <c r="B6640"/>
  <c r="A6641"/>
  <c r="B6641"/>
  <c r="A6642"/>
  <c r="B6642"/>
  <c r="A6643"/>
  <c r="B6643"/>
  <c r="A6644"/>
  <c r="B6644"/>
  <c r="A6645"/>
  <c r="B6645"/>
  <c r="A6646"/>
  <c r="B6646"/>
  <c r="A6647"/>
  <c r="B6647"/>
  <c r="A6648"/>
  <c r="B6648"/>
  <c r="A6649"/>
  <c r="B6649"/>
  <c r="A6650"/>
  <c r="B6650"/>
  <c r="A6651"/>
  <c r="B6651"/>
  <c r="A6652"/>
  <c r="B6652"/>
  <c r="A6653"/>
  <c r="B6653"/>
  <c r="A6654"/>
  <c r="B6654"/>
  <c r="A6655"/>
  <c r="B6655"/>
  <c r="A6656"/>
  <c r="B6656"/>
  <c r="A6657"/>
  <c r="B6657"/>
  <c r="A6658"/>
  <c r="B6658"/>
  <c r="A6659"/>
  <c r="B6659"/>
  <c r="A6660"/>
  <c r="B6660"/>
  <c r="A6661"/>
  <c r="B6661"/>
  <c r="A6662"/>
  <c r="B6662"/>
  <c r="A6663"/>
  <c r="B6663"/>
  <c r="A6664"/>
  <c r="B6664"/>
  <c r="A6665"/>
  <c r="B6665"/>
  <c r="A6666"/>
  <c r="B6666"/>
  <c r="A6667"/>
  <c r="B6667"/>
  <c r="A6668"/>
  <c r="B6668"/>
  <c r="A6669"/>
  <c r="B6669"/>
  <c r="A6670"/>
  <c r="B6670"/>
  <c r="A6671"/>
  <c r="B6671"/>
  <c r="A6672"/>
  <c r="B6672"/>
  <c r="A6673"/>
  <c r="B6673"/>
  <c r="A6674"/>
  <c r="B6674"/>
  <c r="A6675"/>
  <c r="B6675"/>
  <c r="A6676"/>
  <c r="B6676"/>
  <c r="A6677"/>
  <c r="B6677"/>
  <c r="A6678"/>
  <c r="B6678"/>
  <c r="A6679"/>
  <c r="B6679"/>
  <c r="A6680"/>
  <c r="B6680"/>
  <c r="A6681"/>
  <c r="B6681"/>
  <c r="A6682"/>
  <c r="B6682"/>
  <c r="A6683"/>
  <c r="B6683"/>
  <c r="A6684"/>
  <c r="B6684"/>
  <c r="A6685"/>
  <c r="B6685"/>
  <c r="A6686"/>
  <c r="B6686"/>
  <c r="A6687"/>
  <c r="B6687"/>
  <c r="A6688"/>
  <c r="B6688"/>
  <c r="A6689"/>
  <c r="B6689"/>
  <c r="A6690"/>
  <c r="B6690"/>
  <c r="A6691"/>
  <c r="B6691"/>
  <c r="A6692"/>
  <c r="B6692"/>
  <c r="A6693"/>
  <c r="B6693"/>
  <c r="A6694"/>
  <c r="B6694"/>
  <c r="A6695"/>
  <c r="B6695"/>
  <c r="A6696"/>
  <c r="B6696"/>
  <c r="A6697"/>
  <c r="B6697"/>
  <c r="A6698"/>
  <c r="B6698"/>
  <c r="A6699"/>
  <c r="B6699"/>
  <c r="A6700"/>
  <c r="B6700"/>
  <c r="A6701"/>
  <c r="B6701"/>
  <c r="A6702"/>
  <c r="B6702"/>
  <c r="A6703"/>
  <c r="B6703"/>
  <c r="A6704"/>
  <c r="B6704"/>
  <c r="A6705"/>
  <c r="B6705"/>
  <c r="A6706"/>
  <c r="B6706"/>
  <c r="A6707"/>
  <c r="B6707"/>
  <c r="A6708"/>
  <c r="B6708"/>
  <c r="A6709"/>
  <c r="B6709"/>
  <c r="A6710"/>
  <c r="B6710"/>
  <c r="A6711"/>
  <c r="B6711"/>
  <c r="A6712"/>
  <c r="B6712"/>
  <c r="A6713"/>
  <c r="B6713"/>
  <c r="A6714"/>
  <c r="B6714"/>
  <c r="A6715"/>
  <c r="B6715"/>
  <c r="A6716"/>
  <c r="B6716"/>
  <c r="A6717"/>
  <c r="B6717"/>
  <c r="A6718"/>
  <c r="B6718"/>
  <c r="A6719"/>
  <c r="B6719"/>
  <c r="A6720"/>
  <c r="B6720"/>
  <c r="A6721"/>
  <c r="B6721"/>
  <c r="A6722"/>
  <c r="B6722"/>
  <c r="A6723"/>
  <c r="B6723"/>
  <c r="A6724"/>
  <c r="B6724"/>
  <c r="A6725"/>
  <c r="B6725"/>
  <c r="A6726"/>
  <c r="B6726"/>
  <c r="A6727"/>
  <c r="B6727"/>
  <c r="A6728"/>
  <c r="B6728"/>
  <c r="A6729"/>
  <c r="B6729"/>
  <c r="A6730"/>
  <c r="B6730"/>
  <c r="A6731"/>
  <c r="B6731"/>
  <c r="A6732"/>
  <c r="B6732"/>
  <c r="A6733"/>
  <c r="B6733"/>
  <c r="A6734"/>
  <c r="B6734"/>
  <c r="A6735"/>
  <c r="B6735"/>
  <c r="A6736"/>
  <c r="B6736"/>
  <c r="A6737"/>
  <c r="B6737"/>
  <c r="A6738"/>
  <c r="B6738"/>
  <c r="A6739"/>
  <c r="B6739"/>
  <c r="A6740"/>
  <c r="B6740"/>
  <c r="A6741"/>
  <c r="B6741"/>
  <c r="A6742"/>
  <c r="B6742"/>
  <c r="A6743"/>
  <c r="B6743"/>
  <c r="A6744"/>
  <c r="B6744"/>
  <c r="A6745"/>
  <c r="B6745"/>
  <c r="A6746"/>
  <c r="B6746"/>
  <c r="A6747"/>
  <c r="B6747"/>
  <c r="A6748"/>
  <c r="B6748"/>
  <c r="A6749"/>
  <c r="B6749"/>
  <c r="A6750"/>
  <c r="B6750"/>
  <c r="A6751"/>
  <c r="B6751"/>
  <c r="A6752"/>
  <c r="B6752"/>
  <c r="A6753"/>
  <c r="B6753"/>
  <c r="A6754"/>
  <c r="B6754"/>
  <c r="A6755"/>
  <c r="B6755"/>
  <c r="A6756"/>
  <c r="B6756"/>
  <c r="A6757"/>
  <c r="B6757"/>
  <c r="A6758"/>
  <c r="B6758"/>
  <c r="A6759"/>
  <c r="B6759"/>
  <c r="A6760"/>
  <c r="B6760"/>
  <c r="A6761"/>
  <c r="B6761"/>
  <c r="A6762"/>
  <c r="B6762"/>
  <c r="A6763"/>
  <c r="B6763"/>
  <c r="A6764"/>
  <c r="B6764"/>
  <c r="A6765"/>
  <c r="B6765"/>
  <c r="A6766"/>
  <c r="B6766"/>
  <c r="A6767"/>
  <c r="B6767"/>
  <c r="A6768"/>
  <c r="B6768"/>
  <c r="A6769"/>
  <c r="B6769"/>
  <c r="A6770"/>
  <c r="B6770"/>
  <c r="A6771"/>
  <c r="B6771"/>
  <c r="A6772"/>
  <c r="B6772"/>
  <c r="A6773"/>
  <c r="B6773"/>
  <c r="A6774"/>
  <c r="B6774"/>
  <c r="A6775"/>
  <c r="B6775"/>
  <c r="A6776"/>
  <c r="B6776"/>
  <c r="A6777"/>
  <c r="B6777"/>
  <c r="A6778"/>
  <c r="B6778"/>
  <c r="A6779"/>
  <c r="B6779"/>
  <c r="A6780"/>
  <c r="B6780"/>
  <c r="A6781"/>
  <c r="B6781"/>
  <c r="A6782"/>
  <c r="B6782"/>
  <c r="A6783"/>
  <c r="B6783"/>
  <c r="A6784"/>
  <c r="B6784"/>
  <c r="A6785"/>
  <c r="B6785"/>
  <c r="A6786"/>
  <c r="B6786"/>
  <c r="A6787"/>
  <c r="B6787"/>
  <c r="A6788"/>
  <c r="B6788"/>
  <c r="A6789"/>
  <c r="B6789"/>
  <c r="A6790"/>
  <c r="B6790"/>
  <c r="A6791"/>
  <c r="B6791"/>
  <c r="A6792"/>
  <c r="B6792"/>
  <c r="A6793"/>
  <c r="B6793"/>
  <c r="A6794"/>
  <c r="B6794"/>
  <c r="A6795"/>
  <c r="B6795"/>
  <c r="A6796"/>
  <c r="B6796"/>
  <c r="A6797"/>
  <c r="B6797"/>
  <c r="A6798"/>
  <c r="B6798"/>
  <c r="A6799"/>
  <c r="B6799"/>
  <c r="A6800"/>
  <c r="B6800"/>
  <c r="A6801"/>
  <c r="B6801"/>
  <c r="A6802"/>
  <c r="B6802"/>
  <c r="A6803"/>
  <c r="B6803"/>
  <c r="A6804"/>
  <c r="B6804"/>
  <c r="A6805"/>
  <c r="B6805"/>
  <c r="A6806"/>
  <c r="B6806"/>
  <c r="A6807"/>
  <c r="B6807"/>
  <c r="A6808"/>
  <c r="B6808"/>
  <c r="A6809"/>
  <c r="B6809"/>
  <c r="A6810"/>
  <c r="B6810"/>
  <c r="A6811"/>
  <c r="B6811"/>
  <c r="A6812"/>
  <c r="B6812"/>
  <c r="A6813"/>
  <c r="B6813"/>
  <c r="A6814"/>
  <c r="B6814"/>
  <c r="A6815"/>
  <c r="B6815"/>
  <c r="A6816"/>
  <c r="B6816"/>
  <c r="A6817"/>
  <c r="B6817"/>
  <c r="A6818"/>
  <c r="B6818"/>
  <c r="A6819"/>
  <c r="B6819"/>
  <c r="A6820"/>
  <c r="B6820"/>
  <c r="A6821"/>
  <c r="B6821"/>
  <c r="A6822"/>
  <c r="B6822"/>
  <c r="A6823"/>
  <c r="B6823"/>
  <c r="A6824"/>
  <c r="B6824"/>
  <c r="A6825"/>
  <c r="B6825"/>
  <c r="A6826"/>
  <c r="B6826"/>
  <c r="A6827"/>
  <c r="B6827"/>
  <c r="A6828"/>
  <c r="B6828"/>
  <c r="A6829"/>
  <c r="B6829"/>
  <c r="A6830"/>
  <c r="B6830"/>
  <c r="A6831"/>
  <c r="B6831"/>
  <c r="A6832"/>
  <c r="B6832"/>
  <c r="A6833"/>
  <c r="B6833"/>
  <c r="A6834"/>
  <c r="B6834"/>
  <c r="A6835"/>
  <c r="B6835"/>
  <c r="A6836"/>
  <c r="B6836"/>
  <c r="A6837"/>
  <c r="B6837"/>
  <c r="A6838"/>
  <c r="B6838"/>
  <c r="A6839"/>
  <c r="B6839"/>
  <c r="A6840"/>
  <c r="B6840"/>
  <c r="A6841"/>
  <c r="B6841"/>
  <c r="A6842"/>
  <c r="B6842"/>
  <c r="A6843"/>
  <c r="B6843"/>
  <c r="A6844"/>
  <c r="B6844"/>
  <c r="A6845"/>
  <c r="B6845"/>
  <c r="A6846"/>
  <c r="B6846"/>
  <c r="A6847"/>
  <c r="B6847"/>
  <c r="A6848"/>
  <c r="B6848"/>
  <c r="A6849"/>
  <c r="B6849"/>
  <c r="A6850"/>
  <c r="B6850"/>
  <c r="A6851"/>
  <c r="B6851"/>
  <c r="A6852"/>
  <c r="B6852"/>
  <c r="A6853"/>
  <c r="B6853"/>
  <c r="A6854"/>
  <c r="B6854"/>
  <c r="A6855"/>
  <c r="B6855"/>
  <c r="A6856"/>
  <c r="B6856"/>
  <c r="A6857"/>
  <c r="B6857"/>
  <c r="A6858"/>
  <c r="B6858"/>
  <c r="A6859"/>
  <c r="B6859"/>
  <c r="A6860"/>
  <c r="B6860"/>
  <c r="A6861"/>
  <c r="B6861"/>
  <c r="A6862"/>
  <c r="B6862"/>
  <c r="A6863"/>
  <c r="B6863"/>
  <c r="A6864"/>
  <c r="B6864"/>
  <c r="A6865"/>
  <c r="B6865"/>
  <c r="A6866"/>
  <c r="B6866"/>
  <c r="A6867"/>
  <c r="B6867"/>
  <c r="A6868"/>
  <c r="B6868"/>
  <c r="A6869"/>
  <c r="B6869"/>
  <c r="A6870"/>
  <c r="B6870"/>
  <c r="A6871"/>
  <c r="B6871"/>
  <c r="A6872"/>
  <c r="B6872"/>
  <c r="A6873"/>
  <c r="B6873"/>
  <c r="A6874"/>
  <c r="B6874"/>
  <c r="A6875"/>
  <c r="B6875"/>
  <c r="A6876"/>
  <c r="B6876"/>
  <c r="A6877"/>
  <c r="B6877"/>
  <c r="A6878"/>
  <c r="B6878"/>
  <c r="A6879"/>
  <c r="B6879"/>
  <c r="A6880"/>
  <c r="B6880"/>
  <c r="A6881"/>
  <c r="B6881"/>
  <c r="A6882"/>
  <c r="B6882"/>
  <c r="A6883"/>
  <c r="B6883"/>
  <c r="A6884"/>
  <c r="B6884"/>
  <c r="A6885"/>
  <c r="B6885"/>
  <c r="A6886"/>
  <c r="B6886"/>
  <c r="A6887"/>
  <c r="B6887"/>
  <c r="A6888"/>
  <c r="B6888"/>
  <c r="A6889"/>
  <c r="B6889"/>
  <c r="A6890"/>
  <c r="B6890"/>
  <c r="A6891"/>
  <c r="B6891"/>
  <c r="A6892"/>
  <c r="B6892"/>
  <c r="A6893"/>
  <c r="B6893"/>
  <c r="A6894"/>
  <c r="B6894"/>
  <c r="A6895"/>
  <c r="B6895"/>
  <c r="A6896"/>
  <c r="B6896"/>
  <c r="A6897"/>
  <c r="B6897"/>
  <c r="A6898"/>
  <c r="B6898"/>
  <c r="A6899"/>
  <c r="B6899"/>
  <c r="A6900"/>
  <c r="B6900"/>
  <c r="A6901"/>
  <c r="B6901"/>
  <c r="A6902"/>
  <c r="B6902"/>
  <c r="A6903"/>
  <c r="B6903"/>
  <c r="A6904"/>
  <c r="B6904"/>
  <c r="A6905"/>
  <c r="B6905"/>
  <c r="A6906"/>
  <c r="B6906"/>
  <c r="A6907"/>
  <c r="B6907"/>
  <c r="A6908"/>
  <c r="B6908"/>
  <c r="A6909"/>
  <c r="B6909"/>
  <c r="A6910"/>
  <c r="B6910"/>
  <c r="A6911"/>
  <c r="B6911"/>
  <c r="A6912"/>
  <c r="B6912"/>
  <c r="A6913"/>
  <c r="B6913"/>
  <c r="A6914"/>
  <c r="B6914"/>
  <c r="A6915"/>
  <c r="B6915"/>
  <c r="A6916"/>
  <c r="B6916"/>
  <c r="A6917"/>
  <c r="B6917"/>
  <c r="A6918"/>
  <c r="B6918"/>
  <c r="A6919"/>
  <c r="B6919"/>
  <c r="A6920"/>
  <c r="B6920"/>
  <c r="A6921"/>
  <c r="B6921"/>
  <c r="A6922"/>
  <c r="B6922"/>
  <c r="A6923"/>
  <c r="B6923"/>
  <c r="A6924"/>
  <c r="B6924"/>
  <c r="A6925"/>
  <c r="B6925"/>
  <c r="A6926"/>
  <c r="B6926"/>
  <c r="A6927"/>
  <c r="B6927"/>
  <c r="A6928"/>
  <c r="B6928"/>
  <c r="A6929"/>
  <c r="B6929"/>
  <c r="A6930"/>
  <c r="B6930"/>
  <c r="A6931"/>
  <c r="B6931"/>
  <c r="A6932"/>
  <c r="B6932"/>
  <c r="A6933"/>
  <c r="B6933"/>
  <c r="A6934"/>
  <c r="B6934"/>
  <c r="A6935"/>
  <c r="B6935"/>
  <c r="A6936"/>
  <c r="B6936"/>
  <c r="A6937"/>
  <c r="B6937"/>
  <c r="A6938"/>
  <c r="B6938"/>
  <c r="A6939"/>
  <c r="B6939"/>
  <c r="A6940"/>
  <c r="B6940"/>
  <c r="A6941"/>
  <c r="B6941"/>
  <c r="A6942"/>
  <c r="B6942"/>
  <c r="A6943"/>
  <c r="B6943"/>
  <c r="A6944"/>
  <c r="B6944"/>
  <c r="A6945"/>
  <c r="B6945"/>
  <c r="A6946"/>
  <c r="B6946"/>
  <c r="A6947"/>
  <c r="B6947"/>
  <c r="A6948"/>
  <c r="B6948"/>
  <c r="A6949"/>
  <c r="B6949"/>
  <c r="A6950"/>
  <c r="B6950"/>
  <c r="A6951"/>
  <c r="B6951"/>
  <c r="A6952"/>
  <c r="B6952"/>
  <c r="A6953"/>
  <c r="B6953"/>
  <c r="A6954"/>
  <c r="B6954"/>
  <c r="A6955"/>
  <c r="B6955"/>
  <c r="A6956"/>
  <c r="B6956"/>
  <c r="A6957"/>
  <c r="B6957"/>
  <c r="A6958"/>
  <c r="B6958"/>
  <c r="A6959"/>
  <c r="B6959"/>
  <c r="A6960"/>
  <c r="B6960"/>
  <c r="A6961"/>
  <c r="B6961"/>
  <c r="A6962"/>
  <c r="B6962"/>
  <c r="A6963"/>
  <c r="B6963"/>
  <c r="A6964"/>
  <c r="B6964"/>
  <c r="A6965"/>
  <c r="B6965"/>
  <c r="A6966"/>
  <c r="B6966"/>
  <c r="A6967"/>
  <c r="B6967"/>
  <c r="A6968"/>
  <c r="B6968"/>
  <c r="A6969"/>
  <c r="B6969"/>
  <c r="A6970"/>
  <c r="B6970"/>
  <c r="A6971"/>
  <c r="B6971"/>
  <c r="A6972"/>
  <c r="B6972"/>
  <c r="A6973"/>
  <c r="B6973"/>
  <c r="A6974"/>
  <c r="B6974"/>
  <c r="A6975"/>
  <c r="B6975"/>
  <c r="A6976"/>
  <c r="B6976"/>
  <c r="A6977"/>
  <c r="B6977"/>
  <c r="A6978"/>
  <c r="B6978"/>
  <c r="A6979"/>
  <c r="B6979"/>
  <c r="A6980"/>
  <c r="B6980"/>
  <c r="A6981"/>
  <c r="B6981"/>
  <c r="A6982"/>
  <c r="B6982"/>
  <c r="A6983"/>
  <c r="B6983"/>
  <c r="A6984"/>
  <c r="B6984"/>
  <c r="A6985"/>
  <c r="B6985"/>
  <c r="A6986"/>
  <c r="B6986"/>
  <c r="A6987"/>
  <c r="B6987"/>
  <c r="A6988"/>
  <c r="B6988"/>
  <c r="A6989"/>
  <c r="B6989"/>
  <c r="A6990"/>
  <c r="B6990"/>
  <c r="A6991"/>
  <c r="B6991"/>
  <c r="A6992"/>
  <c r="B6992"/>
  <c r="A6993"/>
  <c r="B6993"/>
  <c r="A6994"/>
  <c r="B6994"/>
  <c r="A6995"/>
  <c r="B6995"/>
  <c r="A6996"/>
  <c r="B6996"/>
  <c r="A6997"/>
  <c r="B6997"/>
  <c r="A6998"/>
  <c r="B6998"/>
  <c r="A6999"/>
  <c r="B6999"/>
  <c r="A7000"/>
  <c r="B7000"/>
  <c r="A7001"/>
  <c r="B7001"/>
  <c r="A7002"/>
  <c r="B7002"/>
  <c r="A7003"/>
  <c r="B7003"/>
  <c r="A7004"/>
  <c r="B7004"/>
  <c r="A7005"/>
  <c r="B7005"/>
  <c r="A7006"/>
  <c r="B7006"/>
  <c r="A7007"/>
  <c r="B7007"/>
  <c r="A7008"/>
  <c r="B7008"/>
  <c r="A7009"/>
  <c r="B7009"/>
  <c r="A7010"/>
  <c r="B7010"/>
  <c r="A7011"/>
  <c r="B7011"/>
  <c r="A7012"/>
  <c r="B7012"/>
  <c r="A7013"/>
  <c r="B7013"/>
  <c r="A7014"/>
  <c r="B7014"/>
  <c r="A7015"/>
  <c r="B7015"/>
  <c r="A7016"/>
  <c r="B7016"/>
  <c r="A7017"/>
  <c r="B7017"/>
  <c r="A7018"/>
  <c r="B7018"/>
  <c r="A7019"/>
  <c r="B7019"/>
  <c r="A7020"/>
  <c r="B7020"/>
  <c r="A7021"/>
  <c r="B7021"/>
  <c r="A7022"/>
  <c r="B7022"/>
  <c r="A7023"/>
  <c r="B7023"/>
  <c r="A7024"/>
  <c r="B7024"/>
  <c r="A7025"/>
  <c r="B7025"/>
  <c r="A7026"/>
  <c r="B7026"/>
  <c r="A7027"/>
  <c r="B7027"/>
  <c r="A7028"/>
  <c r="B7028"/>
  <c r="A7029"/>
  <c r="B7029"/>
  <c r="A7030"/>
  <c r="B7030"/>
  <c r="A7031"/>
  <c r="B7031"/>
  <c r="A7032"/>
  <c r="B7032"/>
  <c r="A7033"/>
  <c r="B7033"/>
  <c r="A7034"/>
  <c r="B7034"/>
  <c r="A7035"/>
  <c r="B7035"/>
  <c r="A7036"/>
  <c r="B7036"/>
  <c r="A7037"/>
  <c r="B7037"/>
  <c r="A7038"/>
  <c r="B7038"/>
  <c r="A7039"/>
  <c r="B7039"/>
  <c r="A7040"/>
  <c r="B7040"/>
  <c r="A7041"/>
  <c r="B7041"/>
  <c r="A7042"/>
  <c r="B7042"/>
  <c r="A7043"/>
  <c r="B7043"/>
  <c r="A7044"/>
  <c r="B7044"/>
  <c r="A7045"/>
  <c r="B7045"/>
  <c r="A7046"/>
  <c r="B7046"/>
  <c r="A7047"/>
  <c r="B7047"/>
  <c r="A7048"/>
  <c r="B7048"/>
  <c r="A7049"/>
  <c r="B7049"/>
  <c r="A7050"/>
  <c r="B7050"/>
  <c r="A7051"/>
  <c r="B7051"/>
  <c r="A7052"/>
  <c r="B7052"/>
  <c r="A7053"/>
  <c r="B7053"/>
  <c r="A7054"/>
  <c r="B7054"/>
  <c r="A7055"/>
  <c r="B7055"/>
  <c r="A7056"/>
  <c r="B7056"/>
  <c r="A7057"/>
  <c r="B7057"/>
  <c r="A7058"/>
  <c r="B7058"/>
  <c r="A7059"/>
  <c r="B7059"/>
  <c r="A7060"/>
  <c r="B7060"/>
  <c r="A7061"/>
  <c r="B7061"/>
  <c r="A7062"/>
  <c r="B7062"/>
  <c r="A7063"/>
  <c r="B7063"/>
  <c r="A7064"/>
  <c r="B7064"/>
  <c r="A7065"/>
  <c r="B7065"/>
  <c r="A7066"/>
  <c r="B7066"/>
  <c r="A7067"/>
  <c r="B7067"/>
  <c r="A7068"/>
  <c r="B7068"/>
  <c r="A7069"/>
  <c r="B7069"/>
  <c r="A7070"/>
  <c r="B7070"/>
  <c r="A7071"/>
  <c r="B7071"/>
  <c r="A7072"/>
  <c r="B7072"/>
  <c r="A7073"/>
  <c r="B7073"/>
  <c r="A7074"/>
  <c r="B7074"/>
  <c r="A7075"/>
  <c r="B7075"/>
  <c r="A7076"/>
  <c r="B7076"/>
  <c r="A7077"/>
  <c r="B7077"/>
  <c r="A7078"/>
  <c r="B7078"/>
  <c r="A7079"/>
  <c r="B7079"/>
  <c r="A7080"/>
  <c r="B7080"/>
  <c r="A7081"/>
  <c r="B7081"/>
  <c r="A7082"/>
  <c r="B7082"/>
  <c r="A7083"/>
  <c r="B7083"/>
  <c r="A7084"/>
  <c r="B7084"/>
  <c r="A7085"/>
  <c r="B7085"/>
  <c r="A7086"/>
  <c r="B7086"/>
  <c r="A7087"/>
  <c r="B7087"/>
  <c r="A7088"/>
  <c r="B7088"/>
  <c r="A7089"/>
  <c r="B7089"/>
  <c r="A7090"/>
  <c r="B7090"/>
  <c r="A7091"/>
  <c r="B7091"/>
  <c r="A7092"/>
  <c r="B7092"/>
  <c r="A7093"/>
  <c r="B7093"/>
  <c r="A7094"/>
  <c r="B7094"/>
  <c r="A7095"/>
  <c r="B7095"/>
  <c r="A7096"/>
  <c r="B7096"/>
  <c r="A7097"/>
  <c r="B7097"/>
  <c r="A7098"/>
  <c r="B7098"/>
  <c r="A7099"/>
  <c r="B7099"/>
  <c r="A7100"/>
  <c r="B7100"/>
  <c r="A7101"/>
  <c r="B7101"/>
  <c r="A7102"/>
  <c r="B7102"/>
  <c r="A7103"/>
  <c r="B7103"/>
  <c r="A7104"/>
  <c r="B7104"/>
  <c r="A7105"/>
  <c r="B7105"/>
  <c r="A7106"/>
  <c r="B7106"/>
  <c r="A7107"/>
  <c r="B7107"/>
  <c r="A7108"/>
  <c r="B7108"/>
  <c r="A7109"/>
  <c r="B7109"/>
  <c r="A7110"/>
  <c r="B7110"/>
  <c r="A7111"/>
  <c r="B7111"/>
  <c r="A7112"/>
  <c r="B7112"/>
  <c r="A7113"/>
  <c r="B7113"/>
  <c r="A7114"/>
  <c r="B7114"/>
  <c r="A7115"/>
  <c r="B7115"/>
  <c r="A7116"/>
  <c r="B7116"/>
  <c r="A7117"/>
  <c r="B7117"/>
  <c r="A7118"/>
  <c r="B7118"/>
  <c r="A7119"/>
  <c r="B7119"/>
  <c r="A7120"/>
  <c r="B7120"/>
  <c r="A7121"/>
  <c r="B7121"/>
  <c r="A7122"/>
  <c r="B7122"/>
  <c r="A7123"/>
  <c r="B7123"/>
  <c r="A7124"/>
  <c r="B7124"/>
  <c r="A7125"/>
  <c r="B7125"/>
  <c r="A7126"/>
  <c r="B7126"/>
  <c r="A7127"/>
  <c r="B7127"/>
  <c r="A7128"/>
  <c r="B7128"/>
  <c r="A7129"/>
  <c r="B7129"/>
  <c r="A7130"/>
  <c r="B7130"/>
  <c r="A7131"/>
  <c r="B7131"/>
  <c r="A7132"/>
  <c r="B7132"/>
  <c r="A7133"/>
  <c r="B7133"/>
  <c r="A7134"/>
  <c r="B7134"/>
  <c r="A7135"/>
  <c r="B7135"/>
  <c r="A7136"/>
  <c r="B7136"/>
  <c r="A7137"/>
  <c r="B7137"/>
  <c r="A7138"/>
  <c r="B7138"/>
  <c r="A7139"/>
  <c r="B7139"/>
  <c r="A7140"/>
  <c r="B7140"/>
  <c r="A7141"/>
  <c r="B7141"/>
  <c r="A7142"/>
  <c r="B7142"/>
  <c r="A7143"/>
  <c r="B7143"/>
  <c r="A7144"/>
  <c r="B7144"/>
  <c r="A7145"/>
  <c r="B7145"/>
  <c r="A7146"/>
  <c r="B7146"/>
  <c r="A7147"/>
  <c r="B7147"/>
  <c r="A7148"/>
  <c r="B7148"/>
  <c r="A7149"/>
  <c r="B7149"/>
  <c r="A7150"/>
  <c r="B7150"/>
  <c r="A7151"/>
  <c r="B7151"/>
  <c r="A7152"/>
  <c r="B7152"/>
  <c r="A7153"/>
  <c r="B7153"/>
  <c r="A7154"/>
  <c r="B7154"/>
  <c r="A7155"/>
  <c r="B7155"/>
  <c r="A7156"/>
  <c r="B7156"/>
  <c r="A7157"/>
  <c r="B7157"/>
  <c r="A7158"/>
  <c r="B7158"/>
  <c r="A7159"/>
  <c r="B7159"/>
  <c r="A7160"/>
  <c r="B7160"/>
  <c r="A7161"/>
  <c r="B7161"/>
  <c r="A7162"/>
  <c r="B7162"/>
  <c r="A7163"/>
  <c r="B7163"/>
  <c r="A7164"/>
  <c r="B7164"/>
  <c r="A7165"/>
  <c r="B7165"/>
  <c r="A7166"/>
  <c r="B7166"/>
  <c r="A7167"/>
  <c r="B7167"/>
  <c r="A7168"/>
  <c r="B7168"/>
  <c r="A7169"/>
  <c r="B7169"/>
  <c r="A7170"/>
  <c r="B7170"/>
  <c r="A7171"/>
  <c r="B7171"/>
  <c r="A7172"/>
  <c r="B7172"/>
  <c r="A7173"/>
  <c r="B7173"/>
  <c r="A7174"/>
  <c r="B7174"/>
  <c r="A7175"/>
  <c r="B7175"/>
  <c r="A7176"/>
  <c r="B7176"/>
  <c r="A7177"/>
  <c r="B7177"/>
  <c r="A7178"/>
  <c r="B7178"/>
  <c r="A7179"/>
  <c r="B7179"/>
  <c r="A7180"/>
  <c r="B7180"/>
  <c r="A7181"/>
  <c r="B7181"/>
  <c r="A7182"/>
  <c r="B7182"/>
  <c r="A7183"/>
  <c r="B7183"/>
  <c r="A7184"/>
  <c r="B7184"/>
  <c r="A7185"/>
  <c r="B7185"/>
  <c r="A7186"/>
  <c r="B7186"/>
  <c r="A7187"/>
  <c r="B7187"/>
  <c r="A7188"/>
  <c r="B7188"/>
  <c r="A7189"/>
  <c r="B7189"/>
  <c r="A7190"/>
  <c r="B7190"/>
  <c r="A7191"/>
  <c r="B7191"/>
  <c r="A7192"/>
  <c r="B7192"/>
  <c r="A7193"/>
  <c r="B7193"/>
  <c r="A7194"/>
  <c r="B7194"/>
  <c r="A7195"/>
  <c r="B7195"/>
  <c r="A7196"/>
  <c r="B7196"/>
  <c r="A7197"/>
  <c r="B7197"/>
  <c r="A7198"/>
  <c r="B7198"/>
  <c r="A7199"/>
  <c r="B7199"/>
  <c r="A7200"/>
  <c r="B7200"/>
  <c r="A7201"/>
  <c r="B7201"/>
  <c r="A7202"/>
  <c r="B7202"/>
  <c r="A7203"/>
  <c r="B7203"/>
  <c r="A7204"/>
  <c r="B7204"/>
  <c r="A7205"/>
  <c r="B7205"/>
  <c r="A7206"/>
  <c r="B7206"/>
  <c r="A7207"/>
  <c r="B7207"/>
  <c r="A7208"/>
  <c r="B7208"/>
  <c r="A7209"/>
  <c r="B7209"/>
  <c r="A7210"/>
  <c r="B7210"/>
  <c r="A7211"/>
  <c r="B7211"/>
  <c r="A7212"/>
  <c r="B7212"/>
  <c r="A7213"/>
  <c r="B7213"/>
  <c r="A7214"/>
  <c r="B7214"/>
  <c r="A7215"/>
  <c r="B7215"/>
  <c r="A7216"/>
  <c r="B7216"/>
  <c r="A7217"/>
  <c r="B7217"/>
  <c r="A7218"/>
  <c r="B7218"/>
  <c r="A7219"/>
  <c r="B7219"/>
  <c r="A7220"/>
  <c r="B7220"/>
  <c r="A7221"/>
  <c r="B7221"/>
  <c r="A7222"/>
  <c r="B7222"/>
  <c r="A7223"/>
  <c r="B7223"/>
  <c r="A7224"/>
  <c r="B7224"/>
  <c r="A7225"/>
  <c r="B7225"/>
  <c r="A7226"/>
  <c r="B7226"/>
  <c r="A7227"/>
  <c r="B7227"/>
  <c r="A7228"/>
  <c r="B7228"/>
  <c r="A7229"/>
  <c r="B7229"/>
  <c r="A7230"/>
  <c r="B7230"/>
  <c r="A7231"/>
  <c r="B7231"/>
  <c r="A7232"/>
  <c r="B7232"/>
  <c r="A7233"/>
  <c r="B7233"/>
  <c r="A7234"/>
  <c r="B7234"/>
  <c r="A7235"/>
  <c r="B7235"/>
  <c r="A7236"/>
  <c r="B7236"/>
  <c r="A7237"/>
  <c r="B7237"/>
  <c r="A7238"/>
  <c r="B7238"/>
  <c r="A7239"/>
  <c r="B7239"/>
  <c r="A7240"/>
  <c r="B7240"/>
  <c r="A7241"/>
  <c r="B7241"/>
  <c r="A7242"/>
  <c r="B7242"/>
  <c r="A7243"/>
  <c r="B7243"/>
  <c r="A7244"/>
  <c r="B7244"/>
  <c r="A7245"/>
  <c r="B7245"/>
  <c r="A7246"/>
  <c r="B7246"/>
  <c r="A7247"/>
  <c r="B7247"/>
  <c r="A7248"/>
  <c r="B7248"/>
  <c r="A7249"/>
  <c r="B7249"/>
  <c r="A7250"/>
  <c r="B7250"/>
  <c r="A7251"/>
  <c r="B7251"/>
  <c r="A7252"/>
  <c r="B7252"/>
  <c r="A7253"/>
  <c r="B7253"/>
  <c r="A7254"/>
  <c r="B7254"/>
  <c r="A7255"/>
  <c r="B7255"/>
  <c r="A7256"/>
  <c r="B7256"/>
  <c r="A7257"/>
  <c r="B7257"/>
  <c r="A7258"/>
  <c r="B7258"/>
  <c r="A7259"/>
  <c r="B7259"/>
  <c r="A7260"/>
  <c r="B7260"/>
  <c r="A7261"/>
  <c r="B7261"/>
  <c r="A7262"/>
  <c r="B7262"/>
  <c r="A7263"/>
  <c r="B7263"/>
  <c r="A7264"/>
  <c r="B7264"/>
  <c r="A7265"/>
  <c r="B7265"/>
  <c r="A7266"/>
  <c r="B7266"/>
  <c r="A7267"/>
  <c r="B7267"/>
  <c r="A7268"/>
  <c r="B7268"/>
  <c r="A7269"/>
  <c r="B7269"/>
  <c r="A7270"/>
  <c r="B7270"/>
  <c r="A7271"/>
  <c r="B7271"/>
  <c r="A7272"/>
  <c r="B7272"/>
  <c r="A7273"/>
  <c r="B7273"/>
  <c r="A7274"/>
  <c r="B7274"/>
  <c r="A7275"/>
  <c r="B7275"/>
  <c r="A7276"/>
  <c r="B7276"/>
  <c r="A7277"/>
  <c r="B7277"/>
  <c r="A7278"/>
  <c r="B7278"/>
  <c r="A7279"/>
  <c r="B7279"/>
  <c r="A7280"/>
  <c r="B7280"/>
  <c r="A7281"/>
  <c r="B7281"/>
  <c r="A7282"/>
  <c r="B7282"/>
  <c r="A7283"/>
  <c r="B7283"/>
  <c r="A7284"/>
  <c r="B7284"/>
  <c r="A7285"/>
  <c r="B7285"/>
  <c r="A7286"/>
  <c r="B7286"/>
  <c r="A7287"/>
  <c r="B7287"/>
  <c r="A7288"/>
  <c r="B7288"/>
  <c r="A7289"/>
  <c r="B7289"/>
  <c r="A7290"/>
  <c r="B7290"/>
  <c r="A7291"/>
  <c r="B7291"/>
  <c r="A7292"/>
  <c r="B7292"/>
  <c r="A7293"/>
  <c r="B7293"/>
  <c r="A7294"/>
  <c r="B7294"/>
  <c r="A7295"/>
  <c r="B7295"/>
  <c r="A7296"/>
  <c r="B7296"/>
  <c r="A7297"/>
  <c r="B7297"/>
  <c r="A7298"/>
  <c r="B7298"/>
  <c r="A7299"/>
  <c r="B7299"/>
  <c r="A7300"/>
  <c r="B7300"/>
  <c r="A7301"/>
  <c r="B7301"/>
  <c r="A7302"/>
  <c r="B7302"/>
  <c r="A7303"/>
  <c r="B7303"/>
  <c r="A7304"/>
  <c r="B7304"/>
  <c r="A7305"/>
  <c r="B7305"/>
  <c r="A7306"/>
  <c r="B7306"/>
  <c r="A7307"/>
  <c r="B7307"/>
  <c r="A7308"/>
  <c r="B7308"/>
  <c r="A7309"/>
  <c r="B7309"/>
  <c r="A7310"/>
  <c r="B7310"/>
  <c r="A7311"/>
  <c r="B7311"/>
  <c r="A7312"/>
  <c r="B7312"/>
  <c r="A7313"/>
  <c r="B7313"/>
  <c r="A7314"/>
  <c r="B7314"/>
  <c r="A7315"/>
  <c r="B7315"/>
  <c r="A7316"/>
  <c r="B7316"/>
  <c r="A7317"/>
  <c r="B7317"/>
  <c r="A7318"/>
  <c r="B7318"/>
  <c r="A7319"/>
  <c r="B7319"/>
  <c r="A7320"/>
  <c r="B7320"/>
  <c r="A7321"/>
  <c r="B7321"/>
  <c r="A7322"/>
  <c r="B7322"/>
  <c r="A7323"/>
  <c r="B7323"/>
  <c r="A7324"/>
  <c r="B7324"/>
  <c r="A7325"/>
  <c r="B7325"/>
  <c r="A7326"/>
  <c r="B7326"/>
  <c r="A7327"/>
  <c r="B7327"/>
  <c r="A7328"/>
  <c r="B7328"/>
  <c r="A7329"/>
  <c r="B7329"/>
  <c r="A7330"/>
  <c r="B7330"/>
  <c r="A7331"/>
  <c r="B7331"/>
  <c r="A7332"/>
  <c r="B7332"/>
  <c r="A7333"/>
  <c r="B7333"/>
  <c r="A7334"/>
  <c r="B7334"/>
  <c r="A7335"/>
  <c r="B7335"/>
  <c r="A7336"/>
  <c r="B7336"/>
  <c r="A7337"/>
  <c r="B7337"/>
  <c r="A7338"/>
  <c r="B7338"/>
  <c r="A7339"/>
  <c r="B7339"/>
  <c r="A7340"/>
  <c r="B7340"/>
  <c r="A7341"/>
  <c r="B7341"/>
  <c r="A7342"/>
  <c r="B7342"/>
  <c r="A7343"/>
  <c r="B7343"/>
  <c r="A7344"/>
  <c r="B7344"/>
  <c r="A7345"/>
  <c r="B7345"/>
  <c r="A7346"/>
  <c r="B7346"/>
  <c r="A7347"/>
  <c r="B7347"/>
  <c r="A7348"/>
  <c r="B7348"/>
  <c r="A7349"/>
  <c r="B7349"/>
  <c r="A7350"/>
  <c r="B7350"/>
  <c r="A7351"/>
  <c r="B7351"/>
  <c r="A7352"/>
  <c r="B7352"/>
  <c r="A7353"/>
  <c r="B7353"/>
  <c r="A7354"/>
  <c r="B7354"/>
  <c r="A7355"/>
  <c r="B7355"/>
  <c r="A7356"/>
  <c r="B7356"/>
  <c r="A7357"/>
  <c r="B7357"/>
  <c r="A7358"/>
  <c r="B7358"/>
  <c r="A7359"/>
  <c r="B7359"/>
  <c r="A7360"/>
  <c r="B7360"/>
  <c r="A7361"/>
  <c r="B7361"/>
  <c r="A7362"/>
  <c r="B7362"/>
  <c r="A7363"/>
  <c r="B7363"/>
  <c r="A7364"/>
  <c r="B7364"/>
  <c r="A7365"/>
  <c r="B7365"/>
  <c r="A7366"/>
  <c r="B7366"/>
  <c r="A7367"/>
  <c r="B7367"/>
  <c r="A7368"/>
  <c r="B7368"/>
  <c r="A7369"/>
  <c r="B7369"/>
  <c r="A7370"/>
  <c r="B7370"/>
  <c r="A7371"/>
  <c r="B7371"/>
  <c r="A7372"/>
  <c r="B7372"/>
  <c r="A7373"/>
  <c r="B7373"/>
  <c r="A7374"/>
  <c r="B7374"/>
  <c r="A7375"/>
  <c r="B7375"/>
  <c r="A7376"/>
  <c r="B7376"/>
  <c r="A7377"/>
  <c r="B7377"/>
  <c r="A7378"/>
  <c r="B7378"/>
  <c r="A7379"/>
  <c r="B7379"/>
  <c r="A7380"/>
  <c r="B7380"/>
  <c r="A7381"/>
  <c r="B7381"/>
  <c r="A7382"/>
  <c r="B7382"/>
  <c r="A7383"/>
  <c r="B7383"/>
  <c r="A7384"/>
  <c r="B7384"/>
  <c r="A7385"/>
  <c r="B7385"/>
  <c r="A7386"/>
  <c r="B7386"/>
  <c r="A7387"/>
  <c r="B7387"/>
  <c r="A7388"/>
  <c r="B7388"/>
  <c r="A7389"/>
  <c r="B7389"/>
  <c r="A7390"/>
  <c r="B7390"/>
  <c r="A7391"/>
  <c r="B7391"/>
  <c r="A7392"/>
  <c r="B7392"/>
  <c r="A7393"/>
  <c r="B7393"/>
  <c r="A7394"/>
  <c r="B7394"/>
  <c r="A7395"/>
  <c r="B7395"/>
  <c r="A7396"/>
  <c r="B7396"/>
  <c r="A7397"/>
  <c r="B7397"/>
  <c r="A7398"/>
  <c r="B7398"/>
  <c r="A7399"/>
  <c r="B7399"/>
  <c r="A7400"/>
  <c r="B7400"/>
  <c r="A7401"/>
  <c r="B7401"/>
  <c r="A7402"/>
  <c r="B7402"/>
  <c r="A7403"/>
  <c r="B7403"/>
  <c r="A7404"/>
  <c r="B7404"/>
  <c r="A7405"/>
  <c r="B7405"/>
  <c r="A7406"/>
  <c r="B7406"/>
  <c r="A7407"/>
  <c r="B7407"/>
  <c r="A7408"/>
  <c r="B7408"/>
  <c r="A7409"/>
  <c r="B7409"/>
  <c r="A7410"/>
  <c r="B7410"/>
  <c r="A7411"/>
  <c r="B7411"/>
  <c r="A7412"/>
  <c r="B7412"/>
  <c r="A7413"/>
  <c r="B7413"/>
  <c r="A7414"/>
  <c r="B7414"/>
  <c r="A7415"/>
  <c r="B7415"/>
  <c r="A7416"/>
  <c r="B7416"/>
  <c r="A7417"/>
  <c r="B7417"/>
  <c r="A7418"/>
  <c r="B7418"/>
  <c r="A7419"/>
  <c r="B7419"/>
  <c r="A7420"/>
  <c r="B7420"/>
  <c r="A7421"/>
  <c r="B7421"/>
  <c r="A7422"/>
  <c r="B7422"/>
  <c r="A7423"/>
  <c r="B7423"/>
  <c r="A7424"/>
  <c r="B7424"/>
  <c r="A7425"/>
  <c r="B7425"/>
  <c r="A7426"/>
  <c r="B7426"/>
  <c r="A7427"/>
  <c r="B7427"/>
  <c r="A7428"/>
  <c r="B7428"/>
  <c r="A7429"/>
  <c r="B7429"/>
  <c r="A7430"/>
  <c r="B7430"/>
  <c r="A7431"/>
  <c r="B7431"/>
  <c r="A7432"/>
  <c r="B7432"/>
  <c r="A7433"/>
  <c r="B7433"/>
  <c r="A7434"/>
  <c r="B7434"/>
  <c r="A7435"/>
  <c r="B7435"/>
  <c r="A7436"/>
  <c r="B7436"/>
  <c r="A7437"/>
  <c r="B7437"/>
  <c r="A7438"/>
  <c r="B7438"/>
  <c r="A7439"/>
  <c r="B7439"/>
  <c r="A7440"/>
  <c r="B7440"/>
  <c r="A7441"/>
  <c r="B7441"/>
  <c r="A7442"/>
  <c r="B7442"/>
  <c r="A7443"/>
  <c r="B7443"/>
  <c r="A7444"/>
  <c r="B7444"/>
  <c r="A7445"/>
  <c r="B7445"/>
  <c r="A7446"/>
  <c r="B7446"/>
  <c r="A7447"/>
  <c r="B7447"/>
  <c r="A7448"/>
  <c r="B7448"/>
  <c r="A7449"/>
  <c r="B7449"/>
  <c r="A7450"/>
  <c r="B7450"/>
  <c r="A7451"/>
  <c r="B7451"/>
  <c r="A7452"/>
  <c r="B7452"/>
  <c r="A7453"/>
  <c r="B7453"/>
  <c r="A7454"/>
  <c r="B7454"/>
  <c r="A7455"/>
  <c r="B7455"/>
  <c r="A7456"/>
  <c r="B7456"/>
  <c r="A7457"/>
  <c r="B7457"/>
  <c r="A7458"/>
  <c r="B7458"/>
  <c r="A7459"/>
  <c r="B7459"/>
  <c r="A7460"/>
  <c r="B7460"/>
  <c r="A7461"/>
  <c r="B7461"/>
  <c r="A7462"/>
  <c r="B7462"/>
  <c r="A7463"/>
  <c r="B7463"/>
  <c r="A7464"/>
  <c r="B7464"/>
  <c r="A7465"/>
  <c r="B7465"/>
  <c r="A7466"/>
  <c r="B7466"/>
  <c r="A7467"/>
  <c r="B7467"/>
  <c r="A7468"/>
  <c r="B7468"/>
  <c r="A7469"/>
  <c r="B7469"/>
  <c r="A7470"/>
  <c r="B7470"/>
  <c r="A7471"/>
  <c r="B7471"/>
  <c r="A7472"/>
  <c r="B7472"/>
  <c r="A7473"/>
  <c r="B7473"/>
  <c r="A7474"/>
  <c r="B7474"/>
  <c r="A7475"/>
  <c r="B7475"/>
  <c r="A7476"/>
  <c r="B7476"/>
  <c r="A7477"/>
  <c r="B7477"/>
  <c r="A7478"/>
  <c r="B7478"/>
  <c r="A7479"/>
  <c r="B7479"/>
  <c r="A7480"/>
  <c r="B7480"/>
  <c r="A7481"/>
  <c r="B7481"/>
  <c r="A7482"/>
  <c r="B7482"/>
  <c r="A7483"/>
  <c r="B7483"/>
  <c r="A7484"/>
  <c r="B7484"/>
  <c r="A7485"/>
  <c r="B7485"/>
  <c r="A7486"/>
  <c r="B7486"/>
  <c r="A7487"/>
  <c r="B7487"/>
  <c r="A7488"/>
  <c r="B7488"/>
  <c r="A7489"/>
  <c r="B7489"/>
  <c r="A7490"/>
  <c r="B7490"/>
  <c r="A7491"/>
  <c r="B7491"/>
  <c r="A7492"/>
  <c r="B7492"/>
  <c r="A7493"/>
  <c r="B7493"/>
  <c r="A7494"/>
  <c r="B7494"/>
  <c r="A7495"/>
  <c r="B7495"/>
  <c r="A7496"/>
  <c r="B7496"/>
  <c r="A7497"/>
  <c r="B7497"/>
  <c r="A7498"/>
  <c r="B7498"/>
  <c r="A7499"/>
  <c r="B7499"/>
  <c r="A7500"/>
  <c r="B7500"/>
  <c r="A7501"/>
  <c r="B7501"/>
  <c r="A7502"/>
  <c r="B7502"/>
  <c r="A7503"/>
  <c r="B7503"/>
  <c r="A7504"/>
  <c r="B7504"/>
  <c r="A7505"/>
  <c r="B7505"/>
  <c r="A7506"/>
  <c r="B7506"/>
  <c r="A7507"/>
  <c r="B7507"/>
  <c r="A7508"/>
  <c r="B7508"/>
  <c r="A7509"/>
  <c r="B7509"/>
  <c r="A7510"/>
  <c r="B7510"/>
  <c r="A7511"/>
  <c r="B7511"/>
  <c r="A7512"/>
  <c r="B7512"/>
  <c r="A7513"/>
  <c r="B7513"/>
  <c r="A7514"/>
  <c r="B7514"/>
  <c r="A7515"/>
  <c r="B7515"/>
  <c r="A7516"/>
  <c r="B7516"/>
  <c r="A7517"/>
  <c r="B7517"/>
  <c r="A7518"/>
  <c r="B7518"/>
  <c r="A7519"/>
  <c r="B7519"/>
  <c r="A7520"/>
  <c r="B7520"/>
  <c r="A7521"/>
  <c r="B7521"/>
  <c r="A7522"/>
  <c r="B7522"/>
  <c r="A7523"/>
  <c r="B7523"/>
  <c r="A7524"/>
  <c r="B7524"/>
  <c r="A7525"/>
  <c r="B7525"/>
  <c r="A7526"/>
  <c r="B7526"/>
  <c r="A7527"/>
  <c r="B7527"/>
  <c r="A7528"/>
  <c r="B7528"/>
  <c r="A7529"/>
  <c r="B7529"/>
  <c r="A7530"/>
  <c r="B7530"/>
  <c r="A7531"/>
  <c r="B7531"/>
  <c r="A7532"/>
  <c r="B7532"/>
  <c r="A7533"/>
  <c r="B7533"/>
  <c r="A7534"/>
  <c r="B7534"/>
  <c r="A7535"/>
  <c r="B7535"/>
  <c r="A7536"/>
  <c r="B7536"/>
  <c r="A7537"/>
  <c r="B7537"/>
  <c r="A7538"/>
  <c r="B7538"/>
  <c r="A7539"/>
  <c r="B7539"/>
  <c r="A7540"/>
  <c r="B7540"/>
  <c r="A7541"/>
  <c r="B7541"/>
  <c r="A7542"/>
  <c r="B7542"/>
  <c r="A7543"/>
  <c r="B7543"/>
  <c r="A7544"/>
  <c r="B7544"/>
  <c r="A7545"/>
  <c r="B7545"/>
  <c r="A7546"/>
  <c r="B7546"/>
  <c r="A7547"/>
  <c r="B7547"/>
  <c r="A7548"/>
  <c r="B7548"/>
  <c r="A7549"/>
  <c r="B7549"/>
  <c r="A7550"/>
  <c r="B7550"/>
  <c r="A7551"/>
  <c r="B7551"/>
  <c r="A7552"/>
  <c r="B7552"/>
  <c r="A7553"/>
  <c r="B7553"/>
  <c r="A7554"/>
  <c r="B7554"/>
  <c r="A7555"/>
  <c r="B7555"/>
  <c r="A7556"/>
  <c r="B7556"/>
  <c r="A7557"/>
  <c r="B7557"/>
  <c r="A7558"/>
  <c r="B7558"/>
  <c r="A7559"/>
  <c r="B7559"/>
  <c r="A7560"/>
  <c r="B7560"/>
  <c r="A7561"/>
  <c r="B7561"/>
  <c r="A7562"/>
  <c r="B7562"/>
  <c r="A7563"/>
  <c r="B7563"/>
  <c r="A7564"/>
  <c r="B7564"/>
  <c r="A7565"/>
  <c r="B7565"/>
  <c r="A7566"/>
  <c r="B7566"/>
  <c r="A7567"/>
  <c r="B7567"/>
  <c r="A7568"/>
  <c r="B7568"/>
  <c r="A7569"/>
  <c r="B7569"/>
  <c r="A7570"/>
  <c r="B7570"/>
  <c r="A7571"/>
  <c r="B7571"/>
  <c r="A7572"/>
  <c r="B7572"/>
  <c r="A7573"/>
  <c r="B7573"/>
  <c r="A7574"/>
  <c r="B7574"/>
  <c r="A7575"/>
  <c r="B7575"/>
  <c r="A7576"/>
  <c r="B7576"/>
  <c r="A7577"/>
  <c r="B7577"/>
  <c r="A7578"/>
  <c r="B7578"/>
  <c r="A7579"/>
  <c r="B7579"/>
  <c r="A7580"/>
  <c r="B7580"/>
  <c r="A7581"/>
  <c r="B7581"/>
  <c r="A7582"/>
  <c r="B7582"/>
  <c r="A7583"/>
  <c r="B7583"/>
  <c r="A7584"/>
  <c r="B7584"/>
  <c r="A7585"/>
  <c r="B7585"/>
  <c r="A7586"/>
  <c r="B7586"/>
  <c r="A7587"/>
  <c r="B7587"/>
  <c r="A7588"/>
  <c r="B7588"/>
  <c r="A7589"/>
  <c r="B7589"/>
  <c r="A7590"/>
  <c r="B7590"/>
  <c r="A7591"/>
  <c r="B7591"/>
  <c r="A7592"/>
  <c r="B7592"/>
  <c r="A7593"/>
  <c r="B7593"/>
  <c r="A7594"/>
  <c r="B7594"/>
  <c r="A7595"/>
  <c r="B7595"/>
  <c r="A7596"/>
  <c r="B7596"/>
  <c r="A7597"/>
  <c r="B7597"/>
  <c r="A7598"/>
  <c r="B7598"/>
  <c r="A7599"/>
  <c r="B7599"/>
  <c r="A7600"/>
  <c r="B7600"/>
  <c r="A7601"/>
  <c r="B7601"/>
  <c r="A7602"/>
  <c r="B7602"/>
  <c r="A7603"/>
  <c r="B7603"/>
  <c r="A7604"/>
  <c r="B7604"/>
  <c r="A7605"/>
  <c r="B7605"/>
  <c r="A7606"/>
  <c r="B7606"/>
  <c r="A7607"/>
  <c r="B7607"/>
  <c r="A7608"/>
  <c r="B7608"/>
  <c r="A7609"/>
  <c r="B7609"/>
  <c r="A7610"/>
  <c r="B7610"/>
  <c r="A7611"/>
  <c r="B7611"/>
  <c r="A7612"/>
  <c r="B7612"/>
  <c r="A7613"/>
  <c r="B7613"/>
  <c r="A7614"/>
  <c r="B7614"/>
  <c r="A7615"/>
  <c r="B7615"/>
  <c r="A7616"/>
  <c r="B7616"/>
  <c r="A7617"/>
  <c r="B7617"/>
  <c r="A7618"/>
  <c r="B7618"/>
  <c r="A7619"/>
  <c r="B7619"/>
  <c r="A7620"/>
  <c r="B7620"/>
  <c r="A7621"/>
  <c r="B7621"/>
  <c r="A7622"/>
  <c r="B7622"/>
  <c r="A7623"/>
  <c r="B7623"/>
  <c r="A7624"/>
  <c r="B7624"/>
  <c r="A7625"/>
  <c r="B7625"/>
  <c r="A7626"/>
  <c r="B7626"/>
  <c r="A7627"/>
  <c r="B7627"/>
  <c r="A7628"/>
  <c r="B7628"/>
  <c r="A7629"/>
  <c r="B7629"/>
  <c r="A7630"/>
  <c r="B7630"/>
  <c r="A7631"/>
  <c r="B7631"/>
  <c r="A7632"/>
  <c r="B7632"/>
  <c r="A7633"/>
  <c r="B7633"/>
  <c r="A7634"/>
  <c r="B7634"/>
  <c r="A7635"/>
  <c r="B7635"/>
  <c r="A7636"/>
  <c r="B7636"/>
  <c r="A7637"/>
  <c r="B7637"/>
  <c r="A7638"/>
  <c r="B7638"/>
  <c r="A7639"/>
  <c r="B7639"/>
  <c r="A7640"/>
  <c r="B7640"/>
  <c r="A7641"/>
  <c r="B7641"/>
  <c r="A7642"/>
  <c r="B7642"/>
  <c r="A7643"/>
  <c r="B7643"/>
  <c r="A7644"/>
  <c r="B7644"/>
  <c r="A7645"/>
  <c r="B7645"/>
  <c r="A7646"/>
  <c r="B7646"/>
  <c r="A7647"/>
  <c r="B7647"/>
  <c r="A7648"/>
  <c r="B7648"/>
  <c r="A7649"/>
  <c r="B7649"/>
  <c r="A7650"/>
  <c r="B7650"/>
  <c r="A7651"/>
  <c r="B7651"/>
  <c r="A7652"/>
  <c r="B7652"/>
  <c r="A7653"/>
  <c r="B7653"/>
  <c r="A7654"/>
  <c r="B7654"/>
  <c r="A7655"/>
  <c r="B7655"/>
  <c r="A7656"/>
  <c r="B7656"/>
  <c r="A7657"/>
  <c r="B7657"/>
  <c r="A7658"/>
  <c r="B7658"/>
  <c r="A7659"/>
  <c r="B7659"/>
  <c r="A7660"/>
  <c r="B7660"/>
  <c r="A7661"/>
  <c r="B7661"/>
  <c r="A7662"/>
  <c r="B7662"/>
  <c r="A7663"/>
  <c r="B7663"/>
  <c r="A7664"/>
  <c r="B7664"/>
  <c r="A7665"/>
  <c r="B7665"/>
  <c r="A7666"/>
  <c r="B7666"/>
  <c r="A7667"/>
  <c r="B7667"/>
  <c r="A7668"/>
  <c r="B7668"/>
  <c r="A7669"/>
  <c r="B7669"/>
  <c r="A7670"/>
  <c r="B7670"/>
  <c r="A7671"/>
  <c r="B7671"/>
  <c r="A7672"/>
  <c r="B7672"/>
  <c r="A7673"/>
  <c r="B7673"/>
  <c r="A7674"/>
  <c r="B7674"/>
  <c r="A7675"/>
  <c r="B7675"/>
  <c r="A7676"/>
  <c r="B7676"/>
  <c r="A7677"/>
  <c r="B7677"/>
  <c r="A7678"/>
  <c r="B7678"/>
  <c r="A7679"/>
  <c r="B7679"/>
  <c r="A7680"/>
  <c r="B7680"/>
  <c r="A7681"/>
  <c r="B7681"/>
  <c r="A7682"/>
  <c r="B7682"/>
  <c r="A7683"/>
  <c r="B7683"/>
  <c r="A7684"/>
  <c r="B7684"/>
  <c r="A7685"/>
  <c r="B7685"/>
  <c r="A7686"/>
  <c r="B7686"/>
  <c r="A7687"/>
  <c r="B7687"/>
  <c r="A7688"/>
  <c r="B7688"/>
  <c r="A7689"/>
  <c r="B7689"/>
  <c r="A7690"/>
  <c r="B7690"/>
  <c r="A7691"/>
  <c r="B7691"/>
  <c r="A7692"/>
  <c r="B7692"/>
  <c r="A7693"/>
  <c r="B7693"/>
  <c r="A7694"/>
  <c r="B7694"/>
  <c r="A7695"/>
  <c r="B7695"/>
  <c r="A7696"/>
  <c r="B7696"/>
  <c r="A7697"/>
  <c r="B7697"/>
  <c r="A7698"/>
  <c r="B7698"/>
  <c r="A7699"/>
  <c r="B7699"/>
  <c r="A7700"/>
  <c r="B7700"/>
  <c r="A7701"/>
  <c r="B7701"/>
  <c r="A7702"/>
  <c r="B7702"/>
  <c r="A7703"/>
  <c r="B7703"/>
  <c r="A7704"/>
  <c r="B7704"/>
  <c r="A7705"/>
  <c r="B7705"/>
  <c r="A7706"/>
  <c r="B7706"/>
  <c r="A7707"/>
  <c r="B7707"/>
  <c r="A7708"/>
  <c r="B7708"/>
  <c r="A7709"/>
  <c r="B7709"/>
  <c r="A7710"/>
  <c r="B7710"/>
  <c r="A7711"/>
  <c r="B7711"/>
  <c r="A7712"/>
  <c r="B7712"/>
  <c r="A7713"/>
  <c r="B7713"/>
  <c r="A7714"/>
  <c r="B7714"/>
  <c r="A7715"/>
  <c r="B7715"/>
  <c r="A7716"/>
  <c r="B7716"/>
  <c r="A7717"/>
  <c r="B7717"/>
  <c r="A7718"/>
  <c r="B7718"/>
  <c r="A7719"/>
  <c r="B7719"/>
  <c r="A7720"/>
  <c r="B7720"/>
  <c r="A7721"/>
  <c r="B7721"/>
  <c r="A7722"/>
  <c r="B7722"/>
  <c r="A7723"/>
  <c r="B7723"/>
  <c r="A7724"/>
  <c r="B7724"/>
  <c r="A7725"/>
  <c r="B7725"/>
  <c r="A7726"/>
  <c r="B7726"/>
  <c r="A7727"/>
  <c r="B7727"/>
  <c r="A7728"/>
  <c r="B7728"/>
  <c r="A7729"/>
  <c r="B7729"/>
  <c r="A7730"/>
  <c r="B7730"/>
  <c r="A7731"/>
  <c r="B7731"/>
  <c r="A7732"/>
  <c r="B7732"/>
  <c r="A7733"/>
  <c r="B7733"/>
  <c r="A7734"/>
  <c r="B7734"/>
  <c r="A7735"/>
  <c r="B7735"/>
  <c r="A7736"/>
  <c r="B7736"/>
  <c r="A7737"/>
  <c r="B7737"/>
  <c r="A7738"/>
  <c r="B7738"/>
  <c r="A7739"/>
  <c r="B7739"/>
  <c r="A7740"/>
  <c r="B7740"/>
  <c r="A7741"/>
  <c r="B7741"/>
  <c r="A7742"/>
  <c r="B7742"/>
  <c r="A7743"/>
  <c r="B7743"/>
  <c r="A7744"/>
  <c r="B7744"/>
  <c r="A7745"/>
  <c r="B7745"/>
  <c r="A7746"/>
  <c r="B7746"/>
  <c r="A7747"/>
  <c r="B7747"/>
  <c r="A7748"/>
  <c r="B7748"/>
  <c r="A7749"/>
  <c r="B7749"/>
  <c r="A7750"/>
  <c r="B7750"/>
  <c r="A7751"/>
  <c r="B7751"/>
  <c r="A7752"/>
  <c r="B7752"/>
  <c r="A7753"/>
  <c r="B7753"/>
  <c r="A7754"/>
  <c r="B7754"/>
  <c r="A7755"/>
  <c r="B7755"/>
  <c r="A7756"/>
  <c r="B7756"/>
  <c r="A7757"/>
  <c r="B7757"/>
  <c r="A7758"/>
  <c r="B7758"/>
  <c r="A7759"/>
  <c r="B7759"/>
  <c r="A7760"/>
  <c r="B7760"/>
  <c r="A7761"/>
  <c r="B7761"/>
  <c r="A7762"/>
  <c r="B7762"/>
  <c r="A7763"/>
  <c r="B7763"/>
  <c r="A7764"/>
  <c r="B7764"/>
  <c r="A7765"/>
  <c r="B7765"/>
  <c r="A7766"/>
  <c r="B7766"/>
  <c r="A7767"/>
  <c r="B7767"/>
  <c r="A7768"/>
  <c r="B7768"/>
  <c r="A7769"/>
  <c r="B7769"/>
  <c r="A7770"/>
  <c r="B7770"/>
  <c r="A7771"/>
  <c r="B7771"/>
  <c r="A7772"/>
  <c r="B7772"/>
  <c r="A7773"/>
  <c r="B7773"/>
  <c r="A7774"/>
  <c r="B7774"/>
  <c r="A7775"/>
  <c r="B7775"/>
  <c r="A7776"/>
  <c r="B7776"/>
  <c r="A7777"/>
  <c r="B7777"/>
  <c r="A7778"/>
  <c r="B7778"/>
  <c r="A7779"/>
  <c r="B7779"/>
  <c r="A7780"/>
  <c r="B7780"/>
  <c r="A7781"/>
  <c r="B7781"/>
  <c r="A7782"/>
  <c r="B7782"/>
  <c r="A7783"/>
  <c r="B7783"/>
  <c r="A7784"/>
  <c r="B7784"/>
  <c r="A7785"/>
  <c r="B7785"/>
  <c r="A7786"/>
  <c r="B7786"/>
  <c r="A7787"/>
  <c r="B7787"/>
  <c r="A7788"/>
  <c r="B7788"/>
  <c r="A7789"/>
  <c r="B7789"/>
  <c r="A7790"/>
  <c r="B7790"/>
  <c r="A7791"/>
  <c r="B7791"/>
  <c r="A7792"/>
  <c r="B7792"/>
  <c r="A7793"/>
  <c r="B7793"/>
  <c r="A7794"/>
  <c r="B7794"/>
  <c r="A7795"/>
  <c r="B7795"/>
  <c r="A7796"/>
  <c r="B7796"/>
  <c r="A7797"/>
  <c r="B7797"/>
  <c r="A7798"/>
  <c r="B7798"/>
  <c r="A7799"/>
  <c r="B7799"/>
  <c r="A7800"/>
  <c r="B7800"/>
  <c r="A7801"/>
  <c r="B7801"/>
  <c r="A7802"/>
  <c r="B7802"/>
  <c r="A7803"/>
  <c r="B7803"/>
  <c r="A7804"/>
  <c r="B7804"/>
  <c r="A7805"/>
  <c r="B7805"/>
  <c r="A7806"/>
  <c r="B7806"/>
  <c r="A7807"/>
  <c r="B7807"/>
  <c r="A7808"/>
  <c r="B7808"/>
  <c r="A7809"/>
  <c r="B7809"/>
  <c r="A7810"/>
  <c r="B7810"/>
  <c r="A7811"/>
  <c r="B7811"/>
  <c r="A7812"/>
  <c r="B7812"/>
  <c r="A7813"/>
  <c r="B7813"/>
  <c r="A7814"/>
  <c r="B7814"/>
  <c r="A7815"/>
  <c r="B7815"/>
  <c r="A7816"/>
  <c r="B7816"/>
  <c r="A7817"/>
  <c r="B7817"/>
  <c r="A7818"/>
  <c r="B7818"/>
  <c r="A7819"/>
  <c r="B7819"/>
  <c r="A7820"/>
  <c r="B7820"/>
  <c r="A7821"/>
  <c r="B7821"/>
  <c r="A7822"/>
  <c r="B7822"/>
  <c r="A7823"/>
  <c r="B7823"/>
  <c r="A7824"/>
  <c r="B7824"/>
  <c r="A7825"/>
  <c r="B7825"/>
  <c r="A7826"/>
  <c r="B7826"/>
  <c r="A7827"/>
  <c r="B7827"/>
  <c r="A7828"/>
  <c r="B7828"/>
  <c r="A7829"/>
  <c r="B7829"/>
  <c r="A7830"/>
  <c r="B7830"/>
  <c r="A7831"/>
  <c r="B7831"/>
  <c r="A7832"/>
  <c r="B7832"/>
  <c r="A7833"/>
  <c r="B7833"/>
  <c r="A7834"/>
  <c r="B7834"/>
  <c r="A7835"/>
  <c r="B7835"/>
  <c r="A7836"/>
  <c r="B7836"/>
  <c r="A7837"/>
  <c r="B7837"/>
  <c r="A7838"/>
  <c r="B7838"/>
  <c r="A7839"/>
  <c r="B7839"/>
  <c r="A7840"/>
  <c r="B7840"/>
  <c r="A7841"/>
  <c r="B7841"/>
  <c r="A7842"/>
  <c r="B7842"/>
  <c r="A7843"/>
  <c r="B7843"/>
  <c r="A7844"/>
  <c r="B7844"/>
  <c r="A7845"/>
  <c r="B7845"/>
  <c r="A7846"/>
  <c r="B7846"/>
  <c r="A7847"/>
  <c r="B7847"/>
  <c r="A7848"/>
  <c r="B7848"/>
  <c r="A7849"/>
  <c r="B7849"/>
  <c r="A7850"/>
  <c r="B7850"/>
  <c r="A7851"/>
  <c r="B7851"/>
  <c r="A7852"/>
  <c r="B7852"/>
  <c r="A7853"/>
  <c r="B7853"/>
  <c r="A7854"/>
  <c r="B7854"/>
  <c r="A7855"/>
  <c r="B7855"/>
  <c r="A7856"/>
  <c r="B7856"/>
  <c r="A7857"/>
  <c r="B7857"/>
  <c r="A7858"/>
  <c r="B7858"/>
  <c r="A7859"/>
  <c r="B7859"/>
  <c r="A7860"/>
  <c r="B7860"/>
  <c r="A7861"/>
  <c r="B7861"/>
  <c r="A7862"/>
  <c r="B7862"/>
  <c r="A7863"/>
  <c r="B7863"/>
  <c r="A7864"/>
  <c r="B7864"/>
  <c r="A7865"/>
  <c r="B7865"/>
  <c r="A7866"/>
  <c r="B7866"/>
  <c r="A7867"/>
  <c r="B7867"/>
  <c r="A7868"/>
  <c r="B7868"/>
  <c r="A7869"/>
  <c r="B7869"/>
  <c r="A7870"/>
  <c r="B7870"/>
  <c r="A7871"/>
  <c r="B7871"/>
  <c r="A7872"/>
  <c r="B7872"/>
  <c r="A7873"/>
  <c r="B7873"/>
  <c r="A7874"/>
  <c r="B7874"/>
  <c r="A7875"/>
  <c r="B7875"/>
  <c r="A7876"/>
  <c r="B7876"/>
  <c r="A7877"/>
  <c r="B7877"/>
  <c r="A7878"/>
  <c r="B7878"/>
  <c r="A7879"/>
  <c r="B7879"/>
  <c r="A7880"/>
  <c r="B7880"/>
  <c r="A7881"/>
  <c r="B7881"/>
  <c r="A7882"/>
  <c r="B7882"/>
  <c r="A7883"/>
  <c r="B7883"/>
  <c r="A7884"/>
  <c r="B7884"/>
  <c r="A7885"/>
  <c r="B7885"/>
  <c r="A7886"/>
  <c r="B7886"/>
  <c r="A7887"/>
  <c r="B7887"/>
  <c r="A7888"/>
  <c r="B7888"/>
  <c r="A7889"/>
  <c r="B7889"/>
  <c r="A7890"/>
  <c r="B7890"/>
  <c r="A7891"/>
  <c r="B7891"/>
  <c r="A7892"/>
  <c r="B7892"/>
  <c r="A7893"/>
  <c r="B7893"/>
  <c r="A7894"/>
  <c r="B7894"/>
  <c r="A7895"/>
  <c r="B7895"/>
  <c r="A7896"/>
  <c r="B7896"/>
  <c r="A7897"/>
  <c r="B7897"/>
  <c r="A7898"/>
  <c r="B7898"/>
  <c r="A7899"/>
  <c r="B7899"/>
  <c r="A7900"/>
  <c r="B7900"/>
  <c r="A7901"/>
  <c r="B7901"/>
  <c r="A7902"/>
  <c r="B7902"/>
  <c r="A7903"/>
  <c r="B7903"/>
  <c r="A7904"/>
  <c r="B7904"/>
  <c r="A7905"/>
  <c r="B7905"/>
  <c r="A7906"/>
  <c r="B7906"/>
  <c r="A7907"/>
  <c r="B7907"/>
  <c r="A7908"/>
  <c r="B7908"/>
  <c r="A7909"/>
  <c r="B7909"/>
  <c r="A7910"/>
  <c r="B7910"/>
  <c r="A7911"/>
  <c r="B7911"/>
  <c r="A7912"/>
  <c r="B7912"/>
  <c r="A7913"/>
  <c r="B7913"/>
  <c r="A7914"/>
  <c r="B7914"/>
  <c r="A7915"/>
  <c r="B7915"/>
  <c r="A7916"/>
  <c r="B7916"/>
  <c r="A7917"/>
  <c r="B7917"/>
  <c r="A7918"/>
  <c r="B7918"/>
  <c r="A7919"/>
  <c r="B7919"/>
  <c r="A7920"/>
  <c r="B7920"/>
  <c r="A7921"/>
  <c r="B7921"/>
  <c r="A7922"/>
  <c r="B7922"/>
  <c r="A7923"/>
  <c r="B7923"/>
  <c r="A7924"/>
  <c r="B7924"/>
  <c r="A7925"/>
  <c r="B7925"/>
  <c r="A7926"/>
  <c r="B7926"/>
  <c r="A7927"/>
  <c r="B7927"/>
  <c r="A7928"/>
  <c r="B7928"/>
  <c r="A7929"/>
  <c r="B7929"/>
  <c r="A7930"/>
  <c r="B7930"/>
  <c r="A7931"/>
  <c r="B7931"/>
  <c r="A7932"/>
  <c r="B7932"/>
  <c r="A7933"/>
  <c r="B7933"/>
  <c r="A7934"/>
  <c r="B7934"/>
  <c r="A7935"/>
  <c r="B7935"/>
  <c r="A7936"/>
  <c r="B7936"/>
  <c r="A7937"/>
  <c r="B7937"/>
  <c r="A7938"/>
  <c r="B7938"/>
  <c r="A7939"/>
  <c r="B7939"/>
  <c r="A7940"/>
  <c r="B7940"/>
  <c r="A7941"/>
  <c r="B7941"/>
  <c r="A7942"/>
  <c r="B7942"/>
  <c r="A7943"/>
  <c r="B7943"/>
  <c r="A7944"/>
  <c r="B7944"/>
  <c r="A7945"/>
  <c r="B7945"/>
  <c r="A7946"/>
  <c r="B7946"/>
  <c r="A7947"/>
  <c r="B7947"/>
  <c r="A7948"/>
  <c r="B7948"/>
  <c r="A7949"/>
  <c r="B7949"/>
  <c r="A7950"/>
  <c r="B7950"/>
  <c r="A7951"/>
  <c r="B7951"/>
  <c r="A7952"/>
  <c r="B7952"/>
  <c r="A7953"/>
  <c r="B7953"/>
  <c r="A7954"/>
  <c r="B7954"/>
  <c r="A7955"/>
  <c r="B7955"/>
  <c r="A7956"/>
  <c r="B7956"/>
  <c r="A7957"/>
  <c r="B7957"/>
  <c r="A7958"/>
  <c r="B7958"/>
  <c r="A7959"/>
  <c r="B7959"/>
  <c r="A7960"/>
  <c r="B7960"/>
  <c r="A7961"/>
  <c r="B7961"/>
  <c r="A7962"/>
  <c r="B7962"/>
  <c r="A7963"/>
  <c r="B7963"/>
  <c r="A7964"/>
  <c r="B7964"/>
  <c r="A7965"/>
  <c r="B7965"/>
  <c r="A7966"/>
  <c r="B7966"/>
  <c r="A7967"/>
  <c r="B7967"/>
  <c r="A7968"/>
  <c r="B7968"/>
  <c r="A7969"/>
  <c r="B7969"/>
  <c r="A7970"/>
  <c r="B7970"/>
  <c r="A7971"/>
  <c r="B7971"/>
  <c r="A7972"/>
  <c r="B7972"/>
  <c r="A7973"/>
  <c r="B7973"/>
  <c r="A7974"/>
  <c r="B7974"/>
  <c r="A7975"/>
  <c r="B7975"/>
  <c r="A7976"/>
  <c r="B7976"/>
  <c r="A7977"/>
  <c r="B7977"/>
  <c r="A7978"/>
  <c r="B7978"/>
  <c r="A7979"/>
  <c r="B7979"/>
  <c r="A7980"/>
  <c r="B7980"/>
  <c r="A7981"/>
  <c r="B7981"/>
  <c r="A7982"/>
  <c r="B7982"/>
  <c r="A7983"/>
  <c r="B7983"/>
  <c r="A7984"/>
  <c r="B7984"/>
  <c r="A7985"/>
  <c r="B7985"/>
  <c r="A7986"/>
  <c r="B7986"/>
  <c r="A7987"/>
  <c r="B7987"/>
  <c r="A7988"/>
  <c r="B7988"/>
  <c r="A7989"/>
  <c r="B7989"/>
  <c r="A7990"/>
  <c r="B7990"/>
  <c r="A7991"/>
  <c r="B7991"/>
  <c r="A7992"/>
  <c r="B7992"/>
  <c r="A7993"/>
  <c r="B7993"/>
  <c r="A7994"/>
  <c r="B7994"/>
  <c r="A7995"/>
  <c r="B7995"/>
  <c r="A7996"/>
  <c r="B7996"/>
  <c r="A7997"/>
  <c r="B7997"/>
  <c r="A7998"/>
  <c r="B7998"/>
  <c r="A7999"/>
  <c r="B7999"/>
  <c r="A8000"/>
  <c r="B8000"/>
  <c r="A8001"/>
  <c r="B8001"/>
  <c r="A8002"/>
  <c r="B8002"/>
  <c r="A8003"/>
  <c r="B8003"/>
  <c r="A8004"/>
  <c r="B8004"/>
  <c r="A8005"/>
  <c r="B8005"/>
  <c r="A8006"/>
  <c r="B8006"/>
  <c r="A8007"/>
  <c r="B8007"/>
  <c r="A8008"/>
  <c r="B8008"/>
  <c r="A8009"/>
  <c r="B8009"/>
  <c r="A8010"/>
  <c r="B8010"/>
  <c r="A8011"/>
  <c r="B8011"/>
  <c r="A8012"/>
  <c r="B8012"/>
  <c r="A8013"/>
  <c r="B8013"/>
  <c r="A8014"/>
  <c r="B8014"/>
  <c r="A8015"/>
  <c r="B8015"/>
  <c r="A8016"/>
  <c r="B8016"/>
  <c r="A8017"/>
  <c r="B8017"/>
  <c r="A8018"/>
  <c r="B8018"/>
  <c r="A8019"/>
  <c r="B8019"/>
  <c r="A8020"/>
  <c r="B8020"/>
  <c r="A8021"/>
  <c r="B8021"/>
  <c r="A8022"/>
  <c r="B8022"/>
  <c r="A8023"/>
  <c r="B8023"/>
  <c r="A8024"/>
  <c r="B8024"/>
  <c r="A8025"/>
  <c r="B8025"/>
  <c r="A8026"/>
  <c r="B8026"/>
  <c r="A8027"/>
  <c r="B8027"/>
  <c r="A8028"/>
  <c r="B8028"/>
  <c r="A8029"/>
  <c r="B8029"/>
  <c r="A8030"/>
  <c r="B8030"/>
  <c r="A8031"/>
  <c r="B8031"/>
  <c r="A8032"/>
  <c r="B8032"/>
  <c r="A8033"/>
  <c r="B8033"/>
  <c r="A8034"/>
  <c r="A8035"/>
  <c r="B8035"/>
  <c r="A8036"/>
  <c r="B8036"/>
  <c r="A8037"/>
  <c r="B8037"/>
  <c r="A8038"/>
  <c r="B8038"/>
  <c r="A8039"/>
  <c r="B8039"/>
  <c r="A8040"/>
  <c r="B8040"/>
  <c r="A8041"/>
  <c r="B8041"/>
  <c r="A8042"/>
  <c r="B8042"/>
  <c r="A8043"/>
  <c r="B8043"/>
  <c r="A8044"/>
  <c r="B8044"/>
  <c r="A8045"/>
  <c r="B8045"/>
  <c r="A8046"/>
  <c r="B8046"/>
  <c r="A8047"/>
  <c r="B8047"/>
  <c r="A8048"/>
  <c r="B8048"/>
  <c r="A8049"/>
  <c r="B8049"/>
  <c r="A8050"/>
  <c r="B8050"/>
  <c r="A8051"/>
  <c r="B8051"/>
  <c r="A8052"/>
  <c r="B8052"/>
  <c r="A8053"/>
  <c r="B8053"/>
  <c r="A8054"/>
  <c r="B8054"/>
  <c r="A8055"/>
  <c r="B8055"/>
  <c r="A8056"/>
  <c r="B8056"/>
  <c r="A8057"/>
  <c r="B8057"/>
  <c r="A8058"/>
  <c r="B8058"/>
  <c r="A8059"/>
  <c r="B8059"/>
  <c r="A8060"/>
  <c r="B8060"/>
  <c r="A8061"/>
  <c r="B8061"/>
  <c r="A8062"/>
  <c r="B8062"/>
  <c r="A8063"/>
  <c r="B8063"/>
  <c r="A8064"/>
  <c r="B8064"/>
  <c r="A8065"/>
  <c r="B8065"/>
  <c r="A8066"/>
  <c r="B8066"/>
  <c r="A8067"/>
  <c r="B8067"/>
  <c r="A8068"/>
  <c r="B8068"/>
  <c r="A8069"/>
  <c r="B8069"/>
  <c r="A8070"/>
  <c r="B8070"/>
  <c r="A8071"/>
  <c r="B8071"/>
  <c r="A8072"/>
  <c r="B8072"/>
  <c r="A8073"/>
  <c r="B8073"/>
  <c r="A8074"/>
  <c r="B8074"/>
  <c r="A8075"/>
  <c r="B8075"/>
  <c r="A8076"/>
  <c r="B8076"/>
  <c r="A8077"/>
  <c r="B8077"/>
  <c r="A8078"/>
  <c r="B8078"/>
  <c r="A8079"/>
  <c r="B8079"/>
  <c r="A8080"/>
  <c r="B8080"/>
  <c r="A8081"/>
  <c r="B8081"/>
  <c r="A8082"/>
  <c r="B8082"/>
  <c r="A8083"/>
  <c r="B8083"/>
  <c r="A8084"/>
  <c r="B8084"/>
  <c r="A8085"/>
  <c r="B8085"/>
  <c r="A8086"/>
  <c r="B8086"/>
  <c r="A8087"/>
  <c r="B8087"/>
  <c r="A8088"/>
  <c r="B8088"/>
  <c r="A8089"/>
  <c r="B8089"/>
  <c r="A8090"/>
  <c r="B8090"/>
  <c r="A8091"/>
  <c r="B8091"/>
  <c r="A8092"/>
  <c r="B8092"/>
  <c r="A8093"/>
  <c r="B8093"/>
  <c r="A8094"/>
  <c r="B8094"/>
  <c r="A8095"/>
  <c r="B8095"/>
  <c r="A8096"/>
  <c r="B8096"/>
  <c r="A8097"/>
  <c r="B8097"/>
  <c r="A8098"/>
  <c r="B8098"/>
  <c r="A8099"/>
  <c r="B8099"/>
  <c r="A8100"/>
  <c r="B8100"/>
  <c r="A8101"/>
  <c r="B8101"/>
  <c r="A8102"/>
  <c r="B8102"/>
  <c r="A8103"/>
  <c r="B8103"/>
  <c r="A8104"/>
  <c r="B8104"/>
  <c r="A8105"/>
  <c r="B8105"/>
  <c r="A8106"/>
  <c r="B8106"/>
  <c r="A8107"/>
  <c r="B8107"/>
  <c r="A8108"/>
  <c r="B8108"/>
  <c r="A8109"/>
  <c r="B8109"/>
  <c r="A8110"/>
  <c r="B8110"/>
  <c r="A8111"/>
  <c r="B8111"/>
  <c r="A8112"/>
  <c r="B8112"/>
  <c r="A8113"/>
  <c r="B8113"/>
  <c r="A8114"/>
  <c r="B8114"/>
  <c r="A8115"/>
  <c r="B8115"/>
  <c r="A8116"/>
  <c r="B8116"/>
  <c r="A8117"/>
  <c r="B8117"/>
  <c r="A8118"/>
  <c r="B8118"/>
  <c r="A8119"/>
  <c r="B8119"/>
  <c r="A8120"/>
  <c r="B8120"/>
  <c r="A8121"/>
  <c r="B8121"/>
  <c r="A8122"/>
  <c r="B8122"/>
  <c r="A8123"/>
  <c r="B8123"/>
  <c r="A8124"/>
  <c r="B8124"/>
  <c r="A8125"/>
  <c r="B8125"/>
  <c r="A8126"/>
  <c r="B8126"/>
  <c r="A8127"/>
  <c r="B8127"/>
  <c r="A8128"/>
  <c r="B8128"/>
  <c r="A8129"/>
  <c r="B8129"/>
  <c r="A8130"/>
  <c r="B8130"/>
  <c r="A8131"/>
  <c r="B8131"/>
  <c r="A8132"/>
  <c r="B8132"/>
  <c r="A8133"/>
  <c r="B8133"/>
  <c r="A8134"/>
  <c r="B8134"/>
  <c r="A8135"/>
  <c r="B8135"/>
  <c r="A8136"/>
  <c r="B8136"/>
  <c r="A8137"/>
  <c r="B8137"/>
  <c r="A8138"/>
  <c r="B8138"/>
  <c r="A8139"/>
  <c r="B8139"/>
  <c r="A8140"/>
  <c r="B8140"/>
  <c r="A8141"/>
  <c r="B8141"/>
  <c r="A8142"/>
  <c r="B8142"/>
  <c r="A8143"/>
  <c r="B8143"/>
  <c r="A8144"/>
  <c r="B8144"/>
  <c r="A8145"/>
  <c r="B8145"/>
  <c r="A8146"/>
  <c r="B8146"/>
  <c r="A8147"/>
  <c r="B8147"/>
  <c r="A8148"/>
  <c r="B8148"/>
  <c r="A8149"/>
  <c r="B8149"/>
  <c r="A8150"/>
  <c r="B8150"/>
  <c r="A8151"/>
  <c r="B8151"/>
  <c r="A8152"/>
  <c r="B8152"/>
  <c r="A8153"/>
  <c r="B8153"/>
  <c r="A8154"/>
  <c r="B8154"/>
  <c r="A8155"/>
  <c r="B8155"/>
  <c r="A8156"/>
  <c r="B8156"/>
  <c r="A8157"/>
  <c r="B8157"/>
  <c r="A8158"/>
  <c r="B8158"/>
  <c r="A8159"/>
  <c r="B8159"/>
  <c r="A8160"/>
  <c r="B8160"/>
  <c r="A8161"/>
  <c r="B8161"/>
  <c r="A8162"/>
  <c r="B8162"/>
  <c r="A8163"/>
  <c r="B8163"/>
  <c r="A8164"/>
  <c r="B8164"/>
  <c r="A8165"/>
  <c r="B8165"/>
  <c r="A8166"/>
  <c r="B8166"/>
  <c r="A8167"/>
  <c r="B8167"/>
  <c r="A8168"/>
  <c r="B8168"/>
  <c r="A8169"/>
  <c r="B8169"/>
  <c r="A8170"/>
  <c r="B8170"/>
  <c r="A8171"/>
  <c r="B8171"/>
  <c r="A8172"/>
  <c r="B8172"/>
  <c r="A8173"/>
  <c r="B8173"/>
  <c r="A8174"/>
  <c r="B8174"/>
  <c r="A8175"/>
  <c r="B8175"/>
  <c r="A8176"/>
  <c r="B8176"/>
  <c r="A8177"/>
  <c r="B8177"/>
  <c r="A8178"/>
  <c r="B8178"/>
  <c r="A8179"/>
  <c r="B8179"/>
  <c r="A8180"/>
  <c r="B8180"/>
  <c r="A8181"/>
  <c r="B8181"/>
  <c r="A8182"/>
  <c r="B8182"/>
  <c r="A8183"/>
  <c r="B8183"/>
  <c r="A8184"/>
  <c r="B8184"/>
  <c r="A8185"/>
  <c r="B8185"/>
  <c r="A8186"/>
  <c r="B8186"/>
  <c r="A8187"/>
  <c r="B8187"/>
  <c r="A8188"/>
  <c r="B8188"/>
  <c r="A8189"/>
  <c r="B8189"/>
  <c r="A8190"/>
  <c r="B8190"/>
  <c r="A8191"/>
  <c r="B8191"/>
  <c r="A8192"/>
  <c r="B8192"/>
  <c r="A8193"/>
  <c r="B8193"/>
  <c r="A8194"/>
  <c r="B8194"/>
  <c r="A8195"/>
  <c r="B8195"/>
  <c r="A8196"/>
  <c r="B8196"/>
  <c r="A8197"/>
  <c r="B8197"/>
  <c r="A8198"/>
  <c r="B8198"/>
  <c r="A8199"/>
  <c r="B8199"/>
  <c r="A8200"/>
  <c r="B8200"/>
  <c r="A8201"/>
  <c r="B8201"/>
  <c r="A8202"/>
  <c r="B8202"/>
  <c r="A8203"/>
  <c r="B8203"/>
  <c r="A8204"/>
  <c r="B8204"/>
  <c r="A8205"/>
  <c r="B8205"/>
  <c r="A8206"/>
  <c r="B8206"/>
  <c r="A8207"/>
  <c r="B8207"/>
  <c r="A8208"/>
  <c r="B8208"/>
  <c r="A8209"/>
  <c r="B8209"/>
  <c r="A8210"/>
  <c r="B8210"/>
  <c r="A8211"/>
  <c r="B8211"/>
  <c r="A8212"/>
  <c r="B8212"/>
  <c r="A8213"/>
  <c r="B8213"/>
  <c r="A8214"/>
  <c r="B8214"/>
  <c r="A8215"/>
  <c r="B8215"/>
  <c r="A8216"/>
  <c r="B8216"/>
  <c r="A8217"/>
  <c r="B8217"/>
  <c r="A8218"/>
  <c r="B8218"/>
  <c r="A8219"/>
  <c r="B8219"/>
  <c r="A8220"/>
  <c r="B8220"/>
  <c r="A8221"/>
  <c r="B8221"/>
  <c r="A8222"/>
  <c r="B8222"/>
  <c r="A8223"/>
  <c r="B8223"/>
  <c r="A8224"/>
  <c r="B8224"/>
  <c r="A8225"/>
  <c r="B8225"/>
  <c r="A8226"/>
  <c r="B8226"/>
  <c r="A8227"/>
  <c r="B8227"/>
  <c r="A8228"/>
  <c r="B8228"/>
  <c r="A8229"/>
  <c r="B8229"/>
  <c r="A8230"/>
  <c r="B8230"/>
  <c r="A8231"/>
  <c r="B8231"/>
  <c r="A8232"/>
  <c r="B8232"/>
  <c r="A8233"/>
  <c r="B8233"/>
  <c r="A8234"/>
  <c r="B8234"/>
  <c r="A8235"/>
  <c r="B8235"/>
  <c r="A8236"/>
  <c r="B8236"/>
  <c r="A8237"/>
  <c r="B8237"/>
  <c r="A8238"/>
  <c r="B8238"/>
  <c r="A8239"/>
  <c r="B8239"/>
  <c r="A8240"/>
  <c r="B8240"/>
  <c r="A8241"/>
  <c r="B8241"/>
  <c r="A8242"/>
  <c r="B8242"/>
  <c r="A8243"/>
  <c r="B8243"/>
  <c r="A8244"/>
  <c r="B8244"/>
  <c r="A8245"/>
  <c r="B8245"/>
  <c r="A8246"/>
  <c r="B8246"/>
  <c r="A8247"/>
  <c r="B8247"/>
  <c r="A8248"/>
  <c r="B8248"/>
  <c r="A8249"/>
  <c r="B8249"/>
  <c r="A8250"/>
  <c r="B8250"/>
  <c r="A8251"/>
  <c r="B8251"/>
  <c r="A8252"/>
  <c r="B8252"/>
  <c r="A8253"/>
  <c r="B8253"/>
  <c r="A8254"/>
  <c r="B8254"/>
  <c r="A8255"/>
  <c r="B8255"/>
  <c r="A8256"/>
  <c r="B8256"/>
  <c r="A8257"/>
  <c r="B8257"/>
  <c r="A8258"/>
  <c r="B8258"/>
  <c r="A8259"/>
  <c r="B8259"/>
  <c r="A8260"/>
  <c r="B8260"/>
  <c r="A8261"/>
  <c r="B8261"/>
  <c r="A8262"/>
  <c r="B8262"/>
  <c r="A8263"/>
  <c r="B8263"/>
  <c r="A8264"/>
  <c r="B8264"/>
  <c r="A8265"/>
  <c r="B8265"/>
  <c r="A8266"/>
  <c r="B8266"/>
  <c r="A8267"/>
  <c r="B8267"/>
  <c r="A8268"/>
  <c r="B8268"/>
  <c r="A8269"/>
  <c r="B8269"/>
  <c r="A8270"/>
  <c r="B8270"/>
  <c r="A8271"/>
  <c r="B8271"/>
  <c r="A8272"/>
  <c r="B8272"/>
  <c r="A8273"/>
  <c r="B8273"/>
  <c r="A8274"/>
  <c r="B8274"/>
  <c r="A8275"/>
  <c r="B8275"/>
  <c r="A8276"/>
  <c r="B8276"/>
  <c r="A8277"/>
  <c r="B8277"/>
  <c r="A8278"/>
  <c r="B8278"/>
  <c r="A8279"/>
  <c r="B8279"/>
  <c r="A8280"/>
  <c r="B8280"/>
  <c r="A8281"/>
  <c r="B8281"/>
  <c r="A8282"/>
  <c r="B8282"/>
  <c r="A8283"/>
  <c r="B8283"/>
  <c r="A8284"/>
  <c r="B8284"/>
  <c r="A8285"/>
  <c r="B8285"/>
  <c r="A8286"/>
  <c r="B8286"/>
  <c r="A8287"/>
  <c r="B8287"/>
  <c r="A8288"/>
  <c r="B8288"/>
  <c r="A8289"/>
  <c r="B8289"/>
  <c r="A8290"/>
  <c r="B8290"/>
  <c r="A8291"/>
  <c r="B8291"/>
  <c r="A8292"/>
  <c r="B8292"/>
  <c r="A8293"/>
  <c r="B8293"/>
  <c r="A8294"/>
  <c r="B8294"/>
  <c r="A8295"/>
  <c r="B8295"/>
  <c r="A8296"/>
  <c r="B8296"/>
  <c r="A8297"/>
  <c r="B8297"/>
  <c r="A8298"/>
  <c r="B8298"/>
  <c r="A8299"/>
  <c r="B8299"/>
  <c r="A8300"/>
  <c r="B8300"/>
  <c r="A8301"/>
  <c r="B8301"/>
  <c r="A8302"/>
  <c r="B8302"/>
  <c r="A8303"/>
  <c r="B8303"/>
  <c r="A8304"/>
  <c r="B8304"/>
  <c r="A8305"/>
  <c r="B8305"/>
  <c r="A8306"/>
  <c r="B8306"/>
  <c r="A8307"/>
  <c r="B8307"/>
  <c r="A8308"/>
  <c r="B8308"/>
  <c r="A8309"/>
  <c r="B8309"/>
  <c r="A8310"/>
  <c r="B8310"/>
  <c r="A8311"/>
  <c r="B8311"/>
  <c r="A8312"/>
  <c r="B8312"/>
  <c r="A8313"/>
  <c r="B8313"/>
  <c r="A8314"/>
  <c r="B8314"/>
  <c r="A8315"/>
  <c r="B8315"/>
  <c r="A8316"/>
  <c r="B8316"/>
  <c r="A8317"/>
  <c r="B8317"/>
  <c r="A8318"/>
  <c r="B8318"/>
  <c r="A8319"/>
  <c r="B8319"/>
  <c r="A8320"/>
  <c r="B8320"/>
  <c r="A8321"/>
  <c r="B8321"/>
  <c r="A8322"/>
  <c r="B8322"/>
  <c r="A8323"/>
  <c r="B8323"/>
  <c r="A8324"/>
  <c r="B8324"/>
  <c r="A8325"/>
  <c r="B8325"/>
  <c r="A8326"/>
  <c r="B8326"/>
  <c r="A8327"/>
  <c r="B8327"/>
  <c r="A8328"/>
  <c r="B8328"/>
  <c r="A8329"/>
  <c r="B8329"/>
  <c r="A8330"/>
  <c r="B8330"/>
  <c r="A8331"/>
  <c r="B8331"/>
  <c r="A8332"/>
  <c r="B8332"/>
  <c r="A8333"/>
  <c r="B8333"/>
  <c r="A8334"/>
  <c r="B8334"/>
  <c r="A8335"/>
  <c r="B8335"/>
  <c r="A8336"/>
  <c r="B8336"/>
  <c r="A8337"/>
  <c r="B8337"/>
  <c r="A8338"/>
  <c r="B8338"/>
  <c r="A8339"/>
  <c r="B8339"/>
  <c r="A8340"/>
  <c r="B8340"/>
  <c r="A8341"/>
  <c r="B8341"/>
  <c r="A8342"/>
  <c r="B8342"/>
  <c r="A8343"/>
  <c r="B8343"/>
  <c r="A8344"/>
  <c r="B8344"/>
  <c r="A8345"/>
  <c r="B8345"/>
  <c r="A8346"/>
  <c r="B8346"/>
  <c r="A8347"/>
  <c r="B8347"/>
  <c r="A8348"/>
  <c r="B8348"/>
  <c r="A8349"/>
  <c r="B8349"/>
  <c r="A8350"/>
  <c r="B8350"/>
  <c r="A8351"/>
  <c r="B8351"/>
  <c r="A8352"/>
  <c r="B8352"/>
  <c r="A8353"/>
  <c r="B8353"/>
  <c r="A8354"/>
  <c r="B8354"/>
  <c r="A8355"/>
  <c r="B8355"/>
  <c r="A8356"/>
  <c r="B8356"/>
  <c r="A8357"/>
  <c r="B8357"/>
  <c r="A8358"/>
  <c r="B8358"/>
  <c r="A8359"/>
  <c r="B8359"/>
  <c r="A8360"/>
  <c r="B8360"/>
  <c r="A8361"/>
  <c r="B8361"/>
  <c r="A8362"/>
  <c r="B8362"/>
  <c r="A8363"/>
  <c r="B8363"/>
  <c r="A8364"/>
  <c r="B8364"/>
  <c r="A8365"/>
  <c r="B8365"/>
  <c r="A8366"/>
  <c r="B8366"/>
  <c r="A8367"/>
  <c r="B8367"/>
  <c r="A8368"/>
  <c r="B8368"/>
  <c r="A8369"/>
  <c r="B8369"/>
  <c r="A8370"/>
  <c r="B8370"/>
  <c r="A8371"/>
  <c r="B8371"/>
  <c r="A8372"/>
  <c r="B8372"/>
  <c r="A8373"/>
  <c r="B8373"/>
  <c r="A8374"/>
  <c r="B8374"/>
  <c r="A8375"/>
  <c r="B8375"/>
  <c r="A8376"/>
  <c r="B8376"/>
  <c r="A8377"/>
  <c r="B8377"/>
  <c r="A8378"/>
  <c r="B8378"/>
  <c r="A8379"/>
  <c r="B8379"/>
  <c r="A8380"/>
  <c r="B8380"/>
  <c r="A8381"/>
  <c r="B8381"/>
  <c r="A8382"/>
  <c r="B8382"/>
  <c r="A8383"/>
  <c r="B8383"/>
  <c r="A8384"/>
  <c r="B8384"/>
  <c r="A8385"/>
  <c r="B8385"/>
  <c r="A8386"/>
  <c r="B8386"/>
  <c r="A8387"/>
  <c r="B8387"/>
  <c r="A8388"/>
  <c r="B8388"/>
  <c r="A8389"/>
  <c r="B8389"/>
  <c r="A8390"/>
  <c r="B8390"/>
  <c r="A8391"/>
  <c r="B8391"/>
  <c r="A8392"/>
  <c r="B8392"/>
  <c r="A8393"/>
  <c r="B8393"/>
  <c r="A8394"/>
  <c r="B8394"/>
  <c r="A8395"/>
  <c r="B8395"/>
  <c r="A8396"/>
  <c r="B8396"/>
  <c r="A8397"/>
  <c r="B8397"/>
  <c r="A8398"/>
  <c r="B8398"/>
  <c r="A8399"/>
  <c r="B8399"/>
  <c r="A8400"/>
  <c r="B8400"/>
  <c r="A8401"/>
  <c r="B8401"/>
  <c r="A8402"/>
  <c r="B8402"/>
  <c r="A8403"/>
  <c r="B8403"/>
  <c r="A8404"/>
  <c r="B8404"/>
  <c r="A8405"/>
  <c r="B8405"/>
  <c r="A8406"/>
  <c r="B8406"/>
  <c r="A8407"/>
  <c r="B8407"/>
  <c r="A8408"/>
  <c r="B8408"/>
  <c r="A8409"/>
  <c r="B8409"/>
  <c r="A8410"/>
  <c r="B8410"/>
  <c r="A8411"/>
  <c r="B8411"/>
  <c r="A8412"/>
  <c r="B8412"/>
  <c r="A8413"/>
  <c r="B8413"/>
  <c r="A8414"/>
  <c r="B8414"/>
  <c r="A8415"/>
  <c r="B8415"/>
  <c r="A8416"/>
  <c r="B8416"/>
  <c r="A8417"/>
  <c r="B8417"/>
  <c r="A8418"/>
  <c r="B8418"/>
  <c r="A8419"/>
  <c r="B8419"/>
  <c r="A8420"/>
  <c r="B8420"/>
  <c r="A8421"/>
  <c r="B8421"/>
  <c r="A8422"/>
  <c r="B8422"/>
  <c r="A8423"/>
  <c r="B8423"/>
  <c r="A8424"/>
  <c r="B8424"/>
  <c r="A8425"/>
  <c r="B8425"/>
  <c r="A8426"/>
  <c r="B8426"/>
  <c r="A8427"/>
  <c r="B8427"/>
  <c r="A8428"/>
  <c r="B8428"/>
  <c r="A8429"/>
  <c r="B8429"/>
  <c r="A8430"/>
  <c r="B8430"/>
  <c r="A8431"/>
  <c r="B8431"/>
  <c r="A8432"/>
  <c r="B8432"/>
  <c r="A8433"/>
  <c r="B8433"/>
  <c r="A8434"/>
  <c r="B8434"/>
  <c r="A8435"/>
  <c r="B8435"/>
  <c r="A8436"/>
  <c r="B8436"/>
  <c r="A8437"/>
  <c r="B8437"/>
  <c r="A8438"/>
  <c r="B8438"/>
  <c r="A8439"/>
  <c r="B8439"/>
  <c r="A8440"/>
  <c r="B8440"/>
  <c r="A8441"/>
  <c r="B8441"/>
  <c r="A8442"/>
  <c r="B8442"/>
  <c r="A8443"/>
  <c r="B8443"/>
  <c r="A8444"/>
  <c r="B8444"/>
  <c r="A8445"/>
  <c r="B8445"/>
  <c r="A8446"/>
  <c r="B8446"/>
  <c r="A8447"/>
  <c r="B8447"/>
  <c r="A8448"/>
  <c r="B8448"/>
  <c r="A8449"/>
  <c r="B8449"/>
  <c r="A8450"/>
  <c r="B8450"/>
  <c r="A8451"/>
  <c r="B8451"/>
  <c r="A8452"/>
  <c r="B8452"/>
  <c r="A8453"/>
  <c r="B8453"/>
  <c r="A8454"/>
  <c r="B8454"/>
  <c r="A8455"/>
  <c r="B8455"/>
  <c r="A8456"/>
  <c r="B8456"/>
  <c r="A8457"/>
  <c r="B8457"/>
  <c r="A8458"/>
  <c r="B8458"/>
  <c r="A8459"/>
  <c r="B8459"/>
  <c r="A8460"/>
  <c r="B8460"/>
  <c r="A8461"/>
  <c r="B8461"/>
  <c r="A8462"/>
  <c r="B8462"/>
  <c r="A8463"/>
  <c r="B8463"/>
  <c r="A8464"/>
  <c r="B8464"/>
  <c r="A8465"/>
  <c r="B8465"/>
  <c r="A8466"/>
  <c r="B8466"/>
  <c r="A8467"/>
  <c r="B8467"/>
  <c r="A8468"/>
  <c r="B8468"/>
  <c r="A8469"/>
  <c r="B8469"/>
  <c r="A8470"/>
  <c r="B8470"/>
  <c r="A8471"/>
  <c r="B8471"/>
  <c r="A8472"/>
  <c r="B8472"/>
  <c r="A8473"/>
  <c r="B8473"/>
  <c r="A8474"/>
  <c r="B8474"/>
  <c r="A8475"/>
  <c r="B8475"/>
  <c r="A8476"/>
  <c r="B8476"/>
  <c r="A8477"/>
  <c r="B8477"/>
  <c r="A8478"/>
  <c r="B8478"/>
  <c r="A8479"/>
  <c r="B8479"/>
  <c r="A8480"/>
  <c r="B8480"/>
  <c r="A8481"/>
  <c r="B8481"/>
  <c r="A8482"/>
  <c r="B8482"/>
  <c r="A8483"/>
  <c r="B8483"/>
  <c r="A8484"/>
  <c r="B8484"/>
  <c r="A8485"/>
  <c r="B8485"/>
  <c r="A8486"/>
  <c r="B8486"/>
  <c r="A8487"/>
  <c r="B8487"/>
  <c r="A8488"/>
  <c r="B8488"/>
  <c r="A8489"/>
  <c r="B8489"/>
  <c r="A8490"/>
  <c r="B8490"/>
  <c r="A8491"/>
  <c r="B8491"/>
  <c r="A8492"/>
  <c r="B8492"/>
  <c r="A8493"/>
  <c r="B8493"/>
  <c r="A8494"/>
  <c r="B8494"/>
  <c r="A8495"/>
  <c r="B8495"/>
  <c r="A8496"/>
  <c r="B8496"/>
  <c r="A8497"/>
  <c r="B8497"/>
  <c r="A8498"/>
  <c r="B8498"/>
  <c r="A8499"/>
  <c r="B8499"/>
  <c r="A8500"/>
  <c r="B8500"/>
  <c r="A8501"/>
  <c r="B8501"/>
  <c r="A8502"/>
  <c r="B8502"/>
  <c r="A8503"/>
  <c r="B8503"/>
  <c r="A8504"/>
  <c r="B8504"/>
  <c r="A8505"/>
  <c r="B8505"/>
  <c r="A8506"/>
  <c r="B8506"/>
  <c r="A8507"/>
  <c r="B8507"/>
  <c r="A8508"/>
  <c r="B8508"/>
  <c r="A8509"/>
  <c r="B8509"/>
  <c r="A8510"/>
  <c r="B8510"/>
  <c r="A8511"/>
  <c r="B8511"/>
  <c r="A8512"/>
  <c r="B8512"/>
  <c r="A8513"/>
  <c r="B8513"/>
  <c r="A8514"/>
  <c r="B8514"/>
  <c r="A8515"/>
  <c r="B8515"/>
  <c r="A8516"/>
  <c r="B8516"/>
  <c r="A8517"/>
  <c r="B8517"/>
  <c r="A8518"/>
  <c r="B8518"/>
  <c r="A8519"/>
  <c r="B8519"/>
  <c r="A8520"/>
  <c r="B8520"/>
  <c r="A8521"/>
  <c r="B8521"/>
  <c r="A8522"/>
  <c r="B8522"/>
  <c r="A8523"/>
  <c r="B8523"/>
  <c r="A8524"/>
  <c r="B8524"/>
  <c r="A8525"/>
  <c r="B8525"/>
  <c r="A8526"/>
  <c r="B8526"/>
  <c r="A8527"/>
  <c r="B8527"/>
  <c r="A8528"/>
  <c r="B8528"/>
  <c r="A8529"/>
  <c r="B8529"/>
  <c r="A8530"/>
  <c r="B8530"/>
  <c r="A8531"/>
  <c r="B8531"/>
  <c r="A8532"/>
  <c r="B8532"/>
  <c r="A8533"/>
  <c r="B8533"/>
  <c r="A8534"/>
  <c r="B8534"/>
  <c r="A8535"/>
  <c r="B8535"/>
  <c r="A8536"/>
  <c r="B8536"/>
  <c r="A8537"/>
  <c r="B8537"/>
  <c r="A8538"/>
  <c r="B8538"/>
  <c r="A8539"/>
  <c r="B8539"/>
  <c r="A8540"/>
  <c r="B8540"/>
  <c r="A8541"/>
  <c r="B8541"/>
  <c r="A8542"/>
  <c r="B8542"/>
  <c r="A8543"/>
  <c r="B8543"/>
  <c r="A8544"/>
  <c r="B8544"/>
  <c r="A8545"/>
  <c r="B8545"/>
  <c r="A8546"/>
  <c r="B8546"/>
  <c r="A8547"/>
  <c r="B8547"/>
  <c r="A8548"/>
  <c r="B8548"/>
  <c r="A8549"/>
  <c r="B8549"/>
  <c r="A8550"/>
  <c r="B8550"/>
  <c r="A8551"/>
  <c r="B8551"/>
  <c r="A8552"/>
  <c r="B8552"/>
  <c r="A8553"/>
  <c r="B8553"/>
  <c r="A8554"/>
  <c r="B8554"/>
  <c r="A8555"/>
  <c r="B8555"/>
  <c r="A8556"/>
  <c r="B8556"/>
  <c r="A8557"/>
  <c r="B8557"/>
  <c r="A8558"/>
  <c r="B8558"/>
  <c r="A8559"/>
  <c r="B8559"/>
  <c r="A8560"/>
  <c r="B8560"/>
  <c r="A8561"/>
  <c r="B8561"/>
  <c r="A8562"/>
  <c r="B8562"/>
  <c r="A8563"/>
  <c r="B8563"/>
  <c r="A8564"/>
  <c r="B8564"/>
  <c r="A8565"/>
  <c r="B8565"/>
  <c r="A8566"/>
  <c r="B8566"/>
  <c r="A8567"/>
  <c r="B8567"/>
  <c r="A8568"/>
  <c r="B8568"/>
  <c r="A8569"/>
  <c r="B8569"/>
  <c r="A8570"/>
  <c r="B8570"/>
  <c r="A8571"/>
  <c r="B8571"/>
  <c r="A8572"/>
  <c r="B8572"/>
  <c r="A8573"/>
  <c r="B8573"/>
  <c r="A8574"/>
  <c r="B8574"/>
  <c r="A8575"/>
  <c r="B8575"/>
  <c r="A8576"/>
  <c r="B8576"/>
  <c r="A8577"/>
  <c r="B8577"/>
  <c r="A8578"/>
  <c r="B8578"/>
  <c r="A8579"/>
  <c r="B8579"/>
  <c r="A8580"/>
  <c r="B8580"/>
  <c r="A8581"/>
  <c r="B8581"/>
  <c r="A8582"/>
  <c r="B8582"/>
  <c r="A8583"/>
  <c r="B8583"/>
  <c r="A8584"/>
  <c r="B8584"/>
  <c r="A8585"/>
  <c r="B8585"/>
  <c r="A8586"/>
  <c r="B8586"/>
  <c r="A8587"/>
  <c r="B8587"/>
  <c r="A8588"/>
  <c r="B8588"/>
  <c r="A8589"/>
  <c r="B8589"/>
  <c r="A8590"/>
  <c r="B8590"/>
  <c r="A8591"/>
  <c r="B8591"/>
  <c r="A8592"/>
  <c r="B8592"/>
  <c r="A8593"/>
  <c r="B8593"/>
  <c r="A8594"/>
  <c r="B8594"/>
  <c r="A8595"/>
  <c r="B8595"/>
  <c r="A8596"/>
  <c r="B8596"/>
  <c r="A8597"/>
  <c r="B8597"/>
  <c r="A8598"/>
  <c r="B8598"/>
  <c r="A8599"/>
  <c r="B8599"/>
  <c r="A8600"/>
  <c r="B8600"/>
  <c r="A8601"/>
  <c r="B8601"/>
  <c r="A8602"/>
  <c r="B8602"/>
  <c r="A8603"/>
  <c r="B8603"/>
  <c r="A8604"/>
  <c r="B8604"/>
  <c r="A8605"/>
  <c r="B8605"/>
  <c r="A8606"/>
  <c r="B8606"/>
  <c r="A8607"/>
  <c r="B8607"/>
  <c r="A8608"/>
  <c r="B8608"/>
  <c r="A8609"/>
  <c r="B8609"/>
  <c r="A8610"/>
  <c r="B8610"/>
  <c r="A8611"/>
  <c r="B8611"/>
  <c r="A8612"/>
  <c r="B8612"/>
  <c r="A8613"/>
  <c r="B8613"/>
  <c r="A8614"/>
  <c r="B8614"/>
  <c r="A8615"/>
  <c r="B8615"/>
  <c r="A8616"/>
  <c r="B8616"/>
  <c r="A8617"/>
  <c r="B8617"/>
  <c r="A8618"/>
  <c r="B8618"/>
  <c r="A8619"/>
  <c r="B8619"/>
  <c r="A8620"/>
  <c r="B8620"/>
  <c r="A8621"/>
  <c r="B8621"/>
  <c r="A8622"/>
  <c r="B8622"/>
  <c r="A8623"/>
  <c r="B8623"/>
  <c r="A8624"/>
  <c r="B8624"/>
  <c r="A8625"/>
  <c r="B8625"/>
  <c r="A8626"/>
  <c r="B8626"/>
  <c r="A8627"/>
  <c r="B8627"/>
  <c r="A8628"/>
  <c r="B8628"/>
  <c r="A8629"/>
  <c r="B8629"/>
  <c r="A8630"/>
  <c r="B8630"/>
  <c r="A8631"/>
  <c r="B8631"/>
  <c r="A8632"/>
  <c r="B8632"/>
  <c r="A8633"/>
  <c r="B8633"/>
  <c r="A8634"/>
  <c r="B8634"/>
  <c r="A8635"/>
  <c r="B8635"/>
  <c r="A8636"/>
  <c r="B8636"/>
  <c r="A8637"/>
  <c r="B8637"/>
  <c r="A8638"/>
  <c r="B8638"/>
  <c r="A8639"/>
  <c r="B8639"/>
  <c r="A8640"/>
  <c r="B8640"/>
  <c r="A8641"/>
  <c r="B8641"/>
  <c r="A8642"/>
  <c r="B8642"/>
  <c r="A8643"/>
  <c r="B8643"/>
  <c r="A8644"/>
  <c r="B8644"/>
  <c r="A8645"/>
  <c r="B8645"/>
  <c r="A8646"/>
  <c r="B8646"/>
  <c r="A8647"/>
  <c r="B8647"/>
  <c r="A8648"/>
  <c r="B8648"/>
  <c r="A8649"/>
  <c r="B8649"/>
  <c r="A8650"/>
  <c r="B8650"/>
  <c r="A8651"/>
  <c r="B8651"/>
  <c r="A8652"/>
  <c r="B8652"/>
  <c r="A8653"/>
  <c r="B8653"/>
  <c r="A8654"/>
  <c r="B8654"/>
  <c r="A8655"/>
  <c r="B8655"/>
  <c r="A8656"/>
  <c r="B8656"/>
  <c r="A8657"/>
  <c r="B8657"/>
  <c r="A8658"/>
  <c r="B8658"/>
  <c r="A8659"/>
  <c r="B8659"/>
  <c r="A8660"/>
  <c r="B8660"/>
  <c r="A8661"/>
  <c r="B8661"/>
  <c r="A8662"/>
  <c r="B8662"/>
  <c r="A8663"/>
  <c r="B8663"/>
  <c r="A8664"/>
  <c r="B8664"/>
  <c r="A8665"/>
  <c r="B8665"/>
  <c r="A8666"/>
  <c r="B8666"/>
  <c r="A8667"/>
  <c r="B8667"/>
  <c r="A8668"/>
  <c r="B8668"/>
  <c r="A8669"/>
  <c r="B8669"/>
  <c r="A8670"/>
  <c r="B8670"/>
  <c r="A8671"/>
  <c r="B8671"/>
  <c r="A8672"/>
  <c r="B8672"/>
  <c r="A8673"/>
  <c r="B8673"/>
  <c r="A8674"/>
  <c r="B8674"/>
  <c r="A8675"/>
  <c r="B8675"/>
  <c r="A8676"/>
  <c r="B8676"/>
  <c r="A8677"/>
  <c r="B8677"/>
  <c r="A8678"/>
  <c r="B8678"/>
  <c r="A8679"/>
  <c r="B8679"/>
  <c r="A8680"/>
  <c r="B8680"/>
  <c r="A8681"/>
  <c r="B8681"/>
  <c r="A8682"/>
  <c r="B8682"/>
  <c r="A8683"/>
  <c r="B8683"/>
  <c r="A8684"/>
  <c r="B8684"/>
  <c r="A8685"/>
  <c r="B8685"/>
  <c r="A8686"/>
  <c r="B8686"/>
  <c r="A8687"/>
  <c r="B8687"/>
  <c r="A8688"/>
  <c r="B8688"/>
  <c r="A8689"/>
  <c r="B8689"/>
  <c r="A8690"/>
  <c r="B8690"/>
  <c r="A8691"/>
  <c r="B8691"/>
  <c r="A8692"/>
  <c r="B8692"/>
  <c r="A8693"/>
  <c r="B8693"/>
  <c r="A8694"/>
  <c r="B8694"/>
  <c r="A8695"/>
  <c r="B8695"/>
  <c r="A8696"/>
  <c r="B8696"/>
  <c r="A8697"/>
  <c r="B8697"/>
  <c r="A8698"/>
  <c r="B8698"/>
  <c r="A8699"/>
  <c r="B8699"/>
  <c r="A8700"/>
  <c r="B8700"/>
  <c r="A8701"/>
  <c r="B8701"/>
  <c r="A8702"/>
  <c r="B8702"/>
  <c r="A8703"/>
  <c r="B8703"/>
  <c r="A8704"/>
  <c r="B8704"/>
  <c r="A8705"/>
  <c r="B8705"/>
  <c r="A8706"/>
  <c r="B8706"/>
  <c r="A8707"/>
  <c r="B8707"/>
  <c r="A8708"/>
  <c r="B8708"/>
  <c r="A8709"/>
  <c r="B8709"/>
  <c r="A8710"/>
  <c r="B8710"/>
  <c r="A8711"/>
  <c r="B8711"/>
  <c r="A8712"/>
  <c r="B8712"/>
  <c r="A8713"/>
  <c r="B8713"/>
  <c r="A8714"/>
  <c r="B8714"/>
  <c r="A8715"/>
  <c r="B8715"/>
  <c r="A8716"/>
  <c r="B8716"/>
  <c r="A8717"/>
  <c r="B8717"/>
  <c r="A8718"/>
  <c r="B8718"/>
  <c r="A8719"/>
  <c r="B8719"/>
  <c r="A8720"/>
  <c r="B8720"/>
  <c r="A8721"/>
  <c r="B8721"/>
  <c r="A8722"/>
  <c r="B8722"/>
  <c r="A8723"/>
  <c r="B8723"/>
  <c r="A8724"/>
  <c r="B8724"/>
  <c r="A8725"/>
  <c r="B8725"/>
  <c r="A8726"/>
  <c r="B8726"/>
  <c r="A8727"/>
  <c r="B8727"/>
  <c r="A8728"/>
  <c r="B8728"/>
  <c r="A8729"/>
  <c r="B8729"/>
  <c r="A8730"/>
  <c r="B8730"/>
  <c r="A8731"/>
  <c r="B8731"/>
  <c r="A8732"/>
  <c r="B8732"/>
  <c r="A8733"/>
  <c r="B8733"/>
  <c r="A8734"/>
  <c r="B8734"/>
  <c r="A8735"/>
  <c r="B8735"/>
  <c r="A8736"/>
  <c r="B8736"/>
  <c r="A8737"/>
  <c r="B8737"/>
  <c r="A8738"/>
  <c r="B8738"/>
  <c r="A8739"/>
  <c r="B8739"/>
  <c r="A8740"/>
  <c r="B8740"/>
  <c r="A8741"/>
  <c r="B8741"/>
  <c r="A8742"/>
  <c r="B8742"/>
  <c r="A8743"/>
  <c r="B8743"/>
  <c r="A8744"/>
  <c r="B8744"/>
  <c r="A8745"/>
  <c r="B8745"/>
  <c r="A8746"/>
  <c r="B8746"/>
  <c r="A8747"/>
  <c r="B8747"/>
  <c r="A8748"/>
  <c r="B8748"/>
  <c r="A8749"/>
  <c r="B8749"/>
  <c r="A8750"/>
  <c r="B8750"/>
  <c r="A8751"/>
  <c r="B8751"/>
  <c r="A8752"/>
  <c r="B8752"/>
  <c r="A8753"/>
  <c r="B8753"/>
  <c r="A8754"/>
  <c r="B8754"/>
  <c r="A8755"/>
  <c r="B8755"/>
  <c r="A8756"/>
  <c r="B8756"/>
  <c r="A8757"/>
  <c r="B8757"/>
  <c r="A8758"/>
  <c r="B8758"/>
  <c r="A8759"/>
  <c r="B8759"/>
  <c r="A8760"/>
  <c r="B8760"/>
  <c r="A8761"/>
  <c r="B8761"/>
  <c r="A8762"/>
  <c r="B8762"/>
  <c r="A8763"/>
  <c r="B8763"/>
  <c r="A8764"/>
  <c r="B8764"/>
  <c r="A8765"/>
  <c r="B8765"/>
  <c r="A8766"/>
  <c r="B8766"/>
  <c r="A8767"/>
  <c r="B8767"/>
  <c r="A8768"/>
  <c r="B8768"/>
  <c r="A8769"/>
  <c r="B8769"/>
  <c r="A8770"/>
  <c r="B8770"/>
  <c r="A8771"/>
  <c r="B8771"/>
  <c r="A8772"/>
  <c r="B8772"/>
  <c r="A8773"/>
  <c r="B8773"/>
  <c r="A8774"/>
  <c r="B8774"/>
  <c r="A8775"/>
  <c r="B8775"/>
  <c r="A8776"/>
  <c r="B8776"/>
  <c r="A8777"/>
  <c r="B8777"/>
  <c r="A8778"/>
  <c r="B8778"/>
  <c r="A8779"/>
  <c r="B8779"/>
  <c r="A8780"/>
  <c r="B8780"/>
  <c r="A8781"/>
  <c r="B8781"/>
  <c r="A8782"/>
  <c r="B8782"/>
  <c r="A8783"/>
  <c r="B8783"/>
  <c r="A8784"/>
  <c r="B8784"/>
  <c r="A8785"/>
  <c r="B8785"/>
  <c r="A8786"/>
  <c r="B8786"/>
  <c r="A8787"/>
  <c r="B8787"/>
  <c r="A8788"/>
  <c r="B8788"/>
  <c r="A8789"/>
  <c r="B8789"/>
  <c r="A8790"/>
  <c r="B8790"/>
  <c r="A8791"/>
  <c r="B8791"/>
  <c r="A8792"/>
  <c r="B8792"/>
  <c r="A8793"/>
  <c r="B8793"/>
  <c r="A8794"/>
  <c r="B8794"/>
  <c r="A8795"/>
  <c r="B8795"/>
  <c r="A8796"/>
  <c r="B8796"/>
  <c r="A8797"/>
  <c r="B8797"/>
  <c r="A8798"/>
  <c r="B8798"/>
  <c r="A8799"/>
  <c r="B8799"/>
  <c r="A8800"/>
  <c r="B8800"/>
  <c r="A8801"/>
  <c r="B8801"/>
  <c r="A8802"/>
  <c r="B8802"/>
  <c r="A8803"/>
  <c r="B8803"/>
  <c r="A8804"/>
  <c r="B8804"/>
  <c r="A8805"/>
  <c r="B8805"/>
  <c r="A8806"/>
  <c r="B8806"/>
  <c r="A8807"/>
  <c r="B8807"/>
  <c r="A8808"/>
  <c r="B8808"/>
  <c r="A8809"/>
  <c r="B8809"/>
  <c r="A8810"/>
  <c r="B8810"/>
  <c r="A8811"/>
  <c r="B8811"/>
  <c r="A8812"/>
  <c r="B8812"/>
  <c r="A8813"/>
  <c r="B8813"/>
  <c r="A8814"/>
  <c r="B8814"/>
  <c r="A8815"/>
  <c r="B8815"/>
  <c r="A8816"/>
  <c r="B8816"/>
  <c r="A8817"/>
  <c r="B8817"/>
  <c r="A8818"/>
  <c r="B8818"/>
  <c r="A8819"/>
  <c r="B8819"/>
  <c r="A8820"/>
  <c r="B8820"/>
  <c r="A8821"/>
  <c r="B8821"/>
  <c r="A8822"/>
  <c r="B8822"/>
  <c r="A8823"/>
  <c r="B8823"/>
  <c r="A8824"/>
  <c r="B8824"/>
  <c r="A8825"/>
  <c r="B8825"/>
  <c r="A8826"/>
  <c r="B8826"/>
  <c r="A8827"/>
  <c r="B8827"/>
  <c r="A8828"/>
  <c r="B8828"/>
  <c r="A8829"/>
  <c r="B8829"/>
  <c r="A8830"/>
  <c r="B8830"/>
  <c r="A8831"/>
  <c r="B8831"/>
  <c r="A8832"/>
  <c r="B8832"/>
  <c r="A8833"/>
  <c r="B8833"/>
  <c r="A8834"/>
  <c r="B8834"/>
  <c r="A8835"/>
  <c r="B8835"/>
  <c r="A8836"/>
  <c r="B8836"/>
  <c r="A8837"/>
  <c r="B8837"/>
  <c r="A8838"/>
  <c r="B8838"/>
  <c r="A8839"/>
  <c r="B8839"/>
  <c r="A8840"/>
  <c r="B8840"/>
  <c r="A8841"/>
  <c r="B8841"/>
  <c r="A8842"/>
  <c r="B8842"/>
  <c r="A8843"/>
  <c r="B8843"/>
  <c r="A8844"/>
  <c r="B8844"/>
  <c r="A8845"/>
  <c r="B8845"/>
  <c r="A8846"/>
  <c r="B8846"/>
  <c r="A8847"/>
  <c r="B8847"/>
  <c r="A8848"/>
  <c r="B8848"/>
  <c r="A8849"/>
  <c r="B8849"/>
  <c r="A8850"/>
  <c r="B8850"/>
  <c r="A8851"/>
  <c r="B8851"/>
  <c r="A8852"/>
  <c r="B8852"/>
  <c r="A8853"/>
  <c r="B8853"/>
  <c r="A8854"/>
  <c r="B8854"/>
  <c r="A8855"/>
  <c r="B8855"/>
  <c r="A8856"/>
  <c r="B8856"/>
  <c r="A8857"/>
  <c r="B8857"/>
  <c r="A8858"/>
  <c r="B8858"/>
  <c r="A8859"/>
  <c r="B8859"/>
  <c r="A8860"/>
  <c r="B8860"/>
  <c r="A8861"/>
  <c r="B8861"/>
  <c r="A8862"/>
  <c r="B8862"/>
  <c r="A8863"/>
  <c r="B8863"/>
  <c r="A8864"/>
  <c r="B8864"/>
  <c r="A8865"/>
  <c r="B8865"/>
  <c r="A8866"/>
  <c r="B8866"/>
  <c r="A8867"/>
  <c r="B8867"/>
  <c r="A8868"/>
  <c r="B8868"/>
  <c r="A8869"/>
  <c r="B8869"/>
  <c r="A8870"/>
  <c r="B8870"/>
  <c r="A8871"/>
  <c r="B8871"/>
  <c r="A8872"/>
  <c r="B8872"/>
  <c r="A8873"/>
  <c r="B8873"/>
  <c r="A8874"/>
  <c r="B8874"/>
  <c r="A8875"/>
  <c r="B8875"/>
  <c r="A8876"/>
  <c r="B8876"/>
  <c r="A8877"/>
  <c r="B8877"/>
  <c r="A8878"/>
  <c r="B8878"/>
  <c r="A8879"/>
  <c r="B8879"/>
  <c r="A8880"/>
  <c r="B8880"/>
  <c r="A8881"/>
  <c r="B8881"/>
  <c r="A8882"/>
  <c r="B8882"/>
  <c r="A8883"/>
  <c r="B8883"/>
  <c r="A8884"/>
  <c r="B8884"/>
  <c r="A8885"/>
  <c r="B8885"/>
  <c r="A8886"/>
  <c r="B8886"/>
  <c r="A8887"/>
  <c r="B8887"/>
  <c r="A8888"/>
  <c r="B8888"/>
  <c r="A8889"/>
  <c r="B8889"/>
  <c r="A8890"/>
  <c r="B8890"/>
  <c r="A8891"/>
  <c r="B8891"/>
  <c r="A8892"/>
  <c r="B8892"/>
  <c r="A8893"/>
  <c r="B8893"/>
  <c r="A8894"/>
  <c r="B8894"/>
  <c r="A8895"/>
  <c r="B8895"/>
  <c r="A8896"/>
  <c r="B8896"/>
  <c r="A8897"/>
  <c r="B8897"/>
  <c r="A8898"/>
  <c r="B8898"/>
  <c r="A8899"/>
  <c r="B8899"/>
  <c r="A8900"/>
  <c r="B8900"/>
  <c r="A8901"/>
  <c r="B8901"/>
  <c r="A8902"/>
  <c r="B8902"/>
  <c r="A8903"/>
  <c r="B8903"/>
  <c r="A8904"/>
  <c r="B8904"/>
  <c r="A8905"/>
  <c r="B8905"/>
  <c r="A8906"/>
  <c r="B8906"/>
  <c r="A8907"/>
  <c r="B8907"/>
  <c r="A8908"/>
  <c r="B8908"/>
  <c r="A8909"/>
  <c r="B8909"/>
  <c r="A8910"/>
  <c r="B8910"/>
  <c r="A8911"/>
  <c r="B8911"/>
  <c r="A8912"/>
  <c r="B8912"/>
  <c r="A8913"/>
  <c r="B8913"/>
  <c r="A8914"/>
  <c r="B8914"/>
  <c r="A8915"/>
  <c r="B8915"/>
  <c r="A8916"/>
  <c r="B8916"/>
  <c r="A8917"/>
  <c r="B8917"/>
  <c r="A8918"/>
  <c r="B8918"/>
  <c r="A8919"/>
  <c r="B8919"/>
  <c r="A8920"/>
  <c r="B8920"/>
  <c r="A8921"/>
  <c r="B8921"/>
  <c r="A8922"/>
  <c r="B8922"/>
  <c r="A8923"/>
  <c r="B8923"/>
  <c r="A8924"/>
  <c r="B8924"/>
  <c r="A8925"/>
  <c r="B8925"/>
  <c r="A8926"/>
  <c r="B8926"/>
  <c r="A8927"/>
  <c r="B8927"/>
  <c r="A8928"/>
  <c r="B8928"/>
  <c r="A8929"/>
  <c r="B8929"/>
  <c r="A8930"/>
  <c r="B8930"/>
  <c r="A8931"/>
  <c r="B8931"/>
  <c r="A8932"/>
  <c r="B8932"/>
  <c r="A8933"/>
  <c r="B8933"/>
  <c r="A8934"/>
  <c r="B8934"/>
  <c r="A8935"/>
  <c r="B8935"/>
  <c r="A8936"/>
  <c r="B8936"/>
  <c r="A8937"/>
  <c r="B8937"/>
  <c r="A8938"/>
  <c r="B8938"/>
  <c r="A8939"/>
  <c r="B8939"/>
  <c r="A8940"/>
  <c r="B8940"/>
  <c r="A8941"/>
  <c r="B8941"/>
  <c r="A8942"/>
  <c r="B8942"/>
  <c r="A8943"/>
  <c r="B8943"/>
  <c r="A8944"/>
  <c r="B8944"/>
  <c r="A8945"/>
  <c r="B8945"/>
  <c r="A8946"/>
  <c r="B8946"/>
  <c r="A8947"/>
  <c r="B8947"/>
  <c r="A8948"/>
  <c r="B8948"/>
  <c r="A8949"/>
  <c r="B8949"/>
  <c r="A8950"/>
  <c r="B8950"/>
  <c r="A8951"/>
  <c r="B8951"/>
  <c r="A8952"/>
  <c r="B8952"/>
  <c r="A8953"/>
  <c r="B8953"/>
  <c r="A8954"/>
  <c r="B8954"/>
  <c r="A8955"/>
  <c r="B8955"/>
  <c r="A8956"/>
  <c r="B8956"/>
  <c r="A8957"/>
  <c r="B8957"/>
  <c r="A8958"/>
  <c r="B8958"/>
  <c r="A8959"/>
  <c r="B8959"/>
  <c r="A8960"/>
  <c r="B8960"/>
  <c r="A8961"/>
  <c r="B8961"/>
  <c r="A8962"/>
  <c r="B8962"/>
  <c r="A8963"/>
  <c r="B8963"/>
  <c r="A8964"/>
  <c r="B8964"/>
  <c r="A8965"/>
  <c r="B8965"/>
  <c r="A8966"/>
  <c r="B8966"/>
  <c r="A8967"/>
  <c r="B8967"/>
  <c r="A8968"/>
  <c r="B8968"/>
  <c r="A8969"/>
  <c r="B8969"/>
  <c r="A8970"/>
  <c r="B8970"/>
  <c r="A8971"/>
  <c r="B8971"/>
  <c r="A8972"/>
  <c r="B8972"/>
  <c r="A8973"/>
  <c r="B8973"/>
  <c r="A8974"/>
  <c r="B8974"/>
  <c r="A8975"/>
  <c r="B8975"/>
  <c r="A8976"/>
  <c r="B8976"/>
  <c r="A8977"/>
  <c r="B8977"/>
  <c r="A8978"/>
  <c r="B8978"/>
  <c r="A8979"/>
  <c r="B8979"/>
  <c r="A8980"/>
  <c r="B8980"/>
  <c r="A8981"/>
  <c r="B8981"/>
  <c r="A8982"/>
  <c r="B8982"/>
  <c r="A8983"/>
  <c r="B8983"/>
  <c r="A8984"/>
  <c r="B8984"/>
  <c r="A8985"/>
  <c r="B8985"/>
  <c r="A8986"/>
  <c r="B8986"/>
  <c r="A8987"/>
  <c r="B8987"/>
  <c r="A8988"/>
  <c r="B8988"/>
  <c r="A8989"/>
  <c r="B8989"/>
  <c r="A8990"/>
  <c r="B8990"/>
  <c r="A8991"/>
  <c r="B8991"/>
  <c r="A8992"/>
  <c r="B8992"/>
  <c r="A8993"/>
  <c r="B8993"/>
  <c r="A8994"/>
  <c r="B8994"/>
  <c r="A8995"/>
  <c r="B8995"/>
  <c r="A8996"/>
  <c r="B8996"/>
  <c r="A8997"/>
  <c r="B8997"/>
  <c r="A8998"/>
  <c r="B8998"/>
  <c r="A8999"/>
  <c r="B8999"/>
  <c r="A9000"/>
  <c r="B9000"/>
  <c r="A9001"/>
  <c r="B9001"/>
  <c r="A9002"/>
  <c r="B9002"/>
  <c r="A9003"/>
  <c r="B9003"/>
  <c r="A9004"/>
  <c r="B9004"/>
  <c r="A9005"/>
  <c r="B9005"/>
  <c r="A9006"/>
  <c r="B9006"/>
  <c r="A9007"/>
  <c r="B9007"/>
  <c r="A9008"/>
  <c r="B9008"/>
  <c r="A9009"/>
  <c r="B9009"/>
  <c r="A9010"/>
  <c r="B9010"/>
  <c r="A9011"/>
  <c r="B9011"/>
  <c r="A9012"/>
  <c r="B9012"/>
  <c r="A9013"/>
  <c r="B9013"/>
  <c r="A9014"/>
  <c r="B9014"/>
  <c r="A9015"/>
  <c r="B9015"/>
  <c r="A9016"/>
  <c r="B9016"/>
  <c r="A9017"/>
  <c r="B9017"/>
  <c r="A9018"/>
  <c r="B9018"/>
  <c r="A9019"/>
  <c r="B9019"/>
  <c r="A9020"/>
  <c r="B9020"/>
  <c r="A9021"/>
  <c r="B9021"/>
  <c r="A9022"/>
  <c r="B9022"/>
  <c r="A9023"/>
  <c r="B9023"/>
  <c r="A9024"/>
  <c r="B9024"/>
  <c r="A9025"/>
  <c r="B9025"/>
  <c r="A9026"/>
  <c r="B9026"/>
  <c r="A9027"/>
  <c r="B9027"/>
  <c r="A9028"/>
  <c r="B9028"/>
  <c r="A9029"/>
  <c r="B9029"/>
  <c r="A9030"/>
  <c r="B9030"/>
  <c r="A9031"/>
  <c r="B9031"/>
  <c r="A9032"/>
  <c r="B9032"/>
  <c r="A9033"/>
  <c r="B9033"/>
  <c r="A9034"/>
  <c r="B9034"/>
  <c r="A9035"/>
  <c r="B9035"/>
  <c r="A9036"/>
  <c r="B9036"/>
  <c r="A9037"/>
  <c r="B9037"/>
  <c r="A9038"/>
  <c r="B9038"/>
  <c r="A9039"/>
  <c r="B9039"/>
  <c r="A9040"/>
  <c r="B9040"/>
  <c r="A9041"/>
  <c r="B9041"/>
  <c r="A9042"/>
  <c r="B9042"/>
  <c r="A9043"/>
  <c r="B9043"/>
  <c r="A9044"/>
  <c r="B9044"/>
  <c r="A9045"/>
  <c r="B9045"/>
  <c r="A9046"/>
  <c r="B9046"/>
  <c r="A9047"/>
  <c r="B9047"/>
  <c r="A9048"/>
  <c r="B9048"/>
  <c r="A9049"/>
  <c r="B9049"/>
  <c r="A9050"/>
  <c r="B9050"/>
  <c r="A9051"/>
  <c r="B9051"/>
  <c r="A9052"/>
  <c r="B9052"/>
  <c r="A9053"/>
  <c r="B9053"/>
  <c r="A9054"/>
  <c r="B9054"/>
  <c r="A9055"/>
  <c r="B9055"/>
  <c r="A9056"/>
  <c r="B9056"/>
  <c r="A9057"/>
  <c r="B9057"/>
  <c r="A9058"/>
  <c r="B9058"/>
  <c r="A9059"/>
  <c r="B9059"/>
  <c r="A9060"/>
  <c r="B9060"/>
  <c r="A9061"/>
  <c r="B9061"/>
  <c r="A9062"/>
  <c r="B9062"/>
  <c r="A9063"/>
  <c r="B9063"/>
  <c r="A9064"/>
  <c r="B9064"/>
  <c r="A9065"/>
  <c r="B9065"/>
  <c r="A9066"/>
  <c r="B9066"/>
  <c r="A9067"/>
  <c r="B9067"/>
  <c r="A9068"/>
  <c r="B9068"/>
  <c r="A9069"/>
  <c r="B9069"/>
  <c r="A9070"/>
  <c r="B9070"/>
  <c r="A9071"/>
  <c r="B9071"/>
  <c r="A9072"/>
  <c r="B9072"/>
  <c r="A9073"/>
  <c r="B9073"/>
  <c r="A9074"/>
  <c r="B9074"/>
  <c r="A9075"/>
  <c r="B9075"/>
  <c r="A9076"/>
  <c r="B9076"/>
  <c r="A9077"/>
  <c r="B9077"/>
  <c r="A9078"/>
  <c r="B9078"/>
  <c r="A9079"/>
  <c r="B9079"/>
  <c r="A9080"/>
  <c r="B9080"/>
  <c r="A9081"/>
  <c r="B9081"/>
  <c r="A9082"/>
  <c r="B9082"/>
  <c r="A9083"/>
  <c r="B9083"/>
  <c r="A9084"/>
  <c r="B9084"/>
  <c r="A9085"/>
  <c r="B9085"/>
  <c r="A9086"/>
  <c r="B9086"/>
  <c r="A9087"/>
  <c r="B9087"/>
  <c r="A9088"/>
  <c r="B9088"/>
  <c r="A9089"/>
  <c r="B9089"/>
  <c r="A9090"/>
  <c r="B9090"/>
  <c r="A9091"/>
  <c r="B9091"/>
  <c r="A9092"/>
  <c r="B9092"/>
  <c r="A9093"/>
  <c r="B9093"/>
  <c r="A9094"/>
  <c r="B9094"/>
  <c r="A9095"/>
  <c r="B9095"/>
  <c r="A9096"/>
  <c r="B9096"/>
  <c r="A9097"/>
  <c r="B9097"/>
  <c r="A9098"/>
  <c r="B9098"/>
  <c r="A9099"/>
  <c r="B9099"/>
  <c r="A9100"/>
  <c r="B9100"/>
  <c r="A9101"/>
  <c r="B9101"/>
  <c r="A9102"/>
  <c r="B9102"/>
  <c r="A9103"/>
  <c r="B9103"/>
  <c r="A9104"/>
  <c r="B9104"/>
  <c r="A9105"/>
  <c r="B9105"/>
  <c r="A9106"/>
  <c r="B9106"/>
  <c r="A9107"/>
  <c r="B9107"/>
  <c r="A9108"/>
  <c r="B9108"/>
  <c r="A9109"/>
  <c r="B9109"/>
  <c r="A9110"/>
  <c r="B9110"/>
  <c r="A9111"/>
  <c r="B9111"/>
  <c r="A9112"/>
  <c r="B9112"/>
  <c r="A9113"/>
  <c r="B9113"/>
  <c r="A9114"/>
  <c r="B9114"/>
  <c r="A9115"/>
  <c r="B9115"/>
  <c r="A9116"/>
  <c r="B9116"/>
  <c r="A9117"/>
  <c r="B9117"/>
  <c r="A9118"/>
  <c r="B9118"/>
  <c r="A9119"/>
  <c r="B9119"/>
  <c r="A9120"/>
  <c r="B9120"/>
  <c r="A9121"/>
  <c r="B9121"/>
  <c r="A9122"/>
  <c r="B9122"/>
  <c r="A9123"/>
  <c r="B9123"/>
  <c r="A9124"/>
  <c r="B9124"/>
  <c r="A9125"/>
  <c r="B9125"/>
  <c r="A9126"/>
  <c r="B9126"/>
  <c r="A9127"/>
  <c r="B9127"/>
  <c r="A9128"/>
  <c r="B9128"/>
  <c r="A9129"/>
  <c r="B9129"/>
  <c r="A9130"/>
  <c r="B9130"/>
  <c r="A9131"/>
  <c r="B9131"/>
  <c r="A9132"/>
  <c r="B9132"/>
  <c r="A9133"/>
  <c r="B9133"/>
  <c r="A9134"/>
  <c r="B9134"/>
  <c r="A9135"/>
  <c r="B9135"/>
  <c r="A9136"/>
  <c r="B9136"/>
  <c r="A9137"/>
  <c r="B9137"/>
  <c r="A9138"/>
  <c r="B9138"/>
  <c r="A9139"/>
  <c r="B9139"/>
  <c r="A9140"/>
  <c r="B9140"/>
  <c r="A9141"/>
  <c r="B9141"/>
  <c r="A9142"/>
  <c r="B9142"/>
  <c r="A9143"/>
  <c r="B9143"/>
  <c r="A9144"/>
  <c r="B9144"/>
  <c r="A9145"/>
  <c r="B9145"/>
  <c r="A9146"/>
  <c r="B9146"/>
  <c r="A9147"/>
  <c r="B9147"/>
  <c r="A9148"/>
  <c r="B9148"/>
  <c r="A9149"/>
  <c r="B9149"/>
  <c r="A9150"/>
  <c r="B9150"/>
  <c r="A9151"/>
  <c r="B9151"/>
  <c r="A9152"/>
  <c r="B9152"/>
  <c r="A9153"/>
  <c r="B9153"/>
  <c r="A9154"/>
  <c r="B9154"/>
  <c r="A9155"/>
  <c r="B9155"/>
  <c r="A9156"/>
  <c r="B9156"/>
  <c r="A9157"/>
  <c r="B9157"/>
  <c r="A9158"/>
  <c r="B9158"/>
  <c r="A9159"/>
  <c r="B9159"/>
  <c r="A9160"/>
  <c r="B9160"/>
  <c r="A9161"/>
  <c r="B9161"/>
  <c r="A9162"/>
  <c r="B9162"/>
  <c r="A9163"/>
  <c r="B9163"/>
  <c r="A9164"/>
  <c r="B9164"/>
  <c r="A9165"/>
  <c r="B9165"/>
  <c r="A9166"/>
  <c r="B9166"/>
  <c r="A9167"/>
  <c r="B9167"/>
  <c r="A9168"/>
  <c r="B9168"/>
  <c r="A9169"/>
  <c r="B9169"/>
  <c r="A9170"/>
  <c r="B9170"/>
  <c r="A9171"/>
  <c r="B9171"/>
  <c r="A9172"/>
  <c r="B9172"/>
  <c r="A9173"/>
  <c r="B9173"/>
  <c r="A9174"/>
  <c r="B9174"/>
  <c r="A9175"/>
  <c r="B9175"/>
  <c r="A9176"/>
  <c r="B9176"/>
  <c r="A9177"/>
  <c r="B9177"/>
  <c r="A9178"/>
  <c r="B9178"/>
  <c r="A9179"/>
  <c r="B9179"/>
  <c r="A9180"/>
  <c r="B9180"/>
  <c r="A9181"/>
  <c r="B9181"/>
  <c r="A9182"/>
  <c r="B9182"/>
  <c r="A9183"/>
  <c r="B9183"/>
  <c r="A9184"/>
  <c r="B9184"/>
  <c r="A9185"/>
  <c r="B9185"/>
  <c r="A9186"/>
  <c r="B9186"/>
  <c r="A9187"/>
  <c r="B9187"/>
  <c r="A9188"/>
  <c r="B9188"/>
  <c r="A9189"/>
  <c r="B9189"/>
  <c r="A9190"/>
  <c r="B9190"/>
  <c r="A9191"/>
  <c r="B9191"/>
  <c r="A9192"/>
  <c r="B9192"/>
  <c r="A9193"/>
  <c r="B9193"/>
  <c r="A9194"/>
  <c r="B9194"/>
  <c r="A9195"/>
  <c r="B9195"/>
  <c r="A9196"/>
  <c r="B9196"/>
  <c r="A9197"/>
  <c r="B9197"/>
  <c r="A9198"/>
  <c r="B9198"/>
  <c r="A9199"/>
  <c r="B9199"/>
  <c r="A9200"/>
  <c r="B9200"/>
  <c r="A9201"/>
  <c r="B9201"/>
  <c r="A9202"/>
  <c r="B9202"/>
  <c r="A9203"/>
  <c r="B9203"/>
  <c r="A9204"/>
  <c r="B9204"/>
  <c r="A9205"/>
  <c r="B9205"/>
  <c r="A9206"/>
  <c r="B9206"/>
  <c r="A9207"/>
  <c r="B9207"/>
  <c r="A9208"/>
  <c r="B9208"/>
  <c r="A9209"/>
  <c r="B9209"/>
  <c r="A9210"/>
  <c r="B9210"/>
  <c r="A9211"/>
  <c r="B9211"/>
  <c r="A9212"/>
  <c r="B9212"/>
  <c r="A9213"/>
  <c r="B9213"/>
  <c r="A9214"/>
  <c r="B9214"/>
  <c r="A9215"/>
  <c r="B9215"/>
  <c r="A9216"/>
  <c r="B9216"/>
  <c r="A9217"/>
  <c r="B9217"/>
  <c r="A9218"/>
  <c r="B9218"/>
  <c r="A9219"/>
  <c r="B9219"/>
  <c r="A9220"/>
  <c r="B9220"/>
  <c r="A9221"/>
  <c r="B9221"/>
  <c r="A9222"/>
  <c r="B9222"/>
  <c r="A9223"/>
  <c r="B9223"/>
  <c r="A9224"/>
  <c r="B9224"/>
  <c r="A9225"/>
  <c r="B9225"/>
  <c r="A9226"/>
  <c r="B9226"/>
  <c r="A9227"/>
  <c r="B9227"/>
  <c r="A9228"/>
  <c r="B9228"/>
  <c r="A9229"/>
  <c r="B9229"/>
  <c r="A9230"/>
  <c r="B9230"/>
  <c r="A9231"/>
  <c r="B9231"/>
  <c r="A9232"/>
  <c r="A9233"/>
  <c r="B9233"/>
  <c r="A9234"/>
  <c r="B9234"/>
  <c r="A9235"/>
  <c r="B9235"/>
  <c r="A9236"/>
  <c r="B9236"/>
  <c r="A9237"/>
  <c r="B9237"/>
  <c r="A9238"/>
  <c r="B9238"/>
  <c r="A9239"/>
  <c r="B9239"/>
  <c r="A9240"/>
  <c r="B9240"/>
  <c r="A9241"/>
  <c r="B9241"/>
  <c r="A9242"/>
  <c r="B9242"/>
  <c r="A9243"/>
  <c r="B9243"/>
  <c r="A9244"/>
  <c r="B9244"/>
  <c r="A9245"/>
  <c r="B9245"/>
  <c r="A9246"/>
  <c r="B9246"/>
  <c r="A9247"/>
  <c r="B9247"/>
  <c r="A9248"/>
  <c r="B9248"/>
  <c r="A9249"/>
  <c r="B9249"/>
  <c r="A9250"/>
  <c r="B9250"/>
  <c r="A9251"/>
  <c r="B9251"/>
  <c r="A9252"/>
  <c r="B9252"/>
  <c r="A9253"/>
  <c r="B9253"/>
  <c r="A9254"/>
  <c r="B9254"/>
  <c r="A9255"/>
  <c r="B9255"/>
  <c r="A9256"/>
  <c r="B9256"/>
  <c r="A9257"/>
  <c r="B9257"/>
  <c r="A9258"/>
  <c r="B9258"/>
  <c r="A9259"/>
  <c r="B9259"/>
  <c r="A9260"/>
  <c r="B9260"/>
  <c r="A9261"/>
  <c r="B9261"/>
  <c r="A9262"/>
  <c r="B9262"/>
  <c r="A9263"/>
  <c r="B9263"/>
  <c r="A9264"/>
  <c r="B9264"/>
  <c r="A9265"/>
  <c r="B9265"/>
  <c r="A9266"/>
  <c r="B9266"/>
  <c r="A9267"/>
  <c r="B9267"/>
  <c r="A9268"/>
  <c r="B9268"/>
  <c r="A9269"/>
  <c r="B9269"/>
  <c r="A9270"/>
  <c r="B9270"/>
  <c r="A9271"/>
  <c r="B9271"/>
  <c r="A9272"/>
  <c r="B9272"/>
  <c r="A9273"/>
  <c r="B9273"/>
  <c r="A9274"/>
  <c r="B9274"/>
  <c r="A9275"/>
  <c r="B9275"/>
  <c r="A9276"/>
  <c r="B9276"/>
  <c r="A9277"/>
  <c r="B9277"/>
  <c r="A9278"/>
  <c r="B9278"/>
  <c r="A9279"/>
  <c r="B9279"/>
  <c r="A9280"/>
  <c r="B9280"/>
  <c r="A9281"/>
  <c r="B9281"/>
  <c r="A9282"/>
  <c r="B9282"/>
  <c r="A9283"/>
  <c r="B9283"/>
  <c r="A9284"/>
  <c r="B9284"/>
  <c r="A9285"/>
  <c r="B9285"/>
  <c r="A9286"/>
  <c r="B9286"/>
  <c r="A9287"/>
  <c r="B9287"/>
  <c r="A9288"/>
  <c r="B9288"/>
  <c r="A9289"/>
  <c r="B9289"/>
  <c r="A9290"/>
  <c r="B9290"/>
  <c r="A9291"/>
  <c r="B9291"/>
  <c r="A9292"/>
  <c r="B9292"/>
  <c r="A9293"/>
  <c r="B9293"/>
  <c r="A9294"/>
  <c r="B9294"/>
  <c r="A9295"/>
  <c r="B9295"/>
  <c r="A9296"/>
  <c r="B9296"/>
  <c r="A9297"/>
  <c r="B9297"/>
  <c r="A9298"/>
  <c r="B9298"/>
  <c r="A9299"/>
  <c r="B9299"/>
  <c r="A9300"/>
  <c r="B9300"/>
  <c r="A9301"/>
  <c r="B9301"/>
  <c r="A9302"/>
  <c r="B9302"/>
  <c r="A9303"/>
  <c r="B9303"/>
  <c r="A9304"/>
  <c r="B9304"/>
  <c r="A9305"/>
  <c r="B9305"/>
  <c r="A9306"/>
  <c r="B9306"/>
  <c r="A9307"/>
  <c r="B9307"/>
  <c r="A9308"/>
  <c r="B9308"/>
  <c r="A9309"/>
  <c r="B9309"/>
  <c r="A9310"/>
  <c r="B9310"/>
  <c r="A9311"/>
  <c r="B9311"/>
  <c r="A9312"/>
  <c r="B9312"/>
  <c r="A9313"/>
  <c r="B9313"/>
  <c r="A9314"/>
  <c r="B9314"/>
  <c r="A9315"/>
  <c r="B9315"/>
  <c r="A9316"/>
  <c r="B9316"/>
  <c r="A9317"/>
  <c r="B9317"/>
  <c r="A9318"/>
  <c r="B9318"/>
  <c r="A9319"/>
  <c r="B9319"/>
  <c r="A9320"/>
  <c r="B9320"/>
  <c r="A9321"/>
  <c r="B9321"/>
  <c r="A9322"/>
  <c r="B9322"/>
  <c r="A9323"/>
  <c r="B9323"/>
  <c r="A9324"/>
  <c r="B9324"/>
  <c r="A9325"/>
  <c r="B9325"/>
  <c r="A9326"/>
  <c r="B9326"/>
  <c r="A9327"/>
  <c r="B9327"/>
  <c r="A9328"/>
  <c r="B9328"/>
  <c r="A9329"/>
  <c r="B9329"/>
  <c r="A9330"/>
  <c r="B9330"/>
  <c r="A9331"/>
  <c r="B9331"/>
  <c r="A9332"/>
  <c r="B9332"/>
  <c r="A9333"/>
  <c r="B9333"/>
  <c r="A9334"/>
  <c r="B9334"/>
  <c r="A9335"/>
  <c r="B9335"/>
  <c r="A9336"/>
  <c r="B9336"/>
  <c r="A9337"/>
  <c r="B9337"/>
  <c r="A9338"/>
  <c r="B9338"/>
  <c r="A9339"/>
  <c r="B9339"/>
  <c r="A9340"/>
  <c r="B9340"/>
  <c r="A9341"/>
  <c r="B9341"/>
  <c r="A9342"/>
  <c r="B9342"/>
  <c r="A9343"/>
  <c r="B9343"/>
  <c r="A9344"/>
  <c r="B9344"/>
  <c r="A9345"/>
  <c r="B9345"/>
  <c r="A9346"/>
  <c r="B9346"/>
  <c r="A9347"/>
  <c r="B9347"/>
  <c r="A9348"/>
  <c r="B9348"/>
  <c r="A9349"/>
  <c r="B9349"/>
  <c r="A9350"/>
  <c r="B9350"/>
  <c r="A9351"/>
  <c r="B9351"/>
  <c r="A9352"/>
  <c r="B9352"/>
  <c r="A9353"/>
  <c r="B9353"/>
  <c r="A9354"/>
  <c r="B9354"/>
  <c r="A9355"/>
  <c r="B9355"/>
  <c r="A9356"/>
  <c r="B9356"/>
  <c r="A9357"/>
  <c r="B9357"/>
  <c r="A9358"/>
  <c r="B9358"/>
  <c r="A9359"/>
  <c r="B9359"/>
  <c r="A9360"/>
  <c r="B9360"/>
  <c r="A9361"/>
  <c r="B9361"/>
  <c r="A9362"/>
  <c r="B9362"/>
  <c r="A9363"/>
  <c r="B9363"/>
  <c r="A9364"/>
  <c r="B9364"/>
  <c r="A9365"/>
  <c r="B9365"/>
  <c r="A9366"/>
  <c r="B9366"/>
  <c r="A9367"/>
  <c r="B9367"/>
  <c r="A9368"/>
  <c r="B9368"/>
  <c r="A9369"/>
  <c r="B9369"/>
  <c r="A9370"/>
  <c r="B9370"/>
  <c r="A9371"/>
  <c r="B9371"/>
  <c r="A9372"/>
  <c r="B9372"/>
  <c r="A9373"/>
  <c r="B9373"/>
  <c r="A9374"/>
  <c r="B9374"/>
  <c r="A9375"/>
  <c r="B9375"/>
  <c r="A9376"/>
  <c r="B9376"/>
  <c r="A9377"/>
  <c r="B9377"/>
  <c r="A9378"/>
  <c r="B9378"/>
  <c r="A9379"/>
  <c r="B9379"/>
  <c r="A9380"/>
  <c r="B9380"/>
  <c r="A9381"/>
  <c r="B9381"/>
  <c r="A9382"/>
  <c r="B9382"/>
  <c r="A9383"/>
  <c r="B9383"/>
  <c r="A9384"/>
  <c r="B9384"/>
  <c r="A9385"/>
  <c r="B9385"/>
  <c r="A9386"/>
  <c r="B9386"/>
  <c r="A9387"/>
  <c r="B9387"/>
  <c r="A9388"/>
  <c r="B9388"/>
  <c r="A9389"/>
  <c r="B9389"/>
  <c r="A9390"/>
  <c r="B9390"/>
  <c r="A9391"/>
  <c r="B9391"/>
  <c r="A9392"/>
  <c r="B9392"/>
  <c r="A9393"/>
  <c r="B9393"/>
  <c r="A9394"/>
  <c r="B9394"/>
  <c r="A9395"/>
  <c r="B9395"/>
  <c r="A9396"/>
  <c r="B9396"/>
  <c r="A9397"/>
  <c r="B9397"/>
  <c r="A9398"/>
  <c r="B9398"/>
  <c r="A9399"/>
  <c r="B9399"/>
  <c r="A9400"/>
  <c r="B9400"/>
  <c r="A9401"/>
  <c r="B9401"/>
  <c r="A9402"/>
  <c r="B9402"/>
  <c r="A9403"/>
  <c r="B9403"/>
  <c r="A9404"/>
  <c r="B9404"/>
  <c r="A9405"/>
  <c r="B9405"/>
  <c r="A9406"/>
  <c r="B9406"/>
  <c r="A9407"/>
  <c r="B9407"/>
  <c r="A9408"/>
  <c r="B9408"/>
  <c r="A9409"/>
  <c r="B9409"/>
  <c r="A9410"/>
  <c r="B9410"/>
  <c r="A9411"/>
  <c r="B9411"/>
  <c r="A9412"/>
  <c r="B9412"/>
  <c r="A9413"/>
  <c r="B9413"/>
  <c r="A9414"/>
  <c r="B9414"/>
  <c r="A9415"/>
  <c r="B9415"/>
  <c r="A9416"/>
  <c r="B9416"/>
  <c r="A9417"/>
  <c r="B9417"/>
  <c r="A9418"/>
  <c r="B9418"/>
  <c r="A9419"/>
  <c r="B9419"/>
  <c r="A9420"/>
  <c r="B9420"/>
  <c r="A9421"/>
  <c r="B9421"/>
  <c r="A9422"/>
  <c r="B9422"/>
  <c r="A9423"/>
  <c r="B9423"/>
  <c r="A9424"/>
  <c r="B9424"/>
  <c r="A9425"/>
  <c r="B9425"/>
  <c r="A9426"/>
  <c r="B9426"/>
  <c r="A9427"/>
  <c r="B9427"/>
  <c r="A9428"/>
  <c r="B9428"/>
  <c r="A9429"/>
  <c r="B9429"/>
  <c r="A9430"/>
  <c r="B9430"/>
  <c r="A9431"/>
  <c r="B9431"/>
  <c r="A9432"/>
  <c r="B9432"/>
  <c r="A9433"/>
  <c r="B9433"/>
  <c r="A9434"/>
  <c r="B9434"/>
  <c r="A9435"/>
  <c r="B9435"/>
  <c r="A9436"/>
  <c r="B9436"/>
  <c r="A9437"/>
  <c r="B9437"/>
  <c r="A9438"/>
  <c r="B9438"/>
  <c r="A9439"/>
  <c r="B9439"/>
  <c r="A9440"/>
  <c r="B9440"/>
  <c r="A9441"/>
  <c r="B9441"/>
  <c r="A9442"/>
  <c r="B9442"/>
  <c r="A9443"/>
  <c r="B9443"/>
  <c r="A9444"/>
  <c r="B9444"/>
  <c r="A9445"/>
  <c r="B9445"/>
  <c r="A9446"/>
  <c r="B9446"/>
  <c r="A9447"/>
  <c r="B9447"/>
  <c r="A9448"/>
  <c r="B9448"/>
  <c r="A9449"/>
  <c r="B9449"/>
  <c r="A9450"/>
  <c r="B9450"/>
  <c r="A9451"/>
  <c r="B9451"/>
  <c r="A9452"/>
  <c r="B9452"/>
  <c r="A9453"/>
  <c r="B9453"/>
  <c r="A9454"/>
  <c r="B9454"/>
  <c r="A9455"/>
  <c r="B9455"/>
  <c r="A9456"/>
  <c r="B9456"/>
  <c r="A9457"/>
  <c r="B9457"/>
  <c r="A9458"/>
  <c r="B9458"/>
  <c r="A9459"/>
  <c r="B9459"/>
  <c r="A9460"/>
  <c r="B9460"/>
  <c r="A9461"/>
  <c r="B9461"/>
  <c r="A9462"/>
  <c r="B9462"/>
  <c r="A9463"/>
  <c r="B9463"/>
  <c r="A9464"/>
  <c r="B9464"/>
  <c r="A9465"/>
  <c r="B9465"/>
  <c r="A9466"/>
  <c r="B9466"/>
  <c r="A9467"/>
  <c r="B9467"/>
  <c r="A9468"/>
  <c r="B9468"/>
  <c r="A9469"/>
  <c r="B9469"/>
  <c r="A9470"/>
  <c r="B9470"/>
  <c r="A9471"/>
  <c r="B9471"/>
  <c r="A9472"/>
  <c r="B9472"/>
  <c r="A9473"/>
  <c r="B9473"/>
  <c r="A9474"/>
  <c r="B9474"/>
  <c r="A9475"/>
  <c r="B9475"/>
  <c r="A9476"/>
  <c r="B9476"/>
  <c r="A9477"/>
  <c r="B9477"/>
  <c r="A9478"/>
  <c r="B9478"/>
  <c r="A9479"/>
  <c r="B9479"/>
  <c r="A9480"/>
  <c r="B9480"/>
  <c r="A9481"/>
  <c r="B9481"/>
  <c r="A9482"/>
  <c r="B9482"/>
  <c r="A9483"/>
  <c r="B9483"/>
  <c r="A9484"/>
  <c r="B9484"/>
  <c r="A9485"/>
  <c r="B9485"/>
  <c r="A9486"/>
  <c r="B9486"/>
  <c r="A9487"/>
  <c r="B9487"/>
  <c r="A9488"/>
  <c r="B9488"/>
  <c r="A9489"/>
  <c r="B9489"/>
  <c r="A9490"/>
  <c r="B9490"/>
  <c r="A9491"/>
  <c r="B9491"/>
  <c r="A9492"/>
  <c r="B9492"/>
  <c r="A9493"/>
  <c r="B9493"/>
  <c r="A9494"/>
  <c r="B9494"/>
  <c r="A9495"/>
  <c r="B9495"/>
  <c r="A9496"/>
  <c r="B9496"/>
  <c r="A9497"/>
  <c r="B9497"/>
  <c r="A9498"/>
  <c r="B9498"/>
  <c r="A9499"/>
  <c r="B9499"/>
  <c r="A9500"/>
  <c r="B9500"/>
  <c r="A9501"/>
  <c r="B9501"/>
  <c r="A9502"/>
  <c r="B9502"/>
  <c r="A9503"/>
  <c r="B9503"/>
  <c r="A9504"/>
  <c r="B9504"/>
  <c r="A9505"/>
  <c r="B9505"/>
  <c r="A9506"/>
  <c r="B9506"/>
  <c r="A9507"/>
  <c r="B9507"/>
  <c r="A9508"/>
  <c r="B9508"/>
  <c r="A9509"/>
  <c r="B9509"/>
  <c r="A9510"/>
  <c r="B9510"/>
  <c r="A9511"/>
  <c r="B9511"/>
  <c r="A9512"/>
  <c r="B9512"/>
  <c r="A9513"/>
  <c r="B9513"/>
  <c r="A9514"/>
  <c r="B9514"/>
  <c r="A9515"/>
  <c r="B9515"/>
  <c r="A9516"/>
  <c r="B9516"/>
  <c r="A9517"/>
  <c r="B9517"/>
  <c r="A9518"/>
  <c r="B9518"/>
  <c r="A9519"/>
  <c r="B9519"/>
  <c r="A9520"/>
  <c r="B9520"/>
  <c r="A9521"/>
  <c r="B9521"/>
  <c r="A9522"/>
  <c r="B9522"/>
  <c r="A9523"/>
  <c r="B9523"/>
  <c r="A9524"/>
  <c r="B9524"/>
  <c r="A9525"/>
  <c r="B9525"/>
  <c r="A9526"/>
  <c r="B9526"/>
  <c r="A9527"/>
  <c r="B9527"/>
  <c r="A9528"/>
  <c r="B9528"/>
  <c r="A9529"/>
  <c r="B9529"/>
  <c r="A9530"/>
  <c r="B9530"/>
  <c r="A9531"/>
  <c r="B9531"/>
  <c r="A9532"/>
  <c r="B9532"/>
  <c r="A9533"/>
  <c r="B9533"/>
  <c r="A9534"/>
  <c r="B9534"/>
  <c r="A9535"/>
  <c r="B9535"/>
  <c r="A9536"/>
  <c r="B9536"/>
  <c r="A9537"/>
  <c r="B9537"/>
  <c r="A9538"/>
  <c r="B9538"/>
  <c r="A9539"/>
  <c r="B9539"/>
  <c r="A9540"/>
  <c r="B9540"/>
  <c r="A9541"/>
  <c r="B9541"/>
  <c r="A9542"/>
  <c r="B9542"/>
  <c r="A9543"/>
  <c r="B9543"/>
  <c r="A9544"/>
  <c r="B9544"/>
  <c r="A9545"/>
  <c r="B9545"/>
  <c r="A9546"/>
  <c r="B9546"/>
  <c r="A9547"/>
  <c r="B9547"/>
  <c r="A9548"/>
  <c r="B9548"/>
  <c r="A9549"/>
  <c r="B9549"/>
  <c r="A9550"/>
  <c r="B9550"/>
  <c r="A9551"/>
  <c r="B9551"/>
  <c r="A9552"/>
  <c r="B9552"/>
  <c r="A9553"/>
  <c r="B9553"/>
  <c r="A9554"/>
  <c r="B9554"/>
  <c r="A9555"/>
  <c r="B9555"/>
  <c r="A9556"/>
  <c r="B9556"/>
  <c r="A9557"/>
  <c r="B9557"/>
  <c r="A9558"/>
  <c r="B9558"/>
  <c r="A9559"/>
  <c r="B9559"/>
  <c r="A9560"/>
  <c r="B9560"/>
  <c r="A9561"/>
  <c r="B9561"/>
  <c r="A9562"/>
  <c r="B9562"/>
  <c r="A9563"/>
  <c r="B9563"/>
  <c r="A9564"/>
  <c r="B9564"/>
  <c r="A9565"/>
  <c r="B9565"/>
  <c r="A9566"/>
  <c r="B9566"/>
  <c r="A9567"/>
  <c r="B9567"/>
  <c r="A9568"/>
  <c r="B9568"/>
  <c r="A9569"/>
  <c r="B9569"/>
  <c r="A9570"/>
  <c r="B9570"/>
  <c r="A9571"/>
  <c r="B9571"/>
  <c r="A9572"/>
  <c r="B9572"/>
  <c r="A9573"/>
  <c r="B9573"/>
  <c r="A9574"/>
  <c r="B9574"/>
  <c r="A9575"/>
  <c r="B9575"/>
  <c r="A9576"/>
  <c r="B9576"/>
  <c r="A9577"/>
  <c r="B9577"/>
  <c r="A9578"/>
  <c r="B9578"/>
  <c r="A9579"/>
  <c r="B9579"/>
  <c r="A9580"/>
  <c r="B9580"/>
  <c r="A9581"/>
  <c r="B9581"/>
  <c r="A9582"/>
  <c r="B9582"/>
  <c r="A9583"/>
  <c r="B9583"/>
  <c r="A9584"/>
  <c r="B9584"/>
  <c r="A9585"/>
  <c r="B9585"/>
  <c r="A9586"/>
  <c r="B9586"/>
  <c r="A9587"/>
  <c r="B9587"/>
  <c r="A9588"/>
  <c r="B9588"/>
  <c r="A9589"/>
  <c r="B9589"/>
  <c r="A9590"/>
  <c r="B9590"/>
  <c r="A9591"/>
  <c r="B9591"/>
  <c r="A9592"/>
  <c r="B9592"/>
  <c r="A9593"/>
  <c r="B9593"/>
  <c r="A9594"/>
  <c r="B9594"/>
  <c r="A9595"/>
  <c r="B9595"/>
  <c r="A9596"/>
  <c r="B9596"/>
  <c r="A9597"/>
  <c r="B9597"/>
  <c r="A9598"/>
  <c r="B9598"/>
  <c r="A9599"/>
  <c r="B9599"/>
  <c r="A9600"/>
  <c r="B9600"/>
  <c r="A9601"/>
  <c r="B9601"/>
  <c r="A9602"/>
  <c r="B9602"/>
  <c r="A9603"/>
  <c r="B9603"/>
  <c r="A9604"/>
  <c r="B9604"/>
  <c r="A9605"/>
  <c r="B9605"/>
  <c r="A9606"/>
  <c r="B9606"/>
  <c r="A9607"/>
  <c r="B9607"/>
  <c r="A9608"/>
  <c r="B9608"/>
  <c r="A9609"/>
  <c r="B9609"/>
  <c r="A9610"/>
  <c r="B9610"/>
  <c r="A9611"/>
  <c r="B9611"/>
  <c r="A9612"/>
  <c r="B9612"/>
  <c r="A9613"/>
  <c r="B9613"/>
  <c r="A9614"/>
  <c r="B9614"/>
  <c r="A9615"/>
  <c r="B9615"/>
  <c r="A9616"/>
  <c r="B9616"/>
  <c r="A9617"/>
  <c r="B9617"/>
  <c r="A9618"/>
  <c r="B9618"/>
  <c r="A9619"/>
  <c r="B9619"/>
  <c r="A9620"/>
  <c r="B9620"/>
  <c r="A9621"/>
  <c r="B9621"/>
  <c r="A9622"/>
  <c r="B9622"/>
  <c r="A9623"/>
  <c r="B9623"/>
  <c r="A9624"/>
  <c r="B9624"/>
  <c r="A9625"/>
  <c r="B9625"/>
  <c r="A9626"/>
  <c r="B9626"/>
  <c r="A9627"/>
  <c r="B9627"/>
  <c r="A9628"/>
  <c r="B9628"/>
  <c r="A9629"/>
  <c r="B9629"/>
  <c r="A9630"/>
  <c r="B9630"/>
  <c r="A9631"/>
  <c r="B9631"/>
  <c r="A9632"/>
  <c r="B9632"/>
  <c r="A9633"/>
  <c r="B9633"/>
  <c r="A9634"/>
  <c r="B9634"/>
  <c r="A9635"/>
  <c r="B9635"/>
  <c r="A9636"/>
  <c r="B9636"/>
  <c r="A9637"/>
  <c r="B9637"/>
  <c r="A9638"/>
  <c r="B9638"/>
  <c r="A9639"/>
  <c r="B9639"/>
  <c r="A9640"/>
  <c r="B9640"/>
  <c r="A9641"/>
  <c r="B9641"/>
  <c r="A9642"/>
  <c r="B9642"/>
  <c r="A9643"/>
  <c r="B9643"/>
  <c r="A9644"/>
  <c r="B9644"/>
  <c r="A9645"/>
  <c r="B9645"/>
  <c r="A9646"/>
  <c r="B9646"/>
  <c r="A9647"/>
  <c r="B9647"/>
  <c r="A9648"/>
  <c r="B9648"/>
  <c r="A9649"/>
  <c r="B9649"/>
  <c r="A9650"/>
  <c r="B9650"/>
  <c r="A9651"/>
  <c r="B9651"/>
  <c r="A9652"/>
  <c r="B9652"/>
  <c r="A9653"/>
  <c r="B9653"/>
  <c r="A9654"/>
  <c r="B9654"/>
  <c r="A9655"/>
  <c r="B9655"/>
  <c r="A9656"/>
  <c r="B9656"/>
  <c r="A9657"/>
  <c r="B9657"/>
  <c r="A9658"/>
  <c r="B9658"/>
  <c r="A9659"/>
  <c r="B9659"/>
  <c r="A9660"/>
  <c r="B9660"/>
  <c r="A9661"/>
  <c r="B9661"/>
  <c r="A9662"/>
  <c r="B9662"/>
  <c r="A9663"/>
  <c r="B9663"/>
  <c r="A9664"/>
  <c r="B9664"/>
  <c r="A9665"/>
  <c r="B9665"/>
  <c r="A9666"/>
  <c r="B9666"/>
  <c r="A9667"/>
  <c r="B9667"/>
  <c r="A9668"/>
  <c r="B9668"/>
  <c r="A9669"/>
  <c r="B9669"/>
  <c r="A9670"/>
  <c r="B9670"/>
  <c r="A9671"/>
  <c r="B9671"/>
  <c r="A9672"/>
  <c r="B9672"/>
  <c r="A9673"/>
  <c r="B9673"/>
  <c r="A9674"/>
  <c r="B9674"/>
  <c r="A9675"/>
  <c r="B9675"/>
  <c r="A9676"/>
  <c r="B9676"/>
  <c r="A9677"/>
  <c r="B9677"/>
  <c r="A9678"/>
  <c r="B9678"/>
  <c r="A9679"/>
  <c r="B9679"/>
  <c r="A9680"/>
  <c r="B9680"/>
  <c r="A9681"/>
  <c r="B9681"/>
  <c r="A9682"/>
  <c r="B9682"/>
  <c r="A9683"/>
  <c r="B9683"/>
  <c r="A9684"/>
  <c r="B9684"/>
  <c r="A9685"/>
  <c r="B9685"/>
  <c r="A9686"/>
  <c r="B9686"/>
  <c r="A9687"/>
  <c r="B9687"/>
  <c r="A9688"/>
  <c r="B9688"/>
  <c r="A9689"/>
  <c r="B9689"/>
  <c r="A9690"/>
  <c r="B9690"/>
  <c r="A9691"/>
  <c r="B9691"/>
  <c r="A9692"/>
  <c r="B9692"/>
  <c r="A9693"/>
  <c r="B9693"/>
  <c r="A9694"/>
  <c r="B9694"/>
  <c r="A9695"/>
  <c r="B9695"/>
  <c r="A9696"/>
  <c r="B9696"/>
  <c r="A9697"/>
  <c r="B9697"/>
  <c r="A9698"/>
  <c r="B9698"/>
  <c r="A9699"/>
  <c r="B9699"/>
  <c r="A9700"/>
  <c r="B9700"/>
  <c r="A9701"/>
  <c r="B9701"/>
  <c r="A9702"/>
  <c r="B9702"/>
  <c r="A9703"/>
  <c r="B9703"/>
  <c r="A9704"/>
  <c r="B9704"/>
  <c r="A9705"/>
  <c r="B9705"/>
  <c r="A9706"/>
  <c r="B9706"/>
  <c r="A9707"/>
  <c r="B9707"/>
  <c r="A9708"/>
  <c r="B9708"/>
  <c r="A9709"/>
  <c r="B9709"/>
  <c r="A9710"/>
  <c r="B9710"/>
  <c r="A9711"/>
  <c r="B9711"/>
  <c r="A9712"/>
  <c r="B9712"/>
  <c r="A9713"/>
  <c r="B9713"/>
  <c r="A9714"/>
  <c r="B9714"/>
  <c r="A9715"/>
  <c r="B9715"/>
  <c r="A9716"/>
  <c r="B9716"/>
  <c r="A9717"/>
  <c r="B9717"/>
  <c r="A9718"/>
  <c r="B9718"/>
  <c r="A9719"/>
  <c r="B9719"/>
  <c r="A9720"/>
  <c r="B9720"/>
  <c r="A9721"/>
  <c r="B9721"/>
  <c r="A9722"/>
  <c r="B9722"/>
  <c r="A9723"/>
  <c r="B9723"/>
  <c r="A9724"/>
  <c r="B9724"/>
  <c r="A9725"/>
  <c r="B9725"/>
  <c r="A9726"/>
  <c r="B9726"/>
  <c r="A9727"/>
  <c r="B9727"/>
  <c r="A9728"/>
  <c r="B9728"/>
  <c r="A9729"/>
  <c r="B9729"/>
  <c r="A9730"/>
  <c r="B9730"/>
  <c r="A9731"/>
  <c r="B9731"/>
  <c r="A9732"/>
  <c r="B9732"/>
  <c r="A9733"/>
  <c r="B9733"/>
  <c r="A9734"/>
  <c r="B9734"/>
  <c r="A9735"/>
  <c r="B9735"/>
  <c r="A9736"/>
  <c r="B9736"/>
  <c r="A9737"/>
  <c r="B9737"/>
  <c r="A9738"/>
  <c r="B9738"/>
  <c r="A9739"/>
  <c r="B9739"/>
  <c r="A9740"/>
  <c r="B9740"/>
  <c r="A9741"/>
  <c r="B9741"/>
  <c r="A9742"/>
  <c r="B9742"/>
  <c r="A9743"/>
  <c r="B9743"/>
  <c r="A9744"/>
  <c r="B9744"/>
  <c r="A9745"/>
  <c r="B9745"/>
  <c r="A9746"/>
  <c r="B9746"/>
  <c r="A9747"/>
  <c r="B9747"/>
  <c r="A9748"/>
  <c r="B9748"/>
  <c r="A9749"/>
  <c r="B9749"/>
  <c r="A9750"/>
  <c r="B9750"/>
  <c r="A9751"/>
  <c r="B9751"/>
  <c r="A9752"/>
  <c r="B9752"/>
  <c r="A9753"/>
  <c r="B9753"/>
  <c r="A9754"/>
  <c r="B9754"/>
  <c r="A9755"/>
  <c r="B9755"/>
  <c r="A9756"/>
  <c r="B9756"/>
  <c r="A9757"/>
  <c r="B9757"/>
  <c r="A9758"/>
  <c r="B9758"/>
  <c r="A9759"/>
  <c r="B9759"/>
  <c r="A9760"/>
  <c r="B9760"/>
  <c r="A9761"/>
  <c r="B9761"/>
  <c r="A9762"/>
  <c r="B9762"/>
  <c r="A9763"/>
  <c r="B9763"/>
  <c r="A9764"/>
  <c r="B9764"/>
  <c r="A9765"/>
  <c r="B9765"/>
  <c r="A9766"/>
  <c r="B9766"/>
  <c r="A9767"/>
  <c r="B9767"/>
  <c r="A9768"/>
  <c r="B9768"/>
  <c r="A9769"/>
  <c r="B9769"/>
  <c r="A9770"/>
  <c r="B9770"/>
  <c r="A9771"/>
  <c r="B9771"/>
  <c r="A9772"/>
  <c r="B9772"/>
  <c r="A9773"/>
  <c r="B9773"/>
  <c r="A9774"/>
  <c r="B9774"/>
  <c r="A9775"/>
  <c r="B9775"/>
  <c r="A9776"/>
  <c r="B9776"/>
  <c r="A9777"/>
  <c r="B9777"/>
  <c r="A9778"/>
  <c r="B9778"/>
  <c r="A9779"/>
  <c r="B9779"/>
  <c r="A9780"/>
  <c r="B9780"/>
  <c r="A9781"/>
  <c r="B9781"/>
  <c r="A9782"/>
  <c r="B9782"/>
  <c r="A9783"/>
  <c r="B9783"/>
  <c r="A9784"/>
  <c r="B9784"/>
  <c r="A9785"/>
  <c r="B9785"/>
  <c r="A9786"/>
  <c r="B9786"/>
  <c r="A9787"/>
  <c r="B9787"/>
  <c r="A9788"/>
  <c r="B9788"/>
  <c r="A9789"/>
  <c r="B9789"/>
  <c r="A9790"/>
  <c r="B9790"/>
  <c r="A9791"/>
  <c r="B9791"/>
  <c r="A9792"/>
  <c r="B9792"/>
  <c r="A9793"/>
  <c r="B9793"/>
  <c r="A9794"/>
  <c r="B9794"/>
  <c r="A9795"/>
  <c r="B9795"/>
  <c r="A9796"/>
  <c r="B9796"/>
  <c r="A9797"/>
  <c r="B9797"/>
  <c r="A9798"/>
  <c r="B9798"/>
  <c r="A9799"/>
  <c r="B9799"/>
  <c r="A9800"/>
  <c r="B9800"/>
  <c r="A9801"/>
  <c r="B9801"/>
  <c r="A9802"/>
  <c r="B9802"/>
  <c r="A9803"/>
  <c r="B9803"/>
  <c r="A9804"/>
  <c r="B9804"/>
  <c r="A9805"/>
  <c r="B9805"/>
  <c r="A9806"/>
  <c r="B9806"/>
  <c r="A9807"/>
  <c r="B9807"/>
  <c r="A9808"/>
  <c r="B9808"/>
  <c r="A9809"/>
  <c r="B9809"/>
  <c r="A9810"/>
  <c r="B9810"/>
  <c r="A9811"/>
  <c r="B9811"/>
  <c r="A9812"/>
  <c r="B9812"/>
  <c r="A9813"/>
  <c r="B9813"/>
  <c r="A9814"/>
  <c r="B9814"/>
  <c r="A9815"/>
  <c r="B9815"/>
  <c r="A9816"/>
  <c r="B9816"/>
  <c r="A9817"/>
  <c r="B9817"/>
  <c r="A9818"/>
  <c r="B9818"/>
  <c r="A9819"/>
  <c r="B9819"/>
  <c r="A9820"/>
  <c r="B9820"/>
  <c r="A9821"/>
  <c r="B9821"/>
  <c r="A9822"/>
  <c r="B9822"/>
  <c r="A9823"/>
  <c r="B9823"/>
  <c r="A9824"/>
  <c r="B9824"/>
  <c r="A9825"/>
  <c r="B9825"/>
  <c r="A9826"/>
  <c r="B9826"/>
  <c r="A9827"/>
  <c r="B9827"/>
  <c r="A9828"/>
  <c r="B9828"/>
  <c r="A9829"/>
  <c r="B9829"/>
  <c r="A9830"/>
  <c r="B9830"/>
  <c r="A9831"/>
  <c r="B9831"/>
  <c r="A9832"/>
  <c r="B9832"/>
  <c r="A9833"/>
  <c r="B9833"/>
  <c r="A9834"/>
  <c r="B9834"/>
  <c r="A9835"/>
  <c r="B9835"/>
  <c r="A9836"/>
  <c r="B9836"/>
  <c r="A9837"/>
  <c r="B9837"/>
  <c r="A9838"/>
  <c r="B9838"/>
  <c r="A9839"/>
  <c r="B9839"/>
  <c r="A9840"/>
  <c r="B9840"/>
  <c r="A9841"/>
  <c r="B9841"/>
  <c r="A9842"/>
  <c r="B9842"/>
  <c r="A9843"/>
  <c r="B9843"/>
  <c r="A9844"/>
  <c r="B9844"/>
  <c r="A9845"/>
  <c r="B9845"/>
  <c r="A9846"/>
  <c r="B9846"/>
  <c r="A9847"/>
  <c r="B9847"/>
  <c r="A9848"/>
  <c r="B9848"/>
  <c r="A9849"/>
  <c r="B9849"/>
  <c r="A9850"/>
  <c r="B9850"/>
  <c r="A9851"/>
  <c r="B9851"/>
  <c r="A9852"/>
  <c r="B9852"/>
  <c r="A9853"/>
  <c r="B9853"/>
  <c r="A9854"/>
  <c r="B9854"/>
  <c r="A9855"/>
  <c r="B9855"/>
  <c r="A9856"/>
  <c r="B9856"/>
  <c r="A9857"/>
  <c r="B9857"/>
  <c r="A9858"/>
  <c r="B9858"/>
  <c r="A9859"/>
  <c r="B9859"/>
  <c r="A9860"/>
  <c r="B9860"/>
  <c r="A9861"/>
  <c r="B9861"/>
  <c r="A9862"/>
  <c r="B9862"/>
  <c r="A9863"/>
  <c r="B9863"/>
  <c r="A9864"/>
  <c r="B9864"/>
  <c r="A9865"/>
  <c r="B9865"/>
  <c r="A9866"/>
  <c r="B9866"/>
  <c r="A9867"/>
  <c r="B9867"/>
  <c r="A9868"/>
  <c r="B9868"/>
  <c r="A9869"/>
  <c r="B9869"/>
  <c r="A9870"/>
  <c r="B9870"/>
  <c r="A9871"/>
  <c r="B9871"/>
  <c r="A9872"/>
  <c r="B9872"/>
  <c r="A9873"/>
  <c r="B9873"/>
  <c r="A9874"/>
  <c r="B9874"/>
  <c r="A9875"/>
  <c r="B9875"/>
  <c r="A9876"/>
  <c r="B9876"/>
  <c r="A9877"/>
  <c r="B9877"/>
  <c r="A9878"/>
  <c r="B9878"/>
  <c r="A9879"/>
  <c r="B9879"/>
  <c r="A9880"/>
  <c r="B9880"/>
  <c r="A9881"/>
  <c r="B9881"/>
  <c r="A9882"/>
  <c r="B9882"/>
  <c r="A9883"/>
  <c r="B9883"/>
  <c r="A9884"/>
  <c r="B9884"/>
  <c r="A9885"/>
  <c r="B9885"/>
  <c r="A9886"/>
  <c r="B9886"/>
  <c r="A9887"/>
  <c r="B9887"/>
  <c r="A9888"/>
  <c r="B9888"/>
  <c r="A9889"/>
  <c r="B9889"/>
  <c r="A9890"/>
  <c r="B9890"/>
  <c r="A9891"/>
  <c r="B9891"/>
  <c r="A9892"/>
  <c r="B9892"/>
  <c r="A9893"/>
  <c r="B9893"/>
  <c r="A9894"/>
  <c r="B9894"/>
  <c r="A9895"/>
  <c r="B9895"/>
  <c r="A9896"/>
  <c r="B9896"/>
  <c r="A9897"/>
  <c r="B9897"/>
  <c r="A9898"/>
  <c r="B9898"/>
  <c r="A9899"/>
  <c r="B9899"/>
  <c r="A9900"/>
  <c r="B9900"/>
  <c r="A9901"/>
  <c r="B9901"/>
  <c r="A9902"/>
  <c r="B9902"/>
  <c r="A9903"/>
  <c r="B9903"/>
  <c r="A9904"/>
  <c r="B9904"/>
  <c r="A9905"/>
  <c r="B9905"/>
  <c r="A9906"/>
  <c r="B9906"/>
  <c r="A9907"/>
  <c r="B9907"/>
  <c r="A9908"/>
  <c r="B9908"/>
  <c r="A9909"/>
  <c r="B9909"/>
  <c r="A9910"/>
  <c r="B9910"/>
  <c r="A9911"/>
  <c r="B9911"/>
  <c r="A9912"/>
  <c r="B9912"/>
  <c r="A9913"/>
  <c r="B9913"/>
  <c r="A9914"/>
  <c r="B9914"/>
  <c r="A9915"/>
  <c r="B9915"/>
  <c r="A9916"/>
  <c r="B9916"/>
  <c r="A9917"/>
  <c r="B9917"/>
  <c r="A9918"/>
  <c r="B9918"/>
  <c r="A9919"/>
  <c r="B9919"/>
  <c r="A9920"/>
  <c r="B9920"/>
  <c r="A9921"/>
  <c r="B9921"/>
  <c r="A9922"/>
  <c r="B9922"/>
  <c r="A9923"/>
  <c r="B9923"/>
  <c r="A9924"/>
  <c r="B9924"/>
  <c r="A9925"/>
  <c r="B9925"/>
  <c r="A9926"/>
  <c r="B9926"/>
  <c r="A9927"/>
  <c r="B9927"/>
  <c r="A9928"/>
  <c r="B9928"/>
  <c r="A9929"/>
  <c r="B9929"/>
  <c r="A9930"/>
  <c r="B9930"/>
  <c r="A9931"/>
  <c r="B9931"/>
  <c r="A9932"/>
  <c r="B9932"/>
  <c r="A9933"/>
  <c r="B9933"/>
  <c r="A9934"/>
  <c r="B9934"/>
  <c r="A9935"/>
  <c r="B9935"/>
  <c r="A9936"/>
  <c r="B9936"/>
  <c r="A9937"/>
  <c r="B9937"/>
  <c r="A9938"/>
  <c r="B9938"/>
  <c r="A9939"/>
  <c r="B9939"/>
  <c r="A9940"/>
  <c r="B9940"/>
  <c r="A9941"/>
  <c r="B9941"/>
  <c r="A9942"/>
  <c r="B9942"/>
  <c r="A9943"/>
  <c r="B9943"/>
  <c r="A9944"/>
  <c r="B9944"/>
  <c r="A9945"/>
  <c r="B9945"/>
  <c r="A9946"/>
  <c r="B9946"/>
  <c r="A9947"/>
  <c r="B9947"/>
  <c r="A9948"/>
  <c r="B9948"/>
  <c r="A9949"/>
  <c r="B9949"/>
  <c r="A9950"/>
  <c r="B9950"/>
  <c r="A9951"/>
  <c r="B9951"/>
  <c r="A9952"/>
  <c r="B9952"/>
  <c r="A9953"/>
  <c r="B9953"/>
  <c r="A9954"/>
  <c r="B9954"/>
  <c r="A9955"/>
  <c r="B9955"/>
  <c r="A9956"/>
  <c r="B9956"/>
  <c r="A9957"/>
  <c r="B9957"/>
  <c r="A9958"/>
  <c r="B9958"/>
  <c r="A9959"/>
  <c r="B9959"/>
  <c r="A9960"/>
  <c r="B9960"/>
  <c r="A9961"/>
  <c r="B9961"/>
  <c r="A9962"/>
  <c r="B9962"/>
  <c r="A9963"/>
  <c r="B9963"/>
  <c r="A9964"/>
  <c r="B9964"/>
  <c r="A9965"/>
  <c r="B9965"/>
  <c r="A9966"/>
  <c r="B9966"/>
  <c r="A9967"/>
  <c r="B9967"/>
  <c r="A9968"/>
  <c r="B9968"/>
  <c r="A9969"/>
  <c r="B9969"/>
  <c r="A9970"/>
  <c r="B9970"/>
  <c r="A9971"/>
  <c r="B9971"/>
  <c r="A9972"/>
  <c r="B9972"/>
  <c r="A9973"/>
  <c r="B9973"/>
  <c r="A9974"/>
  <c r="B9974"/>
  <c r="A9975"/>
  <c r="B9975"/>
  <c r="A9976"/>
  <c r="B9976"/>
  <c r="A9977"/>
  <c r="B9977"/>
  <c r="A9978"/>
  <c r="B9978"/>
  <c r="A9979"/>
  <c r="B9979"/>
  <c r="A9980"/>
  <c r="B9980"/>
  <c r="A9981"/>
  <c r="B9981"/>
  <c r="A9982"/>
  <c r="B9982"/>
  <c r="A9983"/>
  <c r="B9983"/>
  <c r="A9984"/>
  <c r="B9984"/>
  <c r="A9985"/>
  <c r="B9985"/>
  <c r="A9986"/>
  <c r="B9986"/>
  <c r="A9987"/>
  <c r="B9987"/>
  <c r="A9988"/>
  <c r="B9988"/>
  <c r="A9989"/>
  <c r="B9989"/>
  <c r="A9990"/>
  <c r="B9990"/>
  <c r="A9991"/>
  <c r="B9991"/>
  <c r="A9992"/>
  <c r="B9992"/>
  <c r="A9993"/>
  <c r="B9993"/>
  <c r="A9994"/>
  <c r="B9994"/>
  <c r="A9995"/>
  <c r="B9995"/>
  <c r="A9996"/>
  <c r="B9996"/>
  <c r="A9997"/>
  <c r="B9997"/>
  <c r="A9998"/>
  <c r="B9998"/>
  <c r="A9999"/>
  <c r="B9999"/>
  <c r="A10000"/>
  <c r="B10000"/>
  <c r="A10001"/>
  <c r="B10001"/>
  <c r="A10002"/>
  <c r="B10002"/>
  <c r="A10003"/>
  <c r="B10003"/>
  <c r="A10004"/>
  <c r="B10004"/>
  <c r="A10005"/>
  <c r="B10005"/>
  <c r="A10006"/>
  <c r="B10006"/>
  <c r="A10007"/>
  <c r="B10007"/>
  <c r="A10008"/>
  <c r="B10008"/>
  <c r="A10009"/>
  <c r="B10009"/>
  <c r="A10010"/>
  <c r="B10010"/>
  <c r="A10011"/>
  <c r="B10011"/>
  <c r="A10012"/>
  <c r="B10012"/>
  <c r="A10013"/>
  <c r="B10013"/>
  <c r="A10014"/>
  <c r="B10014"/>
  <c r="A10015"/>
  <c r="B10015"/>
  <c r="A10016"/>
  <c r="B10016"/>
  <c r="A10017"/>
  <c r="B10017"/>
  <c r="A10018"/>
  <c r="B10018"/>
  <c r="A10019"/>
  <c r="B10019"/>
  <c r="A10020"/>
  <c r="B10020"/>
  <c r="A10021"/>
  <c r="B10021"/>
  <c r="A10022"/>
  <c r="B10022"/>
  <c r="A10023"/>
  <c r="B10023"/>
  <c r="A10024"/>
  <c r="B10024"/>
  <c r="A10025"/>
  <c r="B10025"/>
  <c r="A10026"/>
  <c r="B10026"/>
  <c r="A10027"/>
  <c r="B10027"/>
  <c r="A10028"/>
  <c r="B10028"/>
  <c r="A10029"/>
  <c r="B10029"/>
  <c r="A10030"/>
  <c r="B10030"/>
  <c r="A10031"/>
  <c r="B10031"/>
  <c r="A10032"/>
  <c r="B10032"/>
  <c r="A10033"/>
  <c r="B10033"/>
  <c r="A10034"/>
  <c r="B10034"/>
  <c r="A10035"/>
  <c r="B10035"/>
  <c r="A10036"/>
  <c r="B10036"/>
  <c r="A10037"/>
  <c r="B10037"/>
  <c r="A10038"/>
  <c r="B10038"/>
  <c r="A10039"/>
  <c r="B10039"/>
  <c r="A10040"/>
  <c r="B10040"/>
  <c r="A10041"/>
  <c r="B10041"/>
  <c r="A10042"/>
  <c r="B10042"/>
  <c r="A10043"/>
  <c r="B10043"/>
  <c r="A10044"/>
  <c r="B10044"/>
  <c r="A10045"/>
  <c r="B10045"/>
  <c r="A10046"/>
  <c r="B10046"/>
  <c r="A10047"/>
  <c r="B10047"/>
  <c r="A10048"/>
  <c r="B10048"/>
  <c r="A10049"/>
  <c r="B10049"/>
  <c r="A10050"/>
  <c r="B10050"/>
  <c r="A10051"/>
  <c r="B10051"/>
  <c r="A10052"/>
  <c r="B10052"/>
  <c r="A10053"/>
  <c r="B10053"/>
  <c r="A10054"/>
  <c r="B10054"/>
  <c r="A10055"/>
  <c r="B10055"/>
  <c r="A10056"/>
  <c r="B10056"/>
  <c r="A10057"/>
  <c r="B10057"/>
  <c r="A10058"/>
  <c r="B10058"/>
  <c r="A10059"/>
  <c r="B10059"/>
  <c r="A10060"/>
  <c r="B10060"/>
  <c r="A10061"/>
  <c r="B10061"/>
  <c r="A10062"/>
  <c r="B10062"/>
  <c r="A10063"/>
  <c r="B10063"/>
  <c r="A10064"/>
  <c r="B10064"/>
  <c r="A10065"/>
  <c r="B10065"/>
  <c r="A10066"/>
  <c r="B10066"/>
  <c r="A10067"/>
  <c r="B10067"/>
  <c r="A10068"/>
  <c r="B10068"/>
  <c r="A10069"/>
  <c r="B10069"/>
  <c r="A10070"/>
  <c r="B10070"/>
  <c r="A10071"/>
  <c r="B10071"/>
  <c r="A10072"/>
  <c r="B10072"/>
  <c r="A10073"/>
  <c r="B10073"/>
  <c r="A10074"/>
  <c r="B10074"/>
  <c r="A10075"/>
  <c r="B10075"/>
  <c r="A10076"/>
  <c r="B10076"/>
  <c r="A10077"/>
  <c r="B10077"/>
  <c r="A10078"/>
  <c r="B10078"/>
  <c r="A10079"/>
  <c r="B10079"/>
  <c r="A10080"/>
  <c r="B10080"/>
  <c r="A10081"/>
  <c r="B10081"/>
  <c r="A10082"/>
  <c r="B10082"/>
  <c r="A10083"/>
  <c r="B10083"/>
  <c r="A10084"/>
  <c r="B10084"/>
  <c r="A10085"/>
  <c r="B10085"/>
  <c r="A10086"/>
  <c r="B10086"/>
  <c r="A10087"/>
  <c r="B10087"/>
  <c r="A10088"/>
  <c r="B10088"/>
  <c r="A10089"/>
  <c r="B10089"/>
  <c r="A10090"/>
  <c r="B10090"/>
  <c r="A10091"/>
  <c r="B10091"/>
  <c r="A10092"/>
  <c r="B10092"/>
  <c r="A10093"/>
  <c r="B10093"/>
  <c r="A10094"/>
  <c r="B10094"/>
  <c r="A10095"/>
  <c r="B10095"/>
  <c r="A10096"/>
  <c r="B10096"/>
  <c r="A10097"/>
  <c r="B10097"/>
  <c r="A10098"/>
  <c r="B10098"/>
  <c r="A10099"/>
  <c r="B10099"/>
  <c r="A10100"/>
  <c r="B10100"/>
  <c r="A10101"/>
  <c r="B10101"/>
  <c r="A10102"/>
  <c r="B10102"/>
  <c r="A10103"/>
  <c r="B10103"/>
  <c r="A10104"/>
  <c r="B10104"/>
  <c r="A10105"/>
  <c r="B10105"/>
  <c r="A10106"/>
  <c r="B10106"/>
  <c r="A10107"/>
  <c r="B10107"/>
  <c r="A10108"/>
  <c r="B10108"/>
  <c r="A10109"/>
  <c r="B10109"/>
  <c r="A10110"/>
  <c r="B10110"/>
  <c r="A10111"/>
  <c r="B10111"/>
  <c r="A10112"/>
  <c r="B10112"/>
  <c r="A10113"/>
  <c r="B10113"/>
  <c r="A10114"/>
  <c r="B10114"/>
  <c r="A10115"/>
  <c r="B10115"/>
  <c r="A10116"/>
  <c r="B10116"/>
  <c r="A10117"/>
  <c r="B10117"/>
  <c r="A10118"/>
  <c r="B10118"/>
  <c r="A10119"/>
  <c r="B10119"/>
  <c r="A10120"/>
  <c r="B10120"/>
  <c r="A10121"/>
  <c r="B10121"/>
  <c r="A10122"/>
  <c r="B10122"/>
  <c r="A10123"/>
  <c r="B10123"/>
  <c r="A10124"/>
  <c r="B10124"/>
  <c r="A10125"/>
  <c r="B10125"/>
  <c r="A10126"/>
  <c r="B10126"/>
  <c r="A10127"/>
  <c r="B10127"/>
  <c r="A10128"/>
  <c r="B10128"/>
  <c r="A10129"/>
  <c r="B10129"/>
  <c r="A10130"/>
  <c r="B10130"/>
  <c r="A10131"/>
  <c r="B10131"/>
  <c r="A10132"/>
  <c r="B10132"/>
  <c r="A10133"/>
  <c r="B10133"/>
  <c r="A10134"/>
  <c r="B10134"/>
  <c r="A10135"/>
  <c r="B10135"/>
  <c r="A10136"/>
  <c r="B10136"/>
  <c r="A10137"/>
  <c r="B10137"/>
  <c r="A10138"/>
  <c r="B10138"/>
  <c r="A10139"/>
  <c r="B10139"/>
  <c r="A10140"/>
  <c r="B10140"/>
  <c r="A10141"/>
  <c r="B10141"/>
  <c r="A10142"/>
  <c r="B10142"/>
  <c r="A10143"/>
  <c r="B10143"/>
  <c r="A10144"/>
  <c r="B10144"/>
  <c r="A10145"/>
  <c r="B10145"/>
  <c r="A10146"/>
  <c r="B10146"/>
  <c r="A10147"/>
  <c r="B10147"/>
  <c r="A10148"/>
  <c r="B10148"/>
  <c r="A10149"/>
  <c r="B10149"/>
  <c r="A10150"/>
  <c r="B10150"/>
  <c r="A10151"/>
  <c r="B10151"/>
  <c r="A10152"/>
  <c r="B10152"/>
  <c r="A10153"/>
  <c r="B10153"/>
  <c r="A10154"/>
  <c r="B10154"/>
  <c r="A10155"/>
  <c r="B10155"/>
  <c r="A10156"/>
  <c r="B10156"/>
  <c r="A10157"/>
  <c r="B10157"/>
  <c r="A10158"/>
  <c r="B10158"/>
  <c r="A10159"/>
  <c r="B10159"/>
  <c r="A10160"/>
  <c r="B10160"/>
  <c r="A10161"/>
  <c r="B10161"/>
  <c r="A10162"/>
  <c r="B10162"/>
  <c r="A10163"/>
  <c r="B10163"/>
  <c r="A10164"/>
  <c r="B10164"/>
  <c r="A10165"/>
  <c r="B10165"/>
  <c r="A10166"/>
  <c r="B10166"/>
  <c r="A10167"/>
  <c r="B10167"/>
  <c r="A10168"/>
  <c r="B10168"/>
  <c r="A10169"/>
  <c r="B10169"/>
  <c r="A10170"/>
  <c r="B10170"/>
  <c r="A10171"/>
  <c r="B10171"/>
  <c r="A10172"/>
  <c r="B10172"/>
  <c r="A10173"/>
  <c r="B10173"/>
  <c r="A10174"/>
  <c r="B10174"/>
  <c r="A10175"/>
  <c r="B10175"/>
  <c r="A10176"/>
  <c r="B10176"/>
  <c r="A10177"/>
  <c r="B10177"/>
  <c r="A10178"/>
  <c r="B10178"/>
  <c r="A10179"/>
  <c r="B10179"/>
  <c r="A10180"/>
  <c r="B10180"/>
  <c r="A10181"/>
  <c r="B10181"/>
  <c r="A10182"/>
  <c r="B10182"/>
  <c r="A10183"/>
  <c r="B10183"/>
  <c r="A10184"/>
  <c r="B10184"/>
  <c r="A10185"/>
  <c r="B10185"/>
  <c r="A10186"/>
  <c r="B10186"/>
  <c r="A10187"/>
  <c r="B10187"/>
  <c r="A10188"/>
  <c r="B10188"/>
  <c r="A10189"/>
  <c r="B10189"/>
  <c r="A10190"/>
  <c r="B10190"/>
  <c r="A10191"/>
  <c r="B10191"/>
  <c r="A10192"/>
  <c r="B10192"/>
  <c r="A10193"/>
  <c r="B10193"/>
  <c r="A10194"/>
  <c r="B10194"/>
  <c r="A10195"/>
  <c r="B10195"/>
  <c r="A10196"/>
  <c r="B10196"/>
  <c r="A10197"/>
  <c r="B10197"/>
  <c r="A10198"/>
  <c r="B10198"/>
  <c r="A10199"/>
  <c r="B10199"/>
  <c r="A10200"/>
  <c r="B10200"/>
  <c r="A10201"/>
  <c r="B10201"/>
  <c r="A10202"/>
  <c r="B10202"/>
  <c r="A10203"/>
  <c r="B10203"/>
  <c r="A10204"/>
  <c r="B10204"/>
  <c r="A10205"/>
  <c r="B10205"/>
  <c r="A10206"/>
  <c r="B10206"/>
  <c r="A10207"/>
  <c r="B10207"/>
  <c r="A10208"/>
  <c r="B10208"/>
  <c r="A10209"/>
  <c r="B10209"/>
  <c r="A10210"/>
  <c r="B10210"/>
  <c r="A10211"/>
  <c r="B10211"/>
  <c r="A10212"/>
  <c r="B10212"/>
  <c r="A10213"/>
  <c r="B10213"/>
  <c r="A10214"/>
  <c r="B10214"/>
  <c r="A10215"/>
  <c r="B10215"/>
  <c r="A10216"/>
  <c r="B10216"/>
  <c r="A10217"/>
  <c r="B10217"/>
  <c r="A10218"/>
  <c r="B10218"/>
  <c r="A10219"/>
  <c r="B10219"/>
  <c r="A10220"/>
  <c r="B10220"/>
  <c r="A10221"/>
  <c r="B10221"/>
  <c r="A10222"/>
  <c r="B10222"/>
  <c r="A10223"/>
  <c r="B10223"/>
  <c r="A10224"/>
  <c r="B10224"/>
  <c r="A10225"/>
  <c r="B10225"/>
  <c r="A10226"/>
  <c r="B10226"/>
  <c r="A10227"/>
  <c r="B10227"/>
  <c r="A10228"/>
  <c r="B10228"/>
  <c r="A10229"/>
  <c r="B10229"/>
  <c r="A10230"/>
  <c r="B10230"/>
  <c r="A10231"/>
  <c r="B10231"/>
  <c r="A10232"/>
  <c r="B10232"/>
  <c r="A10233"/>
  <c r="B10233"/>
  <c r="A10234"/>
  <c r="B10234"/>
  <c r="A10235"/>
  <c r="B10235"/>
  <c r="A10236"/>
  <c r="B10236"/>
  <c r="A10237"/>
  <c r="B10237"/>
  <c r="A10238"/>
  <c r="B10238"/>
  <c r="A10239"/>
  <c r="B10239"/>
  <c r="A10240"/>
  <c r="B10240"/>
  <c r="A10241"/>
  <c r="B10241"/>
  <c r="A10242"/>
  <c r="B10242"/>
  <c r="A10243"/>
  <c r="B10243"/>
  <c r="A10244"/>
  <c r="B10244"/>
  <c r="A10245"/>
  <c r="B10245"/>
  <c r="A10246"/>
  <c r="B10246"/>
  <c r="A10247"/>
  <c r="B10247"/>
  <c r="A10248"/>
  <c r="B10248"/>
  <c r="A10249"/>
  <c r="B10249"/>
  <c r="A10250"/>
  <c r="B10250"/>
  <c r="A10251"/>
  <c r="B10251"/>
  <c r="A10252"/>
  <c r="B10252"/>
  <c r="A10253"/>
  <c r="B10253"/>
  <c r="A10254"/>
  <c r="B10254"/>
  <c r="A10255"/>
  <c r="B10255"/>
  <c r="A10256"/>
  <c r="B10256"/>
  <c r="A10257"/>
  <c r="B10257"/>
  <c r="A10258"/>
  <c r="B10258"/>
  <c r="A10259"/>
  <c r="B10259"/>
  <c r="A10260"/>
  <c r="B10260"/>
  <c r="A10261"/>
  <c r="B10261"/>
  <c r="A10262"/>
  <c r="B10262"/>
  <c r="A10263"/>
  <c r="B10263"/>
  <c r="A10264"/>
  <c r="B10264"/>
  <c r="A10265"/>
  <c r="B10265"/>
  <c r="A10266"/>
  <c r="B10266"/>
  <c r="A10267"/>
  <c r="B10267"/>
  <c r="A10268"/>
  <c r="B10268"/>
  <c r="A10269"/>
  <c r="B10269"/>
  <c r="A10270"/>
  <c r="B10270"/>
  <c r="A10271"/>
  <c r="B10271"/>
  <c r="A10272"/>
  <c r="B10272"/>
  <c r="A10273"/>
  <c r="B10273"/>
  <c r="A10274"/>
  <c r="B10274"/>
  <c r="A10275"/>
  <c r="B10275"/>
  <c r="A10276"/>
  <c r="B10276"/>
  <c r="A10277"/>
  <c r="B10277"/>
  <c r="A10278"/>
  <c r="B10278"/>
  <c r="A10279"/>
  <c r="B10279"/>
  <c r="A10280"/>
  <c r="B10280"/>
  <c r="A10281"/>
  <c r="B10281"/>
  <c r="A10282"/>
  <c r="B10282"/>
  <c r="A10283"/>
  <c r="B10283"/>
  <c r="A10284"/>
  <c r="B10284"/>
  <c r="A10285"/>
  <c r="B10285"/>
  <c r="A10286"/>
  <c r="B10286"/>
  <c r="A10287"/>
  <c r="B10287"/>
  <c r="A10288"/>
  <c r="B10288"/>
  <c r="A10289"/>
  <c r="B10289"/>
  <c r="A10290"/>
  <c r="B10290"/>
  <c r="A10291"/>
  <c r="B10291"/>
  <c r="A10292"/>
  <c r="B10292"/>
  <c r="A10293"/>
  <c r="B10293"/>
  <c r="A10294"/>
  <c r="B10294"/>
  <c r="A10295"/>
  <c r="B10295"/>
  <c r="A10296"/>
  <c r="B10296"/>
  <c r="A10297"/>
  <c r="B10297"/>
  <c r="A10298"/>
  <c r="B10298"/>
  <c r="A10299"/>
  <c r="B10299"/>
  <c r="A10300"/>
  <c r="B10300"/>
  <c r="A10301"/>
  <c r="B10301"/>
  <c r="A10302"/>
  <c r="B10302"/>
  <c r="A10303"/>
  <c r="B10303"/>
  <c r="A10304"/>
  <c r="B10304"/>
  <c r="A10305"/>
  <c r="B10305"/>
  <c r="A10306"/>
  <c r="B10306"/>
  <c r="A10307"/>
  <c r="B10307"/>
  <c r="A10308"/>
  <c r="B10308"/>
  <c r="A10309"/>
  <c r="B10309"/>
  <c r="A10310"/>
  <c r="B10310"/>
  <c r="A10311"/>
  <c r="B10311"/>
  <c r="A10312"/>
  <c r="B10312"/>
  <c r="A10313"/>
  <c r="B10313"/>
  <c r="A10314"/>
  <c r="B10314"/>
  <c r="A10315"/>
  <c r="B10315"/>
  <c r="A10316"/>
  <c r="B10316"/>
  <c r="A10317"/>
  <c r="B10317"/>
  <c r="A10318"/>
  <c r="B10318"/>
  <c r="A10319"/>
  <c r="B10319"/>
  <c r="A10320"/>
  <c r="B10320"/>
  <c r="A10321"/>
  <c r="B10321"/>
  <c r="A10322"/>
  <c r="B10322"/>
  <c r="A10323"/>
  <c r="B10323"/>
  <c r="A10324"/>
  <c r="B10324"/>
  <c r="A10325"/>
  <c r="B10325"/>
  <c r="A10326"/>
  <c r="B10326"/>
  <c r="A10327"/>
  <c r="B10327"/>
  <c r="A10328"/>
  <c r="B10328"/>
  <c r="A10329"/>
  <c r="B10329"/>
  <c r="A10330"/>
  <c r="B10330"/>
  <c r="A10331"/>
  <c r="B10331"/>
  <c r="A10332"/>
  <c r="B10332"/>
  <c r="A10333"/>
  <c r="B10333"/>
  <c r="A10334"/>
  <c r="B10334"/>
  <c r="A10335"/>
  <c r="B10335"/>
  <c r="A10336"/>
  <c r="B10336"/>
  <c r="A10337"/>
  <c r="B10337"/>
  <c r="A10338"/>
  <c r="B10338"/>
  <c r="A10339"/>
  <c r="B10339"/>
  <c r="A10340"/>
  <c r="B10340"/>
  <c r="A10341"/>
  <c r="B10341"/>
  <c r="A10342"/>
  <c r="B10342"/>
  <c r="A10343"/>
  <c r="B10343"/>
  <c r="A10344"/>
  <c r="B10344"/>
  <c r="A10345"/>
  <c r="B10345"/>
  <c r="A10346"/>
  <c r="B10346"/>
  <c r="A10347"/>
  <c r="B10347"/>
  <c r="A10348"/>
  <c r="B10348"/>
  <c r="A10349"/>
  <c r="B10349"/>
  <c r="A10350"/>
  <c r="B10350"/>
  <c r="A10351"/>
  <c r="B10351"/>
  <c r="A10352"/>
  <c r="B10352"/>
  <c r="A10353"/>
  <c r="B10353"/>
  <c r="A10354"/>
  <c r="B10354"/>
  <c r="A10355"/>
  <c r="B10355"/>
  <c r="A10356"/>
  <c r="B10356"/>
  <c r="A10357"/>
  <c r="B10357"/>
  <c r="A10358"/>
  <c r="B10358"/>
  <c r="A10359"/>
  <c r="B10359"/>
  <c r="A10360"/>
  <c r="B10360"/>
  <c r="A10361"/>
  <c r="B10361"/>
  <c r="A10362"/>
  <c r="B10362"/>
  <c r="A10363"/>
  <c r="B10363"/>
  <c r="A10364"/>
  <c r="B10364"/>
  <c r="A10365"/>
  <c r="B10365"/>
  <c r="A10366"/>
  <c r="B10366"/>
  <c r="A10367"/>
  <c r="B10367"/>
  <c r="A10368"/>
  <c r="B10368"/>
  <c r="A10369"/>
  <c r="B10369"/>
  <c r="A10370"/>
  <c r="B10370"/>
  <c r="A10371"/>
  <c r="B10371"/>
  <c r="A10372"/>
  <c r="B10372"/>
  <c r="A10373"/>
  <c r="B10373"/>
  <c r="A10374"/>
  <c r="B10374"/>
  <c r="A10375"/>
  <c r="B10375"/>
  <c r="A10376"/>
  <c r="B10376"/>
  <c r="A10377"/>
  <c r="B10377"/>
  <c r="A10378"/>
  <c r="B10378"/>
  <c r="A10379"/>
  <c r="B10379"/>
  <c r="A10380"/>
  <c r="B10380"/>
  <c r="A10381"/>
  <c r="B10381"/>
  <c r="A10382"/>
  <c r="B10382"/>
  <c r="A10383"/>
  <c r="B10383"/>
  <c r="A10384"/>
  <c r="B10384"/>
  <c r="A10385"/>
  <c r="B10385"/>
  <c r="A10386"/>
  <c r="B10386"/>
  <c r="A10387"/>
  <c r="B10387"/>
  <c r="A10388"/>
  <c r="B10388"/>
  <c r="A10389"/>
  <c r="B10389"/>
  <c r="A10390"/>
  <c r="B10390"/>
  <c r="A10391"/>
  <c r="B10391"/>
  <c r="A10392"/>
  <c r="B10392"/>
  <c r="A10393"/>
  <c r="B10393"/>
  <c r="A10394"/>
  <c r="B10394"/>
  <c r="A10395"/>
  <c r="B10395"/>
  <c r="A10396"/>
  <c r="B10396"/>
  <c r="A10397"/>
  <c r="B10397"/>
  <c r="A10398"/>
  <c r="B10398"/>
  <c r="A10399"/>
  <c r="B10399"/>
  <c r="A10400"/>
  <c r="B10400"/>
  <c r="A10401"/>
  <c r="B10401"/>
  <c r="A10402"/>
  <c r="B10402"/>
  <c r="A10403"/>
  <c r="B10403"/>
  <c r="A10404"/>
  <c r="B10404"/>
  <c r="A10405"/>
  <c r="B10405"/>
  <c r="A10406"/>
  <c r="B10406"/>
  <c r="A10407"/>
  <c r="B10407"/>
  <c r="A10408"/>
  <c r="B10408"/>
  <c r="A10409"/>
  <c r="B10409"/>
  <c r="A10410"/>
  <c r="B10410"/>
  <c r="A10411"/>
  <c r="B10411"/>
  <c r="A10412"/>
  <c r="B10412"/>
  <c r="A10413"/>
  <c r="B10413"/>
  <c r="A10414"/>
  <c r="B10414"/>
  <c r="A10415"/>
  <c r="B10415"/>
  <c r="A10416"/>
  <c r="B10416"/>
  <c r="A10417"/>
  <c r="B10417"/>
  <c r="A10418"/>
  <c r="B10418"/>
  <c r="A10419"/>
  <c r="B10419"/>
  <c r="A10420"/>
  <c r="B10420"/>
  <c r="A10421"/>
  <c r="B10421"/>
  <c r="A10422"/>
  <c r="B10422"/>
  <c r="A10423"/>
  <c r="B10423"/>
  <c r="A10424"/>
  <c r="B10424"/>
  <c r="A10425"/>
  <c r="B10425"/>
  <c r="A10426"/>
  <c r="B10426"/>
  <c r="A10427"/>
  <c r="B10427"/>
  <c r="A10428"/>
  <c r="B10428"/>
  <c r="A10429"/>
  <c r="B10429"/>
  <c r="A10430"/>
  <c r="B10430"/>
  <c r="A10431"/>
  <c r="B10431"/>
  <c r="A10432"/>
  <c r="B10432"/>
</calcChain>
</file>

<file path=xl/sharedStrings.xml><?xml version="1.0" encoding="utf-8"?>
<sst xmlns="http://schemas.openxmlformats.org/spreadsheetml/2006/main" count="8" uniqueCount="8">
  <si>
    <t>Class Fisc</t>
  </si>
  <si>
    <t>Descrição</t>
  </si>
  <si>
    <t>Contra as seguintes enfermidades: d</t>
  </si>
  <si>
    <t>Nas seguintes medidas: 4,00-15; 4,0</t>
  </si>
  <si>
    <t>Outras máquinas e aparelhos: Cábrea</t>
  </si>
  <si>
    <t>Outros monitores:</t>
  </si>
  <si>
    <t xml:space="preserve"> </t>
  </si>
  <si>
    <t>IPI Percentage</t>
  </si>
</sst>
</file>

<file path=xl/styles.xml><?xml version="1.0" encoding="utf-8"?>
<styleSheet xmlns="http://schemas.openxmlformats.org/spreadsheetml/2006/main">
  <numFmts count="1">
    <numFmt numFmtId="164" formatCode="[hh]:mm:ss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0" xfId="0" applyFont="1" applyFill="1" applyBorder="1"/>
    <xf numFmtId="0" fontId="16" fillId="33" borderId="17" xfId="0" applyFont="1" applyFill="1" applyBorder="1"/>
    <xf numFmtId="164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0433"/>
  <sheetViews>
    <sheetView tabSelected="1" topLeftCell="A5423" zoomScale="145" zoomScaleNormal="145" workbookViewId="0">
      <selection activeCell="A5436" sqref="A5436"/>
    </sheetView>
  </sheetViews>
  <sheetFormatPr defaultRowHeight="14.4"/>
  <cols>
    <col min="1" max="1" width="17.6640625" bestFit="1" customWidth="1"/>
    <col min="2" max="2" width="40.77734375" bestFit="1" customWidth="1"/>
    <col min="3" max="3" width="12.77734375" bestFit="1" customWidth="1"/>
  </cols>
  <sheetData>
    <row r="1" spans="1:3" ht="15" thickBot="1">
      <c r="A1" s="7" t="s">
        <v>0</v>
      </c>
      <c r="B1" s="8" t="s">
        <v>1</v>
      </c>
      <c r="C1" s="8" t="s">
        <v>7</v>
      </c>
    </row>
    <row r="2" spans="1:3">
      <c r="A2" s="5" t="str">
        <f>"0000.00.00"</f>
        <v>0000.00.00</v>
      </c>
      <c r="B2" s="6" t="str">
        <f>"outros"</f>
        <v>outros</v>
      </c>
    </row>
    <row r="3" spans="1:3">
      <c r="A3" s="1" t="str">
        <f>"0101.21.00"</f>
        <v>0101.21.00</v>
      </c>
      <c r="B3" s="2" t="str">
        <f>"Reprodutores de raca pura"</f>
        <v>Reprodutores de raca pura</v>
      </c>
    </row>
    <row r="4" spans="1:3">
      <c r="A4" s="1" t="str">
        <f>"0101.29.00"</f>
        <v>0101.29.00</v>
      </c>
      <c r="B4" s="2" t="str">
        <f>"Outros"</f>
        <v>Outros</v>
      </c>
    </row>
    <row r="5" spans="1:3">
      <c r="A5" s="1" t="str">
        <f>"0101.30.00"</f>
        <v>0101.30.00</v>
      </c>
      <c r="B5" s="2" t="str">
        <f>"Asininos"</f>
        <v>Asininos</v>
      </c>
    </row>
    <row r="6" spans="1:3">
      <c r="A6" s="1" t="str">
        <f>"0101.90.00"</f>
        <v>0101.90.00</v>
      </c>
      <c r="B6" s="2" t="str">
        <f>"Outros"</f>
        <v>Outros</v>
      </c>
    </row>
    <row r="7" spans="1:3">
      <c r="A7" s="1" t="str">
        <f>"0102.21.10"</f>
        <v>0102.21.10</v>
      </c>
      <c r="B7" s="2" t="str">
        <f>"Prenhes ou com cria ao pe"</f>
        <v>Prenhes ou com cria ao pe</v>
      </c>
    </row>
    <row r="8" spans="1:3">
      <c r="A8" s="1" t="str">
        <f>"0102.21.90"</f>
        <v>0102.21.90</v>
      </c>
      <c r="B8" s="2" t="str">
        <f>"Outros"</f>
        <v>Outros</v>
      </c>
    </row>
    <row r="9" spans="1:3">
      <c r="A9" s="1" t="str">
        <f>"0102.29.11"</f>
        <v>0102.29.11</v>
      </c>
      <c r="B9" s="2" t="str">
        <f>"Prenhes ou com cria ao pe"</f>
        <v>Prenhes ou com cria ao pe</v>
      </c>
    </row>
    <row r="10" spans="1:3">
      <c r="A10" s="1" t="str">
        <f>"0102.29.19"</f>
        <v>0102.29.19</v>
      </c>
      <c r="B10" s="2" t="str">
        <f>"Outros"</f>
        <v>Outros</v>
      </c>
    </row>
    <row r="11" spans="1:3">
      <c r="A11" s="1" t="str">
        <f>"0102.29.90"</f>
        <v>0102.29.90</v>
      </c>
      <c r="B11" s="2" t="str">
        <f>"Outros"</f>
        <v>Outros</v>
      </c>
    </row>
    <row r="12" spans="1:3">
      <c r="A12" s="1" t="str">
        <f>"0102.31.10"</f>
        <v>0102.31.10</v>
      </c>
      <c r="B12" s="2" t="str">
        <f>"Prenhes ou com cria ao pe"</f>
        <v>Prenhes ou com cria ao pe</v>
      </c>
    </row>
    <row r="13" spans="1:3">
      <c r="A13" s="1" t="str">
        <f>"0102.31.90"</f>
        <v>0102.31.90</v>
      </c>
      <c r="B13" s="2" t="str">
        <f>"Outros"</f>
        <v>Outros</v>
      </c>
    </row>
    <row r="14" spans="1:3">
      <c r="A14" s="1" t="str">
        <f>"0102.39.11"</f>
        <v>0102.39.11</v>
      </c>
      <c r="B14" s="2" t="str">
        <f>"Prenhes ou com cria ao pe"</f>
        <v>Prenhes ou com cria ao pe</v>
      </c>
    </row>
    <row r="15" spans="1:3">
      <c r="A15" s="1" t="str">
        <f>"0102.39.19"</f>
        <v>0102.39.19</v>
      </c>
      <c r="B15" s="2" t="str">
        <f>"Outros"</f>
        <v>Outros</v>
      </c>
    </row>
    <row r="16" spans="1:3">
      <c r="A16" s="1" t="str">
        <f>"0102.39.90"</f>
        <v>0102.39.90</v>
      </c>
      <c r="B16" s="2" t="str">
        <f>"Outros"</f>
        <v>Outros</v>
      </c>
    </row>
    <row r="17" spans="1:2">
      <c r="A17" s="1" t="str">
        <f>"0102.90.00"</f>
        <v>0102.90.00</v>
      </c>
      <c r="B17" s="2" t="str">
        <f>"Outros"</f>
        <v>Outros</v>
      </c>
    </row>
    <row r="18" spans="1:2">
      <c r="A18" s="1" t="str">
        <f>"0103.10.00"</f>
        <v>0103.10.00</v>
      </c>
      <c r="B18" s="2" t="str">
        <f>"Reprodutores de raca pura"</f>
        <v>Reprodutores de raca pura</v>
      </c>
    </row>
    <row r="19" spans="1:2">
      <c r="A19" s="1" t="str">
        <f>"0103.91.00"</f>
        <v>0103.91.00</v>
      </c>
      <c r="B19" s="2" t="str">
        <f>"De peso inferior a 50 kg"</f>
        <v>De peso inferior a 50 kg</v>
      </c>
    </row>
    <row r="20" spans="1:2">
      <c r="A20" s="1" t="str">
        <f>"0103.92.00"</f>
        <v>0103.92.00</v>
      </c>
      <c r="B20" s="2" t="str">
        <f>"De peso igual ou superior a 50 kg"</f>
        <v>De peso igual ou superior a 50 kg</v>
      </c>
    </row>
    <row r="21" spans="1:2">
      <c r="A21" s="1" t="str">
        <f>"0104.10.11"</f>
        <v>0104.10.11</v>
      </c>
      <c r="B21" s="2" t="str">
        <f>"Prenhes ou com cria ao pe"</f>
        <v>Prenhes ou com cria ao pe</v>
      </c>
    </row>
    <row r="22" spans="1:2">
      <c r="A22" s="1" t="str">
        <f>"0104.10.19"</f>
        <v>0104.10.19</v>
      </c>
      <c r="B22" s="2" t="str">
        <f>"Outros"</f>
        <v>Outros</v>
      </c>
    </row>
    <row r="23" spans="1:2">
      <c r="A23" s="1" t="str">
        <f>"0104.10.90"</f>
        <v>0104.10.90</v>
      </c>
      <c r="B23" s="2" t="str">
        <f>"Outros"</f>
        <v>Outros</v>
      </c>
    </row>
    <row r="24" spans="1:2">
      <c r="A24" s="1" t="str">
        <f>"0104.20.10"</f>
        <v>0104.20.10</v>
      </c>
      <c r="B24" s="2" t="str">
        <f>"Reprodutores de raca pura"</f>
        <v>Reprodutores de raca pura</v>
      </c>
    </row>
    <row r="25" spans="1:2">
      <c r="A25" s="1" t="str">
        <f>"0104.20.90"</f>
        <v>0104.20.90</v>
      </c>
      <c r="B25" s="2" t="str">
        <f>"Outros"</f>
        <v>Outros</v>
      </c>
    </row>
    <row r="26" spans="1:2">
      <c r="A26" s="1" t="str">
        <f>"0105.11.10"</f>
        <v>0105.11.10</v>
      </c>
      <c r="B26" s="2" t="str">
        <f>"De linhas puras ou hibridas, para r"</f>
        <v>De linhas puras ou hibridas, para r</v>
      </c>
    </row>
    <row r="27" spans="1:2">
      <c r="A27" s="1" t="str">
        <f>"0105.11.90"</f>
        <v>0105.11.90</v>
      </c>
      <c r="B27" s="2" t="str">
        <f>"Outros"</f>
        <v>Outros</v>
      </c>
    </row>
    <row r="28" spans="1:2">
      <c r="A28" s="1" t="str">
        <f>"0105.12.00"</f>
        <v>0105.12.00</v>
      </c>
      <c r="B28" s="2" t="str">
        <f>"Peruas e perus"</f>
        <v>Peruas e perus</v>
      </c>
    </row>
    <row r="29" spans="1:2">
      <c r="A29" s="1" t="str">
        <f>"0105.13.00"</f>
        <v>0105.13.00</v>
      </c>
      <c r="B29" s="2" t="str">
        <f>"Patos"</f>
        <v>Patos</v>
      </c>
    </row>
    <row r="30" spans="1:2">
      <c r="A30" s="1" t="str">
        <f>"0105.14.00"</f>
        <v>0105.14.00</v>
      </c>
      <c r="B30" s="2" t="str">
        <f>"Gansos"</f>
        <v>Gansos</v>
      </c>
    </row>
    <row r="31" spans="1:2">
      <c r="A31" s="1" t="str">
        <f>"0105.15.00"</f>
        <v>0105.15.00</v>
      </c>
      <c r="B31" s="2" t="str">
        <f>"Galinhas-d'angola (pintadas)"</f>
        <v>Galinhas-d'angola (pintadas)</v>
      </c>
    </row>
    <row r="32" spans="1:2">
      <c r="A32" s="1" t="str">
        <f>"0105.94.00"</f>
        <v>0105.94.00</v>
      </c>
      <c r="B32" s="2" t="str">
        <f>"Aves da especie Gallus domesticus"</f>
        <v>Aves da especie Gallus domesticus</v>
      </c>
    </row>
    <row r="33" spans="1:2">
      <c r="A33" s="1" t="str">
        <f>"0105.99.00"</f>
        <v>0105.99.00</v>
      </c>
      <c r="B33" s="2" t="str">
        <f>"Outros"</f>
        <v>Outros</v>
      </c>
    </row>
    <row r="34" spans="1:2">
      <c r="A34" s="1" t="str">
        <f>"0106.11.00"</f>
        <v>0106.11.00</v>
      </c>
      <c r="B34" s="2" t="str">
        <f>"Primatas"</f>
        <v>Primatas</v>
      </c>
    </row>
    <row r="35" spans="1:2">
      <c r="A35" s="1" t="str">
        <f>"0106.12.00"</f>
        <v>0106.12.00</v>
      </c>
      <c r="B35" s="2" t="str">
        <f>"Baleias, golfinhos e botos (mamifer"</f>
        <v>Baleias, golfinhos e botos (mamifer</v>
      </c>
    </row>
    <row r="36" spans="1:2">
      <c r="A36" s="1" t="str">
        <f>"0106.13.00"</f>
        <v>0106.13.00</v>
      </c>
      <c r="B36" s="2" t="str">
        <f>"Camelos e outros camelideos (Cameli"</f>
        <v>Camelos e outros camelideos (Cameli</v>
      </c>
    </row>
    <row r="37" spans="1:2">
      <c r="A37" s="1" t="str">
        <f>"0106.14.00"</f>
        <v>0106.14.00</v>
      </c>
      <c r="B37" s="2" t="str">
        <f>"Coelhos e lebres"</f>
        <v>Coelhos e lebres</v>
      </c>
    </row>
    <row r="38" spans="1:2">
      <c r="A38" s="1" t="str">
        <f>"0106.19.00"</f>
        <v>0106.19.00</v>
      </c>
      <c r="B38" s="2" t="str">
        <f>"Outros"</f>
        <v>Outros</v>
      </c>
    </row>
    <row r="39" spans="1:2">
      <c r="A39" s="1" t="str">
        <f>"0106.20.00"</f>
        <v>0106.20.00</v>
      </c>
      <c r="B39" s="2" t="str">
        <f>"Repteis (incluindo as serpentes e a"</f>
        <v>Repteis (incluindo as serpentes e a</v>
      </c>
    </row>
    <row r="40" spans="1:2">
      <c r="A40" s="1" t="str">
        <f>"0106.31.00"</f>
        <v>0106.31.00</v>
      </c>
      <c r="B40" s="2" t="str">
        <f>"Aves de rapina"</f>
        <v>Aves de rapina</v>
      </c>
    </row>
    <row r="41" spans="1:2">
      <c r="A41" s="1" t="str">
        <f>"0106.32.00"</f>
        <v>0106.32.00</v>
      </c>
      <c r="B41" s="2" t="str">
        <f>"Psitaciformes (incluindo os papagai"</f>
        <v>Psitaciformes (incluindo os papagai</v>
      </c>
    </row>
    <row r="42" spans="1:2">
      <c r="A42" s="1" t="str">
        <f>"0106.33.10"</f>
        <v>0106.33.10</v>
      </c>
      <c r="B42" s="2" t="str">
        <f>"Avestruzes (Struthio camelus), para"</f>
        <v>Avestruzes (Struthio camelus), para</v>
      </c>
    </row>
    <row r="43" spans="1:2">
      <c r="A43" s="1" t="str">
        <f>"0106.33.90"</f>
        <v>0106.33.90</v>
      </c>
      <c r="B43" s="2" t="str">
        <f>"Outros"</f>
        <v>Outros</v>
      </c>
    </row>
    <row r="44" spans="1:2">
      <c r="A44" s="1" t="str">
        <f>"0106.39.00"</f>
        <v>0106.39.00</v>
      </c>
      <c r="B44" s="2" t="str">
        <f>"Outras"</f>
        <v>Outras</v>
      </c>
    </row>
    <row r="45" spans="1:2">
      <c r="A45" s="1" t="str">
        <f>"0106.41.00"</f>
        <v>0106.41.00</v>
      </c>
      <c r="B45" s="2" t="str">
        <f>"Abelhas"</f>
        <v>Abelhas</v>
      </c>
    </row>
    <row r="46" spans="1:2">
      <c r="A46" s="1" t="str">
        <f>"0106.49.00"</f>
        <v>0106.49.00</v>
      </c>
      <c r="B46" s="2" t="str">
        <f>"Outros"</f>
        <v>Outros</v>
      </c>
    </row>
    <row r="47" spans="1:2">
      <c r="A47" s="1" t="str">
        <f>"0106.90.00"</f>
        <v>0106.90.00</v>
      </c>
      <c r="B47" s="2" t="str">
        <f>"Outros"</f>
        <v>Outros</v>
      </c>
    </row>
    <row r="48" spans="1:2">
      <c r="A48" s="1" t="str">
        <f>"0201.10.00"</f>
        <v>0201.10.00</v>
      </c>
      <c r="B48" s="2" t="str">
        <f>"Carcacas e meias-carcacas"</f>
        <v>Carcacas e meias-carcacas</v>
      </c>
    </row>
    <row r="49" spans="1:2">
      <c r="A49" s="1" t="str">
        <f>"0201.20.10"</f>
        <v>0201.20.10</v>
      </c>
      <c r="B49" s="2" t="str">
        <f>"Quartos dianteiros"</f>
        <v>Quartos dianteiros</v>
      </c>
    </row>
    <row r="50" spans="1:2">
      <c r="A50" s="1" t="str">
        <f>"0201.20.20"</f>
        <v>0201.20.20</v>
      </c>
      <c r="B50" s="2" t="str">
        <f>"Quartos traseiros"</f>
        <v>Quartos traseiros</v>
      </c>
    </row>
    <row r="51" spans="1:2">
      <c r="A51" s="1" t="str">
        <f>"0201.20.90"</f>
        <v>0201.20.90</v>
      </c>
      <c r="B51" s="2" t="str">
        <f>"Outras"</f>
        <v>Outras</v>
      </c>
    </row>
    <row r="52" spans="1:2">
      <c r="A52" s="1" t="str">
        <f>"0201.30.00"</f>
        <v>0201.30.00</v>
      </c>
      <c r="B52" s="2" t="str">
        <f>"Desossadas"</f>
        <v>Desossadas</v>
      </c>
    </row>
    <row r="53" spans="1:2">
      <c r="A53" s="1" t="str">
        <f>"0202.10.00"</f>
        <v>0202.10.00</v>
      </c>
      <c r="B53" s="2" t="str">
        <f>"Carcacas e meias-carcacas"</f>
        <v>Carcacas e meias-carcacas</v>
      </c>
    </row>
    <row r="54" spans="1:2">
      <c r="A54" s="1" t="str">
        <f>"0202.20.10"</f>
        <v>0202.20.10</v>
      </c>
      <c r="B54" s="2" t="str">
        <f>"Quartos dianteiros"</f>
        <v>Quartos dianteiros</v>
      </c>
    </row>
    <row r="55" spans="1:2">
      <c r="A55" s="1" t="str">
        <f>"0202.20.20"</f>
        <v>0202.20.20</v>
      </c>
      <c r="B55" s="2" t="str">
        <f>"Quartos traseiros"</f>
        <v>Quartos traseiros</v>
      </c>
    </row>
    <row r="56" spans="1:2">
      <c r="A56" s="1" t="str">
        <f>"0202.20.90"</f>
        <v>0202.20.90</v>
      </c>
      <c r="B56" s="2" t="str">
        <f>"Outras"</f>
        <v>Outras</v>
      </c>
    </row>
    <row r="57" spans="1:2">
      <c r="A57" s="1" t="str">
        <f>"0202.30.00"</f>
        <v>0202.30.00</v>
      </c>
      <c r="B57" s="2" t="str">
        <f>"Desossadas"</f>
        <v>Desossadas</v>
      </c>
    </row>
    <row r="58" spans="1:2">
      <c r="A58" s="1" t="str">
        <f>"0203.11.00"</f>
        <v>0203.11.00</v>
      </c>
      <c r="B58" s="2" t="str">
        <f>"Carcacas e meias-carcacas"</f>
        <v>Carcacas e meias-carcacas</v>
      </c>
    </row>
    <row r="59" spans="1:2">
      <c r="A59" s="1" t="str">
        <f>"0203.12.00"</f>
        <v>0203.12.00</v>
      </c>
      <c r="B59" s="2" t="str">
        <f>"Pernas, pas e respectivos pedacos,"</f>
        <v>Pernas, pas e respectivos pedacos,</v>
      </c>
    </row>
    <row r="60" spans="1:2">
      <c r="A60" s="1" t="str">
        <f>"0203.19.00"</f>
        <v>0203.19.00</v>
      </c>
      <c r="B60" s="2" t="str">
        <f>"Outras"</f>
        <v>Outras</v>
      </c>
    </row>
    <row r="61" spans="1:2">
      <c r="A61" s="1" t="str">
        <f>"0203.21.00"</f>
        <v>0203.21.00</v>
      </c>
      <c r="B61" s="2" t="str">
        <f>"Carcacas e meias-carcacas"</f>
        <v>Carcacas e meias-carcacas</v>
      </c>
    </row>
    <row r="62" spans="1:2">
      <c r="A62" s="1" t="str">
        <f>"0203.22.00"</f>
        <v>0203.22.00</v>
      </c>
      <c r="B62" s="2" t="str">
        <f>"Pernas, pás e respectivos pedaços"</f>
        <v>Pernas, pás e respectivos pedaços</v>
      </c>
    </row>
    <row r="63" spans="1:2">
      <c r="A63" s="1" t="str">
        <f>"0203.29.00"</f>
        <v>0203.29.00</v>
      </c>
      <c r="B63" s="2" t="str">
        <f>"Outras"</f>
        <v>Outras</v>
      </c>
    </row>
    <row r="64" spans="1:2">
      <c r="A64" s="1" t="str">
        <f>"0204.10.00"</f>
        <v>0204.10.00</v>
      </c>
      <c r="B64" s="2" t="str">
        <f>"Carcacas e meias-carcacas de cordei"</f>
        <v>Carcacas e meias-carcacas de cordei</v>
      </c>
    </row>
    <row r="65" spans="1:2">
      <c r="A65" s="1" t="str">
        <f>"0204.21.00"</f>
        <v>0204.21.00</v>
      </c>
      <c r="B65" s="2" t="str">
        <f>"Carcacas e meias-carcacas"</f>
        <v>Carcacas e meias-carcacas</v>
      </c>
    </row>
    <row r="66" spans="1:2">
      <c r="A66" s="1" t="str">
        <f>"0204.22.00"</f>
        <v>0204.22.00</v>
      </c>
      <c r="B66" s="2" t="str">
        <f>"Outras pecas nao desossadas"</f>
        <v>Outras pecas nao desossadas</v>
      </c>
    </row>
    <row r="67" spans="1:2">
      <c r="A67" s="1" t="str">
        <f>"0204.23.00"</f>
        <v>0204.23.00</v>
      </c>
      <c r="B67" s="2" t="str">
        <f>"Desossadas"</f>
        <v>Desossadas</v>
      </c>
    </row>
    <row r="68" spans="1:2">
      <c r="A68" s="1" t="str">
        <f>"0204.30.00"</f>
        <v>0204.30.00</v>
      </c>
      <c r="B68" s="2" t="str">
        <f>"Carcacas e meias-carcacas de cordei"</f>
        <v>Carcacas e meias-carcacas de cordei</v>
      </c>
    </row>
    <row r="69" spans="1:2">
      <c r="A69" s="1" t="str">
        <f>"0204.41.00"</f>
        <v>0204.41.00</v>
      </c>
      <c r="B69" s="2" t="str">
        <f>"Carcacas e meias-carcacas"</f>
        <v>Carcacas e meias-carcacas</v>
      </c>
    </row>
    <row r="70" spans="1:2">
      <c r="A70" s="1" t="str">
        <f>"0204.42.00"</f>
        <v>0204.42.00</v>
      </c>
      <c r="B70" s="2" t="str">
        <f>"Outras peças não desossadas"</f>
        <v>Outras peças não desossadas</v>
      </c>
    </row>
    <row r="71" spans="1:2">
      <c r="A71" s="1" t="str">
        <f>"0204.43.00"</f>
        <v>0204.43.00</v>
      </c>
      <c r="B71" s="2" t="str">
        <f>"Desossadas"</f>
        <v>Desossadas</v>
      </c>
    </row>
    <row r="72" spans="1:2">
      <c r="A72" s="1" t="str">
        <f>"0204.50.00"</f>
        <v>0204.50.00</v>
      </c>
      <c r="B72" s="2" t="str">
        <f>"Carnes de animais da especie caprin"</f>
        <v>Carnes de animais da especie caprin</v>
      </c>
    </row>
    <row r="73" spans="1:2">
      <c r="A73" s="1" t="str">
        <f>"0205.00.00"</f>
        <v>0205.00.00</v>
      </c>
      <c r="B73" s="2" t="str">
        <f>"Carnes de animais das especies cava"</f>
        <v>Carnes de animais das especies cava</v>
      </c>
    </row>
    <row r="74" spans="1:2">
      <c r="A74" s="1" t="str">
        <f>"0206.10.00"</f>
        <v>0206.10.00</v>
      </c>
      <c r="B74" s="2" t="str">
        <f>"Da especie bovina, frescas ou refri"</f>
        <v>Da especie bovina, frescas ou refri</v>
      </c>
    </row>
    <row r="75" spans="1:2">
      <c r="A75" s="1" t="str">
        <f>"0206.21.00"</f>
        <v>0206.21.00</v>
      </c>
      <c r="B75" s="2" t="str">
        <f>"Linguas"</f>
        <v>Linguas</v>
      </c>
    </row>
    <row r="76" spans="1:2">
      <c r="A76" s="1" t="str">
        <f>"0206.22.00"</f>
        <v>0206.22.00</v>
      </c>
      <c r="B76" s="2" t="str">
        <f>"Figados"</f>
        <v>Figados</v>
      </c>
    </row>
    <row r="77" spans="1:2">
      <c r="A77" s="1" t="str">
        <f>"0206.29.10"</f>
        <v>0206.29.10</v>
      </c>
      <c r="B77" s="2" t="str">
        <f>"Rabos"</f>
        <v>Rabos</v>
      </c>
    </row>
    <row r="78" spans="1:2">
      <c r="A78" s="1" t="str">
        <f>"0206.29.90"</f>
        <v>0206.29.90</v>
      </c>
      <c r="B78" s="2" t="str">
        <f>"Outros"</f>
        <v>Outros</v>
      </c>
    </row>
    <row r="79" spans="1:2">
      <c r="A79" s="1" t="str">
        <f>"0206.30.00"</f>
        <v>0206.30.00</v>
      </c>
      <c r="B79" s="2" t="str">
        <f>"Da especie suina, frescas ou refrig"</f>
        <v>Da especie suina, frescas ou refrig</v>
      </c>
    </row>
    <row r="80" spans="1:2">
      <c r="A80" s="1" t="str">
        <f>"0206.41.00"</f>
        <v>0206.41.00</v>
      </c>
      <c r="B80" s="2" t="str">
        <f>"Figados"</f>
        <v>Figados</v>
      </c>
    </row>
    <row r="81" spans="1:2">
      <c r="A81" s="1" t="str">
        <f>"0206.49.00"</f>
        <v>0206.49.00</v>
      </c>
      <c r="B81" s="2" t="str">
        <f>"Outras"</f>
        <v>Outras</v>
      </c>
    </row>
    <row r="82" spans="1:2">
      <c r="A82" s="1" t="str">
        <f>"0206.80.00"</f>
        <v>0206.80.00</v>
      </c>
      <c r="B82" s="2" t="str">
        <f>"Outras, frescas ou refrigeradas"</f>
        <v>Outras, frescas ou refrigeradas</v>
      </c>
    </row>
    <row r="83" spans="1:2">
      <c r="A83" s="1" t="str">
        <f>"0206.90.00"</f>
        <v>0206.90.00</v>
      </c>
      <c r="B83" s="2" t="str">
        <f>"Outras, congeladas"</f>
        <v>Outras, congeladas</v>
      </c>
    </row>
    <row r="84" spans="1:2">
      <c r="A84" s="1" t="str">
        <f>"0207.11.00"</f>
        <v>0207.11.00</v>
      </c>
      <c r="B84" s="2" t="str">
        <f>"Nao cortadas em pedacos, frescas ou"</f>
        <v>Nao cortadas em pedacos, frescas ou</v>
      </c>
    </row>
    <row r="85" spans="1:2">
      <c r="A85" s="1" t="str">
        <f>"0207.12.00"</f>
        <v>0207.12.00</v>
      </c>
      <c r="B85" s="2" t="str">
        <f>"Nao cortadas em pedacos, congeladas"</f>
        <v>Nao cortadas em pedacos, congeladas</v>
      </c>
    </row>
    <row r="86" spans="1:2">
      <c r="A86" s="1" t="str">
        <f>"0207.12.10"</f>
        <v>0207.12.10</v>
      </c>
      <c r="B86" s="2" t="str">
        <f>"Com miudezas"</f>
        <v>Com miudezas</v>
      </c>
    </row>
    <row r="87" spans="1:2">
      <c r="A87" s="1" t="str">
        <f>"0207.13.00"</f>
        <v>0207.13.00</v>
      </c>
      <c r="B87" s="2" t="str">
        <f>"Pedaços e miudezas, frescos, refrig"</f>
        <v>Pedaços e miudezas, frescos, refrig</v>
      </c>
    </row>
    <row r="88" spans="1:2">
      <c r="A88" s="1" t="str">
        <f>"0207.14.00"</f>
        <v>0207.14.00</v>
      </c>
      <c r="B88" s="2" t="str">
        <f>"Pedacos e miudezas, congelados"</f>
        <v>Pedacos e miudezas, congelados</v>
      </c>
    </row>
    <row r="89" spans="1:2">
      <c r="A89" s="1" t="str">
        <f>"0207.24.00"</f>
        <v>0207.24.00</v>
      </c>
      <c r="B89" s="2" t="str">
        <f>"Nao cortadas em pedacos, frescas ou"</f>
        <v>Nao cortadas em pedacos, frescas ou</v>
      </c>
    </row>
    <row r="90" spans="1:2">
      <c r="A90" s="1" t="str">
        <f>"0207.25.00"</f>
        <v>0207.25.00</v>
      </c>
      <c r="B90" s="2" t="str">
        <f>"Nao cortadas em pedacos, congeladas"</f>
        <v>Nao cortadas em pedacos, congeladas</v>
      </c>
    </row>
    <row r="91" spans="1:2">
      <c r="A91" s="1" t="str">
        <f>"0207.26.00"</f>
        <v>0207.26.00</v>
      </c>
      <c r="B91" s="2" t="str">
        <f>"Pedacos e miudezas, frescos ou refr"</f>
        <v>Pedacos e miudezas, frescos ou refr</v>
      </c>
    </row>
    <row r="92" spans="1:2">
      <c r="A92" s="1" t="str">
        <f>"0207.27.00"</f>
        <v>0207.27.00</v>
      </c>
      <c r="B92" s="2" t="str">
        <f>"Pedacos e miudezas, congelados"</f>
        <v>Pedacos e miudezas, congelados</v>
      </c>
    </row>
    <row r="93" spans="1:2">
      <c r="A93" s="1" t="str">
        <f>"0207.41.00"</f>
        <v>0207.41.00</v>
      </c>
      <c r="B93" s="2" t="str">
        <f>"Nao cortadas em pedacos, frescas ou"</f>
        <v>Nao cortadas em pedacos, frescas ou</v>
      </c>
    </row>
    <row r="94" spans="1:2">
      <c r="A94" s="1" t="str">
        <f>"0207.42.00"</f>
        <v>0207.42.00</v>
      </c>
      <c r="B94" s="2" t="str">
        <f>"Nao cortadas em pedacos, congeladas"</f>
        <v>Nao cortadas em pedacos, congeladas</v>
      </c>
    </row>
    <row r="95" spans="1:2">
      <c r="A95" s="1" t="str">
        <f>"0207.43.00"</f>
        <v>0207.43.00</v>
      </c>
      <c r="B95" s="2" t="str">
        <f>"Figados gordos (foies gras), fresco"</f>
        <v>Figados gordos (foies gras), fresco</v>
      </c>
    </row>
    <row r="96" spans="1:2">
      <c r="A96" s="1" t="str">
        <f>"0207.44.00"</f>
        <v>0207.44.00</v>
      </c>
      <c r="B96" s="2" t="str">
        <f>"Outras, frescas ou refrigeradas"</f>
        <v>Outras, frescas ou refrigeradas</v>
      </c>
    </row>
    <row r="97" spans="1:2">
      <c r="A97" s="1" t="str">
        <f>"0207.45.00"</f>
        <v>0207.45.00</v>
      </c>
      <c r="B97" s="2" t="str">
        <f>"Outras, congeladas"</f>
        <v>Outras, congeladas</v>
      </c>
    </row>
    <row r="98" spans="1:2">
      <c r="A98" s="1" t="str">
        <f>"0207.51.00"</f>
        <v>0207.51.00</v>
      </c>
      <c r="B98" s="2" t="str">
        <f>"Nao cortadas em pedacos, frescas ou"</f>
        <v>Nao cortadas em pedacos, frescas ou</v>
      </c>
    </row>
    <row r="99" spans="1:2">
      <c r="A99" s="1" t="str">
        <f>"0207.52.00"</f>
        <v>0207.52.00</v>
      </c>
      <c r="B99" s="2" t="str">
        <f>"Nao cortadas em pedacos, congeladas"</f>
        <v>Nao cortadas em pedacos, congeladas</v>
      </c>
    </row>
    <row r="100" spans="1:2">
      <c r="A100" s="1" t="str">
        <f>"0207.53.00"</f>
        <v>0207.53.00</v>
      </c>
      <c r="B100" s="2" t="str">
        <f>"Figados gordos (foies gras), fresco"</f>
        <v>Figados gordos (foies gras), fresco</v>
      </c>
    </row>
    <row r="101" spans="1:2">
      <c r="A101" s="1" t="str">
        <f>"0207.54.00"</f>
        <v>0207.54.00</v>
      </c>
      <c r="B101" s="2" t="str">
        <f>"Outras, frescas ou refrigeradas"</f>
        <v>Outras, frescas ou refrigeradas</v>
      </c>
    </row>
    <row r="102" spans="1:2">
      <c r="A102" s="1" t="str">
        <f>"0207.55.00"</f>
        <v>0207.55.00</v>
      </c>
      <c r="B102" s="2" t="str">
        <f>"Outras, congeladas"</f>
        <v>Outras, congeladas</v>
      </c>
    </row>
    <row r="103" spans="1:2">
      <c r="A103" s="1" t="str">
        <f>"0207.60.00"</f>
        <v>0207.60.00</v>
      </c>
      <c r="B103" s="2" t="str">
        <f>"De galinhas-d'angola (pintadas)"</f>
        <v>De galinhas-d'angola (pintadas)</v>
      </c>
    </row>
    <row r="104" spans="1:2">
      <c r="A104" s="1" t="str">
        <f>"0208.10.00"</f>
        <v>0208.10.00</v>
      </c>
      <c r="B104" s="2" t="str">
        <f>"De coelhos ou lebres"</f>
        <v>De coelhos ou lebres</v>
      </c>
    </row>
    <row r="105" spans="1:2">
      <c r="A105" s="1" t="str">
        <f>"0208.30.00"</f>
        <v>0208.30.00</v>
      </c>
      <c r="B105" s="2" t="str">
        <f>"De primatas"</f>
        <v>De primatas</v>
      </c>
    </row>
    <row r="106" spans="1:2">
      <c r="A106" s="1" t="str">
        <f>"0208.40.00"</f>
        <v>0208.40.00</v>
      </c>
      <c r="B106" s="2" t="str">
        <f>"De baleias, golfinhos e botos (mami"</f>
        <v>De baleias, golfinhos e botos (mami</v>
      </c>
    </row>
    <row r="107" spans="1:2">
      <c r="A107" s="1" t="str">
        <f>"0208.50.00"</f>
        <v>0208.50.00</v>
      </c>
      <c r="B107" s="2" t="str">
        <f>"De repteis (incluindo as serpentes"</f>
        <v>De repteis (incluindo as serpentes</v>
      </c>
    </row>
    <row r="108" spans="1:2">
      <c r="A108" s="1" t="str">
        <f>"0208.60.00"</f>
        <v>0208.60.00</v>
      </c>
      <c r="B108" s="2" t="str">
        <f>"De camelos e outros camelideos (Cam"</f>
        <v>De camelos e outros camelideos (Cam</v>
      </c>
    </row>
    <row r="109" spans="1:2">
      <c r="A109" s="1" t="str">
        <f>"0208.90.00"</f>
        <v>0208.90.00</v>
      </c>
      <c r="B109" s="2" t="str">
        <f>"Outras"</f>
        <v>Outras</v>
      </c>
    </row>
    <row r="110" spans="1:2">
      <c r="A110" s="1" t="str">
        <f>"0209.10.11"</f>
        <v>0209.10.11</v>
      </c>
      <c r="B110" s="2" t="str">
        <f>"Fresco, refrigerado ou congelado"</f>
        <v>Fresco, refrigerado ou congelado</v>
      </c>
    </row>
    <row r="111" spans="1:2">
      <c r="A111" s="1" t="str">
        <f>"0209.10.19"</f>
        <v>0209.10.19</v>
      </c>
      <c r="B111" s="2" t="str">
        <f>"Outros"</f>
        <v>Outros</v>
      </c>
    </row>
    <row r="112" spans="1:2">
      <c r="A112" s="1" t="str">
        <f>"0209.10.21"</f>
        <v>0209.10.21</v>
      </c>
      <c r="B112" s="2" t="str">
        <f>"Fresca, refrigerada ou congelada"</f>
        <v>Fresca, refrigerada ou congelada</v>
      </c>
    </row>
    <row r="113" spans="1:2">
      <c r="A113" s="1" t="str">
        <f>"0209.10.29"</f>
        <v>0209.10.29</v>
      </c>
      <c r="B113" s="2" t="str">
        <f>"Outras"</f>
        <v>Outras</v>
      </c>
    </row>
    <row r="114" spans="1:2">
      <c r="A114" s="1" t="str">
        <f>"0209.90.00"</f>
        <v>0209.90.00</v>
      </c>
      <c r="B114" s="2" t="str">
        <f>"Outros"</f>
        <v>Outros</v>
      </c>
    </row>
    <row r="115" spans="1:2">
      <c r="A115" s="1" t="str">
        <f>"0210.11.00"</f>
        <v>0210.11.00</v>
      </c>
      <c r="B115" s="2" t="str">
        <f>"Pernas, pas e respectivos pedacos,"</f>
        <v>Pernas, pas e respectivos pedacos,</v>
      </c>
    </row>
    <row r="116" spans="1:2">
      <c r="A116" s="1" t="str">
        <f>"0210.12.00"</f>
        <v>0210.12.00</v>
      </c>
      <c r="B116" s="2" t="str">
        <f>"Toucinhos entremeados (Barrigas (en"</f>
        <v>Toucinhos entremeados (Barrigas (en</v>
      </c>
    </row>
    <row r="117" spans="1:2">
      <c r="A117" s="1" t="str">
        <f>"0210.19.00"</f>
        <v>0210.19.00</v>
      </c>
      <c r="B117" s="2" t="str">
        <f>"Outras"</f>
        <v>Outras</v>
      </c>
    </row>
    <row r="118" spans="1:2">
      <c r="A118" s="1" t="str">
        <f>"0210.20.00"</f>
        <v>0210.20.00</v>
      </c>
      <c r="B118" s="2" t="str">
        <f>"Carnes da especie bovina"</f>
        <v>Carnes da especie bovina</v>
      </c>
    </row>
    <row r="119" spans="1:2">
      <c r="A119" s="1" t="str">
        <f>"0210.91.00"</f>
        <v>0210.91.00</v>
      </c>
      <c r="B119" s="2" t="str">
        <f>"De primatas"</f>
        <v>De primatas</v>
      </c>
    </row>
    <row r="120" spans="1:2">
      <c r="A120" s="1" t="str">
        <f>"0210.92.00"</f>
        <v>0210.92.00</v>
      </c>
      <c r="B120" s="2" t="str">
        <f>"De baleias, golfinhos e botos (mami"</f>
        <v>De baleias, golfinhos e botos (mami</v>
      </c>
    </row>
    <row r="121" spans="1:2">
      <c r="A121" s="1" t="str">
        <f>"0210.93.00"</f>
        <v>0210.93.00</v>
      </c>
      <c r="B121" s="2" t="str">
        <f>"De repteis (incluindo as serpentes"</f>
        <v>De repteis (incluindo as serpentes</v>
      </c>
    </row>
    <row r="122" spans="1:2">
      <c r="A122" s="1" t="str">
        <f>"0210.99.00"</f>
        <v>0210.99.00</v>
      </c>
      <c r="B122" s="2" t="str">
        <f>"Outras"</f>
        <v>Outras</v>
      </c>
    </row>
    <row r="123" spans="1:2">
      <c r="A123" s="1" t="str">
        <f>"0301.11.10"</f>
        <v>0301.11.10</v>
      </c>
      <c r="B123" s="2" t="str">
        <f>"Aruana (Osteoglossum bicirrhosum)"</f>
        <v>Aruana (Osteoglossum bicirrhosum)</v>
      </c>
    </row>
    <row r="124" spans="1:2">
      <c r="A124" s="1" t="str">
        <f>"0301.11.90"</f>
        <v>0301.11.90</v>
      </c>
      <c r="B124" s="2" t="str">
        <f>"Outros"</f>
        <v>Outros</v>
      </c>
    </row>
    <row r="125" spans="1:2">
      <c r="A125" s="1" t="str">
        <f>"0301.19.00"</f>
        <v>0301.19.00</v>
      </c>
      <c r="B125" s="2" t="str">
        <f>"Outros"</f>
        <v>Outros</v>
      </c>
    </row>
    <row r="126" spans="1:2">
      <c r="A126" s="1" t="str">
        <f>"0301.91.10"</f>
        <v>0301.91.10</v>
      </c>
      <c r="B126" s="2" t="str">
        <f>"Para reproducao"</f>
        <v>Para reproducao</v>
      </c>
    </row>
    <row r="127" spans="1:2">
      <c r="A127" s="1" t="str">
        <f>"0301.91.90"</f>
        <v>0301.91.90</v>
      </c>
      <c r="B127" s="2" t="str">
        <f>"Outras"</f>
        <v>Outras</v>
      </c>
    </row>
    <row r="128" spans="1:2">
      <c r="A128" s="1" t="str">
        <f>"0301.92.10"</f>
        <v>0301.92.10</v>
      </c>
      <c r="B128" s="2" t="str">
        <f>"Para reproducao"</f>
        <v>Para reproducao</v>
      </c>
    </row>
    <row r="129" spans="1:2">
      <c r="A129" s="1" t="str">
        <f>"0301.92.90"</f>
        <v>0301.92.90</v>
      </c>
      <c r="B129" s="2" t="str">
        <f>"Outras"</f>
        <v>Outras</v>
      </c>
    </row>
    <row r="130" spans="1:2">
      <c r="A130" s="1" t="str">
        <f>"0301.93.10"</f>
        <v>0301.93.10</v>
      </c>
      <c r="B130" s="2" t="str">
        <f>"Para reproducao"</f>
        <v>Para reproducao</v>
      </c>
    </row>
    <row r="131" spans="1:2">
      <c r="A131" s="1" t="str">
        <f>"0301.93.90"</f>
        <v>0301.93.90</v>
      </c>
      <c r="B131" s="2" t="str">
        <f>"Outras"</f>
        <v>Outras</v>
      </c>
    </row>
    <row r="132" spans="1:2">
      <c r="A132" s="1" t="str">
        <f>"0301.94.10"</f>
        <v>0301.94.10</v>
      </c>
      <c r="B132" s="2" t="str">
        <f>"Para reproducao"</f>
        <v>Para reproducao</v>
      </c>
    </row>
    <row r="133" spans="1:2">
      <c r="A133" s="1" t="str">
        <f>"0301.94.90"</f>
        <v>0301.94.90</v>
      </c>
      <c r="B133" s="2" t="str">
        <f>"Outras"</f>
        <v>Outras</v>
      </c>
    </row>
    <row r="134" spans="1:2">
      <c r="A134" s="1" t="str">
        <f>"0301.95.10"</f>
        <v>0301.95.10</v>
      </c>
      <c r="B134" s="2" t="str">
        <f>"Para reproducao"</f>
        <v>Para reproducao</v>
      </c>
    </row>
    <row r="135" spans="1:2">
      <c r="A135" s="1" t="str">
        <f>"0301.95.90"</f>
        <v>0301.95.90</v>
      </c>
      <c r="B135" s="2" t="str">
        <f>"Outros"</f>
        <v>Outros</v>
      </c>
    </row>
    <row r="136" spans="1:2">
      <c r="A136" s="1" t="str">
        <f>"0301.99.11"</f>
        <v>0301.99.11</v>
      </c>
      <c r="B136" s="2" t="str">
        <f>"Tilapias (Tilapia spp., Oreochromis"</f>
        <v>Tilapias (Tilapia spp., Oreochromis</v>
      </c>
    </row>
    <row r="137" spans="1:2">
      <c r="A137" s="1" t="str">
        <f>"0301.99.12"</f>
        <v>0301.99.12</v>
      </c>
      <c r="B137" s="2" t="str">
        <f>"Esturjoes (Acipenser baerii, Acipen"</f>
        <v>Esturjoes (Acipenser baerii, Acipen</v>
      </c>
    </row>
    <row r="138" spans="1:2">
      <c r="A138" s="1" t="str">
        <f>"0301.99.19"</f>
        <v>0301.99.19</v>
      </c>
      <c r="B138" s="2" t="str">
        <f>"Outros"</f>
        <v>Outros</v>
      </c>
    </row>
    <row r="139" spans="1:2">
      <c r="A139" s="1" t="str">
        <f>"0301.99.91"</f>
        <v>0301.99.91</v>
      </c>
      <c r="B139" s="2" t="str">
        <f>"Tilapias (Tilapia spp., Oreochromis"</f>
        <v>Tilapias (Tilapia spp., Oreochromis</v>
      </c>
    </row>
    <row r="140" spans="1:2">
      <c r="A140" s="1" t="str">
        <f>"0301.99.92"</f>
        <v>0301.99.92</v>
      </c>
      <c r="B140" s="2" t="str">
        <f>"Esturjoes (Acipenser baerii, Acipen"</f>
        <v>Esturjoes (Acipenser baerii, Acipen</v>
      </c>
    </row>
    <row r="141" spans="1:2">
      <c r="A141" s="1" t="str">
        <f>"0301.99.99"</f>
        <v>0301.99.99</v>
      </c>
      <c r="B141" s="2" t="str">
        <f>"Outros"</f>
        <v>Outros</v>
      </c>
    </row>
    <row r="142" spans="1:2">
      <c r="A142" s="1" t="str">
        <f>"0302.11.00"</f>
        <v>0302.11.00</v>
      </c>
      <c r="B142" s="2" t="str">
        <f>"Trutas (Salmo trutta, Oncorhynchus"</f>
        <v>Trutas (Salmo trutta, Oncorhynchus</v>
      </c>
    </row>
    <row r="143" spans="1:2">
      <c r="A143" s="1" t="str">
        <f>"0302.13.00"</f>
        <v>0302.13.00</v>
      </c>
      <c r="B143" s="2" t="str">
        <f>"Salmoes-do-pacifico (Oncorhynchus n"</f>
        <v>Salmoes-do-pacifico (Oncorhynchus n</v>
      </c>
    </row>
    <row r="144" spans="1:2">
      <c r="A144" s="1" t="str">
        <f>"0302.14.00"</f>
        <v>0302.14.00</v>
      </c>
      <c r="B144" s="2" t="str">
        <f>"Salmao-do-atlantico (Salmo salar) e"</f>
        <v>Salmao-do-atlantico (Salmo salar) e</v>
      </c>
    </row>
    <row r="145" spans="1:2">
      <c r="A145" s="1" t="str">
        <f>"0302.19.00"</f>
        <v>0302.19.00</v>
      </c>
      <c r="B145" s="2" t="str">
        <f>"Outros"</f>
        <v>Outros</v>
      </c>
    </row>
    <row r="146" spans="1:2">
      <c r="A146" s="1" t="str">
        <f>"0302.21.00"</f>
        <v>0302.21.00</v>
      </c>
      <c r="B146" s="2" t="str">
        <f>"Linguados-gigantes (Alabotes*) (Rei"</f>
        <v>Linguados-gigantes (Alabotes*) (Rei</v>
      </c>
    </row>
    <row r="147" spans="1:2">
      <c r="A147" s="1" t="str">
        <f>"0302.22.00"</f>
        <v>0302.22.00</v>
      </c>
      <c r="B147" s="2" t="str">
        <f>"Solha (Pleuronectes platessa)"</f>
        <v>Solha (Pleuronectes platessa)</v>
      </c>
    </row>
    <row r="148" spans="1:2">
      <c r="A148" s="1" t="str">
        <f>"0302.23.00"</f>
        <v>0302.23.00</v>
      </c>
      <c r="B148" s="2" t="str">
        <f>"Linguados (Solea spp.)"</f>
        <v>Linguados (Solea spp.)</v>
      </c>
    </row>
    <row r="149" spans="1:2">
      <c r="A149" s="1" t="str">
        <f>"0302.24.00"</f>
        <v>0302.24.00</v>
      </c>
      <c r="B149" s="2" t="str">
        <f>"Pregado (Psetta maxima)"</f>
        <v>Pregado (Psetta maxima)</v>
      </c>
    </row>
    <row r="150" spans="1:2">
      <c r="A150" s="1" t="str">
        <f>"0302.29.00"</f>
        <v>0302.29.00</v>
      </c>
      <c r="B150" s="2" t="str">
        <f>"Outros"</f>
        <v>Outros</v>
      </c>
    </row>
    <row r="151" spans="1:2">
      <c r="A151" s="1" t="str">
        <f>"0302.31.00"</f>
        <v>0302.31.00</v>
      </c>
      <c r="B151" s="2" t="str">
        <f>"Albacora-branca (Atum*) (Thunnus al"</f>
        <v>Albacora-branca (Atum*) (Thunnus al</v>
      </c>
    </row>
    <row r="152" spans="1:2">
      <c r="A152" s="1" t="str">
        <f>"0302.32.00"</f>
        <v>0302.32.00</v>
      </c>
      <c r="B152" s="2" t="str">
        <f>"Albacora-laje (Atum*) (Thunnus alba"</f>
        <v>Albacora-laje (Atum*) (Thunnus alba</v>
      </c>
    </row>
    <row r="153" spans="1:2">
      <c r="A153" s="1" t="str">
        <f>"0302.33.00"</f>
        <v>0302.33.00</v>
      </c>
      <c r="B153" s="2" t="str">
        <f>"Bonito-listrado (Gaiado*)"</f>
        <v>Bonito-listrado (Gaiado*)</v>
      </c>
    </row>
    <row r="154" spans="1:2">
      <c r="A154" s="1" t="str">
        <f>"0302.34.00"</f>
        <v>0302.34.00</v>
      </c>
      <c r="B154" s="2" t="str">
        <f>"Albacora-bandolim (Atum*) (Thunnus"</f>
        <v>Albacora-bandolim (Atum*) (Thunnus</v>
      </c>
    </row>
    <row r="155" spans="1:2">
      <c r="A155" s="1" t="str">
        <f>"0302.35.00"</f>
        <v>0302.35.00</v>
      </c>
      <c r="B155" s="2" t="str">
        <f>"Atuns-azuis (Atuns*) (Thunnus thynn"</f>
        <v>Atuns-azuis (Atuns*) (Thunnus thynn</v>
      </c>
    </row>
    <row r="156" spans="1:2">
      <c r="A156" s="1" t="str">
        <f>"0302.36.00"</f>
        <v>0302.36.00</v>
      </c>
      <c r="B156" s="2" t="str">
        <f>"Atum-azul do sul (Atum*) (Thunnus m"</f>
        <v>Atum-azul do sul (Atum*) (Thunnus m</v>
      </c>
    </row>
    <row r="157" spans="1:2">
      <c r="A157" s="1" t="str">
        <f>"0302.39.00"</f>
        <v>0302.39.00</v>
      </c>
      <c r="B157" s="2" t="str">
        <f>"Outros"</f>
        <v>Outros</v>
      </c>
    </row>
    <row r="158" spans="1:2">
      <c r="A158" s="1" t="str">
        <f>"0302.41.00"</f>
        <v>0302.41.00</v>
      </c>
      <c r="B158" s="2" t="str">
        <f>"Arenques (Clupea harengus, Clupea p"</f>
        <v>Arenques (Clupea harengus, Clupea p</v>
      </c>
    </row>
    <row r="159" spans="1:2">
      <c r="A159" s="1" t="str">
        <f>"0302.42.10"</f>
        <v>0302.42.10</v>
      </c>
      <c r="B159" s="2" t="str">
        <f>"Anchoita (Engraulis anchoita)"</f>
        <v>Anchoita (Engraulis anchoita)</v>
      </c>
    </row>
    <row r="160" spans="1:2">
      <c r="A160" s="1" t="str">
        <f>"0302.42.90"</f>
        <v>0302.42.90</v>
      </c>
      <c r="B160" s="2" t="str">
        <f>"Outros"</f>
        <v>Outros</v>
      </c>
    </row>
    <row r="161" spans="1:2">
      <c r="A161" s="1" t="str">
        <f>"0302.43.00"</f>
        <v>0302.43.00</v>
      </c>
      <c r="B161" s="2" t="str">
        <f>"Sardinhas (Sardina pilchardus, Sard"</f>
        <v>Sardinhas (Sardina pilchardus, Sard</v>
      </c>
    </row>
    <row r="162" spans="1:2">
      <c r="A162" s="1" t="str">
        <f>"0302.44.00"</f>
        <v>0302.44.00</v>
      </c>
      <c r="B162" s="2" t="str">
        <f>"Cavalinhas (Sardas e cavalas*) (Sco"</f>
        <v>Cavalinhas (Sardas e cavalas*) (Sco</v>
      </c>
    </row>
    <row r="163" spans="1:2">
      <c r="A163" s="1" t="str">
        <f>"0302.45.00"</f>
        <v>0302.45.00</v>
      </c>
      <c r="B163" s="2" t="str">
        <f>"Carapaus (Trachurus spp.)"</f>
        <v>Carapaus (Trachurus spp.)</v>
      </c>
    </row>
    <row r="164" spans="1:2">
      <c r="A164" s="1" t="str">
        <f>"0302.46.00"</f>
        <v>0302.46.00</v>
      </c>
      <c r="B164" s="2" t="str">
        <f>"Bijupira (Cobia*) (Rachycentron can"</f>
        <v>Bijupira (Cobia*) (Rachycentron can</v>
      </c>
    </row>
    <row r="165" spans="1:2">
      <c r="A165" s="1" t="str">
        <f>"0302.47.00"</f>
        <v>0302.47.00</v>
      </c>
      <c r="B165" s="2" t="str">
        <f>"Espadarte (Xiphias gladius)"</f>
        <v>Espadarte (Xiphias gladius)</v>
      </c>
    </row>
    <row r="166" spans="1:2">
      <c r="A166" s="1" t="str">
        <f>"0302.49.10"</f>
        <v>0302.49.10</v>
      </c>
      <c r="B166" s="2" t="str">
        <f>"Espadins, marlins, veleiros (Istiop"</f>
        <v>Espadins, marlins, veleiros (Istiop</v>
      </c>
    </row>
    <row r="167" spans="1:2">
      <c r="A167" s="1" t="str">
        <f>"0302.49.90"</f>
        <v>0302.49.90</v>
      </c>
      <c r="B167" s="2" t="str">
        <f>"Outros"</f>
        <v>Outros</v>
      </c>
    </row>
    <row r="168" spans="1:2">
      <c r="A168" s="1" t="str">
        <f>"0302.51.00"</f>
        <v>0302.51.00</v>
      </c>
      <c r="B168" s="2" t="str">
        <f>"Bacalhau-do-atlantico (Gadus morhua"</f>
        <v>Bacalhau-do-atlantico (Gadus morhua</v>
      </c>
    </row>
    <row r="169" spans="1:2">
      <c r="A169" s="1" t="str">
        <f>"0302.52.00"</f>
        <v>0302.52.00</v>
      </c>
      <c r="B169" s="2" t="str">
        <f>"Haddock ou lubina (Arinca*) (Melano"</f>
        <v>Haddock ou lubina (Arinca*) (Melano</v>
      </c>
    </row>
    <row r="170" spans="1:2">
      <c r="A170" s="1" t="str">
        <f>"0302.53.00"</f>
        <v>0302.53.00</v>
      </c>
      <c r="B170" s="2" t="str">
        <f>"Saithe (Escamudo*) (Pollachius vire"</f>
        <v>Saithe (Escamudo*) (Pollachius vire</v>
      </c>
    </row>
    <row r="171" spans="1:2">
      <c r="A171" s="1" t="str">
        <f>"0302.54.00"</f>
        <v>0302.54.00</v>
      </c>
      <c r="B171" s="2" t="str">
        <f>"Merluzas (Pescadas*) e abroteas (Me"</f>
        <v>Merluzas (Pescadas*) e abroteas (Me</v>
      </c>
    </row>
    <row r="172" spans="1:2">
      <c r="A172" s="1" t="str">
        <f>"0302.55.00"</f>
        <v>0302.55.00</v>
      </c>
      <c r="B172" s="2" t="str">
        <f>"Polaca-do-alasca (Escamudo-do-alasc"</f>
        <v>Polaca-do-alasca (Escamudo-do-alasc</v>
      </c>
    </row>
    <row r="173" spans="1:2">
      <c r="A173" s="1" t="str">
        <f>"0302.56.00"</f>
        <v>0302.56.00</v>
      </c>
      <c r="B173" s="2" t="str">
        <f>"Verdinhos (Micromesistius poutassou"</f>
        <v>Verdinhos (Micromesistius poutassou</v>
      </c>
    </row>
    <row r="174" spans="1:2">
      <c r="A174" s="1" t="str">
        <f>"0302.59.00"</f>
        <v>0302.59.00</v>
      </c>
      <c r="B174" s="2" t="str">
        <f>"Outros"</f>
        <v>Outros</v>
      </c>
    </row>
    <row r="175" spans="1:2">
      <c r="A175" s="1" t="str">
        <f>"0302.71.00"</f>
        <v>0302.71.00</v>
      </c>
      <c r="B175" s="2" t="str">
        <f>"Tilapias (Oreochromis spp.)"</f>
        <v>Tilapias (Oreochromis spp.)</v>
      </c>
    </row>
    <row r="176" spans="1:2">
      <c r="A176" s="1" t="str">
        <f>"0302.72.10"</f>
        <v>0302.72.10</v>
      </c>
      <c r="B176" s="2" t="str">
        <f>"Bagre americano (Ictalurus punctatu"</f>
        <v>Bagre americano (Ictalurus punctatu</v>
      </c>
    </row>
    <row r="177" spans="1:2">
      <c r="A177" s="1" t="str">
        <f>"0302.72.90"</f>
        <v>0302.72.90</v>
      </c>
      <c r="B177" s="2" t="str">
        <f>"Outros"</f>
        <v>Outros</v>
      </c>
    </row>
    <row r="178" spans="1:2">
      <c r="A178" s="1" t="str">
        <f>"0302.73.00"</f>
        <v>0302.73.00</v>
      </c>
      <c r="B178" s="2" t="str">
        <f>"Carpas (Cyprinus spp., Carassius sp"</f>
        <v>Carpas (Cyprinus spp., Carassius sp</v>
      </c>
    </row>
    <row r="179" spans="1:2">
      <c r="A179" s="1" t="str">
        <f>"0302.74.00"</f>
        <v>0302.74.00</v>
      </c>
      <c r="B179" s="2" t="str">
        <f>"Enguias (Anguilla spp.)"</f>
        <v>Enguias (Anguilla spp.)</v>
      </c>
    </row>
    <row r="180" spans="1:2">
      <c r="A180" s="1" t="str">
        <f>"0302.79.00"</f>
        <v>0302.79.00</v>
      </c>
      <c r="B180" s="2" t="str">
        <f>"Outros"</f>
        <v>Outros</v>
      </c>
    </row>
    <row r="181" spans="1:2">
      <c r="A181" s="1" t="str">
        <f>"0302.81.00"</f>
        <v>0302.81.00</v>
      </c>
      <c r="B181" s="2" t="str">
        <f>"Cacao e outros tubaroes"</f>
        <v>Cacao e outros tubaroes</v>
      </c>
    </row>
    <row r="182" spans="1:2">
      <c r="A182" s="1" t="str">
        <f>"0302.82.00"</f>
        <v>0302.82.00</v>
      </c>
      <c r="B182" s="2" t="str">
        <f>"Raias (Rajidae)"</f>
        <v>Raias (Rajidae)</v>
      </c>
    </row>
    <row r="183" spans="1:2">
      <c r="A183" s="1" t="str">
        <f>"0302.83.10"</f>
        <v>0302.83.10</v>
      </c>
      <c r="B183" s="2" t="str">
        <f>"Merluza negra (Dissostichus elegino"</f>
        <v>Merluza negra (Dissostichus elegino</v>
      </c>
    </row>
    <row r="184" spans="1:2">
      <c r="A184" s="1" t="str">
        <f>"0302.83.20"</f>
        <v>0302.83.20</v>
      </c>
      <c r="B184" s="2" t="str">
        <f>"Merluza antartica (Dissostichus maw"</f>
        <v>Merluza antartica (Dissostichus maw</v>
      </c>
    </row>
    <row r="185" spans="1:2">
      <c r="A185" s="1" t="str">
        <f>"0302.84.00"</f>
        <v>0302.84.00</v>
      </c>
      <c r="B185" s="2" t="str">
        <f>"Robalos (Dicentrarchus spp.)"</f>
        <v>Robalos (Dicentrarchus spp.)</v>
      </c>
    </row>
    <row r="186" spans="1:2">
      <c r="A186" s="1" t="str">
        <f>"0302.85.00"</f>
        <v>0302.85.00</v>
      </c>
      <c r="B186" s="2" t="str">
        <f>"Esparideos (Sparidae)"</f>
        <v>Esparideos (Sparidae)</v>
      </c>
    </row>
    <row r="187" spans="1:2">
      <c r="A187" s="1" t="str">
        <f>"0302.89.10"</f>
        <v>0302.89.10</v>
      </c>
      <c r="B187" s="2" t="str">
        <f>"Pargo (Lutjanus purpureus)"</f>
        <v>Pargo (Lutjanus purpureus)</v>
      </c>
    </row>
    <row r="188" spans="1:2">
      <c r="A188" s="1" t="str">
        <f>"0302.89.21"</f>
        <v>0302.89.21</v>
      </c>
      <c r="B188" s="2" t="str">
        <f>"Cherne-poveiro (Polyprion americanu"</f>
        <v>Cherne-poveiro (Polyprion americanu</v>
      </c>
    </row>
    <row r="189" spans="1:2">
      <c r="A189" s="1" t="str">
        <f>"0302.89.22"</f>
        <v>0302.89.22</v>
      </c>
      <c r="B189" s="2" t="str">
        <f>"Garoupas (Acanthistius spp.)"</f>
        <v>Garoupas (Acanthistius spp.)</v>
      </c>
    </row>
    <row r="190" spans="1:2">
      <c r="A190" s="1" t="str">
        <f>"0302.89.23"</f>
        <v>0302.89.23</v>
      </c>
      <c r="B190" s="2" t="str">
        <f>"Esturjao (Acipenser baerii)"</f>
        <v>Esturjao (Acipenser baerii)</v>
      </c>
    </row>
    <row r="191" spans="1:2">
      <c r="A191" s="1" t="str">
        <f>"0302.89.24"</f>
        <v>0302.89.24</v>
      </c>
      <c r="B191" s="2" t="str">
        <f>"Peixes-rei (Atherina spp.)"</f>
        <v>Peixes-rei (Atherina spp.)</v>
      </c>
    </row>
    <row r="192" spans="1:2">
      <c r="A192" s="1" t="str">
        <f>"0302.89.31"</f>
        <v>0302.89.31</v>
      </c>
      <c r="B192" s="2" t="str">
        <f>"Curimatas (Prochilodus spp.)"</f>
        <v>Curimatas (Prochilodus spp.)</v>
      </c>
    </row>
    <row r="193" spans="1:2">
      <c r="A193" s="1" t="str">
        <f>"0302.89.32"</f>
        <v>0302.89.32</v>
      </c>
      <c r="B193" s="2" t="str">
        <f>"Tilapias (Tilapia spp., Sarotherodo"</f>
        <v>Tilapias (Tilapia spp., Sarotherodo</v>
      </c>
    </row>
    <row r="194" spans="1:2">
      <c r="A194" s="1" t="str">
        <f>"0302.89.33"</f>
        <v>0302.89.33</v>
      </c>
      <c r="B194" s="2" t="str">
        <f>"Surubins (Pseudoplatystoma spp.)"</f>
        <v>Surubins (Pseudoplatystoma spp.)</v>
      </c>
    </row>
    <row r="195" spans="1:2">
      <c r="A195" s="1" t="str">
        <f>"0302.89.34"</f>
        <v>0302.89.34</v>
      </c>
      <c r="B195" s="2" t="str">
        <f>"Traira (Hoplias malabaricus &amp; H. cf"</f>
        <v>Traira (Hoplias malabaricus &amp; H. cf</v>
      </c>
    </row>
    <row r="196" spans="1:2">
      <c r="A196" s="1" t="str">
        <f>"0302.89.35"</f>
        <v>0302.89.35</v>
      </c>
      <c r="B196" s="2" t="str">
        <f>"Piaus (Leporinus spp.)"</f>
        <v>Piaus (Leporinus spp.)</v>
      </c>
    </row>
    <row r="197" spans="1:2">
      <c r="A197" s="1" t="str">
        <f>"0302.89.36"</f>
        <v>0302.89.36</v>
      </c>
      <c r="B197" s="2" t="str">
        <f>"Tainhas (Mugil spp.)"</f>
        <v>Tainhas (Mugil spp.)</v>
      </c>
    </row>
    <row r="198" spans="1:2">
      <c r="A198" s="1" t="str">
        <f>"0302.89.37"</f>
        <v>0302.89.37</v>
      </c>
      <c r="B198" s="2" t="str">
        <f>"Pirarucu (Arapaima gigas)"</f>
        <v>Pirarucu (Arapaima gigas)</v>
      </c>
    </row>
    <row r="199" spans="1:2">
      <c r="A199" s="1" t="str">
        <f>"0302.89.38"</f>
        <v>0302.89.38</v>
      </c>
      <c r="B199" s="2" t="str">
        <f>"Pescadas (Cynoscion spp.)"</f>
        <v>Pescadas (Cynoscion spp.)</v>
      </c>
    </row>
    <row r="200" spans="1:2">
      <c r="A200" s="1" t="str">
        <f>"0302.89.41"</f>
        <v>0302.89.41</v>
      </c>
      <c r="B200" s="2" t="str">
        <f>"Piramutaba (Brachyplatystoma vailla"</f>
        <v>Piramutaba (Brachyplatystoma vailla</v>
      </c>
    </row>
    <row r="201" spans="1:2">
      <c r="A201" s="1" t="str">
        <f>"0302.89.42"</f>
        <v>0302.89.42</v>
      </c>
      <c r="B201" s="2" t="str">
        <f>"Dourada (Brachyplatystoma flavicans"</f>
        <v>Dourada (Brachyplatystoma flavicans</v>
      </c>
    </row>
    <row r="202" spans="1:2">
      <c r="A202" s="1" t="str">
        <f>"0302.89.43"</f>
        <v>0302.89.43</v>
      </c>
      <c r="B202" s="2" t="str">
        <f>"Pacu (Piaractus mesopotamicus)"</f>
        <v>Pacu (Piaractus mesopotamicus)</v>
      </c>
    </row>
    <row r="203" spans="1:2">
      <c r="A203" s="1" t="str">
        <f>"0302.89.44"</f>
        <v>0302.89.44</v>
      </c>
      <c r="B203" s="2" t="str">
        <f>"Tambaqui (Colossoma macropomum)"</f>
        <v>Tambaqui (Colossoma macropomum)</v>
      </c>
    </row>
    <row r="204" spans="1:2">
      <c r="A204" s="1" t="str">
        <f>"0302.89.45"</f>
        <v>0302.89.45</v>
      </c>
      <c r="B204" s="2" t="str">
        <f>"Tambacu (hibrido de tambaqui e pacu"</f>
        <v>Tambacu (hibrido de tambaqui e pacu</v>
      </c>
    </row>
    <row r="205" spans="1:2">
      <c r="A205" s="1" t="str">
        <f>"0302.89.90"</f>
        <v>0302.89.90</v>
      </c>
      <c r="B205" s="2" t="str">
        <f>"Outros"</f>
        <v>Outros</v>
      </c>
    </row>
    <row r="206" spans="1:2">
      <c r="A206" s="1" t="str">
        <f>"0302.91.00"</f>
        <v>0302.91.00</v>
      </c>
      <c r="B206" s="2" t="str">
        <f>"Figados, ovas e gonadas masculinas"</f>
        <v>Figados, ovas e gonadas masculinas</v>
      </c>
    </row>
    <row r="207" spans="1:2">
      <c r="A207" s="1" t="str">
        <f>"0302.92.00"</f>
        <v>0302.92.00</v>
      </c>
      <c r="B207" s="2" t="str">
        <f>"Barbatanas de tubarao"</f>
        <v>Barbatanas de tubarao</v>
      </c>
    </row>
    <row r="208" spans="1:2">
      <c r="A208" s="1" t="str">
        <f>"0302.99.00"</f>
        <v>0302.99.00</v>
      </c>
      <c r="B208" s="2" t="str">
        <f>"Outros"</f>
        <v>Outros</v>
      </c>
    </row>
    <row r="209" spans="1:2">
      <c r="A209" s="1" t="str">
        <f>"0303.11.00"</f>
        <v>0303.11.00</v>
      </c>
      <c r="B209" s="2" t="str">
        <f>"Salmao-do-pacifico (salmao-vermelho"</f>
        <v>Salmao-do-pacifico (salmao-vermelho</v>
      </c>
    </row>
    <row r="210" spans="1:2">
      <c r="A210" s="1" t="str">
        <f>"0303.12.00"</f>
        <v>0303.12.00</v>
      </c>
      <c r="B210" s="2" t="str">
        <f>"Outros salmoes-do-pacifico (Oncorhy"</f>
        <v>Outros salmoes-do-pacifico (Oncorhy</v>
      </c>
    </row>
    <row r="211" spans="1:2">
      <c r="A211" s="1" t="str">
        <f>"0303.13.00"</f>
        <v>0303.13.00</v>
      </c>
      <c r="B211" s="2" t="str">
        <f>"Salmao-do-atlantico (Salmo salar) e"</f>
        <v>Salmao-do-atlantico (Salmo salar) e</v>
      </c>
    </row>
    <row r="212" spans="1:2">
      <c r="A212" s="1" t="str">
        <f>"0303.14.00"</f>
        <v>0303.14.00</v>
      </c>
      <c r="B212" s="2" t="str">
        <f>"Trutas (Salmo trutta, Oncorhynchus"</f>
        <v>Trutas (Salmo trutta, Oncorhynchus</v>
      </c>
    </row>
    <row r="213" spans="1:2">
      <c r="A213" s="1" t="str">
        <f>"0303.19.00"</f>
        <v>0303.19.00</v>
      </c>
      <c r="B213" s="2" t="str">
        <f>"Outros"</f>
        <v>Outros</v>
      </c>
    </row>
    <row r="214" spans="1:2">
      <c r="A214" s="1" t="str">
        <f>"0303.23.00"</f>
        <v>0303.23.00</v>
      </c>
      <c r="B214" s="2" t="str">
        <f>"Tilapias (Oreochromis spp.)"</f>
        <v>Tilapias (Oreochromis spp.)</v>
      </c>
    </row>
    <row r="215" spans="1:2">
      <c r="A215" s="1" t="str">
        <f>"0303.24.10"</f>
        <v>0303.24.10</v>
      </c>
      <c r="B215" s="2" t="str">
        <f>"Bagre americano (Ictalurus punctatu"</f>
        <v>Bagre americano (Ictalurus punctatu</v>
      </c>
    </row>
    <row r="216" spans="1:2">
      <c r="A216" s="1" t="str">
        <f>"0303.24.90"</f>
        <v>0303.24.90</v>
      </c>
      <c r="B216" s="2" t="str">
        <f>"Outros"</f>
        <v>Outros</v>
      </c>
    </row>
    <row r="217" spans="1:2">
      <c r="A217" s="1" t="str">
        <f>"0303.25.00"</f>
        <v>0303.25.00</v>
      </c>
      <c r="B217" s="2" t="str">
        <f>"Carpas (Cyprinus spp., Carassius sp"</f>
        <v>Carpas (Cyprinus spp., Carassius sp</v>
      </c>
    </row>
    <row r="218" spans="1:2">
      <c r="A218" s="1" t="str">
        <f>"0303.26.00"</f>
        <v>0303.26.00</v>
      </c>
      <c r="B218" s="2" t="str">
        <f>"Enguias (Anguilla spp.)"</f>
        <v>Enguias (Anguilla spp.)</v>
      </c>
    </row>
    <row r="219" spans="1:2">
      <c r="A219" s="1" t="str">
        <f>"0303.29.00"</f>
        <v>0303.29.00</v>
      </c>
      <c r="B219" s="2" t="str">
        <f>"Outros"</f>
        <v>Outros</v>
      </c>
    </row>
    <row r="220" spans="1:2">
      <c r="A220" s="1" t="str">
        <f>"0303.31.00"</f>
        <v>0303.31.00</v>
      </c>
      <c r="B220" s="2" t="str">
        <f>"Linguados-gigantes (Alabotes*) (Rei"</f>
        <v>Linguados-gigantes (Alabotes*) (Rei</v>
      </c>
    </row>
    <row r="221" spans="1:2">
      <c r="A221" s="1" t="str">
        <f>"0303.32.00"</f>
        <v>0303.32.00</v>
      </c>
      <c r="B221" s="2" t="str">
        <f>"Solha (Pleuronectes platessa)"</f>
        <v>Solha (Pleuronectes platessa)</v>
      </c>
    </row>
    <row r="222" spans="1:2">
      <c r="A222" s="1" t="str">
        <f>"0303.33.00"</f>
        <v>0303.33.00</v>
      </c>
      <c r="B222" s="2" t="str">
        <f>"Linguados (Solea spp.)"</f>
        <v>Linguados (Solea spp.)</v>
      </c>
    </row>
    <row r="223" spans="1:2">
      <c r="A223" s="1" t="str">
        <f>"0303.34.00"</f>
        <v>0303.34.00</v>
      </c>
      <c r="B223" s="2" t="str">
        <f>"Pregado (Psetta maxima)"</f>
        <v>Pregado (Psetta maxima)</v>
      </c>
    </row>
    <row r="224" spans="1:2">
      <c r="A224" s="1" t="str">
        <f>"0303.39.00"</f>
        <v>0303.39.00</v>
      </c>
      <c r="B224" s="2" t="str">
        <f>"Outros"</f>
        <v>Outros</v>
      </c>
    </row>
    <row r="225" spans="1:2">
      <c r="A225" s="1" t="str">
        <f>"0303.41.00"</f>
        <v>0303.41.00</v>
      </c>
      <c r="B225" s="2" t="str">
        <f>"Albacora-branca (Atum*) (Thunnus al"</f>
        <v>Albacora-branca (Atum*) (Thunnus al</v>
      </c>
    </row>
    <row r="226" spans="1:2">
      <c r="A226" s="1" t="str">
        <f>"0303.42.00"</f>
        <v>0303.42.00</v>
      </c>
      <c r="B226" s="2" t="str">
        <f>"Albacora-laje (Atum*) (Thunnus alba"</f>
        <v>Albacora-laje (Atum*) (Thunnus alba</v>
      </c>
    </row>
    <row r="227" spans="1:2">
      <c r="A227" s="1" t="str">
        <f>"0303.43.00"</f>
        <v>0303.43.00</v>
      </c>
      <c r="B227" s="2" t="str">
        <f>"Bonito-listrado (Gaiado*)"</f>
        <v>Bonito-listrado (Gaiado*)</v>
      </c>
    </row>
    <row r="228" spans="1:2">
      <c r="A228" s="1" t="str">
        <f>"0303.44.00"</f>
        <v>0303.44.00</v>
      </c>
      <c r="B228" s="2" t="str">
        <f>"Albacora-bandolim (Atum*) (Thunnus"</f>
        <v>Albacora-bandolim (Atum*) (Thunnus</v>
      </c>
    </row>
    <row r="229" spans="1:2">
      <c r="A229" s="1" t="str">
        <f>"0303.45.00"</f>
        <v>0303.45.00</v>
      </c>
      <c r="B229" s="2" t="str">
        <f>"Atuns-azuis (Atuns*) (Thunnus thynn"</f>
        <v>Atuns-azuis (Atuns*) (Thunnus thynn</v>
      </c>
    </row>
    <row r="230" spans="1:2">
      <c r="A230" s="1" t="str">
        <f>"0303.46.00"</f>
        <v>0303.46.00</v>
      </c>
      <c r="B230" s="2" t="str">
        <f>"Atum-azul do sul (Atum*) (Thunnus m"</f>
        <v>Atum-azul do sul (Atum*) (Thunnus m</v>
      </c>
    </row>
    <row r="231" spans="1:2">
      <c r="A231" s="1" t="str">
        <f>"0303.49.00"</f>
        <v>0303.49.00</v>
      </c>
      <c r="B231" s="2" t="str">
        <f>"Outros"</f>
        <v>Outros</v>
      </c>
    </row>
    <row r="232" spans="1:2">
      <c r="A232" s="1" t="str">
        <f>"0303.51.00"</f>
        <v>0303.51.00</v>
      </c>
      <c r="B232" s="2" t="str">
        <f>"Arenques (Clupea harengus, Clupea p"</f>
        <v>Arenques (Clupea harengus, Clupea p</v>
      </c>
    </row>
    <row r="233" spans="1:2">
      <c r="A233" s="1" t="str">
        <f>"0303.53.00"</f>
        <v>0303.53.00</v>
      </c>
      <c r="B233" s="2" t="str">
        <f>"Sardinhas (Sardina pilchardus, Sard"</f>
        <v>Sardinhas (Sardina pilchardus, Sard</v>
      </c>
    </row>
    <row r="234" spans="1:2">
      <c r="A234" s="1" t="str">
        <f>"0303.54.00"</f>
        <v>0303.54.00</v>
      </c>
      <c r="B234" s="2" t="str">
        <f>"Cavalinhas (Sardas e cavalas*) (Sco"</f>
        <v>Cavalinhas (Sardas e cavalas*) (Sco</v>
      </c>
    </row>
    <row r="235" spans="1:2">
      <c r="A235" s="1" t="str">
        <f>"0303.55.00"</f>
        <v>0303.55.00</v>
      </c>
      <c r="B235" s="2" t="str">
        <f>"Carapaus (Trachurus spp.)"</f>
        <v>Carapaus (Trachurus spp.)</v>
      </c>
    </row>
    <row r="236" spans="1:2">
      <c r="A236" s="1" t="str">
        <f>"0303.56.00"</f>
        <v>0303.56.00</v>
      </c>
      <c r="B236" s="2" t="str">
        <f>"Bijupira (Cobia*) (Rachycentron can"</f>
        <v>Bijupira (Cobia*) (Rachycentron can</v>
      </c>
    </row>
    <row r="237" spans="1:2">
      <c r="A237" s="1" t="str">
        <f>"0303.57.00"</f>
        <v>0303.57.00</v>
      </c>
      <c r="B237" s="2" t="str">
        <f>"Espadarte (Xiphias gladius)"</f>
        <v>Espadarte (Xiphias gladius)</v>
      </c>
    </row>
    <row r="238" spans="1:2">
      <c r="A238" s="1" t="str">
        <f>"0303.59.10"</f>
        <v>0303.59.10</v>
      </c>
      <c r="B238" s="2" t="str">
        <f>"Espadins, marlins, veleiros (Istiop"</f>
        <v>Espadins, marlins, veleiros (Istiop</v>
      </c>
    </row>
    <row r="239" spans="1:2">
      <c r="A239" s="1" t="str">
        <f>"0303.59.20"</f>
        <v>0303.59.20</v>
      </c>
      <c r="B239" s="2" t="str">
        <f>"Anchoita (Engraulis anchoita)"</f>
        <v>Anchoita (Engraulis anchoita)</v>
      </c>
    </row>
    <row r="240" spans="1:2">
      <c r="A240" s="1" t="str">
        <f>"0303.59.90"</f>
        <v>0303.59.90</v>
      </c>
      <c r="B240" s="2" t="str">
        <f>"Outros"</f>
        <v>Outros</v>
      </c>
    </row>
    <row r="241" spans="1:2">
      <c r="A241" s="1" t="str">
        <f>"0303.63.00"</f>
        <v>0303.63.00</v>
      </c>
      <c r="B241" s="2" t="str">
        <f>"Bacalhau-do-atlantico (Gadus morhua"</f>
        <v>Bacalhau-do-atlantico (Gadus morhua</v>
      </c>
    </row>
    <row r="242" spans="1:2">
      <c r="A242" s="1" t="str">
        <f>"0303.64.00"</f>
        <v>0303.64.00</v>
      </c>
      <c r="B242" s="2" t="str">
        <f>"Haddock ou lubina (Arinca*) (Melano"</f>
        <v>Haddock ou lubina (Arinca*) (Melano</v>
      </c>
    </row>
    <row r="243" spans="1:2">
      <c r="A243" s="1" t="str">
        <f>"0303.65.00"</f>
        <v>0303.65.00</v>
      </c>
      <c r="B243" s="2" t="str">
        <f>"Saithe (Escamudo*) (Pollachius vire"</f>
        <v>Saithe (Escamudo*) (Pollachius vire</v>
      </c>
    </row>
    <row r="244" spans="1:2">
      <c r="A244" s="1" t="str">
        <f>"0303.66.00"</f>
        <v>0303.66.00</v>
      </c>
      <c r="B244" s="2" t="str">
        <f>"Merluzas (Pescadas*) e abroteas (Me"</f>
        <v>Merluzas (Pescadas*) e abroteas (Me</v>
      </c>
    </row>
    <row r="245" spans="1:2">
      <c r="A245" s="1" t="str">
        <f>"0303.67.00"</f>
        <v>0303.67.00</v>
      </c>
      <c r="B245" s="2" t="str">
        <f>"Polaca-do-alasca (Escamudo-do-alasc"</f>
        <v>Polaca-do-alasca (Escamudo-do-alasc</v>
      </c>
    </row>
    <row r="246" spans="1:2">
      <c r="A246" s="1" t="str">
        <f>"0303.68.00"</f>
        <v>0303.68.00</v>
      </c>
      <c r="B246" s="2" t="str">
        <f>"Verdinhos (Micromesistius poutassou"</f>
        <v>Verdinhos (Micromesistius poutassou</v>
      </c>
    </row>
    <row r="247" spans="1:2">
      <c r="A247" s="1" t="str">
        <f>"0303.69.10"</f>
        <v>0303.69.10</v>
      </c>
      <c r="B247" s="2" t="str">
        <f>"Merluza rosada (Macruronus magellan"</f>
        <v>Merluza rosada (Macruronus magellan</v>
      </c>
    </row>
    <row r="248" spans="1:2">
      <c r="A248" s="1" t="str">
        <f>"0303.69.90"</f>
        <v>0303.69.90</v>
      </c>
      <c r="B248" s="2" t="str">
        <f>"Outros"</f>
        <v>Outros</v>
      </c>
    </row>
    <row r="249" spans="1:2">
      <c r="A249" s="1" t="str">
        <f>"0303.81.11"</f>
        <v>0303.81.11</v>
      </c>
      <c r="B249" s="2" t="str">
        <f>"Inteiro"</f>
        <v>Inteiro</v>
      </c>
    </row>
    <row r="250" spans="1:2">
      <c r="A250" s="1" t="str">
        <f>"0303.81.12"</f>
        <v>0303.81.12</v>
      </c>
      <c r="B250" s="2" t="str">
        <f>"Eviscerado, sem cabeca e sem barbat"</f>
        <v>Eviscerado, sem cabeca e sem barbat</v>
      </c>
    </row>
    <row r="251" spans="1:2">
      <c r="A251" s="1" t="str">
        <f>"0303.81.13"</f>
        <v>0303.81.13</v>
      </c>
      <c r="B251" s="2" t="str">
        <f>"Em pedacos, com pele"</f>
        <v>Em pedacos, com pele</v>
      </c>
    </row>
    <row r="252" spans="1:2">
      <c r="A252" s="1" t="str">
        <f>"0303.81.14"</f>
        <v>0303.81.14</v>
      </c>
      <c r="B252" s="2" t="str">
        <f>"Em pedacos, sem pele"</f>
        <v>Em pedacos, sem pele</v>
      </c>
    </row>
    <row r="253" spans="1:2">
      <c r="A253" s="1" t="str">
        <f>"0303.81.19"</f>
        <v>0303.81.19</v>
      </c>
      <c r="B253" s="2" t="str">
        <f>"Outros"</f>
        <v>Outros</v>
      </c>
    </row>
    <row r="254" spans="1:2">
      <c r="A254" s="1" t="str">
        <f>"0303.81.90"</f>
        <v>0303.81.90</v>
      </c>
      <c r="B254" s="2" t="str">
        <f>"Outros"</f>
        <v>Outros</v>
      </c>
    </row>
    <row r="255" spans="1:2">
      <c r="A255" s="1" t="str">
        <f>"0303.82.00"</f>
        <v>0303.82.00</v>
      </c>
      <c r="B255" s="2" t="str">
        <f>"Raias (Rajidae)"</f>
        <v>Raias (Rajidae)</v>
      </c>
    </row>
    <row r="256" spans="1:2">
      <c r="A256" s="1" t="str">
        <f>"0303.83.11"</f>
        <v>0303.83.11</v>
      </c>
      <c r="B256" s="2" t="str">
        <f>"Evisceradas, sem cabeca e sem cauda"</f>
        <v>Evisceradas, sem cabeca e sem cauda</v>
      </c>
    </row>
    <row r="257" spans="1:2">
      <c r="A257" s="1" t="str">
        <f>"0303.83.19"</f>
        <v>0303.83.19</v>
      </c>
      <c r="B257" s="2" t="str">
        <f>"Outras"</f>
        <v>Outras</v>
      </c>
    </row>
    <row r="258" spans="1:2">
      <c r="A258" s="1" t="str">
        <f>"0303.83.21"</f>
        <v>0303.83.21</v>
      </c>
      <c r="B258" s="2" t="str">
        <f>"Evisceradas, sem cabeca e sem cauda"</f>
        <v>Evisceradas, sem cabeca e sem cauda</v>
      </c>
    </row>
    <row r="259" spans="1:2">
      <c r="A259" s="1" t="str">
        <f>"0303.83.29"</f>
        <v>0303.83.29</v>
      </c>
      <c r="B259" s="2" t="str">
        <f>"Outras"</f>
        <v>Outras</v>
      </c>
    </row>
    <row r="260" spans="1:2">
      <c r="A260" s="1" t="str">
        <f>"0303.84.00"</f>
        <v>0303.84.00</v>
      </c>
      <c r="B260" s="2" t="str">
        <f>"Robalos (Dicentrarchus spp.)"</f>
        <v>Robalos (Dicentrarchus spp.)</v>
      </c>
    </row>
    <row r="261" spans="1:2">
      <c r="A261" s="1" t="str">
        <f>"0303.89.10"</f>
        <v>0303.89.10</v>
      </c>
      <c r="B261" s="2" t="str">
        <f>"Corvina (Micropogonias furnieri)"</f>
        <v>Corvina (Micropogonias furnieri)</v>
      </c>
    </row>
    <row r="262" spans="1:2">
      <c r="A262" s="1" t="str">
        <f>"0303.89.20"</f>
        <v>0303.89.20</v>
      </c>
      <c r="B262" s="2" t="str">
        <f>"Pescadas (Cynoscion spp.)"</f>
        <v>Pescadas (Cynoscion spp.)</v>
      </c>
    </row>
    <row r="263" spans="1:2">
      <c r="A263" s="1" t="str">
        <f>"0303.89.32"</f>
        <v>0303.89.32</v>
      </c>
      <c r="B263" s="2" t="str">
        <f>"Pargo (Lutjanus purpureus)"</f>
        <v>Pargo (Lutjanus purpureus)</v>
      </c>
    </row>
    <row r="264" spans="1:2">
      <c r="A264" s="1" t="str">
        <f>"0303.89.33"</f>
        <v>0303.89.33</v>
      </c>
      <c r="B264" s="2" t="str">
        <f>"Peixe-sapo (Lophius gastrophysus)"</f>
        <v>Peixe-sapo (Lophius gastrophysus)</v>
      </c>
    </row>
    <row r="265" spans="1:2">
      <c r="A265" s="1" t="str">
        <f>"0303.89.41"</f>
        <v>0303.89.41</v>
      </c>
      <c r="B265" s="2" t="str">
        <f>"Cherne-poveiro (Polyprion americanu"</f>
        <v>Cherne-poveiro (Polyprion americanu</v>
      </c>
    </row>
    <row r="266" spans="1:2">
      <c r="A266" s="1" t="str">
        <f>"0303.89.42"</f>
        <v>0303.89.42</v>
      </c>
      <c r="B266" s="2" t="str">
        <f>"Garoupas (Acanthistius spp.)"</f>
        <v>Garoupas (Acanthistius spp.)</v>
      </c>
    </row>
    <row r="267" spans="1:2">
      <c r="A267" s="1" t="str">
        <f>"0303.89.43"</f>
        <v>0303.89.43</v>
      </c>
      <c r="B267" s="2" t="str">
        <f>"Tainhas (Mugil spp.)"</f>
        <v>Tainhas (Mugil spp.)</v>
      </c>
    </row>
    <row r="268" spans="1:2">
      <c r="A268" s="1" t="str">
        <f>"0303.89.44"</f>
        <v>0303.89.44</v>
      </c>
      <c r="B268" s="2" t="str">
        <f>"Esturjoes (Acipenser baerii, Acipen"</f>
        <v>Esturjoes (Acipenser baerii, Acipen</v>
      </c>
    </row>
    <row r="269" spans="1:2">
      <c r="A269" s="1" t="str">
        <f>"0303.89.45"</f>
        <v>0303.89.45</v>
      </c>
      <c r="B269" s="2" t="str">
        <f>"Peixes-rei (Atherina spp.)"</f>
        <v>Peixes-rei (Atherina spp.)</v>
      </c>
    </row>
    <row r="270" spans="1:2">
      <c r="A270" s="1" t="str">
        <f>"0303.89.46"</f>
        <v>0303.89.46</v>
      </c>
      <c r="B270" s="2" t="str">
        <f>"Nototenias (Patagonotothen spp.)"</f>
        <v>Nototenias (Patagonotothen spp.)</v>
      </c>
    </row>
    <row r="271" spans="1:2">
      <c r="A271" s="1" t="str">
        <f>"0303.89.51"</f>
        <v>0303.89.51</v>
      </c>
      <c r="B271" s="2" t="str">
        <f>"Curimatas (Prochilodus spp.)"</f>
        <v>Curimatas (Prochilodus spp.)</v>
      </c>
    </row>
    <row r="272" spans="1:2">
      <c r="A272" s="1" t="str">
        <f>"0303.89.52"</f>
        <v>0303.89.52</v>
      </c>
      <c r="B272" s="2" t="str">
        <f>"Tilapias (Tilapia spp., Sarotherodo"</f>
        <v>Tilapias (Tilapia spp., Sarotherodo</v>
      </c>
    </row>
    <row r="273" spans="1:2">
      <c r="A273" s="1" t="str">
        <f>"0303.89.53"</f>
        <v>0303.89.53</v>
      </c>
      <c r="B273" s="2" t="str">
        <f>"Surubins (Pseudoplatystoma spp.)"</f>
        <v>Surubins (Pseudoplatystoma spp.)</v>
      </c>
    </row>
    <row r="274" spans="1:2">
      <c r="A274" s="1" t="str">
        <f>"0303.89.54"</f>
        <v>0303.89.54</v>
      </c>
      <c r="B274" s="2" t="str">
        <f>"Traira (Hoplias malabaricus &amp; H. cf"</f>
        <v>Traira (Hoplias malabaricus &amp; H. cf</v>
      </c>
    </row>
    <row r="275" spans="1:2">
      <c r="A275" s="1" t="str">
        <f>"0303.89.55"</f>
        <v>0303.89.55</v>
      </c>
      <c r="B275" s="2" t="str">
        <f>"Piaus (Leporinus spp.)"</f>
        <v>Piaus (Leporinus spp.)</v>
      </c>
    </row>
    <row r="276" spans="1:2">
      <c r="A276" s="1" t="str">
        <f>"0303.89.56"</f>
        <v>0303.89.56</v>
      </c>
      <c r="B276" s="2" t="str">
        <f>"Pirarucu (Arapaima gigas)"</f>
        <v>Pirarucu (Arapaima gigas)</v>
      </c>
    </row>
    <row r="277" spans="1:2">
      <c r="A277" s="1" t="str">
        <f>"0303.89.61"</f>
        <v>0303.89.61</v>
      </c>
      <c r="B277" s="2" t="str">
        <f>"Piramutaba (Brachyplatystoma vailla"</f>
        <v>Piramutaba (Brachyplatystoma vailla</v>
      </c>
    </row>
    <row r="278" spans="1:2">
      <c r="A278" s="1" t="str">
        <f>"0303.89.62"</f>
        <v>0303.89.62</v>
      </c>
      <c r="B278" s="2" t="str">
        <f>"Dourada (Brachyplatystoma flavicans"</f>
        <v>Dourada (Brachyplatystoma flavicans</v>
      </c>
    </row>
    <row r="279" spans="1:2">
      <c r="A279" s="1" t="str">
        <f>"0303.89.63"</f>
        <v>0303.89.63</v>
      </c>
      <c r="B279" s="2" t="str">
        <f>"Pacu (Piaractus mesopotamicus)"</f>
        <v>Pacu (Piaractus mesopotamicus)</v>
      </c>
    </row>
    <row r="280" spans="1:2">
      <c r="A280" s="1" t="str">
        <f>"0303.89.64"</f>
        <v>0303.89.64</v>
      </c>
      <c r="B280" s="2" t="str">
        <f>"Tambaqui (Colossoma macropomum)"</f>
        <v>Tambaqui (Colossoma macropomum)</v>
      </c>
    </row>
    <row r="281" spans="1:2">
      <c r="A281" s="1" t="str">
        <f>"0303.89.65"</f>
        <v>0303.89.65</v>
      </c>
      <c r="B281" s="2" t="str">
        <f>"Tambacu (hibrido de tambaqui e pacu"</f>
        <v>Tambacu (hibrido de tambaqui e pacu</v>
      </c>
    </row>
    <row r="282" spans="1:2">
      <c r="A282" s="1" t="str">
        <f>"0303.89.90"</f>
        <v>0303.89.90</v>
      </c>
      <c r="B282" s="2" t="str">
        <f>"Outros"</f>
        <v>Outros</v>
      </c>
    </row>
    <row r="283" spans="1:2">
      <c r="A283" s="1" t="str">
        <f>"0303.91.00"</f>
        <v>0303.91.00</v>
      </c>
      <c r="B283" s="2" t="str">
        <f>"Figados, ovas e gonadas masculinas"</f>
        <v>Figados, ovas e gonadas masculinas</v>
      </c>
    </row>
    <row r="284" spans="1:2">
      <c r="A284" s="1" t="str">
        <f>"0303.92.00"</f>
        <v>0303.92.00</v>
      </c>
      <c r="B284" s="2" t="str">
        <f>"Barbatanas de tubarao"</f>
        <v>Barbatanas de tubarao</v>
      </c>
    </row>
    <row r="285" spans="1:2">
      <c r="A285" s="1" t="str">
        <f>"0303.99.10"</f>
        <v>0303.99.10</v>
      </c>
      <c r="B285" s="2" t="str">
        <f>"Cabecas de Merluza negra (Dissostic"</f>
        <v>Cabecas de Merluza negra (Dissostic</v>
      </c>
    </row>
    <row r="286" spans="1:2">
      <c r="A286" s="1" t="str">
        <f>"0303.99.20"</f>
        <v>0303.99.20</v>
      </c>
      <c r="B286" s="2" t="str">
        <f>"Cabecas de Merluza antartica (Disso"</f>
        <v>Cabecas de Merluza antartica (Disso</v>
      </c>
    </row>
    <row r="287" spans="1:2">
      <c r="A287" s="1" t="str">
        <f>"0303.99.90"</f>
        <v>0303.99.90</v>
      </c>
      <c r="B287" s="2" t="str">
        <f>"Outros"</f>
        <v>Outros</v>
      </c>
    </row>
    <row r="288" spans="1:2">
      <c r="A288" s="1" t="str">
        <f>"0304.31.00"</f>
        <v>0304.31.00</v>
      </c>
      <c r="B288" s="2" t="str">
        <f>"Tilapias (Oreochromis spp.)"</f>
        <v>Tilapias (Oreochromis spp.)</v>
      </c>
    </row>
    <row r="289" spans="1:2">
      <c r="A289" s="1" t="str">
        <f>"0304.32.10"</f>
        <v>0304.32.10</v>
      </c>
      <c r="B289" s="2" t="str">
        <f>"Bagre americano (Ictalurus punctatu"</f>
        <v>Bagre americano (Ictalurus punctatu</v>
      </c>
    </row>
    <row r="290" spans="1:2">
      <c r="A290" s="1" t="str">
        <f>"0304.32.90"</f>
        <v>0304.32.90</v>
      </c>
      <c r="B290" s="2" t="str">
        <f>"Outros"</f>
        <v>Outros</v>
      </c>
    </row>
    <row r="291" spans="1:2">
      <c r="A291" s="1" t="str">
        <f>"0304.33.00"</f>
        <v>0304.33.00</v>
      </c>
      <c r="B291" s="2" t="str">
        <f>"Perca-do-nilo (Lates niloticus)"</f>
        <v>Perca-do-nilo (Lates niloticus)</v>
      </c>
    </row>
    <row r="292" spans="1:2">
      <c r="A292" s="1" t="str">
        <f>"0304.39.00"</f>
        <v>0304.39.00</v>
      </c>
      <c r="B292" s="2" t="str">
        <f>"Outros"</f>
        <v>Outros</v>
      </c>
    </row>
    <row r="293" spans="1:2">
      <c r="A293" s="1" t="str">
        <f>"0304.41.00"</f>
        <v>0304.41.00</v>
      </c>
      <c r="B293" s="2" t="str">
        <f>"Salmoes-do-pacifico (Oncorhynchus n"</f>
        <v>Salmoes-do-pacifico (Oncorhynchus n</v>
      </c>
    </row>
    <row r="294" spans="1:2">
      <c r="A294" s="1" t="str">
        <f>"0304.42.00"</f>
        <v>0304.42.00</v>
      </c>
      <c r="B294" s="2" t="str">
        <f>"Trutas (Salmo trutta, Oncorhynchus"</f>
        <v>Trutas (Salmo trutta, Oncorhynchus</v>
      </c>
    </row>
    <row r="295" spans="1:2">
      <c r="A295" s="1" t="str">
        <f>"0304.43.00"</f>
        <v>0304.43.00</v>
      </c>
      <c r="B295" s="2" t="str">
        <f>"Peixes chatos (Pleuronectidae, Both"</f>
        <v>Peixes chatos (Pleuronectidae, Both</v>
      </c>
    </row>
    <row r="296" spans="1:2">
      <c r="A296" s="1" t="str">
        <f>"0304.44.00"</f>
        <v>0304.44.00</v>
      </c>
      <c r="B296" s="2" t="str">
        <f>"Peixes das familias Bregmacerotidae"</f>
        <v>Peixes das familias Bregmacerotidae</v>
      </c>
    </row>
    <row r="297" spans="1:2">
      <c r="A297" s="1" t="str">
        <f>"0304.45.00"</f>
        <v>0304.45.00</v>
      </c>
      <c r="B297" s="2" t="str">
        <f>"Espadarte (Xiphias gladius)"</f>
        <v>Espadarte (Xiphias gladius)</v>
      </c>
    </row>
    <row r="298" spans="1:2">
      <c r="A298" s="1" t="str">
        <f>"0304.46.00"</f>
        <v>0304.46.00</v>
      </c>
      <c r="B298" s="2" t="str">
        <f>"Merluza negra e merluza antartica ("</f>
        <v>Merluza negra e merluza antartica (</v>
      </c>
    </row>
    <row r="299" spans="1:2">
      <c r="A299" s="1" t="str">
        <f>"0304.47.00"</f>
        <v>0304.47.00</v>
      </c>
      <c r="B299" s="2" t="str">
        <f>"Cacao e outros tubaroes"</f>
        <v>Cacao e outros tubaroes</v>
      </c>
    </row>
    <row r="300" spans="1:2">
      <c r="A300" s="1" t="str">
        <f>"0304.48.00"</f>
        <v>0304.48.00</v>
      </c>
      <c r="B300" s="2" t="str">
        <f>"Raias (Rajidae)"</f>
        <v>Raias (Rajidae)</v>
      </c>
    </row>
    <row r="301" spans="1:2">
      <c r="A301" s="1" t="str">
        <f>"0304.49.10"</f>
        <v>0304.49.10</v>
      </c>
      <c r="B301" s="2" t="str">
        <f>"Cherne-poveiro (Polyprion americanu"</f>
        <v>Cherne-poveiro (Polyprion americanu</v>
      </c>
    </row>
    <row r="302" spans="1:2">
      <c r="A302" s="1" t="str">
        <f>"0304.49.20"</f>
        <v>0304.49.20</v>
      </c>
      <c r="B302" s="2" t="str">
        <f>"Garoupas (Acanthistius spp.)"</f>
        <v>Garoupas (Acanthistius spp.)</v>
      </c>
    </row>
    <row r="303" spans="1:2">
      <c r="A303" s="1" t="str">
        <f>"0304.49.90"</f>
        <v>0304.49.90</v>
      </c>
      <c r="B303" s="2" t="str">
        <f>"Outros"</f>
        <v>Outros</v>
      </c>
    </row>
    <row r="304" spans="1:2">
      <c r="A304" s="1" t="str">
        <f>"0304.51.00"</f>
        <v>0304.51.00</v>
      </c>
      <c r="B304" s="2" t="str">
        <f>"Tilapias (Oreochromis spp.), bagres"</f>
        <v>Tilapias (Oreochromis spp.), bagres</v>
      </c>
    </row>
    <row r="305" spans="1:2">
      <c r="A305" s="1" t="str">
        <f>"0304.52.00"</f>
        <v>0304.52.00</v>
      </c>
      <c r="B305" s="2" t="str">
        <f>"Salmonideos"</f>
        <v>Salmonideos</v>
      </c>
    </row>
    <row r="306" spans="1:2">
      <c r="A306" s="1" t="str">
        <f>"0304.53.00"</f>
        <v>0304.53.00</v>
      </c>
      <c r="B306" s="2" t="str">
        <f>"Peixes das familias Bregmacerotidae"</f>
        <v>Peixes das familias Bregmacerotidae</v>
      </c>
    </row>
    <row r="307" spans="1:2">
      <c r="A307" s="1" t="str">
        <f>"0304.54.00"</f>
        <v>0304.54.00</v>
      </c>
      <c r="B307" s="2" t="str">
        <f>"Espadarte (Xiphias gladius)"</f>
        <v>Espadarte (Xiphias gladius)</v>
      </c>
    </row>
    <row r="308" spans="1:2">
      <c r="A308" s="1" t="str">
        <f>"0304.55.00"</f>
        <v>0304.55.00</v>
      </c>
      <c r="B308" s="2" t="str">
        <f>"Merluza negra e merluza antartica ("</f>
        <v>Merluza negra e merluza antartica (</v>
      </c>
    </row>
    <row r="309" spans="1:2">
      <c r="A309" s="1" t="str">
        <f>"0304.56.00"</f>
        <v>0304.56.00</v>
      </c>
      <c r="B309" s="2" t="str">
        <f>"Cacao e outros tubaroes"</f>
        <v>Cacao e outros tubaroes</v>
      </c>
    </row>
    <row r="310" spans="1:2">
      <c r="A310" s="1" t="str">
        <f>"0304.57.00"</f>
        <v>0304.57.00</v>
      </c>
      <c r="B310" s="2" t="str">
        <f>"Raias (Rajidae)"</f>
        <v>Raias (Rajidae)</v>
      </c>
    </row>
    <row r="311" spans="1:2">
      <c r="A311" s="1" t="str">
        <f>"0304.59.00"</f>
        <v>0304.59.00</v>
      </c>
      <c r="B311" s="2" t="str">
        <f>"Outros"</f>
        <v>Outros</v>
      </c>
    </row>
    <row r="312" spans="1:2">
      <c r="A312" s="1" t="str">
        <f>"0304.61.00"</f>
        <v>0304.61.00</v>
      </c>
      <c r="B312" s="2" t="str">
        <f>"Tilapias (Oreochromis spp.)"</f>
        <v>Tilapias (Oreochromis spp.)</v>
      </c>
    </row>
    <row r="313" spans="1:2">
      <c r="A313" s="1" t="str">
        <f>"0304.62.10"</f>
        <v>0304.62.10</v>
      </c>
      <c r="B313" s="2" t="str">
        <f>"Bagre americano (Ictalurus punctatu"</f>
        <v>Bagre americano (Ictalurus punctatu</v>
      </c>
    </row>
    <row r="314" spans="1:2">
      <c r="A314" s="1" t="str">
        <f>"0304.62.90"</f>
        <v>0304.62.90</v>
      </c>
      <c r="B314" s="2" t="str">
        <f>"Outros"</f>
        <v>Outros</v>
      </c>
    </row>
    <row r="315" spans="1:2">
      <c r="A315" s="1" t="str">
        <f>"0304.63.00"</f>
        <v>0304.63.00</v>
      </c>
      <c r="B315" s="2" t="str">
        <f>"Perca-do-nilo (Lates niloticus)"</f>
        <v>Perca-do-nilo (Lates niloticus)</v>
      </c>
    </row>
    <row r="316" spans="1:2">
      <c r="A316" s="1" t="str">
        <f>"0304.69.00"</f>
        <v>0304.69.00</v>
      </c>
      <c r="B316" s="2" t="str">
        <f>"Outros"</f>
        <v>Outros</v>
      </c>
    </row>
    <row r="317" spans="1:2">
      <c r="A317" s="1" t="str">
        <f>"0304.71.00"</f>
        <v>0304.71.00</v>
      </c>
      <c r="B317" s="2" t="str">
        <f>"Bacalhau-do-atlantico (Gadus morhua"</f>
        <v>Bacalhau-do-atlantico (Gadus morhua</v>
      </c>
    </row>
    <row r="318" spans="1:2">
      <c r="A318" s="1" t="str">
        <f>"0304.72.00"</f>
        <v>0304.72.00</v>
      </c>
      <c r="B318" s="2" t="str">
        <f>"Haddock ou lubina (Arinca*) (Melano"</f>
        <v>Haddock ou lubina (Arinca*) (Melano</v>
      </c>
    </row>
    <row r="319" spans="1:2">
      <c r="A319" s="1" t="str">
        <f>"0304.73.00"</f>
        <v>0304.73.00</v>
      </c>
      <c r="B319" s="2" t="str">
        <f>"Saithe (Escamudo*) (Pollachius vire"</f>
        <v>Saithe (Escamudo*) (Pollachius vire</v>
      </c>
    </row>
    <row r="320" spans="1:2">
      <c r="A320" s="1" t="str">
        <f>"0304.74.00"</f>
        <v>0304.74.00</v>
      </c>
      <c r="B320" s="2" t="str">
        <f>"Merluzas (Pescadas*) e abroteas (Me"</f>
        <v>Merluzas (Pescadas*) e abroteas (Me</v>
      </c>
    </row>
    <row r="321" spans="1:2">
      <c r="A321" s="1" t="str">
        <f>"0304.75.00"</f>
        <v>0304.75.00</v>
      </c>
      <c r="B321" s="2" t="str">
        <f>"Polaca-do-alasca (Escamudo-do-alasc"</f>
        <v>Polaca-do-alasca (Escamudo-do-alasc</v>
      </c>
    </row>
    <row r="322" spans="1:2">
      <c r="A322" s="1" t="str">
        <f>"0304.79.00"</f>
        <v>0304.79.00</v>
      </c>
      <c r="B322" s="2" t="str">
        <f>"Outros"</f>
        <v>Outros</v>
      </c>
    </row>
    <row r="323" spans="1:2">
      <c r="A323" s="1" t="str">
        <f>"0304.81.00"</f>
        <v>0304.81.00</v>
      </c>
      <c r="B323" s="2" t="str">
        <f>"Salmoes-do-pacifico (Oncorhynchus n"</f>
        <v>Salmoes-do-pacifico (Oncorhynchus n</v>
      </c>
    </row>
    <row r="324" spans="1:2">
      <c r="A324" s="1" t="str">
        <f>"0304.82.00"</f>
        <v>0304.82.00</v>
      </c>
      <c r="B324" s="2" t="str">
        <f>"Trutas (Salmo trutta, Oncorhynchus"</f>
        <v>Trutas (Salmo trutta, Oncorhynchus</v>
      </c>
    </row>
    <row r="325" spans="1:2">
      <c r="A325" s="1" t="str">
        <f>"0304.83.00"</f>
        <v>0304.83.00</v>
      </c>
      <c r="B325" s="2" t="str">
        <f>"Peixes chatos (Pleuronectidae, Both"</f>
        <v>Peixes chatos (Pleuronectidae, Both</v>
      </c>
    </row>
    <row r="326" spans="1:2">
      <c r="A326" s="1" t="str">
        <f>"0304.84.00"</f>
        <v>0304.84.00</v>
      </c>
      <c r="B326" s="2" t="str">
        <f>"Espadarte (Xiphias gladius)"</f>
        <v>Espadarte (Xiphias gladius)</v>
      </c>
    </row>
    <row r="327" spans="1:2">
      <c r="A327" s="1" t="str">
        <f>"0304.85.10"</f>
        <v>0304.85.10</v>
      </c>
      <c r="B327" s="2" t="str">
        <f>"Merluza negra (Dissostichus elegino"</f>
        <v>Merluza negra (Dissostichus elegino</v>
      </c>
    </row>
    <row r="328" spans="1:2">
      <c r="A328" s="1" t="str">
        <f>"0304.85.20"</f>
        <v>0304.85.20</v>
      </c>
      <c r="B328" s="2" t="str">
        <f>"Merluza antartica (Dissostichus maw"</f>
        <v>Merluza antartica (Dissostichus maw</v>
      </c>
    </row>
    <row r="329" spans="1:2">
      <c r="A329" s="1" t="str">
        <f>"0304.86.00"</f>
        <v>0304.86.00</v>
      </c>
      <c r="B329" s="2" t="str">
        <f>"Arenques (Clupea harengus, Clupea p"</f>
        <v>Arenques (Clupea harengus, Clupea p</v>
      </c>
    </row>
    <row r="330" spans="1:2">
      <c r="A330" s="1" t="str">
        <f>"0304.87.00"</f>
        <v>0304.87.00</v>
      </c>
      <c r="B330" s="2" t="str">
        <f>"Atuns (do genero Thunnus), bonito-l"</f>
        <v>Atuns (do genero Thunnus), bonito-l</v>
      </c>
    </row>
    <row r="331" spans="1:2">
      <c r="A331" s="1" t="str">
        <f>"0304.88.10"</f>
        <v>0304.88.10</v>
      </c>
      <c r="B331" s="2" t="str">
        <f>"Tubarao-azul (Prionace glauca)"</f>
        <v>Tubarao-azul (Prionace glauca)</v>
      </c>
    </row>
    <row r="332" spans="1:2">
      <c r="A332" s="1" t="str">
        <f>"0304.88.90"</f>
        <v>0304.88.90</v>
      </c>
      <c r="B332" s="2" t="str">
        <f>"Outros"</f>
        <v>Outros</v>
      </c>
    </row>
    <row r="333" spans="1:2">
      <c r="A333" s="1" t="str">
        <f>"0304.89.10"</f>
        <v>0304.89.10</v>
      </c>
      <c r="B333" s="2" t="str">
        <f>"Pargo (Lutjanus purpureus)"</f>
        <v>Pargo (Lutjanus purpureus)</v>
      </c>
    </row>
    <row r="334" spans="1:2">
      <c r="A334" s="1" t="str">
        <f>"0304.89.20"</f>
        <v>0304.89.20</v>
      </c>
      <c r="B334" s="2" t="str">
        <f>"Cherne-poveiro (Polyprion americanu"</f>
        <v>Cherne-poveiro (Polyprion americanu</v>
      </c>
    </row>
    <row r="335" spans="1:2">
      <c r="A335" s="1" t="str">
        <f>"0304.89.30"</f>
        <v>0304.89.30</v>
      </c>
      <c r="B335" s="2" t="str">
        <f>"Garoupas (Acanthistius spp.)"</f>
        <v>Garoupas (Acanthistius spp.)</v>
      </c>
    </row>
    <row r="336" spans="1:2">
      <c r="A336" s="1" t="str">
        <f>"0304.89.90"</f>
        <v>0304.89.90</v>
      </c>
      <c r="B336" s="2" t="str">
        <f>"Outros"</f>
        <v>Outros</v>
      </c>
    </row>
    <row r="337" spans="1:2">
      <c r="A337" s="1" t="str">
        <f>"0304.91.00"</f>
        <v>0304.91.00</v>
      </c>
      <c r="B337" s="2" t="str">
        <f>"Espadarte (Xiphias gladius)"</f>
        <v>Espadarte (Xiphias gladius)</v>
      </c>
    </row>
    <row r="338" spans="1:2">
      <c r="A338" s="1" t="str">
        <f>"0304.92.11"</f>
        <v>0304.92.11</v>
      </c>
      <c r="B338" s="2" t="str">
        <f>"Bochechas (cheeks)"</f>
        <v>Bochechas (cheeks)</v>
      </c>
    </row>
    <row r="339" spans="1:2">
      <c r="A339" s="1" t="str">
        <f>"0304.92.12"</f>
        <v>0304.92.12</v>
      </c>
      <c r="B339" s="2" t="str">
        <f>"Colares (collars)"</f>
        <v>Colares (collars)</v>
      </c>
    </row>
    <row r="340" spans="1:2">
      <c r="A340" s="1" t="str">
        <f>"0304.92.19"</f>
        <v>0304.92.19</v>
      </c>
      <c r="B340" s="2" t="str">
        <f>"Outros"</f>
        <v>Outros</v>
      </c>
    </row>
    <row r="341" spans="1:2">
      <c r="A341" s="1" t="str">
        <f>"0304.92.21"</f>
        <v>0304.92.21</v>
      </c>
      <c r="B341" s="2" t="str">
        <f>"Bochechas (cheeks)"</f>
        <v>Bochechas (cheeks)</v>
      </c>
    </row>
    <row r="342" spans="1:2">
      <c r="A342" s="1" t="str">
        <f>"0304.92.22"</f>
        <v>0304.92.22</v>
      </c>
      <c r="B342" s="2" t="str">
        <f>"Colares (collars)"</f>
        <v>Colares (collars)</v>
      </c>
    </row>
    <row r="343" spans="1:2">
      <c r="A343" s="1" t="str">
        <f>"0304.92.29"</f>
        <v>0304.92.29</v>
      </c>
      <c r="B343" s="2" t="str">
        <f>"Outros"</f>
        <v>Outros</v>
      </c>
    </row>
    <row r="344" spans="1:2">
      <c r="A344" s="1" t="str">
        <f>"0304.93.00"</f>
        <v>0304.93.00</v>
      </c>
      <c r="B344" s="2" t="str">
        <f>"Tilapias (Oreochromis spp.), bagres"</f>
        <v>Tilapias (Oreochromis spp.), bagres</v>
      </c>
    </row>
    <row r="345" spans="1:2">
      <c r="A345" s="1" t="str">
        <f>"0304.94.00"</f>
        <v>0304.94.00</v>
      </c>
      <c r="B345" s="2" t="str">
        <f>"Polaca-do-alasca (Escamudo-do-alasc"</f>
        <v>Polaca-do-alasca (Escamudo-do-alasc</v>
      </c>
    </row>
    <row r="346" spans="1:2">
      <c r="A346" s="1" t="str">
        <f>"0304.95.00"</f>
        <v>0304.95.00</v>
      </c>
      <c r="B346" s="2" t="str">
        <f>"Peixes das familias Bregmacerotidae"</f>
        <v>Peixes das familias Bregmacerotidae</v>
      </c>
    </row>
    <row r="347" spans="1:2">
      <c r="A347" s="1" t="str">
        <f>"0304.96.00"</f>
        <v>0304.96.00</v>
      </c>
      <c r="B347" s="2" t="str">
        <f>"Cacao e outros tubaroes"</f>
        <v>Cacao e outros tubaroes</v>
      </c>
    </row>
    <row r="348" spans="1:2">
      <c r="A348" s="1" t="str">
        <f>"0304.97.00"</f>
        <v>0304.97.00</v>
      </c>
      <c r="B348" s="2" t="str">
        <f>"Raias (Rajidae)"</f>
        <v>Raias (Rajidae)</v>
      </c>
    </row>
    <row r="349" spans="1:2">
      <c r="A349" s="1" t="str">
        <f>"0304.99.00"</f>
        <v>0304.99.00</v>
      </c>
      <c r="B349" s="2" t="str">
        <f>"Outros"</f>
        <v>Outros</v>
      </c>
    </row>
    <row r="350" spans="1:2">
      <c r="A350" s="1" t="str">
        <f>"0305.10.00"</f>
        <v>0305.10.00</v>
      </c>
      <c r="B350" s="2" t="str">
        <f>"Farinhas, pos e pellets, de peixe,"</f>
        <v>Farinhas, pos e pellets, de peixe,</v>
      </c>
    </row>
    <row r="351" spans="1:2">
      <c r="A351" s="1" t="str">
        <f>"0305.20.00"</f>
        <v>0305.20.00</v>
      </c>
      <c r="B351" s="2" t="str">
        <f>"Figados, ovas e gonadas masculinas,"</f>
        <v>Figados, ovas e gonadas masculinas,</v>
      </c>
    </row>
    <row r="352" spans="1:2">
      <c r="A352" s="1" t="str">
        <f>"0305.31.00"</f>
        <v>0305.31.00</v>
      </c>
      <c r="B352" s="2" t="str">
        <f>"Tilapias (Oreochromis spp.), bagres"</f>
        <v>Tilapias (Oreochromis spp.), bagres</v>
      </c>
    </row>
    <row r="353" spans="1:2">
      <c r="A353" s="1" t="str">
        <f>"0305.32.10"</f>
        <v>0305.32.10</v>
      </c>
      <c r="B353" s="2" t="str">
        <f>"Bacalhau-do-atlantico (Gadus morhua"</f>
        <v>Bacalhau-do-atlantico (Gadus morhua</v>
      </c>
    </row>
    <row r="354" spans="1:2">
      <c r="A354" s="1" t="str">
        <f>"0305.32.20"</f>
        <v>0305.32.20</v>
      </c>
      <c r="B354" s="2" t="str">
        <f>"Saithe (Pollachius virens)"</f>
        <v>Saithe (Pollachius virens)</v>
      </c>
    </row>
    <row r="355" spans="1:2">
      <c r="A355" s="1" t="str">
        <f>"0305.32.30"</f>
        <v>0305.32.30</v>
      </c>
      <c r="B355" s="2" t="str">
        <f>"Ling (Molva molva) e zarbo (Brosme"</f>
        <v>Ling (Molva molva) e zarbo (Brosme</v>
      </c>
    </row>
    <row r="356" spans="1:2">
      <c r="A356" s="1" t="str">
        <f>"0305.32.90"</f>
        <v>0305.32.90</v>
      </c>
      <c r="B356" s="2" t="str">
        <f>"Outros"</f>
        <v>Outros</v>
      </c>
    </row>
    <row r="357" spans="1:2">
      <c r="A357" s="1" t="str">
        <f>"0305.39.00"</f>
        <v>0305.39.00</v>
      </c>
      <c r="B357" s="2" t="str">
        <f>"Outros"</f>
        <v>Outros</v>
      </c>
    </row>
    <row r="358" spans="1:2">
      <c r="A358" s="1" t="str">
        <f>"0305.41.00"</f>
        <v>0305.41.00</v>
      </c>
      <c r="B358" s="2" t="str">
        <f>"Salmoes-do-pacifico (Oncorhynchus n"</f>
        <v>Salmoes-do-pacifico (Oncorhynchus n</v>
      </c>
    </row>
    <row r="359" spans="1:2">
      <c r="A359" s="1" t="str">
        <f>"0305.42.00"</f>
        <v>0305.42.00</v>
      </c>
      <c r="B359" s="2" t="str">
        <f>"Arenques (Clupea harengus, Clupea p"</f>
        <v>Arenques (Clupea harengus, Clupea p</v>
      </c>
    </row>
    <row r="360" spans="1:2">
      <c r="A360" s="1" t="str">
        <f>"0305.43.00"</f>
        <v>0305.43.00</v>
      </c>
      <c r="B360" s="2" t="str">
        <f>"Trutas (Salmo trutta, Oncorhynchus"</f>
        <v>Trutas (Salmo trutta, Oncorhynchus</v>
      </c>
    </row>
    <row r="361" spans="1:2">
      <c r="A361" s="1" t="str">
        <f>"0305.44.00"</f>
        <v>0305.44.00</v>
      </c>
      <c r="B361" s="2" t="str">
        <f>"Tilapias (Oreochromis spp.), bagres"</f>
        <v>Tilapias (Oreochromis spp.), bagres</v>
      </c>
    </row>
    <row r="362" spans="1:2">
      <c r="A362" s="1" t="str">
        <f>"0305.49.10"</f>
        <v>0305.49.10</v>
      </c>
      <c r="B362" s="2" t="str">
        <f>"Bacalhau-do-atlantico (Gadus morhua"</f>
        <v>Bacalhau-do-atlantico (Gadus morhua</v>
      </c>
    </row>
    <row r="363" spans="1:2">
      <c r="A363" s="1" t="str">
        <f>"0305.49.20"</f>
        <v>0305.49.20</v>
      </c>
      <c r="B363" s="2" t="str">
        <f>"Saithe (Pollachius virens), ling (M"</f>
        <v>Saithe (Pollachius virens), ling (M</v>
      </c>
    </row>
    <row r="364" spans="1:2">
      <c r="A364" s="1" t="str">
        <f>"0305.49.90"</f>
        <v>0305.49.90</v>
      </c>
      <c r="B364" s="2" t="str">
        <f>"Outros"</f>
        <v>Outros</v>
      </c>
    </row>
    <row r="365" spans="1:2">
      <c r="A365" s="1" t="str">
        <f>"0305.51.00"</f>
        <v>0305.51.00</v>
      </c>
      <c r="B365" s="2" t="str">
        <f>"Bacalhau-do-atlantico (Gadus morhua"</f>
        <v>Bacalhau-do-atlantico (Gadus morhua</v>
      </c>
    </row>
    <row r="366" spans="1:2">
      <c r="A366" s="1" t="str">
        <f>"0305.52.00"</f>
        <v>0305.52.00</v>
      </c>
      <c r="B366" s="2" t="str">
        <f>"Tilapias (Oreochromis spp.), bagres"</f>
        <v>Tilapias (Oreochromis spp.), bagres</v>
      </c>
    </row>
    <row r="367" spans="1:2">
      <c r="A367" s="1" t="str">
        <f>"0305.53.10"</f>
        <v>0305.53.10</v>
      </c>
      <c r="B367" s="2" t="str">
        <f>"Bacalhau polar (Boreogadus saida),"</f>
        <v>Bacalhau polar (Boreogadus saida),</v>
      </c>
    </row>
    <row r="368" spans="1:2">
      <c r="A368" s="1" t="str">
        <f>"0305.53.90"</f>
        <v>0305.53.90</v>
      </c>
      <c r="B368" s="2" t="str">
        <f>"Outros"</f>
        <v>Outros</v>
      </c>
    </row>
    <row r="369" spans="1:2">
      <c r="A369" s="1" t="str">
        <f>"0305.54.00"</f>
        <v>0305.54.00</v>
      </c>
      <c r="B369" s="2" t="str">
        <f>"Arenques (Clupea harengus, Clupea p"</f>
        <v>Arenques (Clupea harengus, Clupea p</v>
      </c>
    </row>
    <row r="370" spans="1:2">
      <c r="A370" s="1" t="str">
        <f>"0305.59.00"</f>
        <v>0305.59.00</v>
      </c>
      <c r="B370" s="2" t="str">
        <f>"Outros"</f>
        <v>Outros</v>
      </c>
    </row>
    <row r="371" spans="1:2">
      <c r="A371" s="1" t="str">
        <f>"0305.61.00"</f>
        <v>0305.61.00</v>
      </c>
      <c r="B371" s="2" t="str">
        <f>"Arenques (Clupea harengus, Clupea p"</f>
        <v>Arenques (Clupea harengus, Clupea p</v>
      </c>
    </row>
    <row r="372" spans="1:2">
      <c r="A372" s="1" t="str">
        <f>"0305.62.00"</f>
        <v>0305.62.00</v>
      </c>
      <c r="B372" s="2" t="str">
        <f>"Bacalhau-do-atlantico (Gadus morhua"</f>
        <v>Bacalhau-do-atlantico (Gadus morhua</v>
      </c>
    </row>
    <row r="373" spans="1:2">
      <c r="A373" s="1" t="str">
        <f>"0305.63.00"</f>
        <v>0305.63.00</v>
      </c>
      <c r="B373" s="2" t="str">
        <f>"Anchovas (Biqueiroes*) (Engraulis s"</f>
        <v>Anchovas (Biqueiroes*) (Engraulis s</v>
      </c>
    </row>
    <row r="374" spans="1:2">
      <c r="A374" s="1" t="str">
        <f>"0305.64.00"</f>
        <v>0305.64.00</v>
      </c>
      <c r="B374" s="2" t="str">
        <f>"Tilapias (Oreochromis spp.), bagres"</f>
        <v>Tilapias (Oreochromis spp.), bagres</v>
      </c>
    </row>
    <row r="375" spans="1:2">
      <c r="A375" s="1" t="str">
        <f>"0305.69.10"</f>
        <v>0305.69.10</v>
      </c>
      <c r="B375" s="2" t="str">
        <f>"Saithe (Pollachius virens), ling (M"</f>
        <v>Saithe (Pollachius virens), ling (M</v>
      </c>
    </row>
    <row r="376" spans="1:2">
      <c r="A376" s="1" t="str">
        <f>"0305.69.90"</f>
        <v>0305.69.90</v>
      </c>
      <c r="B376" s="2" t="str">
        <f>"Outros"</f>
        <v>Outros</v>
      </c>
    </row>
    <row r="377" spans="1:2">
      <c r="A377" s="1" t="str">
        <f>"0305.71.00"</f>
        <v>0305.71.00</v>
      </c>
      <c r="B377" s="2" t="str">
        <f>"Barbatanas de tubarao"</f>
        <v>Barbatanas de tubarao</v>
      </c>
    </row>
    <row r="378" spans="1:2">
      <c r="A378" s="1" t="str">
        <f>"0305.72.00"</f>
        <v>0305.72.00</v>
      </c>
      <c r="B378" s="2" t="str">
        <f>"Cabecas, caudas e bexigas-natatoria"</f>
        <v>Cabecas, caudas e bexigas-natatoria</v>
      </c>
    </row>
    <row r="379" spans="1:2">
      <c r="A379" s="1" t="str">
        <f>"0305.79.00"</f>
        <v>0305.79.00</v>
      </c>
      <c r="B379" s="2" t="str">
        <f>"Outros"</f>
        <v>Outros</v>
      </c>
    </row>
    <row r="380" spans="1:2">
      <c r="A380" s="1" t="str">
        <f>"0306.11.10"</f>
        <v>0306.11.10</v>
      </c>
      <c r="B380" s="2" t="str">
        <f>"Inteiras"</f>
        <v>Inteiras</v>
      </c>
    </row>
    <row r="381" spans="1:2">
      <c r="A381" s="1" t="str">
        <f>"0306.11.90"</f>
        <v>0306.11.90</v>
      </c>
      <c r="B381" s="2" t="str">
        <f>"Outras"</f>
        <v>Outras</v>
      </c>
    </row>
    <row r="382" spans="1:2">
      <c r="A382" s="1" t="str">
        <f>"0306.12.00"</f>
        <v>0306.12.00</v>
      </c>
      <c r="B382" s="2" t="str">
        <f>"Lavagantes (Homarus spp.)"</f>
        <v>Lavagantes (Homarus spp.)</v>
      </c>
    </row>
    <row r="383" spans="1:2">
      <c r="A383" s="1" t="str">
        <f>"0306.14.00"</f>
        <v>0306.14.00</v>
      </c>
      <c r="B383" s="2" t="str">
        <f>"Caranguejos"</f>
        <v>Caranguejos</v>
      </c>
    </row>
    <row r="384" spans="1:2">
      <c r="A384" s="1" t="str">
        <f>"0306.15.00"</f>
        <v>0306.15.00</v>
      </c>
      <c r="B384" s="2" t="str">
        <f>"Lagosta norueguesa (Lagostim*) (Nep"</f>
        <v>Lagosta norueguesa (Lagostim*) (Nep</v>
      </c>
    </row>
    <row r="385" spans="1:2">
      <c r="A385" s="1" t="str">
        <f>"0306.16.10"</f>
        <v>0306.16.10</v>
      </c>
      <c r="B385" s="2" t="str">
        <f>"Inteiros"</f>
        <v>Inteiros</v>
      </c>
    </row>
    <row r="386" spans="1:2">
      <c r="A386" s="1" t="str">
        <f>"0306.16.90"</f>
        <v>0306.16.90</v>
      </c>
      <c r="B386" s="2" t="str">
        <f>"Outros"</f>
        <v>Outros</v>
      </c>
    </row>
    <row r="387" spans="1:2">
      <c r="A387" s="1" t="str">
        <f>"0306.17.10"</f>
        <v>0306.17.10</v>
      </c>
      <c r="B387" s="2" t="str">
        <f>"Inteiros"</f>
        <v>Inteiros</v>
      </c>
    </row>
    <row r="388" spans="1:2">
      <c r="A388" s="1" t="str">
        <f>"0306.17.90"</f>
        <v>0306.17.90</v>
      </c>
      <c r="B388" s="2" t="str">
        <f>"Outros"</f>
        <v>Outros</v>
      </c>
    </row>
    <row r="389" spans="1:2">
      <c r="A389" s="1" t="str">
        <f>"0306.19.10"</f>
        <v>0306.19.10</v>
      </c>
      <c r="B389" s="2" t="str">
        <f>"Krill (Euphausia superba)"</f>
        <v>Krill (Euphausia superba)</v>
      </c>
    </row>
    <row r="390" spans="1:2">
      <c r="A390" s="1" t="str">
        <f>"0306.19.90"</f>
        <v>0306.19.90</v>
      </c>
      <c r="B390" s="2" t="str">
        <f>"Outros"</f>
        <v>Outros</v>
      </c>
    </row>
    <row r="391" spans="1:2">
      <c r="A391" s="1" t="str">
        <f>"0306.31.00"</f>
        <v>0306.31.00</v>
      </c>
      <c r="B391" s="2" t="str">
        <f>"Lagostas (Palinurus spp., Panulirus"</f>
        <v>Lagostas (Palinurus spp., Panulirus</v>
      </c>
    </row>
    <row r="392" spans="1:2">
      <c r="A392" s="1" t="str">
        <f>"0306.32.00"</f>
        <v>0306.32.00</v>
      </c>
      <c r="B392" s="2" t="str">
        <f>"Lavagantes (Homarus spp.)"</f>
        <v>Lavagantes (Homarus spp.)</v>
      </c>
    </row>
    <row r="393" spans="1:2">
      <c r="A393" s="1" t="str">
        <f>"0306.33.00"</f>
        <v>0306.33.00</v>
      </c>
      <c r="B393" s="2" t="str">
        <f>"Caranguejos"</f>
        <v>Caranguejos</v>
      </c>
    </row>
    <row r="394" spans="1:2">
      <c r="A394" s="1" t="str">
        <f>"0306.34.00"</f>
        <v>0306.34.00</v>
      </c>
      <c r="B394" s="2" t="str">
        <f>"Lagosta norueguesa (Lagostim*) (Nep"</f>
        <v>Lagosta norueguesa (Lagostim*) (Nep</v>
      </c>
    </row>
    <row r="395" spans="1:2">
      <c r="A395" s="1" t="str">
        <f>"0306.35.00"</f>
        <v>0306.35.00</v>
      </c>
      <c r="B395" s="2" t="str">
        <f>"Camaroes de agua fria (Pandalus spp"</f>
        <v>Camaroes de agua fria (Pandalus spp</v>
      </c>
    </row>
    <row r="396" spans="1:2">
      <c r="A396" s="1" t="str">
        <f>"0306.36.00"</f>
        <v>0306.36.00</v>
      </c>
      <c r="B396" s="2" t="str">
        <f>"Outros camaroes"</f>
        <v>Outros camaroes</v>
      </c>
    </row>
    <row r="397" spans="1:2">
      <c r="A397" s="1" t="str">
        <f>"0306.39.10"</f>
        <v>0306.39.10</v>
      </c>
      <c r="B397" s="2" t="str">
        <f>"Lagosta de agua doce (Cherax quadri"</f>
        <v>Lagosta de agua doce (Cherax quadri</v>
      </c>
    </row>
    <row r="398" spans="1:2">
      <c r="A398" s="1" t="str">
        <f>"0306.39.90"</f>
        <v>0306.39.90</v>
      </c>
      <c r="B398" s="2" t="str">
        <f>"Outros"</f>
        <v>Outros</v>
      </c>
    </row>
    <row r="399" spans="1:2">
      <c r="A399" s="1" t="str">
        <f>"0306.91.00"</f>
        <v>0306.91.00</v>
      </c>
      <c r="B399" s="2" t="str">
        <f>"Lagostas (Palinurus spp., Panulirus"</f>
        <v>Lagostas (Palinurus spp., Panulirus</v>
      </c>
    </row>
    <row r="400" spans="1:2">
      <c r="A400" s="1" t="str">
        <f>"0306.92.00"</f>
        <v>0306.92.00</v>
      </c>
      <c r="B400" s="2" t="str">
        <f>"Lavagantes (Homarus spp.)"</f>
        <v>Lavagantes (Homarus spp.)</v>
      </c>
    </row>
    <row r="401" spans="1:2">
      <c r="A401" s="1" t="str">
        <f>"0306.93.00"</f>
        <v>0306.93.00</v>
      </c>
      <c r="B401" s="2" t="str">
        <f>"Caranguejos"</f>
        <v>Caranguejos</v>
      </c>
    </row>
    <row r="402" spans="1:2">
      <c r="A402" s="1" t="str">
        <f>"0306.94.00"</f>
        <v>0306.94.00</v>
      </c>
      <c r="B402" s="2" t="str">
        <f>"Lagosta norueguesa (Lagostim*) (Nep"</f>
        <v>Lagosta norueguesa (Lagostim*) (Nep</v>
      </c>
    </row>
    <row r="403" spans="1:2">
      <c r="A403" s="1" t="str">
        <f>"0306.95.00"</f>
        <v>0306.95.00</v>
      </c>
      <c r="B403" s="2" t="str">
        <f>"Camaroes"</f>
        <v>Camaroes</v>
      </c>
    </row>
    <row r="404" spans="1:2">
      <c r="A404" s="1" t="str">
        <f>"0306.99.10"</f>
        <v>0306.99.10</v>
      </c>
      <c r="B404" s="2" t="str">
        <f>"Lagosta de agua doce (Cherax quadri"</f>
        <v>Lagosta de agua doce (Cherax quadri</v>
      </c>
    </row>
    <row r="405" spans="1:2">
      <c r="A405" s="1" t="str">
        <f>"0306.99.90"</f>
        <v>0306.99.90</v>
      </c>
      <c r="B405" s="2" t="str">
        <f>"Outros"</f>
        <v>Outros</v>
      </c>
    </row>
    <row r="406" spans="1:2">
      <c r="A406" s="1" t="str">
        <f>"0307.11.00"</f>
        <v>0307.11.00</v>
      </c>
      <c r="B406" s="2" t="str">
        <f>"Vivas, frescas ou refrigeradas"</f>
        <v>Vivas, frescas ou refrigeradas</v>
      </c>
    </row>
    <row r="407" spans="1:2">
      <c r="A407" s="1" t="str">
        <f>"0307.12.00"</f>
        <v>0307.12.00</v>
      </c>
      <c r="B407" s="2" t="str">
        <f>"Congeladas"</f>
        <v>Congeladas</v>
      </c>
    </row>
    <row r="408" spans="1:2">
      <c r="A408" s="1" t="str">
        <f>"0307.19.00"</f>
        <v>0307.19.00</v>
      </c>
      <c r="B408" s="2" t="str">
        <f>"Outras"</f>
        <v>Outras</v>
      </c>
    </row>
    <row r="409" spans="1:2">
      <c r="A409" s="1" t="str">
        <f>"0307.21.00"</f>
        <v>0307.21.00</v>
      </c>
      <c r="B409" s="2" t="str">
        <f>"Vivos, frescos ou refrigerados"</f>
        <v>Vivos, frescos ou refrigerados</v>
      </c>
    </row>
    <row r="410" spans="1:2">
      <c r="A410" s="1" t="str">
        <f>"0307.22.00"</f>
        <v>0307.22.00</v>
      </c>
      <c r="B410" s="2" t="str">
        <f>"Congelados"</f>
        <v>Congelados</v>
      </c>
    </row>
    <row r="411" spans="1:2">
      <c r="A411" s="1" t="str">
        <f>"0307.29.00"</f>
        <v>0307.29.00</v>
      </c>
      <c r="B411" s="2" t="str">
        <f>"Outros"</f>
        <v>Outros</v>
      </c>
    </row>
    <row r="412" spans="1:2">
      <c r="A412" s="1" t="str">
        <f>"0307.31.00"</f>
        <v>0307.31.00</v>
      </c>
      <c r="B412" s="2" t="str">
        <f>"Vivos, frescos ou refrigerados"</f>
        <v>Vivos, frescos ou refrigerados</v>
      </c>
    </row>
    <row r="413" spans="1:2">
      <c r="A413" s="1" t="str">
        <f>"0307.32.00"</f>
        <v>0307.32.00</v>
      </c>
      <c r="B413" s="2" t="str">
        <f>"Congelados"</f>
        <v>Congelados</v>
      </c>
    </row>
    <row r="414" spans="1:2">
      <c r="A414" s="1" t="str">
        <f>"0307.39.00"</f>
        <v>0307.39.00</v>
      </c>
      <c r="B414" s="2" t="str">
        <f>"Outros"</f>
        <v>Outros</v>
      </c>
    </row>
    <row r="415" spans="1:2">
      <c r="A415" s="1" t="str">
        <f>"0307.42.00"</f>
        <v>0307.42.00</v>
      </c>
      <c r="B415" s="2" t="str">
        <f>"Vivas, frescas ou refrigeradas"</f>
        <v>Vivas, frescas ou refrigeradas</v>
      </c>
    </row>
    <row r="416" spans="1:2">
      <c r="A416" s="1" t="str">
        <f>"0307.43.10"</f>
        <v>0307.43.10</v>
      </c>
      <c r="B416" s="2" t="str">
        <f>"Lulas"</f>
        <v>Lulas</v>
      </c>
    </row>
    <row r="417" spans="1:2">
      <c r="A417" s="1" t="str">
        <f>"0307.43.20"</f>
        <v>0307.43.20</v>
      </c>
      <c r="B417" s="2" t="str">
        <f>"Sepias"</f>
        <v>Sepias</v>
      </c>
    </row>
    <row r="418" spans="1:2">
      <c r="A418" s="1" t="str">
        <f>"0307.49.00"</f>
        <v>0307.49.00</v>
      </c>
      <c r="B418" s="2" t="str">
        <f>"Outras"</f>
        <v>Outras</v>
      </c>
    </row>
    <row r="419" spans="1:2">
      <c r="A419" s="1" t="str">
        <f>"0307.51.00"</f>
        <v>0307.51.00</v>
      </c>
      <c r="B419" s="2" t="str">
        <f>"Vivos, frescos ou refrigerados"</f>
        <v>Vivos, frescos ou refrigerados</v>
      </c>
    </row>
    <row r="420" spans="1:2">
      <c r="A420" s="1" t="str">
        <f>"0307.52.00"</f>
        <v>0307.52.00</v>
      </c>
      <c r="B420" s="2" t="str">
        <f>"Congelados"</f>
        <v>Congelados</v>
      </c>
    </row>
    <row r="421" spans="1:2">
      <c r="A421" s="1" t="str">
        <f>"0307.59.00"</f>
        <v>0307.59.00</v>
      </c>
      <c r="B421" s="2" t="str">
        <f>"Outros"</f>
        <v>Outros</v>
      </c>
    </row>
    <row r="422" spans="1:2">
      <c r="A422" s="1" t="str">
        <f>"0307.60.00"</f>
        <v>0307.60.00</v>
      </c>
      <c r="B422" s="2" t="str">
        <f>"Caracois, exceto os do mar"</f>
        <v>Caracois, exceto os do mar</v>
      </c>
    </row>
    <row r="423" spans="1:2">
      <c r="A423" s="1" t="str">
        <f>"0307.71.00"</f>
        <v>0307.71.00</v>
      </c>
      <c r="B423" s="2" t="str">
        <f>"Vivos, frescos ou refrigerados"</f>
        <v>Vivos, frescos ou refrigerados</v>
      </c>
    </row>
    <row r="424" spans="1:2">
      <c r="A424" s="1" t="str">
        <f>"0307.72.00"</f>
        <v>0307.72.00</v>
      </c>
      <c r="B424" s="2" t="str">
        <f>"Congelados"</f>
        <v>Congelados</v>
      </c>
    </row>
    <row r="425" spans="1:2">
      <c r="A425" s="1" t="str">
        <f>"0307.79.00"</f>
        <v>0307.79.00</v>
      </c>
      <c r="B425" s="2" t="str">
        <f>"Outros"</f>
        <v>Outros</v>
      </c>
    </row>
    <row r="426" spans="1:2">
      <c r="A426" s="1" t="str">
        <f>"0307.81.00"</f>
        <v>0307.81.00</v>
      </c>
      <c r="B426" s="2" t="str">
        <f>"Abalones (Orelhas-do-mar*) (Halioti"</f>
        <v>Abalones (Orelhas-do-mar*) (Halioti</v>
      </c>
    </row>
    <row r="427" spans="1:2">
      <c r="A427" s="1" t="str">
        <f>"0307.82.00"</f>
        <v>0307.82.00</v>
      </c>
      <c r="B427" s="2" t="str">
        <f>"Estrombos (Strombus spp.) vivos, fr"</f>
        <v>Estrombos (Strombus spp.) vivos, fr</v>
      </c>
    </row>
    <row r="428" spans="1:2">
      <c r="A428" s="1" t="str">
        <f>"0307.83.00"</f>
        <v>0307.83.00</v>
      </c>
      <c r="B428" s="2" t="str">
        <f>"Abalones (Orelhas-do-mar*) (Halioti"</f>
        <v>Abalones (Orelhas-do-mar*) (Halioti</v>
      </c>
    </row>
    <row r="429" spans="1:2">
      <c r="A429" s="1" t="str">
        <f>"0307.84.00"</f>
        <v>0307.84.00</v>
      </c>
      <c r="B429" s="2" t="str">
        <f>"Estrombos (Strombus spp.) congelado"</f>
        <v>Estrombos (Strombus spp.) congelado</v>
      </c>
    </row>
    <row r="430" spans="1:2">
      <c r="A430" s="1" t="str">
        <f>"0307.87.00"</f>
        <v>0307.87.00</v>
      </c>
      <c r="B430" s="2" t="str">
        <f>"Outros abalones (Outras orelhas-do-"</f>
        <v>Outros abalones (Outras orelhas-do-</v>
      </c>
    </row>
    <row r="431" spans="1:2">
      <c r="A431" s="1" t="str">
        <f>"0307.88.00"</f>
        <v>0307.88.00</v>
      </c>
      <c r="B431" s="2" t="str">
        <f>"Outros estrombos (Strombus spp.)"</f>
        <v>Outros estrombos (Strombus spp.)</v>
      </c>
    </row>
    <row r="432" spans="1:2">
      <c r="A432" s="1" t="str">
        <f>"0307.91.00"</f>
        <v>0307.91.00</v>
      </c>
      <c r="B432" s="2" t="str">
        <f>"Vivos, frescos ou refrigerados"</f>
        <v>Vivos, frescos ou refrigerados</v>
      </c>
    </row>
    <row r="433" spans="1:2">
      <c r="A433" s="1" t="str">
        <f>"0307.92.00"</f>
        <v>0307.92.00</v>
      </c>
      <c r="B433" s="2" t="str">
        <f>"Congelados"</f>
        <v>Congelados</v>
      </c>
    </row>
    <row r="434" spans="1:2">
      <c r="A434" s="1" t="str">
        <f>"0307.99.00"</f>
        <v>0307.99.00</v>
      </c>
      <c r="B434" s="2" t="str">
        <f>"Outros"</f>
        <v>Outros</v>
      </c>
    </row>
    <row r="435" spans="1:2">
      <c r="A435" s="1" t="str">
        <f>"0308.11.00"</f>
        <v>0308.11.00</v>
      </c>
      <c r="B435" s="2" t="str">
        <f>"Vivos, frescos ou refrigerados"</f>
        <v>Vivos, frescos ou refrigerados</v>
      </c>
    </row>
    <row r="436" spans="1:2">
      <c r="A436" s="1" t="str">
        <f>"0308.12.00"</f>
        <v>0308.12.00</v>
      </c>
      <c r="B436" s="2" t="str">
        <f>"Congelados"</f>
        <v>Congelados</v>
      </c>
    </row>
    <row r="437" spans="1:2">
      <c r="A437" s="1" t="str">
        <f>"0308.19.00"</f>
        <v>0308.19.00</v>
      </c>
      <c r="B437" s="2" t="str">
        <f>"Outros"</f>
        <v>Outros</v>
      </c>
    </row>
    <row r="438" spans="1:2">
      <c r="A438" s="1" t="str">
        <f>"0308.21.00"</f>
        <v>0308.21.00</v>
      </c>
      <c r="B438" s="2" t="str">
        <f>"Vivos, frescos ou refrigerados"</f>
        <v>Vivos, frescos ou refrigerados</v>
      </c>
    </row>
    <row r="439" spans="1:2">
      <c r="A439" s="1" t="str">
        <f>"0308.22.00"</f>
        <v>0308.22.00</v>
      </c>
      <c r="B439" s="2" t="str">
        <f>"Congelados"</f>
        <v>Congelados</v>
      </c>
    </row>
    <row r="440" spans="1:2">
      <c r="A440" s="1" t="str">
        <f>"0308.29.00"</f>
        <v>0308.29.00</v>
      </c>
      <c r="B440" s="2" t="str">
        <f>"Outros"</f>
        <v>Outros</v>
      </c>
    </row>
    <row r="441" spans="1:2">
      <c r="A441" s="1" t="str">
        <f>"0308.30.00"</f>
        <v>0308.30.00</v>
      </c>
      <c r="B441" s="2" t="str">
        <f>"Medusas (aguas-vivas) (Rhopilema sp"</f>
        <v>Medusas (aguas-vivas) (Rhopilema sp</v>
      </c>
    </row>
    <row r="442" spans="1:2">
      <c r="A442" s="1" t="str">
        <f>"0308.90.00"</f>
        <v>0308.90.00</v>
      </c>
      <c r="B442" s="2" t="str">
        <f>"Outros"</f>
        <v>Outros</v>
      </c>
    </row>
    <row r="443" spans="1:2">
      <c r="A443" s="1" t="str">
        <f>"0309.10.00"</f>
        <v>0309.10.00</v>
      </c>
      <c r="B443" s="2" t="str">
        <f>"De peixe"</f>
        <v>De peixe</v>
      </c>
    </row>
    <row r="444" spans="1:2">
      <c r="A444" s="1" t="str">
        <f>"0401.10.10"</f>
        <v>0401.10.10</v>
      </c>
      <c r="B444" s="2" t="str">
        <f>"Leite UHT (Ultra High Temperature)"</f>
        <v>Leite UHT (Ultra High Temperature)</v>
      </c>
    </row>
    <row r="445" spans="1:2">
      <c r="A445" s="1" t="str">
        <f>"0401.10.90"</f>
        <v>0401.10.90</v>
      </c>
      <c r="B445" s="2" t="str">
        <f>"OUTROS"</f>
        <v>OUTROS</v>
      </c>
    </row>
    <row r="446" spans="1:2">
      <c r="A446" s="1" t="str">
        <f>"0401.20.10"</f>
        <v>0401.20.10</v>
      </c>
      <c r="B446" s="2" t="str">
        <f>"Leite UHT (Ultra High Temperature)"</f>
        <v>Leite UHT (Ultra High Temperature)</v>
      </c>
    </row>
    <row r="447" spans="1:2">
      <c r="A447" s="1" t="str">
        <f>"0401.20.90"</f>
        <v>0401.20.90</v>
      </c>
      <c r="B447" s="2" t="str">
        <f>"Outros"</f>
        <v>Outros</v>
      </c>
    </row>
    <row r="448" spans="1:2">
      <c r="A448" s="1" t="str">
        <f>"0401.40.10"</f>
        <v>0401.40.10</v>
      </c>
      <c r="B448" s="2" t="str">
        <f>"Leite"</f>
        <v>Leite</v>
      </c>
    </row>
    <row r="449" spans="1:2">
      <c r="A449" s="1" t="str">
        <f>"0401.40.21"</f>
        <v>0401.40.21</v>
      </c>
      <c r="B449" s="2" t="str">
        <f>"UHT (Ultra High Temperature)"</f>
        <v>UHT (Ultra High Temperature)</v>
      </c>
    </row>
    <row r="450" spans="1:2">
      <c r="A450" s="1" t="str">
        <f>"0401.40.29"</f>
        <v>0401.40.29</v>
      </c>
      <c r="B450" s="2" t="str">
        <f>"Outros"</f>
        <v>Outros</v>
      </c>
    </row>
    <row r="451" spans="1:2">
      <c r="A451" s="1" t="str">
        <f>"0401.50.10"</f>
        <v>0401.50.10</v>
      </c>
      <c r="B451" s="2" t="str">
        <f>"Leite"</f>
        <v>Leite</v>
      </c>
    </row>
    <row r="452" spans="1:2">
      <c r="A452" s="1" t="str">
        <f>"0401.50.21"</f>
        <v>0401.50.21</v>
      </c>
      <c r="B452" s="2" t="str">
        <f>"UHT (ULTRA HIGH TEMPERATURE)"</f>
        <v>UHT (ULTRA HIGH TEMPERATURE)</v>
      </c>
    </row>
    <row r="453" spans="1:2">
      <c r="A453" s="1" t="str">
        <f>"0401.50.29"</f>
        <v>0401.50.29</v>
      </c>
      <c r="B453" s="2" t="str">
        <f>"OUTROS"</f>
        <v>OUTROS</v>
      </c>
    </row>
    <row r="454" spans="1:2">
      <c r="A454" s="1" t="str">
        <f>"0402.10.10"</f>
        <v>0402.10.10</v>
      </c>
      <c r="B454" s="2" t="str">
        <f>"Com um teor de arsenio, chumbo ou c"</f>
        <v>Com um teor de arsenio, chumbo ou c</v>
      </c>
    </row>
    <row r="455" spans="1:2">
      <c r="A455" s="1" t="str">
        <f>"0402.10.90"</f>
        <v>0402.10.90</v>
      </c>
      <c r="B455" s="2" t="str">
        <f>"Outros"</f>
        <v>Outros</v>
      </c>
    </row>
    <row r="456" spans="1:2">
      <c r="A456" s="1" t="str">
        <f>"0402.21.10"</f>
        <v>0402.21.10</v>
      </c>
      <c r="B456" s="2" t="str">
        <f>"Leite integral"</f>
        <v>Leite integral</v>
      </c>
    </row>
    <row r="457" spans="1:2">
      <c r="A457" s="1" t="str">
        <f>"0402.21.20"</f>
        <v>0402.21.20</v>
      </c>
      <c r="B457" s="2" t="str">
        <f>"Leite parcialmente desnatado"</f>
        <v>Leite parcialmente desnatado</v>
      </c>
    </row>
    <row r="458" spans="1:2">
      <c r="A458" s="1" t="str">
        <f>"0402.21.30"</f>
        <v>0402.21.30</v>
      </c>
      <c r="B458" s="2" t="str">
        <f>"Creme de leite"</f>
        <v>Creme de leite</v>
      </c>
    </row>
    <row r="459" spans="1:2">
      <c r="A459" s="1" t="str">
        <f>"0402.29.10"</f>
        <v>0402.29.10</v>
      </c>
      <c r="B459" s="2" t="str">
        <f>"Leite integral"</f>
        <v>Leite integral</v>
      </c>
    </row>
    <row r="460" spans="1:2">
      <c r="A460" s="1" t="str">
        <f>"0402.29.20"</f>
        <v>0402.29.20</v>
      </c>
      <c r="B460" s="2" t="str">
        <f>"Leite parcialmente desnatado"</f>
        <v>Leite parcialmente desnatado</v>
      </c>
    </row>
    <row r="461" spans="1:2">
      <c r="A461" s="1" t="str">
        <f>"0402.29.30"</f>
        <v>0402.29.30</v>
      </c>
      <c r="B461" s="2" t="str">
        <f>"Creme de leite"</f>
        <v>Creme de leite</v>
      </c>
    </row>
    <row r="462" spans="1:2">
      <c r="A462" s="1" t="str">
        <f>"0402.91.00"</f>
        <v>0402.91.00</v>
      </c>
      <c r="B462" s="2" t="str">
        <f>"Sem adicao de acucar ou de outros e"</f>
        <v>Sem adicao de acucar ou de outros e</v>
      </c>
    </row>
    <row r="463" spans="1:2">
      <c r="A463" s="1" t="str">
        <f>"0402.99.00"</f>
        <v>0402.99.00</v>
      </c>
      <c r="B463" s="2" t="str">
        <f>"OUTROS"</f>
        <v>OUTROS</v>
      </c>
    </row>
    <row r="464" spans="1:2">
      <c r="A464" s="1" t="str">
        <f>"0403.10.00"</f>
        <v>0403.10.00</v>
      </c>
      <c r="B464" s="2" t="str">
        <f>"Iogurte"</f>
        <v>Iogurte</v>
      </c>
    </row>
    <row r="465" spans="1:2">
      <c r="A465" s="1" t="str">
        <f>"0403.90.00"</f>
        <v>0403.90.00</v>
      </c>
      <c r="B465" s="2" t="str">
        <f>"Outros"</f>
        <v>Outros</v>
      </c>
    </row>
    <row r="466" spans="1:2">
      <c r="A466" s="1" t="str">
        <f>"0404.10.00"</f>
        <v>0404.10.00</v>
      </c>
      <c r="B466" s="2" t="str">
        <f>"Soro de leite, modificado ou nao, m"</f>
        <v>Soro de leite, modificado ou nao, m</v>
      </c>
    </row>
    <row r="467" spans="1:2">
      <c r="A467" s="1" t="str">
        <f>"0404.90.00"</f>
        <v>0404.90.00</v>
      </c>
      <c r="B467" s="2" t="str">
        <f>"Outros"</f>
        <v>Outros</v>
      </c>
    </row>
    <row r="468" spans="1:2">
      <c r="A468" s="1" t="str">
        <f>"0405.10.00"</f>
        <v>0405.10.00</v>
      </c>
      <c r="B468" s="2" t="str">
        <f>"Manteiga"</f>
        <v>Manteiga</v>
      </c>
    </row>
    <row r="469" spans="1:2">
      <c r="A469" s="1" t="str">
        <f>"0405.20.00"</f>
        <v>0405.20.00</v>
      </c>
      <c r="B469" s="2" t="str">
        <f>"Pasta de espalhar (barrar) de produ"</f>
        <v>Pasta de espalhar (barrar) de produ</v>
      </c>
    </row>
    <row r="470" spans="1:2">
      <c r="A470" s="1" t="str">
        <f>"0405.90.10"</f>
        <v>0405.90.10</v>
      </c>
      <c r="B470" s="2" t="str">
        <f>"Oleo butirico de manteiga (butter o"</f>
        <v>Oleo butirico de manteiga (butter o</v>
      </c>
    </row>
    <row r="471" spans="1:2">
      <c r="A471" s="1" t="str">
        <f>"0405.90.90"</f>
        <v>0405.90.90</v>
      </c>
      <c r="B471" s="2" t="str">
        <f>"Outras"</f>
        <v>Outras</v>
      </c>
    </row>
    <row r="472" spans="1:2">
      <c r="A472" s="1" t="str">
        <f>"0406.10.10"</f>
        <v>0406.10.10</v>
      </c>
      <c r="B472" s="2" t="str">
        <f>"Mussarela"</f>
        <v>Mussarela</v>
      </c>
    </row>
    <row r="473" spans="1:2">
      <c r="A473" s="1" t="str">
        <f>"0406.10.90"</f>
        <v>0406.10.90</v>
      </c>
      <c r="B473" s="2" t="str">
        <f>"Outros"</f>
        <v>Outros</v>
      </c>
    </row>
    <row r="474" spans="1:2">
      <c r="A474" s="1" t="str">
        <f>"0406.20.00"</f>
        <v>0406.20.00</v>
      </c>
      <c r="B474" s="2" t="str">
        <f>"Queijos ralados ou em po, de qualqu"</f>
        <v>Queijos ralados ou em po, de qualqu</v>
      </c>
    </row>
    <row r="475" spans="1:2">
      <c r="A475" s="1" t="str">
        <f>"0406.30.00"</f>
        <v>0406.30.00</v>
      </c>
      <c r="B475" s="2" t="str">
        <f>"Queijos fundidos, exceto ralados ou"</f>
        <v>Queijos fundidos, exceto ralados ou</v>
      </c>
    </row>
    <row r="476" spans="1:2">
      <c r="A476" s="1" t="str">
        <f>"0406.40.00"</f>
        <v>0406.40.00</v>
      </c>
      <c r="B476" s="2" t="str">
        <f>"Queijos de pasta mofada (azul*) e o"</f>
        <v>Queijos de pasta mofada (azul*) e o</v>
      </c>
    </row>
    <row r="477" spans="1:2">
      <c r="A477" s="1" t="str">
        <f>"0406.90.10"</f>
        <v>0406.90.10</v>
      </c>
      <c r="B477" s="2" t="str">
        <f>"C/ TEOR DE UMIDADE INFER A 36 %"</f>
        <v>C/ TEOR DE UMIDADE INFER A 36 %</v>
      </c>
    </row>
    <row r="478" spans="1:2">
      <c r="A478" s="1" t="str">
        <f>"0406.90.20"</f>
        <v>0406.90.20</v>
      </c>
      <c r="B478" s="2" t="str">
        <f>"Com um teor de umidade igual ou sup"</f>
        <v>Com um teor de umidade igual ou sup</v>
      </c>
    </row>
    <row r="479" spans="1:2">
      <c r="A479" s="1" t="str">
        <f>"0406.90.30"</f>
        <v>0406.90.30</v>
      </c>
      <c r="B479" s="2" t="str">
        <f>"Com um teor de umidade igual ou sup"</f>
        <v>Com um teor de umidade igual ou sup</v>
      </c>
    </row>
    <row r="480" spans="1:2">
      <c r="A480" s="1" t="str">
        <f>"0406.90.90"</f>
        <v>0406.90.90</v>
      </c>
      <c r="B480" s="2" t="str">
        <f>"Outros"</f>
        <v>Outros</v>
      </c>
    </row>
    <row r="481" spans="1:2">
      <c r="A481" s="1" t="str">
        <f>"0407.11.00"</f>
        <v>0407.11.00</v>
      </c>
      <c r="B481" s="2" t="str">
        <f>"De aves da especie Gallus domesticu"</f>
        <v>De aves da especie Gallus domesticu</v>
      </c>
    </row>
    <row r="482" spans="1:2">
      <c r="A482" s="1" t="str">
        <f>"0407.19.00"</f>
        <v>0407.19.00</v>
      </c>
      <c r="B482" s="2" t="str">
        <f>"Outros"</f>
        <v>Outros</v>
      </c>
    </row>
    <row r="483" spans="1:2">
      <c r="A483" s="1" t="str">
        <f>"0407.21.00"</f>
        <v>0407.21.00</v>
      </c>
      <c r="B483" s="2" t="str">
        <f>"De aves da especie Gallus domesticu"</f>
        <v>De aves da especie Gallus domesticu</v>
      </c>
    </row>
    <row r="484" spans="1:2">
      <c r="A484" s="1" t="str">
        <f>"0407.29.00"</f>
        <v>0407.29.00</v>
      </c>
      <c r="B484" s="2" t="str">
        <f>"Outros"</f>
        <v>Outros</v>
      </c>
    </row>
    <row r="485" spans="1:2">
      <c r="A485" s="1" t="str">
        <f>"0407.90.00"</f>
        <v>0407.90.00</v>
      </c>
      <c r="B485" s="2" t="str">
        <f>"Outros"</f>
        <v>Outros</v>
      </c>
    </row>
    <row r="486" spans="1:2">
      <c r="A486" s="1" t="str">
        <f>"0408.11.00"</f>
        <v>0408.11.00</v>
      </c>
      <c r="B486" s="2" t="str">
        <f>"Secas"</f>
        <v>Secas</v>
      </c>
    </row>
    <row r="487" spans="1:2">
      <c r="A487" s="1" t="str">
        <f>"0408.19.00"</f>
        <v>0408.19.00</v>
      </c>
      <c r="B487" s="2" t="str">
        <f>"Outras"</f>
        <v>Outras</v>
      </c>
    </row>
    <row r="488" spans="1:2">
      <c r="A488" s="1" t="str">
        <f>"0408.91.00"</f>
        <v>0408.91.00</v>
      </c>
      <c r="B488" s="2" t="str">
        <f>"Secos"</f>
        <v>Secos</v>
      </c>
    </row>
    <row r="489" spans="1:2">
      <c r="A489" s="1" t="str">
        <f>"0408.99.00"</f>
        <v>0408.99.00</v>
      </c>
      <c r="B489" s="2" t="str">
        <f>"Outros"</f>
        <v>Outros</v>
      </c>
    </row>
    <row r="490" spans="1:2">
      <c r="A490" s="1" t="str">
        <f>"0409.00.00"</f>
        <v>0409.00.00</v>
      </c>
      <c r="B490" s="2" t="str">
        <f>"Mel natural."</f>
        <v>Mel natural.</v>
      </c>
    </row>
    <row r="491" spans="1:2">
      <c r="A491" s="1" t="str">
        <f>"0410.00.00"</f>
        <v>0410.00.00</v>
      </c>
      <c r="B491" s="2" t="str">
        <f>"Produtos comestiveis de origem anim"</f>
        <v>Produtos comestiveis de origem anim</v>
      </c>
    </row>
    <row r="492" spans="1:2">
      <c r="A492" s="1" t="str">
        <f>"0501.00.00"</f>
        <v>0501.00.00</v>
      </c>
      <c r="B492" s="2" t="str">
        <f>"Cabelo em bruto, mesmo lavado ou de"</f>
        <v>Cabelo em bruto, mesmo lavado ou de</v>
      </c>
    </row>
    <row r="493" spans="1:2">
      <c r="A493" s="1" t="str">
        <f>"0502.10.11"</f>
        <v>0502.10.11</v>
      </c>
      <c r="B493" s="2" t="str">
        <f>"Lavadas, alvejadas ou desengordurad"</f>
        <v>Lavadas, alvejadas ou desengordurad</v>
      </c>
    </row>
    <row r="494" spans="1:2">
      <c r="A494" s="1" t="str">
        <f>"0502.10.19"</f>
        <v>0502.10.19</v>
      </c>
      <c r="B494" s="2" t="str">
        <f>"Outras"</f>
        <v>Outras</v>
      </c>
    </row>
    <row r="495" spans="1:2">
      <c r="A495" s="1" t="str">
        <f>"0502.10.90"</f>
        <v>0502.10.90</v>
      </c>
      <c r="B495" s="2" t="str">
        <f>"Outros"</f>
        <v>Outros</v>
      </c>
    </row>
    <row r="496" spans="1:2">
      <c r="A496" s="1" t="str">
        <f>"0502.90.10"</f>
        <v>0502.90.10</v>
      </c>
      <c r="B496" s="2" t="str">
        <f>"Pelos"</f>
        <v>Pelos</v>
      </c>
    </row>
    <row r="497" spans="1:2">
      <c r="A497" s="1" t="str">
        <f>"0502.90.20"</f>
        <v>0502.90.20</v>
      </c>
      <c r="B497" s="2" t="str">
        <f>"Desperdicios"</f>
        <v>Desperdicios</v>
      </c>
    </row>
    <row r="498" spans="1:2">
      <c r="A498" s="1" t="str">
        <f>"0504.00.11"</f>
        <v>0504.00.11</v>
      </c>
      <c r="B498" s="2" t="str">
        <f>"De bovinos"</f>
        <v>De bovinos</v>
      </c>
    </row>
    <row r="499" spans="1:2">
      <c r="A499" s="1" t="str">
        <f>"0504.00.12"</f>
        <v>0504.00.12</v>
      </c>
      <c r="B499" s="2" t="str">
        <f>"De ovinos"</f>
        <v>De ovinos</v>
      </c>
    </row>
    <row r="500" spans="1:2">
      <c r="A500" s="1" t="str">
        <f>"0504.00.13"</f>
        <v>0504.00.13</v>
      </c>
      <c r="B500" s="2" t="str">
        <f>"De suinos"</f>
        <v>De suinos</v>
      </c>
    </row>
    <row r="501" spans="1:2">
      <c r="A501" s="1" t="str">
        <f>"0504.00.19"</f>
        <v>0504.00.19</v>
      </c>
      <c r="B501" s="2" t="str">
        <f>"Outras"</f>
        <v>Outras</v>
      </c>
    </row>
    <row r="502" spans="1:2">
      <c r="A502" s="1" t="str">
        <f>"0504.00.90"</f>
        <v>0504.00.90</v>
      </c>
      <c r="B502" s="2" t="str">
        <f>"Outros"</f>
        <v>Outros</v>
      </c>
    </row>
    <row r="503" spans="1:2">
      <c r="A503" s="1" t="str">
        <f>"0505.10.00"</f>
        <v>0505.10.00</v>
      </c>
      <c r="B503" s="2" t="str">
        <f>"Penas do tipo utilizado para enchim"</f>
        <v>Penas do tipo utilizado para enchim</v>
      </c>
    </row>
    <row r="504" spans="1:2">
      <c r="A504" s="1" t="str">
        <f>"0505.90.00"</f>
        <v>0505.90.00</v>
      </c>
      <c r="B504" s="2" t="str">
        <f>"Outros"</f>
        <v>Outros</v>
      </c>
    </row>
    <row r="505" spans="1:2">
      <c r="A505" s="1" t="str">
        <f>"0506.10.00"</f>
        <v>0506.10.00</v>
      </c>
      <c r="B505" s="2" t="str">
        <f>"Osseina e ossos acidulados"</f>
        <v>Osseina e ossos acidulados</v>
      </c>
    </row>
    <row r="506" spans="1:2">
      <c r="A506" s="1" t="str">
        <f>"0506.90.00"</f>
        <v>0506.90.00</v>
      </c>
      <c r="B506" s="2" t="str">
        <f>"Outros"</f>
        <v>Outros</v>
      </c>
    </row>
    <row r="507" spans="1:2">
      <c r="A507" s="1" t="str">
        <f>"0507.10.00"</f>
        <v>0507.10.00</v>
      </c>
      <c r="B507" s="2" t="str">
        <f>"Marfim; po e desperdicios de marfim"</f>
        <v>Marfim; po e desperdicios de marfim</v>
      </c>
    </row>
    <row r="508" spans="1:2">
      <c r="A508" s="1" t="str">
        <f>"0507.90.00"</f>
        <v>0507.90.00</v>
      </c>
      <c r="B508" s="2" t="str">
        <f>"Outros"</f>
        <v>Outros</v>
      </c>
    </row>
    <row r="509" spans="1:2">
      <c r="A509" s="1" t="str">
        <f>"0508.00.00"</f>
        <v>0508.00.00</v>
      </c>
      <c r="B509" s="2" t="str">
        <f>"Coral e materias semelhantes, em br"</f>
        <v>Coral e materias semelhantes, em br</v>
      </c>
    </row>
    <row r="510" spans="1:2">
      <c r="A510" s="1" t="str">
        <f>"0510.00.10"</f>
        <v>0510.00.10</v>
      </c>
      <c r="B510" s="2" t="str">
        <f>"Pancreas de bovino"</f>
        <v>Pancreas de bovino</v>
      </c>
    </row>
    <row r="511" spans="1:2">
      <c r="A511" s="1" t="str">
        <f>"0510.00.90"</f>
        <v>0510.00.90</v>
      </c>
      <c r="B511" s="2" t="str">
        <f>"Outros"</f>
        <v>Outros</v>
      </c>
    </row>
    <row r="512" spans="1:2">
      <c r="A512" s="1" t="str">
        <f>"0511.10.00"</f>
        <v>0511.10.00</v>
      </c>
      <c r="B512" s="2" t="str">
        <f>"Semen de bovino"</f>
        <v>Semen de bovino</v>
      </c>
    </row>
    <row r="513" spans="1:2">
      <c r="A513" s="1" t="str">
        <f>"0511.91.10"</f>
        <v>0511.91.10</v>
      </c>
      <c r="B513" s="2" t="str">
        <f>"Ovas de peixe fecundadas, para repr"</f>
        <v>Ovas de peixe fecundadas, para repr</v>
      </c>
    </row>
    <row r="514" spans="1:2">
      <c r="A514" s="1" t="str">
        <f>"0511.91.90"</f>
        <v>0511.91.90</v>
      </c>
      <c r="B514" s="2" t="str">
        <f>"Outros"</f>
        <v>Outros</v>
      </c>
    </row>
    <row r="515" spans="1:2">
      <c r="A515" s="1" t="str">
        <f>"0511.99.10"</f>
        <v>0511.99.10</v>
      </c>
      <c r="B515" s="2" t="str">
        <f>"Embrioes de animais"</f>
        <v>Embrioes de animais</v>
      </c>
    </row>
    <row r="516" spans="1:2">
      <c r="A516" s="1" t="str">
        <f>"0511.99.20"</f>
        <v>0511.99.20</v>
      </c>
      <c r="B516" s="2" t="str">
        <f>"Semen animal"</f>
        <v>Semen animal</v>
      </c>
    </row>
    <row r="517" spans="1:2">
      <c r="A517" s="1" t="str">
        <f>"0511.99.30"</f>
        <v>0511.99.30</v>
      </c>
      <c r="B517" s="2" t="str">
        <f>"Ovos de bicho-da-seda"</f>
        <v>Ovos de bicho-da-seda</v>
      </c>
    </row>
    <row r="518" spans="1:2">
      <c r="A518" s="1" t="str">
        <f>"0511.99.91"</f>
        <v>0511.99.91</v>
      </c>
      <c r="B518" s="2" t="str">
        <f>"Crinas e seus desperdicios, mesmo e"</f>
        <v>Crinas e seus desperdicios, mesmo e</v>
      </c>
    </row>
    <row r="519" spans="1:2">
      <c r="A519" s="1" t="str">
        <f>"0511.99.99"</f>
        <v>0511.99.99</v>
      </c>
      <c r="B519" s="2" t="str">
        <f>"Outros"</f>
        <v>Outros</v>
      </c>
    </row>
    <row r="520" spans="1:2">
      <c r="A520" s="1" t="str">
        <f>"0601.10.00"</f>
        <v>0601.10.00</v>
      </c>
      <c r="B520" s="2" t="str">
        <f>"Bulbos, tuberculos, raizes tuberosa"</f>
        <v>Bulbos, tuberculos, raizes tuberosa</v>
      </c>
    </row>
    <row r="521" spans="1:2">
      <c r="A521" s="1" t="str">
        <f>"0601.20.00"</f>
        <v>0601.20.00</v>
      </c>
      <c r="B521" s="2" t="str">
        <f>"Bulbos, tuberculos, raizes tuberosa"</f>
        <v>Bulbos, tuberculos, raizes tuberosa</v>
      </c>
    </row>
    <row r="522" spans="1:2">
      <c r="A522" s="1" t="str">
        <f>"0602.10.00"</f>
        <v>0602.10.00</v>
      </c>
      <c r="B522" s="2" t="str">
        <f>"Estacas nao enraizadas e enxertos"</f>
        <v>Estacas nao enraizadas e enxertos</v>
      </c>
    </row>
    <row r="523" spans="1:2">
      <c r="A523" s="1" t="str">
        <f>"0602.20.00"</f>
        <v>0602.20.00</v>
      </c>
      <c r="B523" s="2" t="str">
        <f>"Arvores, arbustos e silvados, de fr"</f>
        <v>Arvores, arbustos e silvados, de fr</v>
      </c>
    </row>
    <row r="524" spans="1:2">
      <c r="A524" s="1" t="str">
        <f>"0602.30.00"</f>
        <v>0602.30.00</v>
      </c>
      <c r="B524" s="2" t="str">
        <f>"Rododendros e azaleias, enxertados"</f>
        <v>Rododendros e azaleias, enxertados</v>
      </c>
    </row>
    <row r="525" spans="1:2">
      <c r="A525" s="1" t="str">
        <f>"0602.40.00"</f>
        <v>0602.40.00</v>
      </c>
      <c r="B525" s="2" t="str">
        <f>"Roseiras, enxertadas ou nao"</f>
        <v>Roseiras, enxertadas ou nao</v>
      </c>
    </row>
    <row r="526" spans="1:2">
      <c r="A526" s="1" t="str">
        <f>"0602.90.10"</f>
        <v>0602.90.10</v>
      </c>
      <c r="B526" s="2" t="str">
        <f>"Micelios de cogumelos"</f>
        <v>Micelios de cogumelos</v>
      </c>
    </row>
    <row r="527" spans="1:2">
      <c r="A527" s="1" t="str">
        <f>"0602.90.21"</f>
        <v>0602.90.21</v>
      </c>
      <c r="B527" s="2" t="str">
        <f>"De orquidea"</f>
        <v>De orquidea</v>
      </c>
    </row>
    <row r="528" spans="1:2">
      <c r="A528" s="1" t="str">
        <f>"0602.90.29"</f>
        <v>0602.90.29</v>
      </c>
      <c r="B528" s="2" t="str">
        <f>"OUTRAS"</f>
        <v>OUTRAS</v>
      </c>
    </row>
    <row r="529" spans="1:2">
      <c r="A529" s="1" t="str">
        <f>"0602.90.81"</f>
        <v>0602.90.81</v>
      </c>
      <c r="B529" s="2" t="str">
        <f>"De cana-de-acucar"</f>
        <v>De cana-de-acucar</v>
      </c>
    </row>
    <row r="530" spans="1:2">
      <c r="A530" s="1" t="str">
        <f>"0602.90.82"</f>
        <v>0602.90.82</v>
      </c>
      <c r="B530" s="2" t="str">
        <f>"De videira"</f>
        <v>De videira</v>
      </c>
    </row>
    <row r="531" spans="1:2">
      <c r="A531" s="1" t="str">
        <f>"0602.90.83"</f>
        <v>0602.90.83</v>
      </c>
      <c r="B531" s="2" t="str">
        <f>"De cafe"</f>
        <v>De cafe</v>
      </c>
    </row>
    <row r="532" spans="1:2">
      <c r="A532" s="1" t="str">
        <f>"0602.90.89"</f>
        <v>0602.90.89</v>
      </c>
      <c r="B532" s="2" t="str">
        <f>"Outras"</f>
        <v>Outras</v>
      </c>
    </row>
    <row r="533" spans="1:2">
      <c r="A533" s="1" t="str">
        <f>"0602.90.90"</f>
        <v>0602.90.90</v>
      </c>
      <c r="B533" s="2" t="str">
        <f>"Outras"</f>
        <v>Outras</v>
      </c>
    </row>
    <row r="534" spans="1:2">
      <c r="A534" s="1" t="str">
        <f>"0603.11.00"</f>
        <v>0603.11.00</v>
      </c>
      <c r="B534" s="2" t="str">
        <f>"Rosas"</f>
        <v>Rosas</v>
      </c>
    </row>
    <row r="535" spans="1:2">
      <c r="A535" s="1" t="str">
        <f>"0603.12.00"</f>
        <v>0603.12.00</v>
      </c>
      <c r="B535" s="2" t="str">
        <f>"Cravos"</f>
        <v>Cravos</v>
      </c>
    </row>
    <row r="536" spans="1:2">
      <c r="A536" s="1" t="str">
        <f>"0603.13.00"</f>
        <v>0603.13.00</v>
      </c>
      <c r="B536" s="2" t="str">
        <f>"Orquideas"</f>
        <v>Orquideas</v>
      </c>
    </row>
    <row r="537" spans="1:2">
      <c r="A537" s="1" t="str">
        <f>"0603.14.00"</f>
        <v>0603.14.00</v>
      </c>
      <c r="B537" s="2" t="str">
        <f>"Crisantemos"</f>
        <v>Crisantemos</v>
      </c>
    </row>
    <row r="538" spans="1:2">
      <c r="A538" s="1" t="str">
        <f>"0603.15.00"</f>
        <v>0603.15.00</v>
      </c>
      <c r="B538" s="2" t="str">
        <f>"Lirios (Lilium spp.)"</f>
        <v>Lirios (Lilium spp.)</v>
      </c>
    </row>
    <row r="539" spans="1:2">
      <c r="A539" s="1" t="str">
        <f>"0603.19.00"</f>
        <v>0603.19.00</v>
      </c>
      <c r="B539" s="2" t="str">
        <f>"Outros"</f>
        <v>Outros</v>
      </c>
    </row>
    <row r="540" spans="1:2">
      <c r="A540" s="1" t="str">
        <f>"0603.90.00"</f>
        <v>0603.90.00</v>
      </c>
      <c r="B540" s="2" t="str">
        <f>"Outros"</f>
        <v>Outros</v>
      </c>
    </row>
    <row r="541" spans="1:2">
      <c r="A541" s="1" t="str">
        <f>"0604.20.00"</f>
        <v>0604.20.00</v>
      </c>
      <c r="B541" s="2" t="str">
        <f>"Frescos"</f>
        <v>Frescos</v>
      </c>
    </row>
    <row r="542" spans="1:2">
      <c r="A542" s="1" t="str">
        <f>"0604.90.00"</f>
        <v>0604.90.00</v>
      </c>
      <c r="B542" s="2" t="str">
        <f>"Outros"</f>
        <v>Outros</v>
      </c>
    </row>
    <row r="543" spans="1:2">
      <c r="A543" s="1" t="str">
        <f>"0701.10.00"</f>
        <v>0701.10.00</v>
      </c>
      <c r="B543" s="2" t="str">
        <f>"Batata-semente"</f>
        <v>Batata-semente</v>
      </c>
    </row>
    <row r="544" spans="1:2">
      <c r="A544" s="1" t="str">
        <f>"0701.90.00"</f>
        <v>0701.90.00</v>
      </c>
      <c r="B544" s="2" t="str">
        <f>"Outras"</f>
        <v>Outras</v>
      </c>
    </row>
    <row r="545" spans="1:2">
      <c r="A545" s="1" t="str">
        <f>"0702.00.00"</f>
        <v>0702.00.00</v>
      </c>
      <c r="B545" s="2" t="str">
        <f>"Tomates, frescos ou refrigerados."</f>
        <v>Tomates, frescos ou refrigerados.</v>
      </c>
    </row>
    <row r="546" spans="1:2">
      <c r="A546" s="1" t="str">
        <f>"0703.10.11"</f>
        <v>0703.10.11</v>
      </c>
      <c r="B546" s="2" t="str">
        <f>"Para semeadura"</f>
        <v>Para semeadura</v>
      </c>
    </row>
    <row r="547" spans="1:2">
      <c r="A547" s="1" t="str">
        <f>"0703.10.19"</f>
        <v>0703.10.19</v>
      </c>
      <c r="B547" s="2" t="str">
        <f>"Outras"</f>
        <v>Outras</v>
      </c>
    </row>
    <row r="548" spans="1:2">
      <c r="A548" s="1" t="str">
        <f>"0703.10.21"</f>
        <v>0703.10.21</v>
      </c>
      <c r="B548" s="2" t="str">
        <f>"Para semeadura"</f>
        <v>Para semeadura</v>
      </c>
    </row>
    <row r="549" spans="1:2">
      <c r="A549" s="1" t="str">
        <f>"0703.10.29"</f>
        <v>0703.10.29</v>
      </c>
      <c r="B549" s="2" t="str">
        <f>"Outras"</f>
        <v>Outras</v>
      </c>
    </row>
    <row r="550" spans="1:2">
      <c r="A550" s="1" t="str">
        <f>"0703.20.10"</f>
        <v>0703.20.10</v>
      </c>
      <c r="B550" s="2" t="str">
        <f>"Para semeadura"</f>
        <v>Para semeadura</v>
      </c>
    </row>
    <row r="551" spans="1:2">
      <c r="A551" s="1" t="str">
        <f>"0703.20.90"</f>
        <v>0703.20.90</v>
      </c>
      <c r="B551" s="2" t="str">
        <f>"Outros"</f>
        <v>Outros</v>
      </c>
    </row>
    <row r="552" spans="1:2">
      <c r="A552" s="1" t="str">
        <f>"0703.90.10"</f>
        <v>0703.90.10</v>
      </c>
      <c r="B552" s="2" t="str">
        <f>"Para semeadura"</f>
        <v>Para semeadura</v>
      </c>
    </row>
    <row r="553" spans="1:2">
      <c r="A553" s="1" t="str">
        <f>"0703.90.90"</f>
        <v>0703.90.90</v>
      </c>
      <c r="B553" s="2" t="str">
        <f>"Outros"</f>
        <v>Outros</v>
      </c>
    </row>
    <row r="554" spans="1:2">
      <c r="A554" s="1" t="str">
        <f>"0704.10.00"</f>
        <v>0704.10.00</v>
      </c>
      <c r="B554" s="2" t="str">
        <f>"Couve-flor e brocolis"</f>
        <v>Couve-flor e brocolis</v>
      </c>
    </row>
    <row r="555" spans="1:2">
      <c r="A555" s="1" t="str">
        <f>"0704.20.00"</f>
        <v>0704.20.00</v>
      </c>
      <c r="B555" s="2" t="str">
        <f>"Couve-de-bruxelas"</f>
        <v>Couve-de-bruxelas</v>
      </c>
    </row>
    <row r="556" spans="1:2">
      <c r="A556" s="1" t="str">
        <f>"0704.90.00"</f>
        <v>0704.90.00</v>
      </c>
      <c r="B556" s="2" t="str">
        <f>"Outros"</f>
        <v>Outros</v>
      </c>
    </row>
    <row r="557" spans="1:2">
      <c r="A557" s="1" t="str">
        <f>"0705.11.00"</f>
        <v>0705.11.00</v>
      </c>
      <c r="B557" s="2" t="str">
        <f>"Repolhuda"</f>
        <v>Repolhuda</v>
      </c>
    </row>
    <row r="558" spans="1:2">
      <c r="A558" s="1" t="str">
        <f>"0705.19.00"</f>
        <v>0705.19.00</v>
      </c>
      <c r="B558" s="2" t="str">
        <f>"Outra"</f>
        <v>Outra</v>
      </c>
    </row>
    <row r="559" spans="1:2">
      <c r="A559" s="1" t="str">
        <f>"0705.21.00"</f>
        <v>0705.21.00</v>
      </c>
      <c r="B559" s="2" t="str">
        <f>"Endivia (Cichorium intybus var. fol"</f>
        <v>Endivia (Cichorium intybus var. fol</v>
      </c>
    </row>
    <row r="560" spans="1:2">
      <c r="A560" s="1" t="str">
        <f>"0705.29.00"</f>
        <v>0705.29.00</v>
      </c>
      <c r="B560" s="2" t="str">
        <f>"Outras"</f>
        <v>Outras</v>
      </c>
    </row>
    <row r="561" spans="1:2">
      <c r="A561" s="1" t="str">
        <f>"0706.10.00"</f>
        <v>0706.10.00</v>
      </c>
      <c r="B561" s="2" t="str">
        <f>"Cenouras e nabos"</f>
        <v>Cenouras e nabos</v>
      </c>
    </row>
    <row r="562" spans="1:2">
      <c r="A562" s="1" t="str">
        <f>"0706.90.00"</f>
        <v>0706.90.00</v>
      </c>
      <c r="B562" s="2" t="str">
        <f>"Outros"</f>
        <v>Outros</v>
      </c>
    </row>
    <row r="563" spans="1:2">
      <c r="A563" s="1" t="str">
        <f>"0707.00.00"</f>
        <v>0707.00.00</v>
      </c>
      <c r="B563" s="2" t="str">
        <f>"Pepinos e pepininhos (cornichons),"</f>
        <v>Pepinos e pepininhos (cornichons),</v>
      </c>
    </row>
    <row r="564" spans="1:2">
      <c r="A564" s="1" t="str">
        <f>"0708.10.00"</f>
        <v>0708.10.00</v>
      </c>
      <c r="B564" s="2" t="str">
        <f>"Ervilhas (Pisum sativum)"</f>
        <v>Ervilhas (Pisum sativum)</v>
      </c>
    </row>
    <row r="565" spans="1:2">
      <c r="A565" s="1" t="str">
        <f>"0708.20.00"</f>
        <v>0708.20.00</v>
      </c>
      <c r="B565" s="2" t="str">
        <f>"Feijoes (Vigna spp., Phaseolus spp."</f>
        <v>Feijoes (Vigna spp., Phaseolus spp.</v>
      </c>
    </row>
    <row r="566" spans="1:2">
      <c r="A566" s="1" t="str">
        <f>"0708.90.00"</f>
        <v>0708.90.00</v>
      </c>
      <c r="B566" s="2" t="str">
        <f>"Outros legumes de vagem"</f>
        <v>Outros legumes de vagem</v>
      </c>
    </row>
    <row r="567" spans="1:2">
      <c r="A567" s="1" t="str">
        <f>"0709.20.00"</f>
        <v>0709.20.00</v>
      </c>
      <c r="B567" s="2" t="str">
        <f>"Aspargos"</f>
        <v>Aspargos</v>
      </c>
    </row>
    <row r="568" spans="1:2">
      <c r="A568" s="1" t="str">
        <f>"0709.30.00"</f>
        <v>0709.30.00</v>
      </c>
      <c r="B568" s="2" t="str">
        <f>"Berinjelas"</f>
        <v>Berinjelas</v>
      </c>
    </row>
    <row r="569" spans="1:2">
      <c r="A569" s="1" t="str">
        <f>"0709.40.00"</f>
        <v>0709.40.00</v>
      </c>
      <c r="B569" s="2" t="str">
        <f>"Aipo, exceto aipo-rabano"</f>
        <v>Aipo, exceto aipo-rabano</v>
      </c>
    </row>
    <row r="570" spans="1:2">
      <c r="A570" s="1" t="str">
        <f>"0709.51.00"</f>
        <v>0709.51.00</v>
      </c>
      <c r="B570" s="2" t="str">
        <f>"Cogumelos do genero Agaricus"</f>
        <v>Cogumelos do genero Agaricus</v>
      </c>
    </row>
    <row r="571" spans="1:2">
      <c r="A571" s="1" t="str">
        <f>"0709.59.00"</f>
        <v>0709.59.00</v>
      </c>
      <c r="B571" s="2" t="str">
        <f>"Outros"</f>
        <v>Outros</v>
      </c>
    </row>
    <row r="572" spans="1:2">
      <c r="A572" s="1" t="str">
        <f>"0709.60.00"</f>
        <v>0709.60.00</v>
      </c>
      <c r="B572" s="2" t="str">
        <f>"Pimentoes e pimentas (Pimentos*) do"</f>
        <v>Pimentoes e pimentas (Pimentos*) do</v>
      </c>
    </row>
    <row r="573" spans="1:2">
      <c r="A573" s="1" t="str">
        <f>"0709.70.00"</f>
        <v>0709.70.00</v>
      </c>
      <c r="B573" s="2" t="str">
        <f>"Espinafres, espinafres-da-nova-zela"</f>
        <v>Espinafres, espinafres-da-nova-zela</v>
      </c>
    </row>
    <row r="574" spans="1:2">
      <c r="A574" s="1" t="str">
        <f>"0709.91.00"</f>
        <v>0709.91.00</v>
      </c>
      <c r="B574" s="2" t="str">
        <f>"Alcachofras"</f>
        <v>Alcachofras</v>
      </c>
    </row>
    <row r="575" spans="1:2">
      <c r="A575" s="1" t="str">
        <f>"0709.92.00"</f>
        <v>0709.92.00</v>
      </c>
      <c r="B575" s="2" t="str">
        <f>"Azeitonas"</f>
        <v>Azeitonas</v>
      </c>
    </row>
    <row r="576" spans="1:2">
      <c r="A576" s="1" t="str">
        <f>"0709.93.00"</f>
        <v>0709.93.00</v>
      </c>
      <c r="B576" s="2" t="str">
        <f>"Aboboras, abobrinhas e cabacas (Cuc"</f>
        <v>Aboboras, abobrinhas e cabacas (Cuc</v>
      </c>
    </row>
    <row r="577" spans="1:2">
      <c r="A577" s="1" t="str">
        <f>"0709.99.11"</f>
        <v>0709.99.11</v>
      </c>
      <c r="B577" s="2" t="str">
        <f>"Para semeadura"</f>
        <v>Para semeadura</v>
      </c>
    </row>
    <row r="578" spans="1:2">
      <c r="A578" s="1" t="str">
        <f>"0709.99.19"</f>
        <v>0709.99.19</v>
      </c>
      <c r="B578" s="2" t="str">
        <f>"Outros"</f>
        <v>Outros</v>
      </c>
    </row>
    <row r="579" spans="1:2">
      <c r="A579" s="1" t="str">
        <f>"0709.99.90"</f>
        <v>0709.99.90</v>
      </c>
      <c r="B579" s="2" t="str">
        <f>"Outros"</f>
        <v>Outros</v>
      </c>
    </row>
    <row r="580" spans="1:2">
      <c r="A580" s="1" t="str">
        <f>"0710.10.00"</f>
        <v>0710.10.00</v>
      </c>
      <c r="B580" s="2" t="str">
        <f>"Batatas"</f>
        <v>Batatas</v>
      </c>
    </row>
    <row r="581" spans="1:2">
      <c r="A581" s="1" t="str">
        <f>"0710.21.00"</f>
        <v>0710.21.00</v>
      </c>
      <c r="B581" s="2" t="str">
        <f>"Ervilhas (Pisum sativum)"</f>
        <v>Ervilhas (Pisum sativum)</v>
      </c>
    </row>
    <row r="582" spans="1:2">
      <c r="A582" s="1" t="str">
        <f>"0710.22.00"</f>
        <v>0710.22.00</v>
      </c>
      <c r="B582" s="2" t="str">
        <f>"Feijoes (Vigna spp., Phaseolus spp."</f>
        <v>Feijoes (Vigna spp., Phaseolus spp.</v>
      </c>
    </row>
    <row r="583" spans="1:2">
      <c r="A583" s="1" t="str">
        <f>"0710.29.00"</f>
        <v>0710.29.00</v>
      </c>
      <c r="B583" s="2" t="str">
        <f>"Outros"</f>
        <v>Outros</v>
      </c>
    </row>
    <row r="584" spans="1:2">
      <c r="A584" s="1" t="str">
        <f>"0710.30.00"</f>
        <v>0710.30.00</v>
      </c>
      <c r="B584" s="2" t="str">
        <f>"Espinafres, espinafres-da-nova-zela"</f>
        <v>Espinafres, espinafres-da-nova-zela</v>
      </c>
    </row>
    <row r="585" spans="1:2">
      <c r="A585" s="1" t="str">
        <f>"0710.40.00"</f>
        <v>0710.40.00</v>
      </c>
      <c r="B585" s="2" t="str">
        <f>"Milho doce"</f>
        <v>Milho doce</v>
      </c>
    </row>
    <row r="586" spans="1:2">
      <c r="A586" s="1" t="str">
        <f>"0710.80.00"</f>
        <v>0710.80.00</v>
      </c>
      <c r="B586" s="2" t="str">
        <f>"Outros produtos horticolas"</f>
        <v>Outros produtos horticolas</v>
      </c>
    </row>
    <row r="587" spans="1:2">
      <c r="A587" s="1" t="str">
        <f>"0710.90.00"</f>
        <v>0710.90.00</v>
      </c>
      <c r="B587" s="2" t="str">
        <f>"Misturas de produtos horticolas"</f>
        <v>Misturas de produtos horticolas</v>
      </c>
    </row>
    <row r="588" spans="1:2">
      <c r="A588" s="1" t="str">
        <f>"0711.20.10"</f>
        <v>0711.20.10</v>
      </c>
      <c r="B588" s="2" t="str">
        <f>"Com agua salgada"</f>
        <v>Com agua salgada</v>
      </c>
    </row>
    <row r="589" spans="1:2">
      <c r="A589" s="1" t="str">
        <f>"0711.20.20"</f>
        <v>0711.20.20</v>
      </c>
      <c r="B589" s="2" t="str">
        <f>"Com agua sulfurada ou adicionada de"</f>
        <v>Com agua sulfurada ou adicionada de</v>
      </c>
    </row>
    <row r="590" spans="1:2">
      <c r="A590" s="1" t="str">
        <f>"0711.20.90"</f>
        <v>0711.20.90</v>
      </c>
      <c r="B590" s="2" t="str">
        <f>"Outras"</f>
        <v>Outras</v>
      </c>
    </row>
    <row r="591" spans="1:2">
      <c r="A591" s="1" t="str">
        <f>"0711.40.00"</f>
        <v>0711.40.00</v>
      </c>
      <c r="B591" s="2" t="str">
        <f>"PEPINOS E PEPININHOS (CORNICHONS)"</f>
        <v>PEPINOS E PEPININHOS (CORNICHONS)</v>
      </c>
    </row>
    <row r="592" spans="1:2">
      <c r="A592" s="1" t="str">
        <f>"0711.51.00"</f>
        <v>0711.51.00</v>
      </c>
      <c r="B592" s="2" t="str">
        <f>"Cogumelos do genero Agaricus"</f>
        <v>Cogumelos do genero Agaricus</v>
      </c>
    </row>
    <row r="593" spans="1:2">
      <c r="A593" s="1" t="str">
        <f>"0711.59.00"</f>
        <v>0711.59.00</v>
      </c>
      <c r="B593" s="2" t="str">
        <f>"Outros"</f>
        <v>Outros</v>
      </c>
    </row>
    <row r="594" spans="1:2">
      <c r="A594" s="1" t="str">
        <f>"0711.90.00"</f>
        <v>0711.90.00</v>
      </c>
      <c r="B594" s="2" t="str">
        <f>"Outros produtos horticolas; mistura"</f>
        <v>Outros produtos horticolas; mistura</v>
      </c>
    </row>
    <row r="595" spans="1:2">
      <c r="A595" s="1" t="str">
        <f>"0712.20.00"</f>
        <v>0712.20.00</v>
      </c>
      <c r="B595" s="2" t="str">
        <f>"Cebolas"</f>
        <v>Cebolas</v>
      </c>
    </row>
    <row r="596" spans="1:2">
      <c r="A596" s="1" t="str">
        <f>"0712.31.00"</f>
        <v>0712.31.00</v>
      </c>
      <c r="B596" s="2" t="str">
        <f>"Cogumelos do genero Agaricus"</f>
        <v>Cogumelos do genero Agaricus</v>
      </c>
    </row>
    <row r="597" spans="1:2">
      <c r="A597" s="1" t="str">
        <f>"0712.32.00"</f>
        <v>0712.32.00</v>
      </c>
      <c r="B597" s="2" t="str">
        <f>"Orelhas-de-judas (Auricularia spp.)"</f>
        <v>Orelhas-de-judas (Auricularia spp.)</v>
      </c>
    </row>
    <row r="598" spans="1:2">
      <c r="A598" s="1" t="str">
        <f>"0712.33.00"</f>
        <v>0712.33.00</v>
      </c>
      <c r="B598" s="2" t="str">
        <f>"Tremelas (Tremella spp.)"</f>
        <v>Tremelas (Tremella spp.)</v>
      </c>
    </row>
    <row r="599" spans="1:2">
      <c r="A599" s="1" t="str">
        <f>"0712.39.00"</f>
        <v>0712.39.00</v>
      </c>
      <c r="B599" s="2" t="str">
        <f>"Outros"</f>
        <v>Outros</v>
      </c>
    </row>
    <row r="600" spans="1:2">
      <c r="A600" s="1" t="str">
        <f>"0712.90.10"</f>
        <v>0712.90.10</v>
      </c>
      <c r="B600" s="2" t="str">
        <f>"Alho em po"</f>
        <v>Alho em po</v>
      </c>
    </row>
    <row r="601" spans="1:2">
      <c r="A601" s="1" t="str">
        <f>"0712.90.90"</f>
        <v>0712.90.90</v>
      </c>
      <c r="B601" s="2" t="str">
        <f>"Outros"</f>
        <v>Outros</v>
      </c>
    </row>
    <row r="602" spans="1:2">
      <c r="A602" s="1" t="str">
        <f>"0713.10.10"</f>
        <v>0713.10.10</v>
      </c>
      <c r="B602" s="2" t="str">
        <f>"Para semeadura"</f>
        <v>Para semeadura</v>
      </c>
    </row>
    <row r="603" spans="1:2">
      <c r="A603" s="1" t="str">
        <f>"0713.10.90"</f>
        <v>0713.10.90</v>
      </c>
      <c r="B603" s="2" t="str">
        <f>"Outras"</f>
        <v>Outras</v>
      </c>
    </row>
    <row r="604" spans="1:2">
      <c r="A604" s="1" t="str">
        <f>"0713.20.10"</f>
        <v>0713.20.10</v>
      </c>
      <c r="B604" s="2" t="str">
        <f>"Para semeadura"</f>
        <v>Para semeadura</v>
      </c>
    </row>
    <row r="605" spans="1:2">
      <c r="A605" s="1" t="str">
        <f>"0713.20.90"</f>
        <v>0713.20.90</v>
      </c>
      <c r="B605" s="2" t="str">
        <f>"Outros"</f>
        <v>Outros</v>
      </c>
    </row>
    <row r="606" spans="1:2">
      <c r="A606" s="1" t="str">
        <f>"0713.31.10"</f>
        <v>0713.31.10</v>
      </c>
      <c r="B606" s="2" t="str">
        <f>"Para semeadura"</f>
        <v>Para semeadura</v>
      </c>
    </row>
    <row r="607" spans="1:2">
      <c r="A607" s="1" t="str">
        <f>"0713.31.90"</f>
        <v>0713.31.90</v>
      </c>
      <c r="B607" s="2" t="str">
        <f>"Outros"</f>
        <v>Outros</v>
      </c>
    </row>
    <row r="608" spans="1:2">
      <c r="A608" s="1" t="str">
        <f>"0713.32.10"</f>
        <v>0713.32.10</v>
      </c>
      <c r="B608" s="2" t="str">
        <f>"Para semeadura"</f>
        <v>Para semeadura</v>
      </c>
    </row>
    <row r="609" spans="1:2">
      <c r="A609" s="1" t="str">
        <f>"0713.32.90"</f>
        <v>0713.32.90</v>
      </c>
      <c r="B609" s="2" t="str">
        <f>"Outros"</f>
        <v>Outros</v>
      </c>
    </row>
    <row r="610" spans="1:2">
      <c r="A610" s="1" t="str">
        <f>"0713.33.11"</f>
        <v>0713.33.11</v>
      </c>
      <c r="B610" s="2" t="str">
        <f>"Para semeadura"</f>
        <v>Para semeadura</v>
      </c>
    </row>
    <row r="611" spans="1:2">
      <c r="A611" s="1" t="str">
        <f>"0713.33.19"</f>
        <v>0713.33.19</v>
      </c>
      <c r="B611" s="2" t="str">
        <f>"Outros"</f>
        <v>Outros</v>
      </c>
    </row>
    <row r="612" spans="1:2">
      <c r="A612" s="1" t="str">
        <f>"0713.33.21"</f>
        <v>0713.33.21</v>
      </c>
      <c r="B612" s="2" t="str">
        <f>"Para semeadura"</f>
        <v>Para semeadura</v>
      </c>
    </row>
    <row r="613" spans="1:2">
      <c r="A613" s="1" t="str">
        <f>"0713.33.29"</f>
        <v>0713.33.29</v>
      </c>
      <c r="B613" s="2" t="str">
        <f>"Outros"</f>
        <v>Outros</v>
      </c>
    </row>
    <row r="614" spans="1:2">
      <c r="A614" s="1" t="str">
        <f>"0713.33.91"</f>
        <v>0713.33.91</v>
      </c>
      <c r="B614" s="2" t="str">
        <f>"Para semeadura"</f>
        <v>Para semeadura</v>
      </c>
    </row>
    <row r="615" spans="1:2">
      <c r="A615" s="1" t="str">
        <f>"0713.33.99"</f>
        <v>0713.33.99</v>
      </c>
      <c r="B615" s="2" t="str">
        <f>"Outros"</f>
        <v>Outros</v>
      </c>
    </row>
    <row r="616" spans="1:2">
      <c r="A616" s="1" t="str">
        <f>"0713.34.10"</f>
        <v>0713.34.10</v>
      </c>
      <c r="B616" s="2" t="str">
        <f>"Para semeadura"</f>
        <v>Para semeadura</v>
      </c>
    </row>
    <row r="617" spans="1:2">
      <c r="A617" s="1" t="str">
        <f>"0713.34.90"</f>
        <v>0713.34.90</v>
      </c>
      <c r="B617" s="2" t="str">
        <f>"Outros"</f>
        <v>Outros</v>
      </c>
    </row>
    <row r="618" spans="1:2">
      <c r="A618" s="1" t="str">
        <f>"0713.35.10"</f>
        <v>0713.35.10</v>
      </c>
      <c r="B618" s="2" t="str">
        <f>"Para semeadura"</f>
        <v>Para semeadura</v>
      </c>
    </row>
    <row r="619" spans="1:2">
      <c r="A619" s="1" t="str">
        <f>"0713.35.90"</f>
        <v>0713.35.90</v>
      </c>
      <c r="B619" s="2" t="str">
        <f>"Outros"</f>
        <v>Outros</v>
      </c>
    </row>
    <row r="620" spans="1:2">
      <c r="A620" s="1" t="str">
        <f>"0713.39.10"</f>
        <v>0713.39.10</v>
      </c>
      <c r="B620" s="2" t="str">
        <f>"Para semeadura"</f>
        <v>Para semeadura</v>
      </c>
    </row>
    <row r="621" spans="1:2">
      <c r="A621" s="1" t="str">
        <f>"0713.39.90"</f>
        <v>0713.39.90</v>
      </c>
      <c r="B621" s="2" t="str">
        <f>"Outros"</f>
        <v>Outros</v>
      </c>
    </row>
    <row r="622" spans="1:2">
      <c r="A622" s="1" t="str">
        <f>"0713.40.10"</f>
        <v>0713.40.10</v>
      </c>
      <c r="B622" s="2" t="str">
        <f>"Para semeadura"</f>
        <v>Para semeadura</v>
      </c>
    </row>
    <row r="623" spans="1:2">
      <c r="A623" s="1" t="str">
        <f>"0713.40.90"</f>
        <v>0713.40.90</v>
      </c>
      <c r="B623" s="2" t="str">
        <f>"OUTRAS"</f>
        <v>OUTRAS</v>
      </c>
    </row>
    <row r="624" spans="1:2">
      <c r="A624" s="1" t="str">
        <f>"0713.50.10"</f>
        <v>0713.50.10</v>
      </c>
      <c r="B624" s="2" t="str">
        <f>"Para semeadura"</f>
        <v>Para semeadura</v>
      </c>
    </row>
    <row r="625" spans="1:2">
      <c r="A625" s="1" t="str">
        <f>"0713.50.90"</f>
        <v>0713.50.90</v>
      </c>
      <c r="B625" s="2" t="str">
        <f>"Outras"</f>
        <v>Outras</v>
      </c>
    </row>
    <row r="626" spans="1:2">
      <c r="A626" s="1" t="str">
        <f>"0713.60.10"</f>
        <v>0713.60.10</v>
      </c>
      <c r="B626" s="2" t="str">
        <f>"Para semeadura"</f>
        <v>Para semeadura</v>
      </c>
    </row>
    <row r="627" spans="1:2">
      <c r="A627" s="1" t="str">
        <f>"0713.60.90"</f>
        <v>0713.60.90</v>
      </c>
      <c r="B627" s="2" t="str">
        <f>"Outros"</f>
        <v>Outros</v>
      </c>
    </row>
    <row r="628" spans="1:2">
      <c r="A628" s="1" t="str">
        <f>"0713.90.10"</f>
        <v>0713.90.10</v>
      </c>
      <c r="B628" s="2" t="str">
        <f>"Para semeadura"</f>
        <v>Para semeadura</v>
      </c>
    </row>
    <row r="629" spans="1:2">
      <c r="A629" s="1" t="str">
        <f>"0713.90.90"</f>
        <v>0713.90.90</v>
      </c>
      <c r="B629" s="2" t="str">
        <f>"Outros"</f>
        <v>Outros</v>
      </c>
    </row>
    <row r="630" spans="1:2">
      <c r="A630" s="1" t="str">
        <f>"0714.10.00"</f>
        <v>0714.10.00</v>
      </c>
      <c r="B630" s="2" t="str">
        <f>"Raizes de mandioca"</f>
        <v>Raizes de mandioca</v>
      </c>
    </row>
    <row r="631" spans="1:2">
      <c r="A631" s="1" t="str">
        <f>"0714.20.00"</f>
        <v>0714.20.00</v>
      </c>
      <c r="B631" s="2" t="str">
        <f>"Batatas-doces"</f>
        <v>Batatas-doces</v>
      </c>
    </row>
    <row r="632" spans="1:2">
      <c r="A632" s="1" t="str">
        <f>"0714.30.00"</f>
        <v>0714.30.00</v>
      </c>
      <c r="B632" s="2" t="str">
        <f>"Inhames (Dioscorea spp.)"</f>
        <v>Inhames (Dioscorea spp.)</v>
      </c>
    </row>
    <row r="633" spans="1:2">
      <c r="A633" s="1" t="str">
        <f>"0714.40.00"</f>
        <v>0714.40.00</v>
      </c>
      <c r="B633" s="2" t="str">
        <f>"Taros (inhames-brancos) (Colocasia"</f>
        <v>Taros (inhames-brancos) (Colocasia</v>
      </c>
    </row>
    <row r="634" spans="1:2">
      <c r="A634" s="1" t="str">
        <f>"0714.50.00"</f>
        <v>0714.50.00</v>
      </c>
      <c r="B634" s="2" t="str">
        <f>"Mangaritos (Orelhas-de-elefante*) ("</f>
        <v>Mangaritos (Orelhas-de-elefante*) (</v>
      </c>
    </row>
    <row r="635" spans="1:2">
      <c r="A635" s="1" t="str">
        <f>"0714.90.00"</f>
        <v>0714.90.00</v>
      </c>
      <c r="B635" s="2" t="str">
        <f>"Outros"</f>
        <v>Outros</v>
      </c>
    </row>
    <row r="636" spans="1:2">
      <c r="A636" s="1" t="str">
        <f>"0801.11.00"</f>
        <v>0801.11.00</v>
      </c>
      <c r="B636" s="2" t="str">
        <f>"Dessecados"</f>
        <v>Dessecados</v>
      </c>
    </row>
    <row r="637" spans="1:2">
      <c r="A637" s="1" t="str">
        <f>"0801.12.00"</f>
        <v>0801.12.00</v>
      </c>
      <c r="B637" s="2" t="str">
        <f>"Na casca interna (endocarpo)"</f>
        <v>Na casca interna (endocarpo)</v>
      </c>
    </row>
    <row r="638" spans="1:2">
      <c r="A638" s="1" t="str">
        <f>"0801.19.00"</f>
        <v>0801.19.00</v>
      </c>
      <c r="B638" s="2" t="str">
        <f>"Outros"</f>
        <v>Outros</v>
      </c>
    </row>
    <row r="639" spans="1:2">
      <c r="A639" s="1" t="str">
        <f>"0801.21.00"</f>
        <v>0801.21.00</v>
      </c>
      <c r="B639" s="2" t="str">
        <f>"Com casca"</f>
        <v>Com casca</v>
      </c>
    </row>
    <row r="640" spans="1:2">
      <c r="A640" s="1" t="str">
        <f>"0801.22.00"</f>
        <v>0801.22.00</v>
      </c>
      <c r="B640" s="2" t="str">
        <f>"SEM CASCA"</f>
        <v>SEM CASCA</v>
      </c>
    </row>
    <row r="641" spans="1:2">
      <c r="A641" s="1" t="str">
        <f>"0801.31.00"</f>
        <v>0801.31.00</v>
      </c>
      <c r="B641" s="2" t="str">
        <f>"Com casca"</f>
        <v>Com casca</v>
      </c>
    </row>
    <row r="642" spans="1:2">
      <c r="A642" s="1" t="str">
        <f>"0801.32.00"</f>
        <v>0801.32.00</v>
      </c>
      <c r="B642" s="2" t="str">
        <f>"OUTROS"</f>
        <v>OUTROS</v>
      </c>
    </row>
    <row r="643" spans="1:2">
      <c r="A643" s="1" t="str">
        <f>"0802.11.00"</f>
        <v>0802.11.00</v>
      </c>
      <c r="B643" s="2" t="str">
        <f>"Com casca"</f>
        <v>Com casca</v>
      </c>
    </row>
    <row r="644" spans="1:2">
      <c r="A644" s="1" t="str">
        <f>"0802.12.00"</f>
        <v>0802.12.00</v>
      </c>
      <c r="B644" s="2" t="str">
        <f>"Sem casca"</f>
        <v>Sem casca</v>
      </c>
    </row>
    <row r="645" spans="1:2">
      <c r="A645" s="1" t="str">
        <f>"0802.21.00"</f>
        <v>0802.21.00</v>
      </c>
      <c r="B645" s="2" t="str">
        <f>"Com casca"</f>
        <v>Com casca</v>
      </c>
    </row>
    <row r="646" spans="1:2">
      <c r="A646" s="1" t="str">
        <f>"0802.22.00"</f>
        <v>0802.22.00</v>
      </c>
      <c r="B646" s="2" t="str">
        <f>"Sem casca"</f>
        <v>Sem casca</v>
      </c>
    </row>
    <row r="647" spans="1:2">
      <c r="A647" s="1" t="str">
        <f>"0802.31.00"</f>
        <v>0802.31.00</v>
      </c>
      <c r="B647" s="2" t="str">
        <f>"COM CASCA"</f>
        <v>COM CASCA</v>
      </c>
    </row>
    <row r="648" spans="1:2">
      <c r="A648" s="1" t="str">
        <f>"0802.32.00"</f>
        <v>0802.32.00</v>
      </c>
      <c r="B648" s="2" t="str">
        <f>"Sem casca"</f>
        <v>Sem casca</v>
      </c>
    </row>
    <row r="649" spans="1:2">
      <c r="A649" s="1" t="str">
        <f>"0802.41.00"</f>
        <v>0802.41.00</v>
      </c>
      <c r="B649" s="2" t="str">
        <f>"Com casca"</f>
        <v>Com casca</v>
      </c>
    </row>
    <row r="650" spans="1:2">
      <c r="A650" s="1" t="str">
        <f>"0802.42.00"</f>
        <v>0802.42.00</v>
      </c>
      <c r="B650" s="2" t="str">
        <f>"Sem casca"</f>
        <v>Sem casca</v>
      </c>
    </row>
    <row r="651" spans="1:2">
      <c r="A651" s="1" t="str">
        <f>"0802.51.00"</f>
        <v>0802.51.00</v>
      </c>
      <c r="B651" s="2" t="str">
        <f>"Com casca"</f>
        <v>Com casca</v>
      </c>
    </row>
    <row r="652" spans="1:2">
      <c r="A652" s="1" t="str">
        <f>"0802.52.00"</f>
        <v>0802.52.00</v>
      </c>
      <c r="B652" s="2" t="str">
        <f>"Sem casca"</f>
        <v>Sem casca</v>
      </c>
    </row>
    <row r="653" spans="1:2">
      <c r="A653" s="1" t="str">
        <f>"0802.61.00"</f>
        <v>0802.61.00</v>
      </c>
      <c r="B653" s="2" t="str">
        <f>"Com casca"</f>
        <v>Com casca</v>
      </c>
    </row>
    <row r="654" spans="1:2">
      <c r="A654" s="1" t="str">
        <f>"0802.62.00"</f>
        <v>0802.62.00</v>
      </c>
      <c r="B654" s="2" t="str">
        <f>"Sem casca"</f>
        <v>Sem casca</v>
      </c>
    </row>
    <row r="655" spans="1:2">
      <c r="A655" s="1" t="str">
        <f>"0802.70.00"</f>
        <v>0802.70.00</v>
      </c>
      <c r="B655" s="2" t="str">
        <f>"Nozes-de-cola (Cola spp.)"</f>
        <v>Nozes-de-cola (Cola spp.)</v>
      </c>
    </row>
    <row r="656" spans="1:2">
      <c r="A656" s="1" t="str">
        <f>"0802.80.00"</f>
        <v>0802.80.00</v>
      </c>
      <c r="B656" s="2" t="str">
        <f>"Nozes-de-areca (nozes de betele)"</f>
        <v>Nozes-de-areca (nozes de betele)</v>
      </c>
    </row>
    <row r="657" spans="1:2">
      <c r="A657" s="1" t="str">
        <f>"0802.90.00"</f>
        <v>0802.90.00</v>
      </c>
      <c r="B657" s="2" t="str">
        <f>"OUTRAS"</f>
        <v>OUTRAS</v>
      </c>
    </row>
    <row r="658" spans="1:2">
      <c r="A658" s="1" t="str">
        <f>"0803.10.00"</f>
        <v>0803.10.00</v>
      </c>
      <c r="B658" s="2" t="str">
        <f>"Bananas-da-terra (Bananas-pao*) (Pl"</f>
        <v>Bananas-da-terra (Bananas-pao*) (Pl</v>
      </c>
    </row>
    <row r="659" spans="1:2">
      <c r="A659" s="1" t="str">
        <f>"0803.90.00"</f>
        <v>0803.90.00</v>
      </c>
      <c r="B659" s="2" t="str">
        <f>"Outras"</f>
        <v>Outras</v>
      </c>
    </row>
    <row r="660" spans="1:2">
      <c r="A660" s="1" t="str">
        <f>"0804.10.10"</f>
        <v>0804.10.10</v>
      </c>
      <c r="B660" s="2" t="str">
        <f>"Frescas"</f>
        <v>Frescas</v>
      </c>
    </row>
    <row r="661" spans="1:2">
      <c r="A661" s="1" t="str">
        <f>"0804.10.20"</f>
        <v>0804.10.20</v>
      </c>
      <c r="B661" s="2" t="str">
        <f>"Secas"</f>
        <v>Secas</v>
      </c>
    </row>
    <row r="662" spans="1:2">
      <c r="A662" s="1" t="str">
        <f>"0804.20.10"</f>
        <v>0804.20.10</v>
      </c>
      <c r="B662" s="2" t="str">
        <f>"Frescos"</f>
        <v>Frescos</v>
      </c>
    </row>
    <row r="663" spans="1:2">
      <c r="A663" s="1" t="str">
        <f>"0804.20.20"</f>
        <v>0804.20.20</v>
      </c>
      <c r="B663" s="2" t="str">
        <f>"Secos"</f>
        <v>Secos</v>
      </c>
    </row>
    <row r="664" spans="1:2">
      <c r="A664" s="1" t="str">
        <f>"0804.30.00"</f>
        <v>0804.30.00</v>
      </c>
      <c r="B664" s="2" t="str">
        <f>"Abacaxis (ananases)"</f>
        <v>Abacaxis (ananases)</v>
      </c>
    </row>
    <row r="665" spans="1:2">
      <c r="A665" s="1" t="str">
        <f>"0804.40.00"</f>
        <v>0804.40.00</v>
      </c>
      <c r="B665" s="2" t="str">
        <f>"Abacates"</f>
        <v>Abacates</v>
      </c>
    </row>
    <row r="666" spans="1:2">
      <c r="A666" s="1" t="str">
        <f>"0804.50.10"</f>
        <v>0804.50.10</v>
      </c>
      <c r="B666" s="2" t="str">
        <f>"Goiabas"</f>
        <v>Goiabas</v>
      </c>
    </row>
    <row r="667" spans="1:2">
      <c r="A667" s="1" t="str">
        <f>"0804.50.20"</f>
        <v>0804.50.20</v>
      </c>
      <c r="B667" s="2" t="str">
        <f>"Mangas"</f>
        <v>Mangas</v>
      </c>
    </row>
    <row r="668" spans="1:2">
      <c r="A668" s="1" t="str">
        <f>"0804.50.30"</f>
        <v>0804.50.30</v>
      </c>
      <c r="B668" s="2" t="str">
        <f>"Mangostoes"</f>
        <v>Mangostoes</v>
      </c>
    </row>
    <row r="669" spans="1:2">
      <c r="A669" s="1" t="str">
        <f>"0805.10.00"</f>
        <v>0805.10.00</v>
      </c>
      <c r="B669" s="2" t="str">
        <f>"Laranjas"</f>
        <v>Laranjas</v>
      </c>
    </row>
    <row r="670" spans="1:2">
      <c r="A670" s="1" t="str">
        <f>"0805.21.00"</f>
        <v>0805.21.00</v>
      </c>
      <c r="B670" s="2" t="str">
        <f>"Mandarinas (incluindo as tangerinas"</f>
        <v>Mandarinas (incluindo as tangerinas</v>
      </c>
    </row>
    <row r="671" spans="1:2">
      <c r="A671" s="1" t="str">
        <f>"0805.22.00"</f>
        <v>0805.22.00</v>
      </c>
      <c r="B671" s="2" t="str">
        <f>"Clementinas"</f>
        <v>Clementinas</v>
      </c>
    </row>
    <row r="672" spans="1:2">
      <c r="A672" s="1" t="str">
        <f>"0805.29.00"</f>
        <v>0805.29.00</v>
      </c>
      <c r="B672" s="2" t="str">
        <f>"Outros"</f>
        <v>Outros</v>
      </c>
    </row>
    <row r="673" spans="1:2">
      <c r="A673" s="1" t="str">
        <f>"0805.40.00"</f>
        <v>0805.40.00</v>
      </c>
      <c r="B673" s="2" t="str">
        <f>"Toranjas e pomelos"</f>
        <v>Toranjas e pomelos</v>
      </c>
    </row>
    <row r="674" spans="1:2">
      <c r="A674" s="1" t="str">
        <f>"0805.50.00"</f>
        <v>0805.50.00</v>
      </c>
      <c r="B674" s="2" t="str">
        <f>"Limoes (Citrus limon, Citrus limonu"</f>
        <v>Limoes (Citrus limon, Citrus limonu</v>
      </c>
    </row>
    <row r="675" spans="1:2">
      <c r="A675" s="1" t="str">
        <f>"0805.90.00"</f>
        <v>0805.90.00</v>
      </c>
      <c r="B675" s="2" t="str">
        <f>"Outros"</f>
        <v>Outros</v>
      </c>
    </row>
    <row r="676" spans="1:2">
      <c r="A676" s="1" t="str">
        <f>"0806.10.00"</f>
        <v>0806.10.00</v>
      </c>
      <c r="B676" s="2" t="str">
        <f>"Frescas"</f>
        <v>Frescas</v>
      </c>
    </row>
    <row r="677" spans="1:2">
      <c r="A677" s="1" t="str">
        <f>"0806.20.00"</f>
        <v>0806.20.00</v>
      </c>
      <c r="B677" s="2" t="str">
        <f>"SECAS (PASSAS)"</f>
        <v>SECAS (PASSAS)</v>
      </c>
    </row>
    <row r="678" spans="1:2">
      <c r="A678" s="1" t="str">
        <f>"0807.11.00"</f>
        <v>0807.11.00</v>
      </c>
      <c r="B678" s="2" t="str">
        <f>"Melancias"</f>
        <v>Melancias</v>
      </c>
    </row>
    <row r="679" spans="1:2">
      <c r="A679" s="1" t="str">
        <f>"0807.19.00"</f>
        <v>0807.19.00</v>
      </c>
      <c r="B679" s="2" t="str">
        <f>"Outros"</f>
        <v>Outros</v>
      </c>
    </row>
    <row r="680" spans="1:2">
      <c r="A680" s="1" t="str">
        <f>"0807.20.00"</f>
        <v>0807.20.00</v>
      </c>
      <c r="B680" s="2" t="str">
        <f>"Mamoes (papaias)"</f>
        <v>Mamoes (papaias)</v>
      </c>
    </row>
    <row r="681" spans="1:2">
      <c r="A681" s="1" t="str">
        <f>"0808.10.00"</f>
        <v>0808.10.00</v>
      </c>
      <c r="B681" s="2" t="str">
        <f>"Macas"</f>
        <v>Macas</v>
      </c>
    </row>
    <row r="682" spans="1:2">
      <c r="A682" s="1" t="str">
        <f>"0808.30.00"</f>
        <v>0808.30.00</v>
      </c>
      <c r="B682" s="2" t="str">
        <f>"Peras"</f>
        <v>Peras</v>
      </c>
    </row>
    <row r="683" spans="1:2">
      <c r="A683" s="1" t="str">
        <f>"0808.40.00"</f>
        <v>0808.40.00</v>
      </c>
      <c r="B683" s="2" t="str">
        <f>"Marmelos"</f>
        <v>Marmelos</v>
      </c>
    </row>
    <row r="684" spans="1:2">
      <c r="A684" s="1" t="str">
        <f>"0809.10.00"</f>
        <v>0809.10.00</v>
      </c>
      <c r="B684" s="2" t="str">
        <f>"Damascos"</f>
        <v>Damascos</v>
      </c>
    </row>
    <row r="685" spans="1:2">
      <c r="A685" s="1" t="str">
        <f>"0809.21.00"</f>
        <v>0809.21.00</v>
      </c>
      <c r="B685" s="2" t="str">
        <f>"Ginjas (Prunus cerasus)"</f>
        <v>Ginjas (Prunus cerasus)</v>
      </c>
    </row>
    <row r="686" spans="1:2">
      <c r="A686" s="1" t="str">
        <f>"0809.29.00"</f>
        <v>0809.29.00</v>
      </c>
      <c r="B686" s="2" t="str">
        <f>"Outras"</f>
        <v>Outras</v>
      </c>
    </row>
    <row r="687" spans="1:2">
      <c r="A687" s="1" t="str">
        <f>"0809.30.10"</f>
        <v>0809.30.10</v>
      </c>
      <c r="B687" s="2" t="str">
        <f>"Pessegos, excluindo as nectarinas"</f>
        <v>Pessegos, excluindo as nectarinas</v>
      </c>
    </row>
    <row r="688" spans="1:2">
      <c r="A688" s="1" t="str">
        <f>"0809.30.20"</f>
        <v>0809.30.20</v>
      </c>
      <c r="B688" s="2" t="str">
        <f>"Nectarinas"</f>
        <v>Nectarinas</v>
      </c>
    </row>
    <row r="689" spans="1:2">
      <c r="A689" s="1" t="str">
        <f>"0809.40.00"</f>
        <v>0809.40.00</v>
      </c>
      <c r="B689" s="2" t="str">
        <f>"Ameixas e abrunhos"</f>
        <v>Ameixas e abrunhos</v>
      </c>
    </row>
    <row r="690" spans="1:2">
      <c r="A690" s="1" t="str">
        <f>"0810.10.00"</f>
        <v>0810.10.00</v>
      </c>
      <c r="B690" s="2" t="str">
        <f>"Morangos"</f>
        <v>Morangos</v>
      </c>
    </row>
    <row r="691" spans="1:2">
      <c r="A691" s="1" t="str">
        <f>"0810.20.00"</f>
        <v>0810.20.00</v>
      </c>
      <c r="B691" s="2" t="str">
        <f>"Framboesas, amoras, incluindo as si"</f>
        <v>Framboesas, amoras, incluindo as si</v>
      </c>
    </row>
    <row r="692" spans="1:2">
      <c r="A692" s="1" t="str">
        <f>"0810.30.00"</f>
        <v>0810.30.00</v>
      </c>
      <c r="B692" s="2" t="str">
        <f>"Groselhas, incluindo o cassis"</f>
        <v>Groselhas, incluindo o cassis</v>
      </c>
    </row>
    <row r="693" spans="1:2">
      <c r="A693" s="1" t="str">
        <f>"0810.40.00"</f>
        <v>0810.40.00</v>
      </c>
      <c r="B693" s="2" t="str">
        <f>"Airelas, mirtilos e outra fruta do"</f>
        <v>Airelas, mirtilos e outra fruta do</v>
      </c>
    </row>
    <row r="694" spans="1:2">
      <c r="A694" s="1" t="str">
        <f>"0810.50.00"</f>
        <v>0810.50.00</v>
      </c>
      <c r="B694" s="2" t="str">
        <f>"Kiwis (quivis)"</f>
        <v>Kiwis (quivis)</v>
      </c>
    </row>
    <row r="695" spans="1:2">
      <c r="A695" s="1" t="str">
        <f>"0810.60.00"</f>
        <v>0810.60.00</v>
      </c>
      <c r="B695" s="2" t="str">
        <f>"Durioes (duriangos)"</f>
        <v>Durioes (duriangos)</v>
      </c>
    </row>
    <row r="696" spans="1:2">
      <c r="A696" s="1" t="str">
        <f>"0810.70.00"</f>
        <v>0810.70.00</v>
      </c>
      <c r="B696" s="2" t="str">
        <f>"Caquis (diospiros)"</f>
        <v>Caquis (diospiros)</v>
      </c>
    </row>
    <row r="697" spans="1:2">
      <c r="A697" s="1" t="str">
        <f>"0810.90.00"</f>
        <v>0810.90.00</v>
      </c>
      <c r="B697" s="2" t="str">
        <f>"FRUTAS"</f>
        <v>FRUTAS</v>
      </c>
    </row>
    <row r="698" spans="1:2">
      <c r="A698" s="1" t="str">
        <f>"0811.10.00"</f>
        <v>0811.10.00</v>
      </c>
      <c r="B698" s="2" t="str">
        <f>"Morangos"</f>
        <v>Morangos</v>
      </c>
    </row>
    <row r="699" spans="1:2">
      <c r="A699" s="1" t="str">
        <f>"0811.20.00"</f>
        <v>0811.20.00</v>
      </c>
      <c r="B699" s="2" t="str">
        <f>"Framboesas, amoras, incluindo as si"</f>
        <v>Framboesas, amoras, incluindo as si</v>
      </c>
    </row>
    <row r="700" spans="1:2">
      <c r="A700" s="1" t="str">
        <f>"0811.90.00"</f>
        <v>0811.90.00</v>
      </c>
      <c r="B700" s="2" t="str">
        <f>"Outra"</f>
        <v>Outra</v>
      </c>
    </row>
    <row r="701" spans="1:2">
      <c r="A701" s="1" t="str">
        <f>"0812.10.00"</f>
        <v>0812.10.00</v>
      </c>
      <c r="B701" s="2" t="str">
        <f>"Cerejas"</f>
        <v>Cerejas</v>
      </c>
    </row>
    <row r="702" spans="1:2">
      <c r="A702" s="1" t="str">
        <f>"0812.90.00"</f>
        <v>0812.90.00</v>
      </c>
      <c r="B702" s="2" t="str">
        <f>"Outra"</f>
        <v>Outra</v>
      </c>
    </row>
    <row r="703" spans="1:2">
      <c r="A703" s="1" t="str">
        <f>"0813.10.00"</f>
        <v>0813.10.00</v>
      </c>
      <c r="B703" s="2" t="str">
        <f>"Damascos"</f>
        <v>Damascos</v>
      </c>
    </row>
    <row r="704" spans="1:2">
      <c r="A704" s="1" t="str">
        <f>"0813.20.10"</f>
        <v>0813.20.10</v>
      </c>
      <c r="B704" s="2" t="str">
        <f>"Com caroco"</f>
        <v>Com caroco</v>
      </c>
    </row>
    <row r="705" spans="1:2">
      <c r="A705" s="1" t="str">
        <f>"0813.20.20"</f>
        <v>0813.20.20</v>
      </c>
      <c r="B705" s="2" t="str">
        <f>"SEM CAROÇO"</f>
        <v>SEM CAROÇO</v>
      </c>
    </row>
    <row r="706" spans="1:2">
      <c r="A706" s="1" t="str">
        <f>"0813.30.00"</f>
        <v>0813.30.00</v>
      </c>
      <c r="B706" s="2" t="str">
        <f>"Macas"</f>
        <v>Macas</v>
      </c>
    </row>
    <row r="707" spans="1:2">
      <c r="A707" s="1" t="str">
        <f>"0813.40.10"</f>
        <v>0813.40.10</v>
      </c>
      <c r="B707" s="2" t="str">
        <f>"Peras"</f>
        <v>Peras</v>
      </c>
    </row>
    <row r="708" spans="1:2">
      <c r="A708" s="1" t="str">
        <f>"0813.40.90"</f>
        <v>0813.40.90</v>
      </c>
      <c r="B708" s="2" t="str">
        <f>"Outra"</f>
        <v>Outra</v>
      </c>
    </row>
    <row r="709" spans="1:2">
      <c r="A709" s="1" t="str">
        <f>"0813.50.00"</f>
        <v>0813.50.00</v>
      </c>
      <c r="B709" s="2" t="str">
        <f>"Misturas de fruta seca ou de fruta"</f>
        <v>Misturas de fruta seca ou de fruta</v>
      </c>
    </row>
    <row r="710" spans="1:2">
      <c r="A710" s="1" t="str">
        <f>"0814.00.00"</f>
        <v>0814.00.00</v>
      </c>
      <c r="B710" s="2" t="str">
        <f>"Cascas de citros (citrinos*), de me"</f>
        <v>Cascas de citros (citrinos*), de me</v>
      </c>
    </row>
    <row r="711" spans="1:2">
      <c r="A711" s="1" t="str">
        <f>"0901.11.10"</f>
        <v>0901.11.10</v>
      </c>
      <c r="B711" s="2" t="str">
        <f>"Em grao"</f>
        <v>Em grao</v>
      </c>
    </row>
    <row r="712" spans="1:2">
      <c r="A712" s="1" t="str">
        <f>"0901.11.90"</f>
        <v>0901.11.90</v>
      </c>
      <c r="B712" s="2" t="str">
        <f>"Outros"</f>
        <v>Outros</v>
      </c>
    </row>
    <row r="713" spans="1:2">
      <c r="A713" s="1" t="str">
        <f>"0901.12.00"</f>
        <v>0901.12.00</v>
      </c>
      <c r="B713" s="2" t="str">
        <f>"Descafeinado"</f>
        <v>Descafeinado</v>
      </c>
    </row>
    <row r="714" spans="1:2">
      <c r="A714" s="1" t="str">
        <f>"0901.21.00"</f>
        <v>0901.21.00</v>
      </c>
      <c r="B714" s="2" t="str">
        <f>"NÃO DESCAFEINADO"</f>
        <v>NÃO DESCAFEINADO</v>
      </c>
    </row>
    <row r="715" spans="1:2">
      <c r="A715" s="1" t="str">
        <f>"0901.22.00"</f>
        <v>0901.22.00</v>
      </c>
      <c r="B715" s="2" t="str">
        <f>"Descafeinado"</f>
        <v>Descafeinado</v>
      </c>
    </row>
    <row r="716" spans="1:2">
      <c r="A716" s="1" t="str">
        <f>"0901.90.00"</f>
        <v>0901.90.00</v>
      </c>
      <c r="B716" s="2" t="str">
        <f>"OUTROS"</f>
        <v>OUTROS</v>
      </c>
    </row>
    <row r="717" spans="1:2">
      <c r="A717" s="1" t="str">
        <f>"0902.10.00"</f>
        <v>0902.10.00</v>
      </c>
      <c r="B717" s="2" t="str">
        <f>"Cha verde (nao fermentado) em embal"</f>
        <v>Cha verde (nao fermentado) em embal</v>
      </c>
    </row>
    <row r="718" spans="1:2">
      <c r="A718" s="1" t="str">
        <f>"0902.20.00"</f>
        <v>0902.20.00</v>
      </c>
      <c r="B718" s="2" t="str">
        <f>"Cha verde (nao fermentado) apresent"</f>
        <v>Cha verde (nao fermentado) apresent</v>
      </c>
    </row>
    <row r="719" spans="1:2">
      <c r="A719" s="1" t="str">
        <f>"0902.30.00"</f>
        <v>0902.30.00</v>
      </c>
      <c r="B719" s="2" t="str">
        <f>"CHÁ PRETO E CHÁ PARCIALMENTE FERMEN"</f>
        <v>CHÁ PRETO E CHÁ PARCIALMENTE FERMEN</v>
      </c>
    </row>
    <row r="720" spans="1:2">
      <c r="A720" s="1" t="str">
        <f>"0902.40.00"</f>
        <v>0902.40.00</v>
      </c>
      <c r="B720" s="2" t="str">
        <f>"Cha preto (fermentado) e cha parcia"</f>
        <v>Cha preto (fermentado) e cha parcia</v>
      </c>
    </row>
    <row r="721" spans="1:2">
      <c r="A721" s="1" t="str">
        <f>"0903.00.10"</f>
        <v>0903.00.10</v>
      </c>
      <c r="B721" s="2" t="str">
        <f>"Simplesmente cancheado"</f>
        <v>Simplesmente cancheado</v>
      </c>
    </row>
    <row r="722" spans="1:2">
      <c r="A722" s="1" t="str">
        <f>"0903.00.90"</f>
        <v>0903.00.90</v>
      </c>
      <c r="B722" s="2" t="str">
        <f>"Outros"</f>
        <v>Outros</v>
      </c>
    </row>
    <row r="723" spans="1:2">
      <c r="A723" s="1" t="str">
        <f>"0904.11.00"</f>
        <v>0904.11.00</v>
      </c>
      <c r="B723" s="2" t="str">
        <f>"Nao triturada nem em po"</f>
        <v>Nao triturada nem em po</v>
      </c>
    </row>
    <row r="724" spans="1:2">
      <c r="A724" s="1" t="str">
        <f>"0904.12.00"</f>
        <v>0904.12.00</v>
      </c>
      <c r="B724" s="2" t="str">
        <f>"Triturada ou em po"</f>
        <v>Triturada ou em po</v>
      </c>
    </row>
    <row r="725" spans="1:2">
      <c r="A725" s="1" t="str">
        <f>"0904.21.00"</f>
        <v>0904.21.00</v>
      </c>
      <c r="B725" s="2" t="str">
        <f>"Secos, nao triturados nem em po"</f>
        <v>Secos, nao triturados nem em po</v>
      </c>
    </row>
    <row r="726" spans="1:2">
      <c r="A726" s="1" t="str">
        <f>"0904.22.00"</f>
        <v>0904.22.00</v>
      </c>
      <c r="B726" s="2" t="str">
        <f>"Triturados ou em po"</f>
        <v>Triturados ou em po</v>
      </c>
    </row>
    <row r="727" spans="1:2">
      <c r="A727" s="1" t="str">
        <f>"0905.10.00"</f>
        <v>0905.10.00</v>
      </c>
      <c r="B727" s="2" t="str">
        <f>"Nao triturada nem em po"</f>
        <v>Nao triturada nem em po</v>
      </c>
    </row>
    <row r="728" spans="1:2">
      <c r="A728" s="1" t="str">
        <f>"0905.20.00"</f>
        <v>0905.20.00</v>
      </c>
      <c r="B728" s="2" t="str">
        <f>"Triturada ou em po"</f>
        <v>Triturada ou em po</v>
      </c>
    </row>
    <row r="729" spans="1:2">
      <c r="A729" s="1" t="str">
        <f>"0906.11.00"</f>
        <v>0906.11.00</v>
      </c>
      <c r="B729" s="2" t="str">
        <f>"Canela (Cinnamomum zeylanicum blume"</f>
        <v>Canela (Cinnamomum zeylanicum blume</v>
      </c>
    </row>
    <row r="730" spans="1:2">
      <c r="A730" s="1" t="str">
        <f>"0906.19.00"</f>
        <v>0906.19.00</v>
      </c>
      <c r="B730" s="2" t="str">
        <f>"Outras"</f>
        <v>Outras</v>
      </c>
    </row>
    <row r="731" spans="1:2">
      <c r="A731" s="1" t="str">
        <f>"0906.20.00"</f>
        <v>0906.20.00</v>
      </c>
      <c r="B731" s="2" t="str">
        <f>"Trituradas ou em po"</f>
        <v>Trituradas ou em po</v>
      </c>
    </row>
    <row r="732" spans="1:2">
      <c r="A732" s="1" t="str">
        <f>"0907.10.00"</f>
        <v>0907.10.00</v>
      </c>
      <c r="B732" s="2" t="str">
        <f>"Nao triturado nem em po"</f>
        <v>Nao triturado nem em po</v>
      </c>
    </row>
    <row r="733" spans="1:2">
      <c r="A733" s="1" t="str">
        <f>"0907.20.00"</f>
        <v>0907.20.00</v>
      </c>
      <c r="B733" s="2" t="str">
        <f>"Triturado ou em po"</f>
        <v>Triturado ou em po</v>
      </c>
    </row>
    <row r="734" spans="1:2">
      <c r="A734" s="1" t="str">
        <f>"0908.11.00"</f>
        <v>0908.11.00</v>
      </c>
      <c r="B734" s="2" t="str">
        <f>"Nao triturada nem em po"</f>
        <v>Nao triturada nem em po</v>
      </c>
    </row>
    <row r="735" spans="1:2">
      <c r="A735" s="1" t="str">
        <f>"0908.12.00"</f>
        <v>0908.12.00</v>
      </c>
      <c r="B735" s="2" t="str">
        <f>"Triturada ou em po"</f>
        <v>Triturada ou em po</v>
      </c>
    </row>
    <row r="736" spans="1:2">
      <c r="A736" s="1" t="str">
        <f>"0908.21.00"</f>
        <v>0908.21.00</v>
      </c>
      <c r="B736" s="2" t="str">
        <f>"Nao triturado nem em po"</f>
        <v>Nao triturado nem em po</v>
      </c>
    </row>
    <row r="737" spans="1:2">
      <c r="A737" s="1" t="str">
        <f>"0908.22.00"</f>
        <v>0908.22.00</v>
      </c>
      <c r="B737" s="2" t="str">
        <f>"Triturado ou em po"</f>
        <v>Triturado ou em po</v>
      </c>
    </row>
    <row r="738" spans="1:2">
      <c r="A738" s="1" t="str">
        <f>"0908.31.00"</f>
        <v>0908.31.00</v>
      </c>
      <c r="B738" s="2" t="str">
        <f>"Nao triturados nem em po"</f>
        <v>Nao triturados nem em po</v>
      </c>
    </row>
    <row r="739" spans="1:2">
      <c r="A739" s="1" t="str">
        <f>"0908.32.00"</f>
        <v>0908.32.00</v>
      </c>
      <c r="B739" s="2" t="str">
        <f>"Triturados ou em po"</f>
        <v>Triturados ou em po</v>
      </c>
    </row>
    <row r="740" spans="1:2">
      <c r="A740" s="1" t="str">
        <f>"0909.21.00"</f>
        <v>0909.21.00</v>
      </c>
      <c r="B740" s="2" t="str">
        <f>"Nao trituradas nem em po"</f>
        <v>Nao trituradas nem em po</v>
      </c>
    </row>
    <row r="741" spans="1:2">
      <c r="A741" s="1" t="str">
        <f>"0909.22.00"</f>
        <v>0909.22.00</v>
      </c>
      <c r="B741" s="2" t="str">
        <f>"Trituradas ou em po"</f>
        <v>Trituradas ou em po</v>
      </c>
    </row>
    <row r="742" spans="1:2">
      <c r="A742" s="1" t="str">
        <f>"0909.31.00"</f>
        <v>0909.31.00</v>
      </c>
      <c r="B742" s="2" t="str">
        <f>"Nao trituradas nem em po"</f>
        <v>Nao trituradas nem em po</v>
      </c>
    </row>
    <row r="743" spans="1:2">
      <c r="A743" s="1" t="str">
        <f>"0909.32.00"</f>
        <v>0909.32.00</v>
      </c>
      <c r="B743" s="2" t="str">
        <f>"Trituradas ou em po"</f>
        <v>Trituradas ou em po</v>
      </c>
    </row>
    <row r="744" spans="1:2">
      <c r="A744" s="1" t="str">
        <f>"0909.61.10"</f>
        <v>0909.61.10</v>
      </c>
      <c r="B744" s="2" t="str">
        <f>"De anis (erva-doce)"</f>
        <v>De anis (erva-doce)</v>
      </c>
    </row>
    <row r="745" spans="1:2">
      <c r="A745" s="1" t="str">
        <f>"0909.61.20"</f>
        <v>0909.61.20</v>
      </c>
      <c r="B745" s="2" t="str">
        <f>"De badiana (anis-estrelado)"</f>
        <v>De badiana (anis-estrelado)</v>
      </c>
    </row>
    <row r="746" spans="1:2">
      <c r="A746" s="1" t="str">
        <f>"0909.61.90"</f>
        <v>0909.61.90</v>
      </c>
      <c r="B746" s="2" t="str">
        <f>"Outras"</f>
        <v>Outras</v>
      </c>
    </row>
    <row r="747" spans="1:2">
      <c r="A747" s="1" t="str">
        <f>"0909.62.10"</f>
        <v>0909.62.10</v>
      </c>
      <c r="B747" s="2" t="str">
        <f>"De anis (erva-doce)"</f>
        <v>De anis (erva-doce)</v>
      </c>
    </row>
    <row r="748" spans="1:2">
      <c r="A748" s="1" t="str">
        <f>"0909.62.20"</f>
        <v>0909.62.20</v>
      </c>
      <c r="B748" s="2" t="str">
        <f>"De badiana (anis-estrelado)"</f>
        <v>De badiana (anis-estrelado)</v>
      </c>
    </row>
    <row r="749" spans="1:2">
      <c r="A749" s="1" t="str">
        <f>"0909.62.90"</f>
        <v>0909.62.90</v>
      </c>
      <c r="B749" s="2" t="str">
        <f>"Outras"</f>
        <v>Outras</v>
      </c>
    </row>
    <row r="750" spans="1:2">
      <c r="A750" s="1" t="str">
        <f>"0910.11.00"</f>
        <v>0910.11.00</v>
      </c>
      <c r="B750" s="2" t="str">
        <f>"Nao triturado nem em po"</f>
        <v>Nao triturado nem em po</v>
      </c>
    </row>
    <row r="751" spans="1:2">
      <c r="A751" s="1" t="str">
        <f>"0910.12.00"</f>
        <v>0910.12.00</v>
      </c>
      <c r="B751" s="2" t="str">
        <f>"Triturado ou em po"</f>
        <v>Triturado ou em po</v>
      </c>
    </row>
    <row r="752" spans="1:2">
      <c r="A752" s="1" t="str">
        <f>"0910.20.00"</f>
        <v>0910.20.00</v>
      </c>
      <c r="B752" s="2" t="str">
        <f>"Acafrao"</f>
        <v>Acafrao</v>
      </c>
    </row>
    <row r="753" spans="1:2">
      <c r="A753" s="1" t="str">
        <f>"0910.30.00"</f>
        <v>0910.30.00</v>
      </c>
      <c r="B753" s="2" t="str">
        <f>"Curcuma"</f>
        <v>Curcuma</v>
      </c>
    </row>
    <row r="754" spans="1:2">
      <c r="A754" s="1" t="str">
        <f>"0910.91.00"</f>
        <v>0910.91.00</v>
      </c>
      <c r="B754" s="2" t="str">
        <f>"Misturas mencionadas na Nota 1 b) d"</f>
        <v>Misturas mencionadas na Nota 1 b) d</v>
      </c>
    </row>
    <row r="755" spans="1:2">
      <c r="A755" s="1" t="str">
        <f>"0910.99.00"</f>
        <v>0910.99.00</v>
      </c>
      <c r="B755" s="2" t="str">
        <f>"Outras"</f>
        <v>Outras</v>
      </c>
    </row>
    <row r="756" spans="1:2">
      <c r="A756" s="1" t="str">
        <f>"1001.11.00"</f>
        <v>1001.11.00</v>
      </c>
      <c r="B756" s="2" t="str">
        <f>"Para semeadura (sementeira*)"</f>
        <v>Para semeadura (sementeira*)</v>
      </c>
    </row>
    <row r="757" spans="1:2">
      <c r="A757" s="1" t="str">
        <f>"1001.19.00"</f>
        <v>1001.19.00</v>
      </c>
      <c r="B757" s="2" t="str">
        <f>"Outros"</f>
        <v>Outros</v>
      </c>
    </row>
    <row r="758" spans="1:2">
      <c r="A758" s="1" t="str">
        <f>"1001.91.00"</f>
        <v>1001.91.00</v>
      </c>
      <c r="B758" s="2" t="str">
        <f>"Para semeadura (sementeira*)"</f>
        <v>Para semeadura (sementeira*)</v>
      </c>
    </row>
    <row r="759" spans="1:2">
      <c r="A759" s="1" t="str">
        <f>"1001.99.00"</f>
        <v>1001.99.00</v>
      </c>
      <c r="B759" s="2" t="str">
        <f>"Outros"</f>
        <v>Outros</v>
      </c>
    </row>
    <row r="760" spans="1:2">
      <c r="A760" s="1" t="str">
        <f>"1002.10.00"</f>
        <v>1002.10.00</v>
      </c>
      <c r="B760" s="2" t="str">
        <f>"Para semeadura (sementeira*)"</f>
        <v>Para semeadura (sementeira*)</v>
      </c>
    </row>
    <row r="761" spans="1:2">
      <c r="A761" s="1" t="str">
        <f>"1002.90.00"</f>
        <v>1002.90.00</v>
      </c>
      <c r="B761" s="2" t="str">
        <f>"Outros"</f>
        <v>Outros</v>
      </c>
    </row>
    <row r="762" spans="1:2">
      <c r="A762" s="1" t="str">
        <f>"1003.10.00"</f>
        <v>1003.10.00</v>
      </c>
      <c r="B762" s="2" t="str">
        <f>"Para semeadura (sementeira*)"</f>
        <v>Para semeadura (sementeira*)</v>
      </c>
    </row>
    <row r="763" spans="1:2">
      <c r="A763" s="1" t="str">
        <f>"1003.90.10"</f>
        <v>1003.90.10</v>
      </c>
      <c r="B763" s="2" t="str">
        <f>"Cervejeira"</f>
        <v>Cervejeira</v>
      </c>
    </row>
    <row r="764" spans="1:2">
      <c r="A764" s="1" t="str">
        <f>"1003.90.80"</f>
        <v>1003.90.80</v>
      </c>
      <c r="B764" s="2" t="str">
        <f>"Outras, em grao"</f>
        <v>Outras, em grao</v>
      </c>
    </row>
    <row r="765" spans="1:2">
      <c r="A765" s="1" t="str">
        <f>"1003.90.90"</f>
        <v>1003.90.90</v>
      </c>
      <c r="B765" s="2" t="str">
        <f>"Outras"</f>
        <v>Outras</v>
      </c>
    </row>
    <row r="766" spans="1:2">
      <c r="A766" s="1" t="str">
        <f>"1004.10.00"</f>
        <v>1004.10.00</v>
      </c>
      <c r="B766" s="2" t="str">
        <f>"Para semeadura (sementeira*)"</f>
        <v>Para semeadura (sementeira*)</v>
      </c>
    </row>
    <row r="767" spans="1:2">
      <c r="A767" s="1" t="str">
        <f>"1004.90.00"</f>
        <v>1004.90.00</v>
      </c>
      <c r="B767" s="2" t="str">
        <f>"Outras"</f>
        <v>Outras</v>
      </c>
    </row>
    <row r="768" spans="1:2">
      <c r="A768" s="1" t="str">
        <f>"1005.10.00"</f>
        <v>1005.10.00</v>
      </c>
      <c r="B768" s="2" t="str">
        <f>"Para semeadura (sementeira*)"</f>
        <v>Para semeadura (sementeira*)</v>
      </c>
    </row>
    <row r="769" spans="1:2">
      <c r="A769" s="1" t="str">
        <f>"1005.90.10"</f>
        <v>1005.90.10</v>
      </c>
      <c r="B769" s="2" t="str">
        <f>"Em grao"</f>
        <v>Em grao</v>
      </c>
    </row>
    <row r="770" spans="1:2">
      <c r="A770" s="1" t="str">
        <f>"1005.90.90"</f>
        <v>1005.90.90</v>
      </c>
      <c r="B770" s="2" t="str">
        <f>"Outros"</f>
        <v>Outros</v>
      </c>
    </row>
    <row r="771" spans="1:2">
      <c r="A771" s="1" t="str">
        <f>"1006.10.10"</f>
        <v>1006.10.10</v>
      </c>
      <c r="B771" s="2" t="str">
        <f>"Para semeadura"</f>
        <v>Para semeadura</v>
      </c>
    </row>
    <row r="772" spans="1:2">
      <c r="A772" s="1" t="str">
        <f>"1006.10.91"</f>
        <v>1006.10.91</v>
      </c>
      <c r="B772" s="2" t="str">
        <f>"Parboilizado"</f>
        <v>Parboilizado</v>
      </c>
    </row>
    <row r="773" spans="1:2">
      <c r="A773" s="1" t="str">
        <f>"1006.10.92"</f>
        <v>1006.10.92</v>
      </c>
      <c r="B773" s="2" t="str">
        <f>"Nao parboilizado"</f>
        <v>Nao parboilizado</v>
      </c>
    </row>
    <row r="774" spans="1:2">
      <c r="A774" s="1" t="str">
        <f>"1006.20.10"</f>
        <v>1006.20.10</v>
      </c>
      <c r="B774" s="2" t="str">
        <f>"Parboilizado"</f>
        <v>Parboilizado</v>
      </c>
    </row>
    <row r="775" spans="1:2">
      <c r="A775" s="1" t="str">
        <f>"1006.20.20"</f>
        <v>1006.20.20</v>
      </c>
      <c r="B775" s="2" t="str">
        <f>"Nao parboilizado"</f>
        <v>Nao parboilizado</v>
      </c>
    </row>
    <row r="776" spans="1:2">
      <c r="A776" s="1" t="str">
        <f>"1006.30.11"</f>
        <v>1006.30.11</v>
      </c>
      <c r="B776" s="2" t="str">
        <f>"Polido ou brunido"</f>
        <v>Polido ou brunido</v>
      </c>
    </row>
    <row r="777" spans="1:2">
      <c r="A777" s="1" t="str">
        <f>"1006.30.19"</f>
        <v>1006.30.19</v>
      </c>
      <c r="B777" s="2" t="str">
        <f>"Outros"</f>
        <v>Outros</v>
      </c>
    </row>
    <row r="778" spans="1:2">
      <c r="A778" s="1" t="str">
        <f>"1006.30.21"</f>
        <v>1006.30.21</v>
      </c>
      <c r="B778" s="2" t="str">
        <f>"Polido ou brunido"</f>
        <v>Polido ou brunido</v>
      </c>
    </row>
    <row r="779" spans="1:2">
      <c r="A779" s="1" t="str">
        <f>"1006.30.29"</f>
        <v>1006.30.29</v>
      </c>
      <c r="B779" s="2" t="str">
        <f>"Outros"</f>
        <v>Outros</v>
      </c>
    </row>
    <row r="780" spans="1:2">
      <c r="A780" s="1" t="str">
        <f>"1006.40.00"</f>
        <v>1006.40.00</v>
      </c>
      <c r="B780" s="2" t="str">
        <f>"Arroz quebrado (Trincas de arroz*)"</f>
        <v>Arroz quebrado (Trincas de arroz*)</v>
      </c>
    </row>
    <row r="781" spans="1:2">
      <c r="A781" s="1" t="str">
        <f>"1007.10.00"</f>
        <v>1007.10.00</v>
      </c>
      <c r="B781" s="2" t="str">
        <f>"Para semeadura (sementeira*)"</f>
        <v>Para semeadura (sementeira*)</v>
      </c>
    </row>
    <row r="782" spans="1:2">
      <c r="A782" s="1" t="str">
        <f>"1007.90.00"</f>
        <v>1007.90.00</v>
      </c>
      <c r="B782" s="2" t="str">
        <f>"Outros"</f>
        <v>Outros</v>
      </c>
    </row>
    <row r="783" spans="1:2">
      <c r="A783" s="1" t="str">
        <f>"1008.10.10"</f>
        <v>1008.10.10</v>
      </c>
      <c r="B783" s="2" t="str">
        <f>"Para semeadura"</f>
        <v>Para semeadura</v>
      </c>
    </row>
    <row r="784" spans="1:2">
      <c r="A784" s="1" t="str">
        <f>"1008.10.90"</f>
        <v>1008.10.90</v>
      </c>
      <c r="B784" s="2" t="str">
        <f>"Outros"</f>
        <v>Outros</v>
      </c>
    </row>
    <row r="785" spans="1:2">
      <c r="A785" s="1" t="str">
        <f>"1008.21.10"</f>
        <v>1008.21.10</v>
      </c>
      <c r="B785" s="2" t="str">
        <f>"Milheto (Pennisetum glaucum)"</f>
        <v>Milheto (Pennisetum glaucum)</v>
      </c>
    </row>
    <row r="786" spans="1:2">
      <c r="A786" s="1" t="str">
        <f>"1008.21.90"</f>
        <v>1008.21.90</v>
      </c>
      <c r="B786" s="2" t="str">
        <f>"Outros"</f>
        <v>Outros</v>
      </c>
    </row>
    <row r="787" spans="1:2">
      <c r="A787" s="1" t="str">
        <f>"1008.29.10"</f>
        <v>1008.29.10</v>
      </c>
      <c r="B787" s="2" t="str">
        <f>"Milheto (Pennisetum glaucum)"</f>
        <v>Milheto (Pennisetum glaucum)</v>
      </c>
    </row>
    <row r="788" spans="1:2">
      <c r="A788" s="1" t="str">
        <f>"1008.29.90"</f>
        <v>1008.29.90</v>
      </c>
      <c r="B788" s="2" t="str">
        <f>"Outros"</f>
        <v>Outros</v>
      </c>
    </row>
    <row r="789" spans="1:2">
      <c r="A789" s="1" t="str">
        <f>"1008.30.10"</f>
        <v>1008.30.10</v>
      </c>
      <c r="B789" s="2" t="str">
        <f>"Para semeadura"</f>
        <v>Para semeadura</v>
      </c>
    </row>
    <row r="790" spans="1:2">
      <c r="A790" s="1" t="str">
        <f>"1008.30.90"</f>
        <v>1008.30.90</v>
      </c>
      <c r="B790" s="2" t="str">
        <f>"Outros"</f>
        <v>Outros</v>
      </c>
    </row>
    <row r="791" spans="1:2">
      <c r="A791" s="1" t="str">
        <f>"1008.40.10"</f>
        <v>1008.40.10</v>
      </c>
      <c r="B791" s="2" t="str">
        <f>"Para semeadura"</f>
        <v>Para semeadura</v>
      </c>
    </row>
    <row r="792" spans="1:2">
      <c r="A792" s="1" t="str">
        <f>"1008.40.90"</f>
        <v>1008.40.90</v>
      </c>
      <c r="B792" s="2" t="str">
        <f>"Outros"</f>
        <v>Outros</v>
      </c>
    </row>
    <row r="793" spans="1:2">
      <c r="A793" s="1" t="str">
        <f>"1008.50.10"</f>
        <v>1008.50.10</v>
      </c>
      <c r="B793" s="2" t="str">
        <f>"Para semeadura"</f>
        <v>Para semeadura</v>
      </c>
    </row>
    <row r="794" spans="1:2">
      <c r="A794" s="1" t="str">
        <f>"1008.50.90"</f>
        <v>1008.50.90</v>
      </c>
      <c r="B794" s="2" t="str">
        <f>"Outros"</f>
        <v>Outros</v>
      </c>
    </row>
    <row r="795" spans="1:2">
      <c r="A795" s="1" t="str">
        <f>"1008.60.10"</f>
        <v>1008.60.10</v>
      </c>
      <c r="B795" s="2" t="str">
        <f>"Para semeadura"</f>
        <v>Para semeadura</v>
      </c>
    </row>
    <row r="796" spans="1:2">
      <c r="A796" s="1" t="str">
        <f>"1008.60.90"</f>
        <v>1008.60.90</v>
      </c>
      <c r="B796" s="2" t="str">
        <f>"Outros"</f>
        <v>Outros</v>
      </c>
    </row>
    <row r="797" spans="1:2">
      <c r="A797" s="1" t="str">
        <f>"1008.90.10"</f>
        <v>1008.90.10</v>
      </c>
      <c r="B797" s="2" t="str">
        <f>"Para semeadura"</f>
        <v>Para semeadura</v>
      </c>
    </row>
    <row r="798" spans="1:2">
      <c r="A798" s="1" t="str">
        <f>"1008.90.90"</f>
        <v>1008.90.90</v>
      </c>
      <c r="B798" s="2" t="str">
        <f>"Outros"</f>
        <v>Outros</v>
      </c>
    </row>
    <row r="799" spans="1:2">
      <c r="A799" s="1" t="str">
        <f>"1032.04.17"</f>
        <v>1032.04.17</v>
      </c>
      <c r="B799" s="2" t="str">
        <f>"INATIVA - EXPANCEL"</f>
        <v>INATIVA - EXPANCEL</v>
      </c>
    </row>
    <row r="800" spans="1:2">
      <c r="A800" s="1" t="str">
        <f>"1101.00.10"</f>
        <v>1101.00.10</v>
      </c>
      <c r="B800" s="2" t="str">
        <f>"De trigo"</f>
        <v>De trigo</v>
      </c>
    </row>
    <row r="801" spans="1:2">
      <c r="A801" s="1" t="str">
        <f>"1101.00.20"</f>
        <v>1101.00.20</v>
      </c>
      <c r="B801" s="2" t="str">
        <f>"De mistura de trigo com centeio (me"</f>
        <v>De mistura de trigo com centeio (me</v>
      </c>
    </row>
    <row r="802" spans="1:2">
      <c r="A802" s="1" t="str">
        <f>"1102.20.00"</f>
        <v>1102.20.00</v>
      </c>
      <c r="B802" s="2" t="str">
        <f>"Farinha de milho"</f>
        <v>Farinha de milho</v>
      </c>
    </row>
    <row r="803" spans="1:2">
      <c r="A803" s="1" t="str">
        <f>"1102.90.00"</f>
        <v>1102.90.00</v>
      </c>
      <c r="B803" s="2" t="str">
        <f>"Outras"</f>
        <v>Outras</v>
      </c>
    </row>
    <row r="804" spans="1:2">
      <c r="A804" s="1" t="str">
        <f>"1103.11.00"</f>
        <v>1103.11.00</v>
      </c>
      <c r="B804" s="2" t="str">
        <f>"De trigo"</f>
        <v>De trigo</v>
      </c>
    </row>
    <row r="805" spans="1:2">
      <c r="A805" s="1" t="str">
        <f>"1103.13.00"</f>
        <v>1103.13.00</v>
      </c>
      <c r="B805" s="2" t="str">
        <f>"De milho"</f>
        <v>De milho</v>
      </c>
    </row>
    <row r="806" spans="1:2">
      <c r="A806" s="1" t="str">
        <f>"1103.19.00"</f>
        <v>1103.19.00</v>
      </c>
      <c r="B806" s="2" t="str">
        <f>"De outros cereais"</f>
        <v>De outros cereais</v>
      </c>
    </row>
    <row r="807" spans="1:2">
      <c r="A807" s="1" t="str">
        <f>"1103.20.00"</f>
        <v>1103.20.00</v>
      </c>
      <c r="B807" s="2" t="str">
        <f>"Pellets"</f>
        <v>Pellets</v>
      </c>
    </row>
    <row r="808" spans="1:2">
      <c r="A808" s="1" t="str">
        <f>"1104.12.00"</f>
        <v>1104.12.00</v>
      </c>
      <c r="B808" s="2" t="str">
        <f>"De aveia"</f>
        <v>De aveia</v>
      </c>
    </row>
    <row r="809" spans="1:2">
      <c r="A809" s="1" t="str">
        <f>"1104.19.00"</f>
        <v>1104.19.00</v>
      </c>
      <c r="B809" s="2" t="str">
        <f>"De outros cereais"</f>
        <v>De outros cereais</v>
      </c>
    </row>
    <row r="810" spans="1:2">
      <c r="A810" s="1" t="str">
        <f>"1104.22.00"</f>
        <v>1104.22.00</v>
      </c>
      <c r="B810" s="2" t="str">
        <f>"De aveia"</f>
        <v>De aveia</v>
      </c>
    </row>
    <row r="811" spans="1:2">
      <c r="A811" s="1" t="str">
        <f>"1104.23.00"</f>
        <v>1104.23.00</v>
      </c>
      <c r="B811" s="2" t="str">
        <f>"De milho"</f>
        <v>De milho</v>
      </c>
    </row>
    <row r="812" spans="1:2">
      <c r="A812" s="1" t="str">
        <f>"1104.29.00"</f>
        <v>1104.29.00</v>
      </c>
      <c r="B812" s="2" t="str">
        <f>"De outros cereais"</f>
        <v>De outros cereais</v>
      </c>
    </row>
    <row r="813" spans="1:2">
      <c r="A813" s="1" t="str">
        <f>"1104.30.00"</f>
        <v>1104.30.00</v>
      </c>
      <c r="B813" s="2" t="str">
        <f>"Germes de cereais, inteiros, esmaga"</f>
        <v>Germes de cereais, inteiros, esmaga</v>
      </c>
    </row>
    <row r="814" spans="1:2">
      <c r="A814" s="1" t="str">
        <f>"1105.10.00"</f>
        <v>1105.10.00</v>
      </c>
      <c r="B814" s="2" t="str">
        <f>"Farinha, semola e po"</f>
        <v>Farinha, semola e po</v>
      </c>
    </row>
    <row r="815" spans="1:2">
      <c r="A815" s="1" t="str">
        <f>"1105.20.00"</f>
        <v>1105.20.00</v>
      </c>
      <c r="B815" s="2" t="str">
        <f>"Flocos, granulos e pellets"</f>
        <v>Flocos, granulos e pellets</v>
      </c>
    </row>
    <row r="816" spans="1:2">
      <c r="A816" s="1" t="str">
        <f>"1106.10.00"</f>
        <v>1106.10.00</v>
      </c>
      <c r="B816" s="2" t="str">
        <f>"Dos legumes de vagem, secos, da pos"</f>
        <v>Dos legumes de vagem, secos, da pos</v>
      </c>
    </row>
    <row r="817" spans="1:2">
      <c r="A817" s="1" t="str">
        <f>"1106.20.00"</f>
        <v>1106.20.00</v>
      </c>
      <c r="B817" s="2" t="str">
        <f>"De sagu ou das raizes ou tuberculos"</f>
        <v>De sagu ou das raizes ou tuberculos</v>
      </c>
    </row>
    <row r="818" spans="1:2">
      <c r="A818" s="1" t="str">
        <f>"1106.30.00"</f>
        <v>1106.30.00</v>
      </c>
      <c r="B818" s="2" t="str">
        <f>"Dos produtos do Capitulo 8"</f>
        <v>Dos produtos do Capitulo 8</v>
      </c>
    </row>
    <row r="819" spans="1:2">
      <c r="A819" s="1" t="str">
        <f>"1107.10.10"</f>
        <v>1107.10.10</v>
      </c>
      <c r="B819" s="2" t="str">
        <f>"Inteiro ou partido"</f>
        <v>Inteiro ou partido</v>
      </c>
    </row>
    <row r="820" spans="1:2">
      <c r="A820" s="1" t="str">
        <f>"1107.10.20"</f>
        <v>1107.10.20</v>
      </c>
      <c r="B820" s="2" t="str">
        <f>"Moido ou em farinha"</f>
        <v>Moido ou em farinha</v>
      </c>
    </row>
    <row r="821" spans="1:2">
      <c r="A821" s="1" t="str">
        <f>"1107.20.10"</f>
        <v>1107.20.10</v>
      </c>
      <c r="B821" s="2" t="str">
        <f>"Inteiro ou partido"</f>
        <v>Inteiro ou partido</v>
      </c>
    </row>
    <row r="822" spans="1:2">
      <c r="A822" s="1" t="str">
        <f>"1107.20.20"</f>
        <v>1107.20.20</v>
      </c>
      <c r="B822" s="2" t="str">
        <f>"Moido ou em farinha"</f>
        <v>Moido ou em farinha</v>
      </c>
    </row>
    <row r="823" spans="1:2">
      <c r="A823" s="1" t="str">
        <f>"1108.11.00"</f>
        <v>1108.11.00</v>
      </c>
      <c r="B823" s="2" t="str">
        <f>"Amido de trigo"</f>
        <v>Amido de trigo</v>
      </c>
    </row>
    <row r="824" spans="1:2">
      <c r="A824" s="1" t="str">
        <f>"1108.12.00"</f>
        <v>1108.12.00</v>
      </c>
      <c r="B824" s="2" t="str">
        <f>"Amido de milho"</f>
        <v>Amido de milho</v>
      </c>
    </row>
    <row r="825" spans="1:2">
      <c r="A825" s="1" t="str">
        <f>"1108.13.00"</f>
        <v>1108.13.00</v>
      </c>
      <c r="B825" s="2" t="str">
        <f>"Fecula de batata"</f>
        <v>Fecula de batata</v>
      </c>
    </row>
    <row r="826" spans="1:2">
      <c r="A826" s="1" t="str">
        <f>"1108.14.00"</f>
        <v>1108.14.00</v>
      </c>
      <c r="B826" s="2" t="str">
        <f>"Fecula de mandioca"</f>
        <v>Fecula de mandioca</v>
      </c>
    </row>
    <row r="827" spans="1:2">
      <c r="A827" s="1" t="str">
        <f>"1108.19.00"</f>
        <v>1108.19.00</v>
      </c>
      <c r="B827" s="2" t="str">
        <f>"Outros amidos e feculas"</f>
        <v>Outros amidos e feculas</v>
      </c>
    </row>
    <row r="828" spans="1:2">
      <c r="A828" s="1" t="str">
        <f>"1108.20.00"</f>
        <v>1108.20.00</v>
      </c>
      <c r="B828" s="2" t="str">
        <f>"Inulina"</f>
        <v>Inulina</v>
      </c>
    </row>
    <row r="829" spans="1:2">
      <c r="A829" s="1" t="str">
        <f>"1109.00.00"</f>
        <v>1109.00.00</v>
      </c>
      <c r="B829" s="2" t="str">
        <f>"Gluten de trigo, mesmo seco."</f>
        <v>Gluten de trigo, mesmo seco.</v>
      </c>
    </row>
    <row r="830" spans="1:2">
      <c r="A830" s="1" t="str">
        <f>"1201.10.00"</f>
        <v>1201.10.00</v>
      </c>
      <c r="B830" s="2" t="str">
        <f>"Para semeadura (sementeira*)"</f>
        <v>Para semeadura (sementeira*)</v>
      </c>
    </row>
    <row r="831" spans="1:2">
      <c r="A831" s="1" t="str">
        <f>"1201.90.00"</f>
        <v>1201.90.00</v>
      </c>
      <c r="B831" s="2" t="str">
        <f>"Outras"</f>
        <v>Outras</v>
      </c>
    </row>
    <row r="832" spans="1:2">
      <c r="A832" s="1" t="str">
        <f>"1202.30.00"</f>
        <v>1202.30.00</v>
      </c>
      <c r="B832" s="2" t="str">
        <f>"Para semeadura (sementeira*)"</f>
        <v>Para semeadura (sementeira*)</v>
      </c>
    </row>
    <row r="833" spans="1:2">
      <c r="A833" s="1" t="str">
        <f>"1202.41.00"</f>
        <v>1202.41.00</v>
      </c>
      <c r="B833" s="2" t="str">
        <f>"Com casca"</f>
        <v>Com casca</v>
      </c>
    </row>
    <row r="834" spans="1:2">
      <c r="A834" s="1" t="str">
        <f>"1202.42.00"</f>
        <v>1202.42.00</v>
      </c>
      <c r="B834" s="2" t="str">
        <f>"Descascados, mesmo triturados"</f>
        <v>Descascados, mesmo triturados</v>
      </c>
    </row>
    <row r="835" spans="1:2">
      <c r="A835" s="1" t="str">
        <f>"1203.00.00"</f>
        <v>1203.00.00</v>
      </c>
      <c r="B835" s="2" t="str">
        <f>"Copra."</f>
        <v>Copra.</v>
      </c>
    </row>
    <row r="836" spans="1:2">
      <c r="A836" s="1" t="str">
        <f>"1204.00.10"</f>
        <v>1204.00.10</v>
      </c>
      <c r="B836" s="2" t="str">
        <f>"Para semeadura"</f>
        <v>Para semeadura</v>
      </c>
    </row>
    <row r="837" spans="1:2">
      <c r="A837" s="1" t="str">
        <f>"1204.00.90"</f>
        <v>1204.00.90</v>
      </c>
      <c r="B837" s="2" t="str">
        <f>"Outras"</f>
        <v>Outras</v>
      </c>
    </row>
    <row r="838" spans="1:2">
      <c r="A838" s="1" t="str">
        <f>"1205.10.10"</f>
        <v>1205.10.10</v>
      </c>
      <c r="B838" s="2" t="str">
        <f>"Para semeadura"</f>
        <v>Para semeadura</v>
      </c>
    </row>
    <row r="839" spans="1:2">
      <c r="A839" s="1" t="str">
        <f>"1205.10.90"</f>
        <v>1205.10.90</v>
      </c>
      <c r="B839" s="2" t="str">
        <f>"Outras"</f>
        <v>Outras</v>
      </c>
    </row>
    <row r="840" spans="1:2">
      <c r="A840" s="1" t="str">
        <f>"1205.90.10"</f>
        <v>1205.90.10</v>
      </c>
      <c r="B840" s="2" t="str">
        <f>"Para semeadura"</f>
        <v>Para semeadura</v>
      </c>
    </row>
    <row r="841" spans="1:2">
      <c r="A841" s="1" t="str">
        <f>"1205.90.90"</f>
        <v>1205.90.90</v>
      </c>
      <c r="B841" s="2" t="str">
        <f>"Outras"</f>
        <v>Outras</v>
      </c>
    </row>
    <row r="842" spans="1:2">
      <c r="A842" s="1" t="str">
        <f>"1206.00.10"</f>
        <v>1206.00.10</v>
      </c>
      <c r="B842" s="2" t="str">
        <f>"Para semeadura"</f>
        <v>Para semeadura</v>
      </c>
    </row>
    <row r="843" spans="1:2">
      <c r="A843" s="1" t="str">
        <f>"1206.00.90"</f>
        <v>1206.00.90</v>
      </c>
      <c r="B843" s="2" t="str">
        <f>"Outras"</f>
        <v>Outras</v>
      </c>
    </row>
    <row r="844" spans="1:2">
      <c r="A844" s="1" t="str">
        <f>"1207.10.10"</f>
        <v>1207.10.10</v>
      </c>
      <c r="B844" s="2" t="str">
        <f>"Para semeadura"</f>
        <v>Para semeadura</v>
      </c>
    </row>
    <row r="845" spans="1:2">
      <c r="A845" s="1" t="str">
        <f>"1207.10.90"</f>
        <v>1207.10.90</v>
      </c>
      <c r="B845" s="2" t="str">
        <f>"Outras"</f>
        <v>Outras</v>
      </c>
    </row>
    <row r="846" spans="1:2">
      <c r="A846" s="1" t="str">
        <f>"1207.21.00"</f>
        <v>1207.21.00</v>
      </c>
      <c r="B846" s="2" t="str">
        <f>"Para semeadura (sementeira*)"</f>
        <v>Para semeadura (sementeira*)</v>
      </c>
    </row>
    <row r="847" spans="1:2">
      <c r="A847" s="1" t="str">
        <f>"1207.29.00"</f>
        <v>1207.29.00</v>
      </c>
      <c r="B847" s="2" t="str">
        <f>"Outras"</f>
        <v>Outras</v>
      </c>
    </row>
    <row r="848" spans="1:2">
      <c r="A848" s="1" t="str">
        <f>"1207.30.10"</f>
        <v>1207.30.10</v>
      </c>
      <c r="B848" s="2" t="str">
        <f>"Para semeadura"</f>
        <v>Para semeadura</v>
      </c>
    </row>
    <row r="849" spans="1:2">
      <c r="A849" s="1" t="str">
        <f>"1207.30.90"</f>
        <v>1207.30.90</v>
      </c>
      <c r="B849" s="2" t="str">
        <f>"Outras"</f>
        <v>Outras</v>
      </c>
    </row>
    <row r="850" spans="1:2">
      <c r="A850" s="1" t="str">
        <f>"1207.40.10"</f>
        <v>1207.40.10</v>
      </c>
      <c r="B850" s="2" t="str">
        <f>"Para semeadura"</f>
        <v>Para semeadura</v>
      </c>
    </row>
    <row r="851" spans="1:2">
      <c r="A851" s="1" t="str">
        <f>"1207.40.90"</f>
        <v>1207.40.90</v>
      </c>
      <c r="B851" s="2" t="str">
        <f>"Outras"</f>
        <v>Outras</v>
      </c>
    </row>
    <row r="852" spans="1:2">
      <c r="A852" s="1" t="str">
        <f>"1207.50.10"</f>
        <v>1207.50.10</v>
      </c>
      <c r="B852" s="2" t="str">
        <f>"Para semeadura"</f>
        <v>Para semeadura</v>
      </c>
    </row>
    <row r="853" spans="1:2">
      <c r="A853" s="1" t="str">
        <f>"1207.50.90"</f>
        <v>1207.50.90</v>
      </c>
      <c r="B853" s="2" t="str">
        <f>"Outras"</f>
        <v>Outras</v>
      </c>
    </row>
    <row r="854" spans="1:2">
      <c r="A854" s="1" t="str">
        <f>"1207.60.10"</f>
        <v>1207.60.10</v>
      </c>
      <c r="B854" s="2" t="str">
        <f>"Para semeadura"</f>
        <v>Para semeadura</v>
      </c>
    </row>
    <row r="855" spans="1:2">
      <c r="A855" s="1" t="str">
        <f>"1207.60.90"</f>
        <v>1207.60.90</v>
      </c>
      <c r="B855" s="2" t="str">
        <f>"Outras"</f>
        <v>Outras</v>
      </c>
    </row>
    <row r="856" spans="1:2">
      <c r="A856" s="1" t="str">
        <f>"1207.70.10"</f>
        <v>1207.70.10</v>
      </c>
      <c r="B856" s="2" t="str">
        <f>"Para semeadura"</f>
        <v>Para semeadura</v>
      </c>
    </row>
    <row r="857" spans="1:2">
      <c r="A857" s="1" t="str">
        <f>"1207.70.90"</f>
        <v>1207.70.90</v>
      </c>
      <c r="B857" s="2" t="str">
        <f>"Outras"</f>
        <v>Outras</v>
      </c>
    </row>
    <row r="858" spans="1:2">
      <c r="A858" s="1" t="str">
        <f>"1207.91.10"</f>
        <v>1207.91.10</v>
      </c>
      <c r="B858" s="2" t="str">
        <f>"Para semeadura"</f>
        <v>Para semeadura</v>
      </c>
    </row>
    <row r="859" spans="1:2">
      <c r="A859" s="1" t="str">
        <f>"1207.91.90"</f>
        <v>1207.91.90</v>
      </c>
      <c r="B859" s="2" t="str">
        <f>"Outras"</f>
        <v>Outras</v>
      </c>
    </row>
    <row r="860" spans="1:2">
      <c r="A860" s="1" t="str">
        <f>"1207.99.10"</f>
        <v>1207.99.10</v>
      </c>
      <c r="B860" s="2" t="str">
        <f>"Para semeadura"</f>
        <v>Para semeadura</v>
      </c>
    </row>
    <row r="861" spans="1:2">
      <c r="A861" s="1" t="str">
        <f>"1207.99.90"</f>
        <v>1207.99.90</v>
      </c>
      <c r="B861" s="2" t="str">
        <f>"Outros"</f>
        <v>Outros</v>
      </c>
    </row>
    <row r="862" spans="1:2">
      <c r="A862" s="1" t="str">
        <f>"1208.10.00"</f>
        <v>1208.10.00</v>
      </c>
      <c r="B862" s="2" t="str">
        <f>"De soja"</f>
        <v>De soja</v>
      </c>
    </row>
    <row r="863" spans="1:2">
      <c r="A863" s="1" t="str">
        <f>"1208.90.00"</f>
        <v>1208.90.00</v>
      </c>
      <c r="B863" s="2" t="str">
        <f>"Outras"</f>
        <v>Outras</v>
      </c>
    </row>
    <row r="864" spans="1:2">
      <c r="A864" s="1" t="str">
        <f>"1209.10.00"</f>
        <v>1209.10.00</v>
      </c>
      <c r="B864" s="2" t="str">
        <f>"Sementes de beterraba sacarina"</f>
        <v>Sementes de beterraba sacarina</v>
      </c>
    </row>
    <row r="865" spans="1:2">
      <c r="A865" s="1" t="str">
        <f>"1209.21.00"</f>
        <v>1209.21.00</v>
      </c>
      <c r="B865" s="2" t="str">
        <f>"Sementes de alfafa (luzerna)"</f>
        <v>Sementes de alfafa (luzerna)</v>
      </c>
    </row>
    <row r="866" spans="1:2">
      <c r="A866" s="1" t="str">
        <f>"1209.22.00"</f>
        <v>1209.22.00</v>
      </c>
      <c r="B866" s="2" t="str">
        <f>"Sementes de trevo (Trifolium spp.)"</f>
        <v>Sementes de trevo (Trifolium spp.)</v>
      </c>
    </row>
    <row r="867" spans="1:2">
      <c r="A867" s="1" t="str">
        <f>"1209.23.00"</f>
        <v>1209.23.00</v>
      </c>
      <c r="B867" s="2" t="str">
        <f>"Sementes de festuca"</f>
        <v>Sementes de festuca</v>
      </c>
    </row>
    <row r="868" spans="1:2">
      <c r="A868" s="1" t="str">
        <f>"1209.24.00"</f>
        <v>1209.24.00</v>
      </c>
      <c r="B868" s="2" t="str">
        <f>"Sementes de pasto dos prados de Ken"</f>
        <v>Sementes de pasto dos prados de Ken</v>
      </c>
    </row>
    <row r="869" spans="1:2">
      <c r="A869" s="1" t="str">
        <f>"1209.25.00"</f>
        <v>1209.25.00</v>
      </c>
      <c r="B869" s="2" t="str">
        <f>"Sementes de azevem (Lolium multiflo"</f>
        <v>Sementes de azevem (Lolium multiflo</v>
      </c>
    </row>
    <row r="870" spans="1:2">
      <c r="A870" s="1" t="str">
        <f>"1209.29.00"</f>
        <v>1209.29.00</v>
      </c>
      <c r="B870" s="2" t="str">
        <f>"Outras"</f>
        <v>Outras</v>
      </c>
    </row>
    <row r="871" spans="1:2">
      <c r="A871" s="1" t="str">
        <f>"1209.30.00"</f>
        <v>1209.30.00</v>
      </c>
      <c r="B871" s="2" t="str">
        <f>"Sementes de plantas herbaceas culti"</f>
        <v>Sementes de plantas herbaceas culti</v>
      </c>
    </row>
    <row r="872" spans="1:2">
      <c r="A872" s="1" t="str">
        <f>"1209.91.00"</f>
        <v>1209.91.00</v>
      </c>
      <c r="B872" s="2" t="str">
        <f>"Sementes de produtos horticolas"</f>
        <v>Sementes de produtos horticolas</v>
      </c>
    </row>
    <row r="873" spans="1:2">
      <c r="A873" s="1" t="str">
        <f>"1209.99.00"</f>
        <v>1209.99.00</v>
      </c>
      <c r="B873" s="2" t="str">
        <f>"Outros"</f>
        <v>Outros</v>
      </c>
    </row>
    <row r="874" spans="1:2">
      <c r="A874" s="1" t="str">
        <f>"1210.10.00"</f>
        <v>1210.10.00</v>
      </c>
      <c r="B874" s="2" t="str">
        <f>"Cones de lupulo, nao triturados nem"</f>
        <v>Cones de lupulo, nao triturados nem</v>
      </c>
    </row>
    <row r="875" spans="1:2">
      <c r="A875" s="1" t="str">
        <f>"1210.20.10"</f>
        <v>1210.20.10</v>
      </c>
      <c r="B875" s="2" t="str">
        <f>"Cones de lupulo"</f>
        <v>Cones de lupulo</v>
      </c>
    </row>
    <row r="876" spans="1:2">
      <c r="A876" s="1" t="str">
        <f>"1210.20.20"</f>
        <v>1210.20.20</v>
      </c>
      <c r="B876" s="2" t="str">
        <f>"Lupulina"</f>
        <v>Lupulina</v>
      </c>
    </row>
    <row r="877" spans="1:2">
      <c r="A877" s="1" t="str">
        <f>"1211.20.00"</f>
        <v>1211.20.00</v>
      </c>
      <c r="B877" s="2" t="str">
        <f>"Raizes de ginseng"</f>
        <v>Raizes de ginseng</v>
      </c>
    </row>
    <row r="878" spans="1:2">
      <c r="A878" s="1" t="str">
        <f>"1211.30.00"</f>
        <v>1211.30.00</v>
      </c>
      <c r="B878" s="2" t="str">
        <f>"Coca (folha de)"</f>
        <v>Coca (folha de)</v>
      </c>
    </row>
    <row r="879" spans="1:2">
      <c r="A879" s="1" t="str">
        <f>"1211.40.00"</f>
        <v>1211.40.00</v>
      </c>
      <c r="B879" s="2" t="str">
        <f>"Palha de dormideira ou papoula"</f>
        <v>Palha de dormideira ou papoula</v>
      </c>
    </row>
    <row r="880" spans="1:2">
      <c r="A880" s="1" t="str">
        <f>"1211.50.00"</f>
        <v>1211.50.00</v>
      </c>
      <c r="B880" s="2" t="str">
        <f>"Efedra"</f>
        <v>Efedra</v>
      </c>
    </row>
    <row r="881" spans="1:2">
      <c r="A881" s="1" t="str">
        <f>"1211.90.10"</f>
        <v>1211.90.10</v>
      </c>
      <c r="B881" s="2" t="str">
        <f>"Oregano (Origanum vulgare)"</f>
        <v>Oregano (Origanum vulgare)</v>
      </c>
    </row>
    <row r="882" spans="1:2">
      <c r="A882" s="1" t="str">
        <f>"1211.90.90"</f>
        <v>1211.90.90</v>
      </c>
      <c r="B882" s="2" t="str">
        <f>"Outros"</f>
        <v>Outros</v>
      </c>
    </row>
    <row r="883" spans="1:2">
      <c r="A883" s="1" t="str">
        <f>"1212.21.00"</f>
        <v>1212.21.00</v>
      </c>
      <c r="B883" s="2" t="str">
        <f>"Proprias para alimentacao humana"</f>
        <v>Proprias para alimentacao humana</v>
      </c>
    </row>
    <row r="884" spans="1:2">
      <c r="A884" s="1" t="str">
        <f>"1212.29.00"</f>
        <v>1212.29.00</v>
      </c>
      <c r="B884" s="2" t="str">
        <f>"Outras"</f>
        <v>Outras</v>
      </c>
    </row>
    <row r="885" spans="1:2">
      <c r="A885" s="1" t="str">
        <f>"1212.91.00"</f>
        <v>1212.91.00</v>
      </c>
      <c r="B885" s="2" t="str">
        <f>"Beterraba sacarina"</f>
        <v>Beterraba sacarina</v>
      </c>
    </row>
    <row r="886" spans="1:2">
      <c r="A886" s="1" t="str">
        <f>"1212.92.00"</f>
        <v>1212.92.00</v>
      </c>
      <c r="B886" s="2" t="str">
        <f>"Alfarroba"</f>
        <v>Alfarroba</v>
      </c>
    </row>
    <row r="887" spans="1:2">
      <c r="A887" s="1" t="str">
        <f>"1212.93.00"</f>
        <v>1212.93.00</v>
      </c>
      <c r="B887" s="2" t="str">
        <f>"Cana-de-acucar"</f>
        <v>Cana-de-acucar</v>
      </c>
    </row>
    <row r="888" spans="1:2">
      <c r="A888" s="1" t="str">
        <f>"1212.94.00"</f>
        <v>1212.94.00</v>
      </c>
      <c r="B888" s="2" t="str">
        <f>"Raizes de chicoria"</f>
        <v>Raizes de chicoria</v>
      </c>
    </row>
    <row r="889" spans="1:2">
      <c r="A889" s="1" t="str">
        <f>"1212.99.10"</f>
        <v>1212.99.10</v>
      </c>
      <c r="B889" s="2" t="str">
        <f>"Stevia rebaudiana (KaÆa HeÆ?)"</f>
        <v>Stevia rebaudiana (KaÆa HeÆ?)</v>
      </c>
    </row>
    <row r="890" spans="1:2">
      <c r="A890" s="1" t="str">
        <f>"1212.99.90"</f>
        <v>1212.99.90</v>
      </c>
      <c r="B890" s="2" t="str">
        <f>"Outros"</f>
        <v>Outros</v>
      </c>
    </row>
    <row r="891" spans="1:2">
      <c r="A891" s="1" t="str">
        <f>"1213.00.00"</f>
        <v>1213.00.00</v>
      </c>
      <c r="B891" s="2" t="str">
        <f>"Palhas e cascas de cereais, em brut"</f>
        <v>Palhas e cascas de cereais, em brut</v>
      </c>
    </row>
    <row r="892" spans="1:2">
      <c r="A892" s="1" t="str">
        <f>"1214.10.00"</f>
        <v>1214.10.00</v>
      </c>
      <c r="B892" s="2" t="str">
        <f>"Farinha e pellets, de alfafa (luzer"</f>
        <v>Farinha e pellets, de alfafa (luzer</v>
      </c>
    </row>
    <row r="893" spans="1:2">
      <c r="A893" s="1" t="str">
        <f>"1214.90.00"</f>
        <v>1214.90.00</v>
      </c>
      <c r="B893" s="2" t="str">
        <f>"Outros"</f>
        <v>Outros</v>
      </c>
    </row>
    <row r="894" spans="1:2">
      <c r="A894" s="1" t="str">
        <f>"1301.20.00"</f>
        <v>1301.20.00</v>
      </c>
      <c r="B894" s="2" t="str">
        <f>"Goma-arabica"</f>
        <v>Goma-arabica</v>
      </c>
    </row>
    <row r="895" spans="1:2">
      <c r="A895" s="1" t="str">
        <f>"1301.90.10"</f>
        <v>1301.90.10</v>
      </c>
      <c r="B895" s="2" t="str">
        <f>"Goma-laca"</f>
        <v>Goma-laca</v>
      </c>
    </row>
    <row r="896" spans="1:2">
      <c r="A896" s="1" t="str">
        <f>"1301.90.90"</f>
        <v>1301.90.90</v>
      </c>
      <c r="B896" s="2" t="str">
        <f>"Outros"</f>
        <v>Outros</v>
      </c>
    </row>
    <row r="897" spans="1:2">
      <c r="A897" s="1" t="str">
        <f>"1302.11.10"</f>
        <v>1302.11.10</v>
      </c>
      <c r="B897" s="2" t="str">
        <f>"Concentrados de palha de papoula"</f>
        <v>Concentrados de palha de papoula</v>
      </c>
    </row>
    <row r="898" spans="1:2">
      <c r="A898" s="1" t="str">
        <f>"1302.11.90"</f>
        <v>1302.11.90</v>
      </c>
      <c r="B898" s="2" t="str">
        <f>"Outros"</f>
        <v>Outros</v>
      </c>
    </row>
    <row r="899" spans="1:2">
      <c r="A899" s="1" t="str">
        <f>"1302.12.00"</f>
        <v>1302.12.00</v>
      </c>
      <c r="B899" s="2" t="str">
        <f>"De alcacuz"</f>
        <v>De alcacuz</v>
      </c>
    </row>
    <row r="900" spans="1:2">
      <c r="A900" s="1" t="str">
        <f>"1302.13.00"</f>
        <v>1302.13.00</v>
      </c>
      <c r="B900" s="2" t="str">
        <f>"De lupulo"</f>
        <v>De lupulo</v>
      </c>
    </row>
    <row r="901" spans="1:2">
      <c r="A901" s="1" t="str">
        <f>"1302.14.00"</f>
        <v>1302.14.00</v>
      </c>
      <c r="B901" s="2" t="str">
        <f>"De efedra"</f>
        <v>De efedra</v>
      </c>
    </row>
    <row r="902" spans="1:2">
      <c r="A902" s="1" t="str">
        <f>"1302.19.10"</f>
        <v>1302.19.10</v>
      </c>
      <c r="B902" s="2" t="str">
        <f>"De mamao (Carica papaya), seco"</f>
        <v>De mamao (Carica papaya), seco</v>
      </c>
    </row>
    <row r="903" spans="1:2">
      <c r="A903" s="1" t="str">
        <f>"1302.19.20"</f>
        <v>1302.19.20</v>
      </c>
      <c r="B903" s="2" t="str">
        <f>"De semente de toranja ou de pomelo"</f>
        <v>De semente de toranja ou de pomelo</v>
      </c>
    </row>
    <row r="904" spans="1:2">
      <c r="A904" s="1" t="str">
        <f>"1302.19.30"</f>
        <v>1302.19.30</v>
      </c>
      <c r="B904" s="2" t="str">
        <f>"De Ginkgo biloba, seco"</f>
        <v>De Ginkgo biloba, seco</v>
      </c>
    </row>
    <row r="905" spans="1:2">
      <c r="A905" s="1" t="str">
        <f>"1302.19.40"</f>
        <v>1302.19.40</v>
      </c>
      <c r="B905" s="2" t="str">
        <f>"Valepotriatos"</f>
        <v>Valepotriatos</v>
      </c>
    </row>
    <row r="906" spans="1:2">
      <c r="A906" s="1" t="str">
        <f>"1302.19.50"</f>
        <v>1302.19.50</v>
      </c>
      <c r="B906" s="2" t="str">
        <f>"De ginseng"</f>
        <v>De ginseng</v>
      </c>
    </row>
    <row r="907" spans="1:2">
      <c r="A907" s="1" t="str">
        <f>"1302.19.60"</f>
        <v>1302.19.60</v>
      </c>
      <c r="B907" s="2" t="str">
        <f>"Silimarina"</f>
        <v>Silimarina</v>
      </c>
    </row>
    <row r="908" spans="1:2">
      <c r="A908" s="1" t="str">
        <f>"1302.19.91"</f>
        <v>1302.19.91</v>
      </c>
      <c r="B908" s="2" t="str">
        <f>"De piretro ou de raizes de plantas"</f>
        <v>De piretro ou de raizes de plantas</v>
      </c>
    </row>
    <row r="909" spans="1:2">
      <c r="A909" s="1" t="str">
        <f>"1302.19.99"</f>
        <v>1302.19.99</v>
      </c>
      <c r="B909" s="2" t="str">
        <f>"Outros"</f>
        <v>Outros</v>
      </c>
    </row>
    <row r="910" spans="1:2">
      <c r="A910" s="1" t="str">
        <f>"1302.20.10"</f>
        <v>1302.20.10</v>
      </c>
      <c r="B910" s="2" t="str">
        <f>"Materias pecticas (pectinas)"</f>
        <v>Materias pecticas (pectinas)</v>
      </c>
    </row>
    <row r="911" spans="1:2">
      <c r="A911" s="1" t="str">
        <f>"1302.20.90"</f>
        <v>1302.20.90</v>
      </c>
      <c r="B911" s="2" t="str">
        <f>"Outros"</f>
        <v>Outros</v>
      </c>
    </row>
    <row r="912" spans="1:2">
      <c r="A912" s="1" t="str">
        <f>"1302.31.00"</f>
        <v>1302.31.00</v>
      </c>
      <c r="B912" s="2" t="str">
        <f>"Agar-agar"</f>
        <v>Agar-agar</v>
      </c>
    </row>
    <row r="913" spans="1:2">
      <c r="A913" s="1" t="str">
        <f>"1302.32.11"</f>
        <v>1302.32.11</v>
      </c>
      <c r="B913" s="2" t="str">
        <f>"Farinha de endosperma"</f>
        <v>Farinha de endosperma</v>
      </c>
    </row>
    <row r="914" spans="1:2">
      <c r="A914" s="1" t="str">
        <f>"1302.32.19"</f>
        <v>1302.32.19</v>
      </c>
      <c r="B914" s="2" t="str">
        <f>"Outros"</f>
        <v>Outros</v>
      </c>
    </row>
    <row r="915" spans="1:2">
      <c r="A915" s="1" t="str">
        <f>"1302.32.20"</f>
        <v>1302.32.20</v>
      </c>
      <c r="B915" s="2" t="str">
        <f>"De sementes de guare"</f>
        <v>De sementes de guare</v>
      </c>
    </row>
    <row r="916" spans="1:2">
      <c r="A916" s="1" t="str">
        <f>"1302.39.10"</f>
        <v>1302.39.10</v>
      </c>
      <c r="B916" s="2" t="str">
        <f>"Carragenina (musgo-da-irlanda)"</f>
        <v>Carragenina (musgo-da-irlanda)</v>
      </c>
    </row>
    <row r="917" spans="1:2">
      <c r="A917" s="1" t="str">
        <f>"1302.39.90"</f>
        <v>1302.39.90</v>
      </c>
      <c r="B917" s="2" t="str">
        <f>"Outros"</f>
        <v>Outros</v>
      </c>
    </row>
    <row r="918" spans="1:2">
      <c r="A918" s="1" t="str">
        <f>"1401.10.00"</f>
        <v>1401.10.00</v>
      </c>
      <c r="B918" s="2" t="str">
        <f>"Bambus"</f>
        <v>Bambus</v>
      </c>
    </row>
    <row r="919" spans="1:2">
      <c r="A919" s="1" t="str">
        <f>"1401.20.00"</f>
        <v>1401.20.00</v>
      </c>
      <c r="B919" s="2" t="str">
        <f>"Rotins"</f>
        <v>Rotins</v>
      </c>
    </row>
    <row r="920" spans="1:2">
      <c r="A920" s="1" t="str">
        <f>"1401.90.00"</f>
        <v>1401.90.00</v>
      </c>
      <c r="B920" s="2" t="str">
        <f>"Outras"</f>
        <v>Outras</v>
      </c>
    </row>
    <row r="921" spans="1:2">
      <c r="A921" s="1" t="str">
        <f>"1404.20.10"</f>
        <v>1404.20.10</v>
      </c>
      <c r="B921" s="2" t="str">
        <f>"Em bruto"</f>
        <v>Em bruto</v>
      </c>
    </row>
    <row r="922" spans="1:2">
      <c r="A922" s="1" t="str">
        <f>"1404.20.90"</f>
        <v>1404.20.90</v>
      </c>
      <c r="B922" s="2" t="str">
        <f>"Outros"</f>
        <v>Outros</v>
      </c>
    </row>
    <row r="923" spans="1:2">
      <c r="A923" s="1" t="str">
        <f>"1404.90.10"</f>
        <v>1404.90.10</v>
      </c>
      <c r="B923" s="2" t="str">
        <f>"Materias vegetais das especies prin"</f>
        <v>Materias vegetais das especies prin</v>
      </c>
    </row>
    <row r="924" spans="1:2">
      <c r="A924" s="1" t="str">
        <f>"1404.90.90"</f>
        <v>1404.90.90</v>
      </c>
      <c r="B924" s="2" t="str">
        <f>"Outros"</f>
        <v>Outros</v>
      </c>
    </row>
    <row r="925" spans="1:2">
      <c r="A925" s="1" t="str">
        <f>"1501.10.00"</f>
        <v>1501.10.00</v>
      </c>
      <c r="B925" s="2" t="str">
        <f>"Banha"</f>
        <v>Banha</v>
      </c>
    </row>
    <row r="926" spans="1:2">
      <c r="A926" s="1" t="str">
        <f>"1501.20.00"</f>
        <v>1501.20.00</v>
      </c>
      <c r="B926" s="2" t="str">
        <f>"Outras gorduras de porco"</f>
        <v>Outras gorduras de porco</v>
      </c>
    </row>
    <row r="927" spans="1:2">
      <c r="A927" s="1" t="str">
        <f>"1501.90.00"</f>
        <v>1501.90.00</v>
      </c>
      <c r="B927" s="2" t="str">
        <f>"Outras"</f>
        <v>Outras</v>
      </c>
    </row>
    <row r="928" spans="1:2">
      <c r="A928" s="1" t="str">
        <f>"1502.10.11"</f>
        <v>1502.10.11</v>
      </c>
      <c r="B928" s="2" t="str">
        <f>"Em bruto"</f>
        <v>Em bruto</v>
      </c>
    </row>
    <row r="929" spans="1:2">
      <c r="A929" s="1" t="str">
        <f>"1502.10.12"</f>
        <v>1502.10.12</v>
      </c>
      <c r="B929" s="2" t="str">
        <f>"Fundido (incluindo o premier jus)"</f>
        <v>Fundido (incluindo o premier jus)</v>
      </c>
    </row>
    <row r="930" spans="1:2">
      <c r="A930" s="1" t="str">
        <f>"1502.10.19"</f>
        <v>1502.10.19</v>
      </c>
      <c r="B930" s="2" t="str">
        <f>"Outros"</f>
        <v>Outros</v>
      </c>
    </row>
    <row r="931" spans="1:2">
      <c r="A931" s="1" t="str">
        <f>"1502.10.90"</f>
        <v>1502.10.90</v>
      </c>
      <c r="B931" s="2" t="str">
        <f>"Outros"</f>
        <v>Outros</v>
      </c>
    </row>
    <row r="932" spans="1:2">
      <c r="A932" s="1" t="str">
        <f>"1502.90.00"</f>
        <v>1502.90.00</v>
      </c>
      <c r="B932" s="2" t="str">
        <f>"Outras"</f>
        <v>Outras</v>
      </c>
    </row>
    <row r="933" spans="1:2">
      <c r="A933" s="1" t="str">
        <f>"1503.00.00"</f>
        <v>1503.00.00</v>
      </c>
      <c r="B933" s="2" t="str">
        <f>"Estearina solar, oleo de banha de p"</f>
        <v>Estearina solar, oleo de banha de p</v>
      </c>
    </row>
    <row r="934" spans="1:2">
      <c r="A934" s="1" t="str">
        <f>"1504.10.11"</f>
        <v>1504.10.11</v>
      </c>
      <c r="B934" s="2" t="str">
        <f>"Oleo em bruto"</f>
        <v>Oleo em bruto</v>
      </c>
    </row>
    <row r="935" spans="1:2">
      <c r="A935" s="1" t="str">
        <f>"1504.10.19"</f>
        <v>1504.10.19</v>
      </c>
      <c r="B935" s="2" t="str">
        <f>"Outros"</f>
        <v>Outros</v>
      </c>
    </row>
    <row r="936" spans="1:2">
      <c r="A936" s="1" t="str">
        <f>"1504.10.90"</f>
        <v>1504.10.90</v>
      </c>
      <c r="B936" s="2" t="str">
        <f>"Outros"</f>
        <v>Outros</v>
      </c>
    </row>
    <row r="937" spans="1:2">
      <c r="A937" s="1" t="str">
        <f>"1504.20.00"</f>
        <v>1504.20.00</v>
      </c>
      <c r="B937" s="2" t="str">
        <f>"Gorduras e oleos de peixes e respec"</f>
        <v>Gorduras e oleos de peixes e respec</v>
      </c>
    </row>
    <row r="938" spans="1:2">
      <c r="A938" s="1" t="str">
        <f>"1504.30.00"</f>
        <v>1504.30.00</v>
      </c>
      <c r="B938" s="2" t="str">
        <f>"Gorduras e oleos de mamiferos marin"</f>
        <v>Gorduras e oleos de mamiferos marin</v>
      </c>
    </row>
    <row r="939" spans="1:2">
      <c r="A939" s="1" t="str">
        <f>"1505.00.10"</f>
        <v>1505.00.10</v>
      </c>
      <c r="B939" s="2" t="str">
        <f>"Lanolina"</f>
        <v>Lanolina</v>
      </c>
    </row>
    <row r="940" spans="1:2">
      <c r="A940" s="1" t="str">
        <f>"1505.00.90"</f>
        <v>1505.00.90</v>
      </c>
      <c r="B940" s="2" t="str">
        <f>"Outras"</f>
        <v>Outras</v>
      </c>
    </row>
    <row r="941" spans="1:2">
      <c r="A941" s="1" t="str">
        <f>"1506.00.00"</f>
        <v>1506.00.00</v>
      </c>
      <c r="B941" s="2" t="str">
        <f>"Outras gorduras e oleos animais, e"</f>
        <v>Outras gorduras e oleos animais, e</v>
      </c>
    </row>
    <row r="942" spans="1:2">
      <c r="A942" s="1" t="str">
        <f>"1507.10.00"</f>
        <v>1507.10.00</v>
      </c>
      <c r="B942" s="2" t="str">
        <f>"Oleo em bruto, mesmo degomado"</f>
        <v>Oleo em bruto, mesmo degomado</v>
      </c>
    </row>
    <row r="943" spans="1:2">
      <c r="A943" s="1" t="str">
        <f>"1507.90.11"</f>
        <v>1507.90.11</v>
      </c>
      <c r="B943" s="2" t="str">
        <f>"Em recipientes com capacidade infer"</f>
        <v>Em recipientes com capacidade infer</v>
      </c>
    </row>
    <row r="944" spans="1:2">
      <c r="A944" s="1" t="str">
        <f>"1507.90.19"</f>
        <v>1507.90.19</v>
      </c>
      <c r="B944" s="2" t="str">
        <f>"Outros"</f>
        <v>Outros</v>
      </c>
    </row>
    <row r="945" spans="1:2">
      <c r="A945" s="1" t="str">
        <f>"1507.90.90"</f>
        <v>1507.90.90</v>
      </c>
      <c r="B945" s="2" t="str">
        <f>"Outros"</f>
        <v>Outros</v>
      </c>
    </row>
    <row r="946" spans="1:2">
      <c r="A946" s="1" t="str">
        <f>"1508.10.00"</f>
        <v>1508.10.00</v>
      </c>
      <c r="B946" s="2" t="str">
        <f>"Oleo em bruto"</f>
        <v>Oleo em bruto</v>
      </c>
    </row>
    <row r="947" spans="1:2">
      <c r="A947" s="1" t="str">
        <f>"1508.90.00"</f>
        <v>1508.90.00</v>
      </c>
      <c r="B947" s="2" t="str">
        <f>"Outros"</f>
        <v>Outros</v>
      </c>
    </row>
    <row r="948" spans="1:2">
      <c r="A948" s="1" t="str">
        <f>"1509.10.00"</f>
        <v>1509.10.00</v>
      </c>
      <c r="B948" s="2" t="str">
        <f>"VIRGENS"</f>
        <v>VIRGENS</v>
      </c>
    </row>
    <row r="949" spans="1:2">
      <c r="A949" s="1" t="str">
        <f>"1509.90.10"</f>
        <v>1509.90.10</v>
      </c>
      <c r="B949" s="2" t="str">
        <f>"Refinado"</f>
        <v>Refinado</v>
      </c>
    </row>
    <row r="950" spans="1:2">
      <c r="A950" s="1" t="str">
        <f>"1509.90.90"</f>
        <v>1509.90.90</v>
      </c>
      <c r="B950" s="2" t="str">
        <f>"Outros"</f>
        <v>Outros</v>
      </c>
    </row>
    <row r="951" spans="1:2">
      <c r="A951" s="1" t="str">
        <f>"1510.00.00"</f>
        <v>1510.00.00</v>
      </c>
      <c r="B951" s="2" t="str">
        <f>"Outros oleos e respectivas fracoes,"</f>
        <v>Outros oleos e respectivas fracoes,</v>
      </c>
    </row>
    <row r="952" spans="1:2">
      <c r="A952" s="1" t="str">
        <f>"1511.10.00"</f>
        <v>1511.10.00</v>
      </c>
      <c r="B952" s="2" t="str">
        <f>"Oleo em bruto"</f>
        <v>Oleo em bruto</v>
      </c>
    </row>
    <row r="953" spans="1:2">
      <c r="A953" s="1" t="str">
        <f>"1511.90.00"</f>
        <v>1511.90.00</v>
      </c>
      <c r="B953" s="2" t="str">
        <f>"Outros"</f>
        <v>Outros</v>
      </c>
    </row>
    <row r="954" spans="1:2">
      <c r="A954" s="1" t="str">
        <f>"1512.11.10"</f>
        <v>1512.11.10</v>
      </c>
      <c r="B954" s="2" t="str">
        <f>"De girassol"</f>
        <v>De girassol</v>
      </c>
    </row>
    <row r="955" spans="1:2">
      <c r="A955" s="1" t="str">
        <f>"1512.11.20"</f>
        <v>1512.11.20</v>
      </c>
      <c r="B955" s="2" t="str">
        <f>"De cartamo"</f>
        <v>De cartamo</v>
      </c>
    </row>
    <row r="956" spans="1:2">
      <c r="A956" s="1" t="str">
        <f>"1512.19.11"</f>
        <v>1512.19.11</v>
      </c>
      <c r="B956" s="2" t="str">
        <f>"Refinado, em recipientes com capaci"</f>
        <v>Refinado, em recipientes com capaci</v>
      </c>
    </row>
    <row r="957" spans="1:2">
      <c r="A957" s="1" t="str">
        <f>"1512.19.19"</f>
        <v>1512.19.19</v>
      </c>
      <c r="B957" s="2" t="str">
        <f>"Outros"</f>
        <v>Outros</v>
      </c>
    </row>
    <row r="958" spans="1:2">
      <c r="A958" s="1" t="str">
        <f>"1512.19.20"</f>
        <v>1512.19.20</v>
      </c>
      <c r="B958" s="2" t="str">
        <f>"De cartamo"</f>
        <v>De cartamo</v>
      </c>
    </row>
    <row r="959" spans="1:2">
      <c r="A959" s="1" t="str">
        <f>"1512.21.00"</f>
        <v>1512.21.00</v>
      </c>
      <c r="B959" s="2" t="str">
        <f>"Oleo em bruto, mesmo desprovido de"</f>
        <v>Oleo em bruto, mesmo desprovido de</v>
      </c>
    </row>
    <row r="960" spans="1:2">
      <c r="A960" s="1" t="str">
        <f>"1512.29.10"</f>
        <v>1512.29.10</v>
      </c>
      <c r="B960" s="2" t="str">
        <f>"Refinado"</f>
        <v>Refinado</v>
      </c>
    </row>
    <row r="961" spans="1:2">
      <c r="A961" s="1" t="str">
        <f>"1512.29.90"</f>
        <v>1512.29.90</v>
      </c>
      <c r="B961" s="2" t="str">
        <f>"Outros"</f>
        <v>Outros</v>
      </c>
    </row>
    <row r="962" spans="1:2">
      <c r="A962" s="1" t="str">
        <f>"1513.11.00"</f>
        <v>1513.11.00</v>
      </c>
      <c r="B962" s="2" t="str">
        <f>"Oleo em bruto"</f>
        <v>Oleo em bruto</v>
      </c>
    </row>
    <row r="963" spans="1:2">
      <c r="A963" s="1" t="str">
        <f>"1513.19.00"</f>
        <v>1513.19.00</v>
      </c>
      <c r="B963" s="2" t="str">
        <f>"Outros"</f>
        <v>Outros</v>
      </c>
    </row>
    <row r="964" spans="1:2">
      <c r="A964" s="1" t="str">
        <f>"1513.21.10"</f>
        <v>1513.21.10</v>
      </c>
      <c r="B964" s="2" t="str">
        <f>"De amendoa de palma (palmiste) (coc"</f>
        <v>De amendoa de palma (palmiste) (coc</v>
      </c>
    </row>
    <row r="965" spans="1:2">
      <c r="A965" s="1" t="str">
        <f>"1513.21.19"</f>
        <v>1513.21.19</v>
      </c>
      <c r="B965" s="2" t="str">
        <f>"Outros"</f>
        <v>Outros</v>
      </c>
    </row>
    <row r="966" spans="1:2">
      <c r="A966" s="1" t="str">
        <f>"1513.21.20"</f>
        <v>1513.21.20</v>
      </c>
      <c r="B966" s="2" t="str">
        <f>"De babacu"</f>
        <v>De babacu</v>
      </c>
    </row>
    <row r="967" spans="1:2">
      <c r="A967" s="1" t="str">
        <f>"1513.29.10"</f>
        <v>1513.29.10</v>
      </c>
      <c r="B967" s="2" t="str">
        <f>"De amendoa de palma (palmiste) (coc"</f>
        <v>De amendoa de palma (palmiste) (coc</v>
      </c>
    </row>
    <row r="968" spans="1:2">
      <c r="A968" s="1" t="str">
        <f>"1513.29.20"</f>
        <v>1513.29.20</v>
      </c>
      <c r="B968" s="2" t="str">
        <f>"De babacu"</f>
        <v>De babacu</v>
      </c>
    </row>
    <row r="969" spans="1:2">
      <c r="A969" s="1" t="str">
        <f>"1514.11.00"</f>
        <v>1514.11.00</v>
      </c>
      <c r="B969" s="2" t="str">
        <f>"Oleos em bruto"</f>
        <v>Oleos em bruto</v>
      </c>
    </row>
    <row r="970" spans="1:2">
      <c r="A970" s="1" t="str">
        <f>"1514.19.10"</f>
        <v>1514.19.10</v>
      </c>
      <c r="B970" s="2" t="str">
        <f>"Refinados"</f>
        <v>Refinados</v>
      </c>
    </row>
    <row r="971" spans="1:2">
      <c r="A971" s="1" t="str">
        <f>"1514.19.90"</f>
        <v>1514.19.90</v>
      </c>
      <c r="B971" s="2" t="str">
        <f>"Outros"</f>
        <v>Outros</v>
      </c>
    </row>
    <row r="972" spans="1:2">
      <c r="A972" s="1" t="str">
        <f>"1514.91.00"</f>
        <v>1514.91.00</v>
      </c>
      <c r="B972" s="2" t="str">
        <f>"Oleos em bruto"</f>
        <v>Oleos em bruto</v>
      </c>
    </row>
    <row r="973" spans="1:2">
      <c r="A973" s="1" t="str">
        <f>"1514.99.10"</f>
        <v>1514.99.10</v>
      </c>
      <c r="B973" s="2" t="str">
        <f>"Refinados"</f>
        <v>Refinados</v>
      </c>
    </row>
    <row r="974" spans="1:2">
      <c r="A974" s="1" t="str">
        <f>"1514.99.90"</f>
        <v>1514.99.90</v>
      </c>
      <c r="B974" s="2" t="str">
        <f>"Outros"</f>
        <v>Outros</v>
      </c>
    </row>
    <row r="975" spans="1:2">
      <c r="A975" s="1" t="str">
        <f>"1515.11.00"</f>
        <v>1515.11.00</v>
      </c>
      <c r="B975" s="2" t="str">
        <f>"Oleo em bruto"</f>
        <v>Oleo em bruto</v>
      </c>
    </row>
    <row r="976" spans="1:2">
      <c r="A976" s="1" t="str">
        <f>"1515.19.00"</f>
        <v>1515.19.00</v>
      </c>
      <c r="B976" s="2" t="str">
        <f>"Outros"</f>
        <v>Outros</v>
      </c>
    </row>
    <row r="977" spans="1:2">
      <c r="A977" s="1" t="str">
        <f>"1515.21.00"</f>
        <v>1515.21.00</v>
      </c>
      <c r="B977" s="2" t="str">
        <f>"Oleo em bruto"</f>
        <v>Oleo em bruto</v>
      </c>
    </row>
    <row r="978" spans="1:2">
      <c r="A978" s="1" t="str">
        <f>"1515.29.10"</f>
        <v>1515.29.10</v>
      </c>
      <c r="B978" s="2" t="str">
        <f>"Refinado, em recipientes com capaci"</f>
        <v>Refinado, em recipientes com capaci</v>
      </c>
    </row>
    <row r="979" spans="1:2">
      <c r="A979" s="1" t="str">
        <f>"1515.29.90"</f>
        <v>1515.29.90</v>
      </c>
      <c r="B979" s="2" t="str">
        <f>"Outros"</f>
        <v>Outros</v>
      </c>
    </row>
    <row r="980" spans="1:2">
      <c r="A980" s="1" t="str">
        <f>"1515.30.00"</f>
        <v>1515.30.00</v>
      </c>
      <c r="B980" s="2" t="str">
        <f>"Oleo de ricino e respectivas fracoe"</f>
        <v>Oleo de ricino e respectivas fracoe</v>
      </c>
    </row>
    <row r="981" spans="1:2">
      <c r="A981" s="1" t="str">
        <f>"1515.50.00"</f>
        <v>1515.50.00</v>
      </c>
      <c r="B981" s="2" t="str">
        <f>"Oleo de gergelim e respectivas frac"</f>
        <v>Oleo de gergelim e respectivas frac</v>
      </c>
    </row>
    <row r="982" spans="1:2">
      <c r="A982" s="1" t="str">
        <f>"1515.90.10"</f>
        <v>1515.90.10</v>
      </c>
      <c r="B982" s="2" t="str">
        <f>"Oleo de jojoba e respectivas fracoe"</f>
        <v>Oleo de jojoba e respectivas fracoe</v>
      </c>
    </row>
    <row r="983" spans="1:2">
      <c r="A983" s="1" t="str">
        <f>"1515.90.21"</f>
        <v>1515.90.21</v>
      </c>
      <c r="B983" s="2" t="str">
        <f>"Em bruto"</f>
        <v>Em bruto</v>
      </c>
    </row>
    <row r="984" spans="1:2">
      <c r="A984" s="1" t="str">
        <f>"1515.90.22"</f>
        <v>1515.90.22</v>
      </c>
      <c r="B984" s="2" t="str">
        <f>"Refinado"</f>
        <v>Refinado</v>
      </c>
    </row>
    <row r="985" spans="1:2">
      <c r="A985" s="1" t="str">
        <f>"1515.90.90"</f>
        <v>1515.90.90</v>
      </c>
      <c r="B985" s="2" t="str">
        <f>"Outros"</f>
        <v>Outros</v>
      </c>
    </row>
    <row r="986" spans="1:2">
      <c r="A986" s="1" t="str">
        <f>"1516.10.00"</f>
        <v>1516.10.00</v>
      </c>
      <c r="B986" s="2" t="str">
        <f>"Gorduras e oleos animais e respecti"</f>
        <v>Gorduras e oleos animais e respecti</v>
      </c>
    </row>
    <row r="987" spans="1:2">
      <c r="A987" s="1" t="str">
        <f>"1516.20.00"</f>
        <v>1516.20.00</v>
      </c>
      <c r="B987" s="2" t="str">
        <f>"Gorduras e oleos vegetais e respect"</f>
        <v>Gorduras e oleos vegetais e respect</v>
      </c>
    </row>
    <row r="988" spans="1:2">
      <c r="A988" s="1" t="str">
        <f>"1517.10.00"</f>
        <v>1517.10.00</v>
      </c>
      <c r="B988" s="2" t="str">
        <f>"Margarina, exceto a margarina liqui"</f>
        <v>Margarina, exceto a margarina liqui</v>
      </c>
    </row>
    <row r="989" spans="1:2">
      <c r="A989" s="1" t="str">
        <f>"1517.90.10"</f>
        <v>1517.90.10</v>
      </c>
      <c r="B989" s="2" t="str">
        <f>"Misturas de oleos refinados, em rec"</f>
        <v>Misturas de oleos refinados, em rec</v>
      </c>
    </row>
    <row r="990" spans="1:2">
      <c r="A990" s="1" t="str">
        <f>"1517.90.90"</f>
        <v>1517.90.90</v>
      </c>
      <c r="B990" s="2" t="str">
        <f>"Outras"</f>
        <v>Outras</v>
      </c>
    </row>
    <row r="991" spans="1:2">
      <c r="A991" s="1" t="str">
        <f>"1518.00.10"</f>
        <v>1518.00.10</v>
      </c>
      <c r="B991" s="2" t="str">
        <f>"Oleo vegetal epoxidado"</f>
        <v>Oleo vegetal epoxidado</v>
      </c>
    </row>
    <row r="992" spans="1:2">
      <c r="A992" s="1" t="str">
        <f>"1518.00.90"</f>
        <v>1518.00.90</v>
      </c>
      <c r="B992" s="2" t="str">
        <f>"OUTROS"</f>
        <v>OUTROS</v>
      </c>
    </row>
    <row r="993" spans="1:2">
      <c r="A993" s="1" t="str">
        <f>"1520.00.10"</f>
        <v>1520.00.10</v>
      </c>
      <c r="B993" s="2" t="str">
        <f>"GLICEROL EM BRUTO"</f>
        <v>GLICEROL EM BRUTO</v>
      </c>
    </row>
    <row r="994" spans="1:2">
      <c r="A994" s="1" t="str">
        <f>"1520.00.20"</f>
        <v>1520.00.20</v>
      </c>
      <c r="B994" s="2" t="str">
        <f>"Aguas e lixivias, glicericas"</f>
        <v>Aguas e lixivias, glicericas</v>
      </c>
    </row>
    <row r="995" spans="1:2">
      <c r="A995" s="1" t="str">
        <f>"1521.10.00"</f>
        <v>1521.10.00</v>
      </c>
      <c r="B995" s="2" t="str">
        <f>"Ceras vegetais"</f>
        <v>Ceras vegetais</v>
      </c>
    </row>
    <row r="996" spans="1:2">
      <c r="A996" s="1" t="str">
        <f>"1521.90.11"</f>
        <v>1521.90.11</v>
      </c>
      <c r="B996" s="2" t="str">
        <f>"Em bruto"</f>
        <v>Em bruto</v>
      </c>
    </row>
    <row r="997" spans="1:2">
      <c r="A997" s="1" t="str">
        <f>"1521.90.19"</f>
        <v>1521.90.19</v>
      </c>
      <c r="B997" s="2" t="str">
        <f>"Outras"</f>
        <v>Outras</v>
      </c>
    </row>
    <row r="998" spans="1:2">
      <c r="A998" s="1" t="str">
        <f>"1521.90.90"</f>
        <v>1521.90.90</v>
      </c>
      <c r="B998" s="2" t="str">
        <f>"Outras"</f>
        <v>Outras</v>
      </c>
    </row>
    <row r="999" spans="1:2">
      <c r="A999" s="1" t="str">
        <f>"1522.00.00"</f>
        <v>1522.00.00</v>
      </c>
      <c r="B999" s="2" t="str">
        <f>"Degras; residuos provenientes do tr"</f>
        <v>Degras; residuos provenientes do tr</v>
      </c>
    </row>
    <row r="1000" spans="1:2">
      <c r="A1000" s="1" t="str">
        <f>"1601.00.00"</f>
        <v>1601.00.00</v>
      </c>
      <c r="B1000" s="2" t="str">
        <f>"SEMELHANTE  CARNE, MIUDEZAS, SANGUE"</f>
        <v>SEMELHANTE  CARNE, MIUDEZAS, SANGUE</v>
      </c>
    </row>
    <row r="1001" spans="1:2">
      <c r="A1001" s="1" t="str">
        <f>"1602.10.00"</f>
        <v>1602.10.00</v>
      </c>
      <c r="B1001" s="2" t="str">
        <f>"Preparacoes homogeneizadas"</f>
        <v>Preparacoes homogeneizadas</v>
      </c>
    </row>
    <row r="1002" spans="1:2">
      <c r="A1002" s="1" t="str">
        <f>"1602.20.00"</f>
        <v>1602.20.00</v>
      </c>
      <c r="B1002" s="2" t="str">
        <f>"De figados de quaisquer animais"</f>
        <v>De figados de quaisquer animais</v>
      </c>
    </row>
    <row r="1003" spans="1:2">
      <c r="A1003" s="1" t="str">
        <f>"1602.31.00"</f>
        <v>1602.31.00</v>
      </c>
      <c r="B1003" s="2" t="str">
        <f>"De peruas e de perus"</f>
        <v>De peruas e de perus</v>
      </c>
    </row>
    <row r="1004" spans="1:2">
      <c r="A1004" s="1" t="str">
        <f>"1602.32.10"</f>
        <v>1602.32.10</v>
      </c>
      <c r="B1004" s="2" t="str">
        <f>"Com conteudo de carne ou de miudeza"</f>
        <v>Com conteudo de carne ou de miudeza</v>
      </c>
    </row>
    <row r="1005" spans="1:2">
      <c r="A1005" s="1" t="str">
        <f>"1602.32.20"</f>
        <v>1602.32.20</v>
      </c>
      <c r="B1005" s="2" t="str">
        <f>"Com conteudo de carne ou de miudeza"</f>
        <v>Com conteudo de carne ou de miudeza</v>
      </c>
    </row>
    <row r="1006" spans="1:2">
      <c r="A1006" s="1" t="str">
        <f>"1602.32.30"</f>
        <v>1602.32.30</v>
      </c>
      <c r="B1006" s="2" t="str">
        <f>"Com conteudo de carne ou de miudeza"</f>
        <v>Com conteudo de carne ou de miudeza</v>
      </c>
    </row>
    <row r="1007" spans="1:2">
      <c r="A1007" s="1" t="str">
        <f>"1602.32.90"</f>
        <v>1602.32.90</v>
      </c>
      <c r="B1007" s="2" t="str">
        <f>"Outras"</f>
        <v>Outras</v>
      </c>
    </row>
    <row r="1008" spans="1:2">
      <c r="A1008" s="1" t="str">
        <f>"1602.39.00"</f>
        <v>1602.39.00</v>
      </c>
      <c r="B1008" s="2" t="str">
        <f>"Outras"</f>
        <v>Outras</v>
      </c>
    </row>
    <row r="1009" spans="1:2">
      <c r="A1009" s="1" t="str">
        <f>"1602.41.00"</f>
        <v>1602.41.00</v>
      </c>
      <c r="B1009" s="2" t="str">
        <f>"Pernas e respectivos pedacos"</f>
        <v>Pernas e respectivos pedacos</v>
      </c>
    </row>
    <row r="1010" spans="1:2">
      <c r="A1010" s="1" t="str">
        <f>"1602.42.00"</f>
        <v>1602.42.00</v>
      </c>
      <c r="B1010" s="2" t="str">
        <f>"Pas e respectivos pedacos"</f>
        <v>Pas e respectivos pedacos</v>
      </c>
    </row>
    <row r="1011" spans="1:2">
      <c r="A1011" s="1" t="str">
        <f>"1602.49.00"</f>
        <v>1602.49.00</v>
      </c>
      <c r="B1011" s="2" t="str">
        <f>"Outras, incluindo as misturas"</f>
        <v>Outras, incluindo as misturas</v>
      </c>
    </row>
    <row r="1012" spans="1:2">
      <c r="A1012" s="1" t="str">
        <f>"1602.50.00"</f>
        <v>1602.50.00</v>
      </c>
      <c r="B1012" s="2" t="str">
        <f>"Da especie bovina"</f>
        <v>Da especie bovina</v>
      </c>
    </row>
    <row r="1013" spans="1:2">
      <c r="A1013" s="1" t="str">
        <f>"1602.90.00"</f>
        <v>1602.90.00</v>
      </c>
      <c r="B1013" s="2" t="str">
        <f>"Outras, incluindo as preparacoes de"</f>
        <v>Outras, incluindo as preparacoes de</v>
      </c>
    </row>
    <row r="1014" spans="1:2">
      <c r="A1014" s="1" t="str">
        <f>"1603.00.00"</f>
        <v>1603.00.00</v>
      </c>
      <c r="B1014" s="2" t="str">
        <f>"Extratos e sucos de carne, de peixe"</f>
        <v>Extratos e sucos de carne, de peixe</v>
      </c>
    </row>
    <row r="1015" spans="1:2">
      <c r="A1015" s="1" t="str">
        <f>"1604.11.00"</f>
        <v>1604.11.00</v>
      </c>
      <c r="B1015" s="2" t="str">
        <f>"Salmoes"</f>
        <v>Salmoes</v>
      </c>
    </row>
    <row r="1016" spans="1:2">
      <c r="A1016" s="1" t="str">
        <f>"1604.12.00"</f>
        <v>1604.12.00</v>
      </c>
      <c r="B1016" s="2" t="str">
        <f>"Arenques"</f>
        <v>Arenques</v>
      </c>
    </row>
    <row r="1017" spans="1:2">
      <c r="A1017" s="1" t="str">
        <f>"1604.13.10"</f>
        <v>1604.13.10</v>
      </c>
      <c r="B1017" s="2" t="str">
        <f>"Sardinhas"</f>
        <v>Sardinhas</v>
      </c>
    </row>
    <row r="1018" spans="1:2">
      <c r="A1018" s="1" t="str">
        <f>"1604.13.90"</f>
        <v>1604.13.90</v>
      </c>
      <c r="B1018" s="2" t="str">
        <f>"Outros"</f>
        <v>Outros</v>
      </c>
    </row>
    <row r="1019" spans="1:2">
      <c r="A1019" s="1" t="str">
        <f>"1604.14.10"</f>
        <v>1604.14.10</v>
      </c>
      <c r="B1019" s="2" t="str">
        <f>"Atuns"</f>
        <v>Atuns</v>
      </c>
    </row>
    <row r="1020" spans="1:2">
      <c r="A1020" s="1" t="str">
        <f>"1604.14.20"</f>
        <v>1604.14.20</v>
      </c>
      <c r="B1020" s="2" t="str">
        <f>"Bonito-listrado"</f>
        <v>Bonito-listrado</v>
      </c>
    </row>
    <row r="1021" spans="1:2">
      <c r="A1021" s="1" t="str">
        <f>"1604.14.30"</f>
        <v>1604.14.30</v>
      </c>
      <c r="B1021" s="2" t="str">
        <f>"Bonito-cachorro"</f>
        <v>Bonito-cachorro</v>
      </c>
    </row>
    <row r="1022" spans="1:2">
      <c r="A1022" s="1" t="str">
        <f>"1604.15.00"</f>
        <v>1604.15.00</v>
      </c>
      <c r="B1022" s="2" t="str">
        <f>"Cavalinhas (Sardas e cavalas*)"</f>
        <v>Cavalinhas (Sardas e cavalas*)</v>
      </c>
    </row>
    <row r="1023" spans="1:2">
      <c r="A1023" s="1" t="str">
        <f>"1604.16.00"</f>
        <v>1604.16.00</v>
      </c>
      <c r="B1023" s="2" t="str">
        <f>"Anchovas (Biqueiroes*)"</f>
        <v>Anchovas (Biqueiroes*)</v>
      </c>
    </row>
    <row r="1024" spans="1:2">
      <c r="A1024" s="1" t="str">
        <f>"1604.17.00"</f>
        <v>1604.17.00</v>
      </c>
      <c r="B1024" s="2" t="str">
        <f>"Enguias"</f>
        <v>Enguias</v>
      </c>
    </row>
    <row r="1025" spans="1:2">
      <c r="A1025" s="1" t="str">
        <f>"1604.18.00"</f>
        <v>1604.18.00</v>
      </c>
      <c r="B1025" s="2" t="str">
        <f>"Barbatanas de tubarao"</f>
        <v>Barbatanas de tubarao</v>
      </c>
    </row>
    <row r="1026" spans="1:2">
      <c r="A1026" s="1" t="str">
        <f>"1604.19.00"</f>
        <v>1604.19.00</v>
      </c>
      <c r="B1026" s="2" t="str">
        <f>"Outros"</f>
        <v>Outros</v>
      </c>
    </row>
    <row r="1027" spans="1:2">
      <c r="A1027" s="1" t="str">
        <f>"1604.20.10"</f>
        <v>1604.20.10</v>
      </c>
      <c r="B1027" s="2" t="str">
        <f>"De atuns"</f>
        <v>De atuns</v>
      </c>
    </row>
    <row r="1028" spans="1:2">
      <c r="A1028" s="1" t="str">
        <f>"1604.20.20"</f>
        <v>1604.20.20</v>
      </c>
      <c r="B1028" s="2" t="str">
        <f>"De bonito-listrado"</f>
        <v>De bonito-listrado</v>
      </c>
    </row>
    <row r="1029" spans="1:2">
      <c r="A1029" s="1" t="str">
        <f>"1604.20.30"</f>
        <v>1604.20.30</v>
      </c>
      <c r="B1029" s="2" t="str">
        <f>"De sardinhas ou de anchoveta"</f>
        <v>De sardinhas ou de anchoveta</v>
      </c>
    </row>
    <row r="1030" spans="1:2">
      <c r="A1030" s="1" t="str">
        <f>"1604.20.90"</f>
        <v>1604.20.90</v>
      </c>
      <c r="B1030" s="2" t="str">
        <f>"Outras"</f>
        <v>Outras</v>
      </c>
    </row>
    <row r="1031" spans="1:2">
      <c r="A1031" s="1" t="str">
        <f>"1604.31.00"</f>
        <v>1604.31.00</v>
      </c>
      <c r="B1031" s="2" t="str">
        <f>"Caviar"</f>
        <v>Caviar</v>
      </c>
    </row>
    <row r="1032" spans="1:2">
      <c r="A1032" s="1" t="str">
        <f>"1604.32.00"</f>
        <v>1604.32.00</v>
      </c>
      <c r="B1032" s="2" t="str">
        <f>"Sucedaneos de caviar"</f>
        <v>Sucedaneos de caviar</v>
      </c>
    </row>
    <row r="1033" spans="1:2">
      <c r="A1033" s="1" t="str">
        <f>"1605.10.00"</f>
        <v>1605.10.00</v>
      </c>
      <c r="B1033" s="2" t="str">
        <f>"Caranguejos"</f>
        <v>Caranguejos</v>
      </c>
    </row>
    <row r="1034" spans="1:2">
      <c r="A1034" s="1" t="str">
        <f>"1605.21.00"</f>
        <v>1605.21.00</v>
      </c>
      <c r="B1034" s="2" t="str">
        <f>"Nao acondicionados em recipientes h"</f>
        <v>Nao acondicionados em recipientes h</v>
      </c>
    </row>
    <row r="1035" spans="1:2">
      <c r="A1035" s="1" t="str">
        <f>"1605.29.00"</f>
        <v>1605.29.00</v>
      </c>
      <c r="B1035" s="2" t="str">
        <f>"Outros"</f>
        <v>Outros</v>
      </c>
    </row>
    <row r="1036" spans="1:2">
      <c r="A1036" s="1" t="str">
        <f>"1605.30.00"</f>
        <v>1605.30.00</v>
      </c>
      <c r="B1036" s="2" t="str">
        <f>"Lavagantes"</f>
        <v>Lavagantes</v>
      </c>
    </row>
    <row r="1037" spans="1:2">
      <c r="A1037" s="1" t="str">
        <f>"1605.40.00"</f>
        <v>1605.40.00</v>
      </c>
      <c r="B1037" s="2" t="str">
        <f>"Outros crustaceos"</f>
        <v>Outros crustaceos</v>
      </c>
    </row>
    <row r="1038" spans="1:2">
      <c r="A1038" s="1" t="str">
        <f>"1605.51.00"</f>
        <v>1605.51.00</v>
      </c>
      <c r="B1038" s="2" t="str">
        <f>"Ostras"</f>
        <v>Ostras</v>
      </c>
    </row>
    <row r="1039" spans="1:2">
      <c r="A1039" s="1" t="str">
        <f>"1605.52.00"</f>
        <v>1605.52.00</v>
      </c>
      <c r="B1039" s="2" t="str">
        <f>"Vieiras e outros mariscos"</f>
        <v>Vieiras e outros mariscos</v>
      </c>
    </row>
    <row r="1040" spans="1:2">
      <c r="A1040" s="1" t="str">
        <f>"1605.53.00"</f>
        <v>1605.53.00</v>
      </c>
      <c r="B1040" s="2" t="str">
        <f>"Mexilhoes"</f>
        <v>Mexilhoes</v>
      </c>
    </row>
    <row r="1041" spans="1:2">
      <c r="A1041" s="1" t="str">
        <f>"1605.54.00"</f>
        <v>1605.54.00</v>
      </c>
      <c r="B1041" s="2" t="str">
        <f>"Sepias e lulas (Chocos e lulas*) (C"</f>
        <v>Sepias e lulas (Chocos e lulas*) (C</v>
      </c>
    </row>
    <row r="1042" spans="1:2">
      <c r="A1042" s="1" t="str">
        <f>"1605.55.00"</f>
        <v>1605.55.00</v>
      </c>
      <c r="B1042" s="2" t="str">
        <f>"Polvos"</f>
        <v>Polvos</v>
      </c>
    </row>
    <row r="1043" spans="1:2">
      <c r="A1043" s="1" t="str">
        <f>"1605.56.00"</f>
        <v>1605.56.00</v>
      </c>
      <c r="B1043" s="2" t="str">
        <f>"Ameijoas, berbigoes e arcas"</f>
        <v>Ameijoas, berbigoes e arcas</v>
      </c>
    </row>
    <row r="1044" spans="1:2">
      <c r="A1044" s="1" t="str">
        <f>"1605.57.00"</f>
        <v>1605.57.00</v>
      </c>
      <c r="B1044" s="2" t="str">
        <f>"Abalones (Orelhas-do-mar*)"</f>
        <v>Abalones (Orelhas-do-mar*)</v>
      </c>
    </row>
    <row r="1045" spans="1:2">
      <c r="A1045" s="1" t="str">
        <f>"1605.58.00"</f>
        <v>1605.58.00</v>
      </c>
      <c r="B1045" s="2" t="str">
        <f>"Caracois, exceto os do mar"</f>
        <v>Caracois, exceto os do mar</v>
      </c>
    </row>
    <row r="1046" spans="1:2">
      <c r="A1046" s="1" t="str">
        <f>"1605.59.00"</f>
        <v>1605.59.00</v>
      </c>
      <c r="B1046" s="2" t="str">
        <f>"Outros"</f>
        <v>Outros</v>
      </c>
    </row>
    <row r="1047" spans="1:2">
      <c r="A1047" s="1" t="str">
        <f>"1605.61.00"</f>
        <v>1605.61.00</v>
      </c>
      <c r="B1047" s="2" t="str">
        <f>"Pepinos-do-mar"</f>
        <v>Pepinos-do-mar</v>
      </c>
    </row>
    <row r="1048" spans="1:2">
      <c r="A1048" s="1" t="str">
        <f>"1605.62.00"</f>
        <v>1605.62.00</v>
      </c>
      <c r="B1048" s="2" t="str">
        <f>"Ouricos-do-mar"</f>
        <v>Ouricos-do-mar</v>
      </c>
    </row>
    <row r="1049" spans="1:2">
      <c r="A1049" s="1" t="str">
        <f>"1605.63.00"</f>
        <v>1605.63.00</v>
      </c>
      <c r="B1049" s="2" t="str">
        <f>"Medusas (aguas-vivas)"</f>
        <v>Medusas (aguas-vivas)</v>
      </c>
    </row>
    <row r="1050" spans="1:2">
      <c r="A1050" s="1" t="str">
        <f>"1605.69.00"</f>
        <v>1605.69.00</v>
      </c>
      <c r="B1050" s="2" t="str">
        <f>"Outros"</f>
        <v>Outros</v>
      </c>
    </row>
    <row r="1051" spans="1:2">
      <c r="A1051" s="1" t="str">
        <f>"1701.12.00"</f>
        <v>1701.12.00</v>
      </c>
      <c r="B1051" s="2" t="str">
        <f>"De beterraba"</f>
        <v>De beterraba</v>
      </c>
    </row>
    <row r="1052" spans="1:2">
      <c r="A1052" s="1" t="str">
        <f>"1701.13.00"</f>
        <v>1701.13.00</v>
      </c>
      <c r="B1052" s="2" t="str">
        <f>"Acucar de cana mencionado na Nota d"</f>
        <v>Acucar de cana mencionado na Nota d</v>
      </c>
    </row>
    <row r="1053" spans="1:2">
      <c r="A1053" s="1" t="str">
        <f>"1701.14.00"</f>
        <v>1701.14.00</v>
      </c>
      <c r="B1053" s="2" t="str">
        <f>"Outros acucares de cana"</f>
        <v>Outros acucares de cana</v>
      </c>
    </row>
    <row r="1054" spans="1:2">
      <c r="A1054" s="1" t="str">
        <f>"1701.91.00"</f>
        <v>1701.91.00</v>
      </c>
      <c r="B1054" s="2" t="str">
        <f>"Adicionados de aromatizantes ou de"</f>
        <v>Adicionados de aromatizantes ou de</v>
      </c>
    </row>
    <row r="1055" spans="1:2">
      <c r="A1055" s="1" t="str">
        <f>"1701.99.00"</f>
        <v>1701.99.00</v>
      </c>
      <c r="B1055" s="2" t="str">
        <f>"Outros"</f>
        <v>Outros</v>
      </c>
    </row>
    <row r="1056" spans="1:2">
      <c r="A1056" s="1" t="str">
        <f>"1702.11.00"</f>
        <v>1702.11.00</v>
      </c>
      <c r="B1056" s="2" t="str">
        <f>"Que contenham, em peso, 99 % ou mai"</f>
        <v>Que contenham, em peso, 99 % ou mai</v>
      </c>
    </row>
    <row r="1057" spans="1:2">
      <c r="A1057" s="1" t="str">
        <f>"1702.19.00"</f>
        <v>1702.19.00</v>
      </c>
      <c r="B1057" s="2" t="str">
        <f>"Outros"</f>
        <v>Outros</v>
      </c>
    </row>
    <row r="1058" spans="1:2">
      <c r="A1058" s="1" t="str">
        <f>"1702.20.00"</f>
        <v>1702.20.00</v>
      </c>
      <c r="B1058" s="2" t="str">
        <f>"Acucar e xarope, de bordo (acer)"</f>
        <v>Acucar e xarope, de bordo (acer)</v>
      </c>
    </row>
    <row r="1059" spans="1:2">
      <c r="A1059" s="1" t="str">
        <f>"1702.30.11"</f>
        <v>1702.30.11</v>
      </c>
      <c r="B1059" s="2" t="str">
        <f>"Quimicamente pura"</f>
        <v>Quimicamente pura</v>
      </c>
    </row>
    <row r="1060" spans="1:2">
      <c r="A1060" s="1" t="str">
        <f>"1702.30.19"</f>
        <v>1702.30.19</v>
      </c>
      <c r="B1060" s="2" t="str">
        <f>"Outras"</f>
        <v>Outras</v>
      </c>
    </row>
    <row r="1061" spans="1:2">
      <c r="A1061" s="1" t="str">
        <f>"1702.30.20"</f>
        <v>1702.30.20</v>
      </c>
      <c r="B1061" s="2" t="str">
        <f>"Xarope de glicose"</f>
        <v>Xarope de glicose</v>
      </c>
    </row>
    <row r="1062" spans="1:2">
      <c r="A1062" s="1" t="str">
        <f>"1702.40.10"</f>
        <v>1702.40.10</v>
      </c>
      <c r="B1062" s="2" t="str">
        <f>"Glicose"</f>
        <v>Glicose</v>
      </c>
    </row>
    <row r="1063" spans="1:2">
      <c r="A1063" s="1" t="str">
        <f>"1702.40.20"</f>
        <v>1702.40.20</v>
      </c>
      <c r="B1063" s="2" t="str">
        <f>"Xarope de glicose"</f>
        <v>Xarope de glicose</v>
      </c>
    </row>
    <row r="1064" spans="1:2">
      <c r="A1064" s="1" t="str">
        <f>"1702.50.00"</f>
        <v>1702.50.00</v>
      </c>
      <c r="B1064" s="2" t="str">
        <f>"Frutose (levulose) quimicamente pur"</f>
        <v>Frutose (levulose) quimicamente pur</v>
      </c>
    </row>
    <row r="1065" spans="1:2">
      <c r="A1065" s="1" t="str">
        <f>"1702.60.10"</f>
        <v>1702.60.10</v>
      </c>
      <c r="B1065" s="2" t="str">
        <f>"Frutose (levulose)"</f>
        <v>Frutose (levulose)</v>
      </c>
    </row>
    <row r="1066" spans="1:2">
      <c r="A1066" s="1" t="str">
        <f>"1702.60.20"</f>
        <v>1702.60.20</v>
      </c>
      <c r="B1066" s="2" t="str">
        <f>"Xarope de frutose (levulose)"</f>
        <v>Xarope de frutose (levulose)</v>
      </c>
    </row>
    <row r="1067" spans="1:2">
      <c r="A1067" s="1" t="str">
        <f>"1702.90.00"</f>
        <v>1702.90.00</v>
      </c>
      <c r="B1067" s="2" t="str">
        <f>"Outros, incluindo o acucar invertid"</f>
        <v>Outros, incluindo o acucar invertid</v>
      </c>
    </row>
    <row r="1068" spans="1:2">
      <c r="A1068" s="1" t="str">
        <f>"1703.10.00"</f>
        <v>1703.10.00</v>
      </c>
      <c r="B1068" s="2" t="str">
        <f>"Melacos de cana"</f>
        <v>Melacos de cana</v>
      </c>
    </row>
    <row r="1069" spans="1:2">
      <c r="A1069" s="1" t="str">
        <f>"1703.90.00"</f>
        <v>1703.90.00</v>
      </c>
      <c r="B1069" s="2" t="str">
        <f>"Outros"</f>
        <v>Outros</v>
      </c>
    </row>
    <row r="1070" spans="1:2">
      <c r="A1070" s="1" t="str">
        <f>"1704.10.00"</f>
        <v>1704.10.00</v>
      </c>
      <c r="B1070" s="2" t="str">
        <f>"Gomas de mascar (Pastilhas elastica"</f>
        <v>Gomas de mascar (Pastilhas elastica</v>
      </c>
    </row>
    <row r="1071" spans="1:2">
      <c r="A1071" s="1" t="str">
        <f>"1704.90.10"</f>
        <v>1704.90.10</v>
      </c>
      <c r="B1071" s="2" t="str">
        <f>"CHOCOLATE BRANCO"</f>
        <v>CHOCOLATE BRANCO</v>
      </c>
    </row>
    <row r="1072" spans="1:2">
      <c r="A1072" s="1" t="str">
        <f>"1704.90.20"</f>
        <v>1704.90.20</v>
      </c>
      <c r="B1072" s="2" t="str">
        <f>"CARAMELOS, CONFEITOS, DROPES, PASTI"</f>
        <v>CARAMELOS, CONFEITOS, DROPES, PASTI</v>
      </c>
    </row>
    <row r="1073" spans="1:2">
      <c r="A1073" s="1" t="str">
        <f>"1704.90.90"</f>
        <v>1704.90.90</v>
      </c>
      <c r="B1073" s="2" t="str">
        <f>"OUTROS"</f>
        <v>OUTROS</v>
      </c>
    </row>
    <row r="1074" spans="1:2">
      <c r="A1074" s="1" t="str">
        <f>"1801.00.00"</f>
        <v>1801.00.00</v>
      </c>
      <c r="B1074" s="2" t="str">
        <f>"Cacau inteiro ou partido, em bruto"</f>
        <v>Cacau inteiro ou partido, em bruto</v>
      </c>
    </row>
    <row r="1075" spans="1:2">
      <c r="A1075" s="1" t="str">
        <f>"1802.00.00"</f>
        <v>1802.00.00</v>
      </c>
      <c r="B1075" s="2" t="str">
        <f>"Cascas, peliculas e outros desperdi"</f>
        <v>Cascas, peliculas e outros desperdi</v>
      </c>
    </row>
    <row r="1076" spans="1:2">
      <c r="A1076" s="1" t="str">
        <f>"1803.10.00"</f>
        <v>1803.10.00</v>
      </c>
      <c r="B1076" s="2" t="str">
        <f>"Nao desengordurada"</f>
        <v>Nao desengordurada</v>
      </c>
    </row>
    <row r="1077" spans="1:2">
      <c r="A1077" s="1" t="str">
        <f>"1803.20.00"</f>
        <v>1803.20.00</v>
      </c>
      <c r="B1077" s="2" t="str">
        <f>"Total ou parcialmente desengordurad"</f>
        <v>Total ou parcialmente desengordurad</v>
      </c>
    </row>
    <row r="1078" spans="1:2">
      <c r="A1078" s="1" t="str">
        <f>"1804.00.00"</f>
        <v>1804.00.00</v>
      </c>
      <c r="B1078" s="2" t="str">
        <f>"Manteiga, gordura e oleo, de cacau."</f>
        <v>Manteiga, gordura e oleo, de cacau.</v>
      </c>
    </row>
    <row r="1079" spans="1:2">
      <c r="A1079" s="1" t="str">
        <f>"1805.00.00"</f>
        <v>1805.00.00</v>
      </c>
      <c r="B1079" s="2" t="str">
        <f>"Cacau em po, sem adicao de acucar o"</f>
        <v>Cacau em po, sem adicao de acucar o</v>
      </c>
    </row>
    <row r="1080" spans="1:2">
      <c r="A1080" s="1" t="str">
        <f>"1806.10.00"</f>
        <v>1806.10.00</v>
      </c>
      <c r="B1080" s="2" t="str">
        <f>"Cacau em po, com adicao de acucar o"</f>
        <v>Cacau em po, com adicao de acucar o</v>
      </c>
    </row>
    <row r="1081" spans="1:2">
      <c r="A1081" s="1" t="str">
        <f>"1806.20.00"</f>
        <v>1806.20.00</v>
      </c>
      <c r="B1081" s="2" t="str">
        <f>"Outras preparacoes em blocos ou em"</f>
        <v>Outras preparacoes em blocos ou em</v>
      </c>
    </row>
    <row r="1082" spans="1:2">
      <c r="A1082" s="1" t="str">
        <f>"1806.31.10"</f>
        <v>1806.31.10</v>
      </c>
      <c r="B1082" s="2" t="str">
        <f>"CHOCOLATE"</f>
        <v>CHOCOLATE</v>
      </c>
    </row>
    <row r="1083" spans="1:2">
      <c r="A1083" s="1" t="str">
        <f>"1806.31.20"</f>
        <v>1806.31.20</v>
      </c>
      <c r="B1083" s="2" t="str">
        <f>"Outras preparacoes"</f>
        <v>Outras preparacoes</v>
      </c>
    </row>
    <row r="1084" spans="1:2">
      <c r="A1084" s="1" t="str">
        <f>"1806.32.10"</f>
        <v>1806.32.10</v>
      </c>
      <c r="B1084" s="2" t="str">
        <f>"CHOCOARTE FELIZ PASCOA"</f>
        <v>CHOCOARTE FELIZ PASCOA</v>
      </c>
    </row>
    <row r="1085" spans="1:2">
      <c r="A1085" s="1" t="str">
        <f>"1806.32.20"</f>
        <v>1806.32.20</v>
      </c>
      <c r="B1085" s="2" t="str">
        <f>"Outras preparacoes"</f>
        <v>Outras preparacoes</v>
      </c>
    </row>
    <row r="1086" spans="1:2">
      <c r="A1086" s="1" t="str">
        <f>"1806.90.00"</f>
        <v>1806.90.00</v>
      </c>
      <c r="B1086" s="2" t="str">
        <f>"OUTROS"</f>
        <v>OUTROS</v>
      </c>
    </row>
    <row r="1087" spans="1:2">
      <c r="A1087" s="1" t="str">
        <f>"1806.90.90"</f>
        <v>1806.90.90</v>
      </c>
      <c r="B1087" s="2" t="str">
        <f>"INATIVA - OUTROS"</f>
        <v>INATIVA - OUTROS</v>
      </c>
    </row>
    <row r="1088" spans="1:2">
      <c r="A1088" s="1" t="str">
        <f>"1901.10.10"</f>
        <v>1901.10.10</v>
      </c>
      <c r="B1088" s="2" t="str">
        <f>"Leite modificado"</f>
        <v>Leite modificado</v>
      </c>
    </row>
    <row r="1089" spans="1:2">
      <c r="A1089" s="1" t="str">
        <f>"1901.10.20"</f>
        <v>1901.10.20</v>
      </c>
      <c r="B1089" s="2" t="str">
        <f>"Farinha lactea"</f>
        <v>Farinha lactea</v>
      </c>
    </row>
    <row r="1090" spans="1:2">
      <c r="A1090" s="1" t="str">
        <f>"1901.10.30"</f>
        <v>1901.10.30</v>
      </c>
      <c r="B1090" s="2" t="str">
        <f>"A base de farinha, grumos, semola o"</f>
        <v>A base de farinha, grumos, semola o</v>
      </c>
    </row>
    <row r="1091" spans="1:2">
      <c r="A1091" s="1" t="str">
        <f>"1901.10.90"</f>
        <v>1901.10.90</v>
      </c>
      <c r="B1091" s="2" t="str">
        <f>"Outras"</f>
        <v>Outras</v>
      </c>
    </row>
    <row r="1092" spans="1:2">
      <c r="A1092" s="1" t="str">
        <f>"1901.20.00"</f>
        <v>1901.20.00</v>
      </c>
      <c r="B1092" s="2" t="str">
        <f>"Misturas e pastas para a preparacao"</f>
        <v>Misturas e pastas para a preparacao</v>
      </c>
    </row>
    <row r="1093" spans="1:2">
      <c r="A1093" s="1" t="str">
        <f>"1901.90.10"</f>
        <v>1901.90.10</v>
      </c>
      <c r="B1093" s="2" t="str">
        <f>"Extrato de malte"</f>
        <v>Extrato de malte</v>
      </c>
    </row>
    <row r="1094" spans="1:2">
      <c r="A1094" s="1" t="str">
        <f>"1901.90.20"</f>
        <v>1901.90.20</v>
      </c>
      <c r="B1094" s="2" t="str">
        <f>"Doce de leite"</f>
        <v>Doce de leite</v>
      </c>
    </row>
    <row r="1095" spans="1:2">
      <c r="A1095" s="1" t="str">
        <f>"1901.90.90"</f>
        <v>1901.90.90</v>
      </c>
      <c r="B1095" s="2" t="str">
        <f>"Outros"</f>
        <v>Outros</v>
      </c>
    </row>
    <row r="1096" spans="1:2">
      <c r="A1096" s="1" t="str">
        <f>"1902.11.00"</f>
        <v>1902.11.00</v>
      </c>
      <c r="B1096" s="2" t="str">
        <f>"Que contenham ovos"</f>
        <v>Que contenham ovos</v>
      </c>
    </row>
    <row r="1097" spans="1:2">
      <c r="A1097" s="1" t="str">
        <f>"1902.19.00"</f>
        <v>1902.19.00</v>
      </c>
      <c r="B1097" s="2" t="str">
        <f>"Outras"</f>
        <v>Outras</v>
      </c>
    </row>
    <row r="1098" spans="1:2">
      <c r="A1098" s="1" t="str">
        <f>"1902.20.00"</f>
        <v>1902.20.00</v>
      </c>
      <c r="B1098" s="2" t="str">
        <f>"MASSAS ALIMENTÍCIAS RECHEADAS"</f>
        <v>MASSAS ALIMENTÍCIAS RECHEADAS</v>
      </c>
    </row>
    <row r="1099" spans="1:2">
      <c r="A1099" s="1" t="str">
        <f>"1902.30.00"</f>
        <v>1902.30.00</v>
      </c>
      <c r="B1099" s="2" t="str">
        <f>"Outras massas alimenticias"</f>
        <v>Outras massas alimenticias</v>
      </c>
    </row>
    <row r="1100" spans="1:2">
      <c r="A1100" s="1" t="str">
        <f>"1902.40.00"</f>
        <v>1902.40.00</v>
      </c>
      <c r="B1100" s="2" t="str">
        <f>"Cuscuz"</f>
        <v>Cuscuz</v>
      </c>
    </row>
    <row r="1101" spans="1:2">
      <c r="A1101" s="1" t="str">
        <f>"1903.00.00"</f>
        <v>1903.00.00</v>
      </c>
      <c r="B1101" s="2" t="str">
        <f>"Tapioca e seus sucedaneos preparado"</f>
        <v>Tapioca e seus sucedaneos preparado</v>
      </c>
    </row>
    <row r="1102" spans="1:2">
      <c r="A1102" s="1" t="str">
        <f>"1904.10.00"</f>
        <v>1904.10.00</v>
      </c>
      <c r="B1102" s="2" t="str">
        <f>"OUTROS"</f>
        <v>OUTROS</v>
      </c>
    </row>
    <row r="1103" spans="1:2">
      <c r="A1103" s="1" t="str">
        <f>"1904.20.00"</f>
        <v>1904.20.00</v>
      </c>
      <c r="B1103" s="2" t="str">
        <f>"OBTIDAS DE FLOCOS CEREAIS Ñ TORRRAD"</f>
        <v>OBTIDAS DE FLOCOS CEREAIS Ñ TORRRAD</v>
      </c>
    </row>
    <row r="1104" spans="1:2">
      <c r="A1104" s="1" t="str">
        <f>"1904.30.00"</f>
        <v>1904.30.00</v>
      </c>
      <c r="B1104" s="2" t="str">
        <f>"Trigo bulgur"</f>
        <v>Trigo bulgur</v>
      </c>
    </row>
    <row r="1105" spans="1:2">
      <c r="A1105" s="1" t="str">
        <f>"1904.90.00"</f>
        <v>1904.90.00</v>
      </c>
      <c r="B1105" s="2" t="str">
        <f>"OUTROS"</f>
        <v>OUTROS</v>
      </c>
    </row>
    <row r="1106" spans="1:2">
      <c r="A1106" s="1" t="str">
        <f>"1905.10.00"</f>
        <v>1905.10.00</v>
      </c>
      <c r="B1106" s="2" t="str">
        <f>"Pao crocante denominado knackebrot"</f>
        <v>Pao crocante denominado knackebrot</v>
      </c>
    </row>
    <row r="1107" spans="1:2">
      <c r="A1107" s="1" t="str">
        <f>"1905.20.10"</f>
        <v>1905.20.10</v>
      </c>
      <c r="B1107" s="2" t="str">
        <f>"PANETONE"</f>
        <v>PANETONE</v>
      </c>
    </row>
    <row r="1108" spans="1:2">
      <c r="A1108" s="1" t="str">
        <f>"1905.20.90"</f>
        <v>1905.20.90</v>
      </c>
      <c r="B1108" s="2" t="str">
        <f>"OUTROS"</f>
        <v>OUTROS</v>
      </c>
    </row>
    <row r="1109" spans="1:2">
      <c r="A1109" s="1" t="str">
        <f>"1905.31.00"</f>
        <v>1905.31.00</v>
      </c>
      <c r="B1109" s="2" t="str">
        <f>"BOLACHA E BISC, ADICION  EDULCRANTE"</f>
        <v>BOLACHA E BISC, ADICION  EDULCRANTE</v>
      </c>
    </row>
    <row r="1110" spans="1:2">
      <c r="A1110" s="1" t="str">
        <f>"1905.32.00"</f>
        <v>1905.32.00</v>
      </c>
      <c r="B1110" s="2" t="str">
        <f>"WAFFER"</f>
        <v>WAFFER</v>
      </c>
    </row>
    <row r="1111" spans="1:2">
      <c r="A1111" s="1" t="str">
        <f>"1905.40.00"</f>
        <v>1905.40.00</v>
      </c>
      <c r="B1111" s="2" t="str">
        <f>"Torradas (tostas), pao torrado e pr"</f>
        <v>Torradas (tostas), pao torrado e pr</v>
      </c>
    </row>
    <row r="1112" spans="1:2">
      <c r="A1112" s="1" t="str">
        <f>"1905.90.10"</f>
        <v>1905.90.10</v>
      </c>
      <c r="B1112" s="2" t="str">
        <f>"Pao de forma"</f>
        <v>Pao de forma</v>
      </c>
    </row>
    <row r="1113" spans="1:2">
      <c r="A1113" s="1" t="str">
        <f>"1905.90.20"</f>
        <v>1905.90.20</v>
      </c>
      <c r="B1113" s="2" t="str">
        <f>"BOLACHAS"</f>
        <v>BOLACHAS</v>
      </c>
    </row>
    <row r="1114" spans="1:2">
      <c r="A1114" s="1" t="str">
        <f>"1905.90.90"</f>
        <v>1905.90.90</v>
      </c>
      <c r="B1114" s="2" t="str">
        <f>"OUTROS"</f>
        <v>OUTROS</v>
      </c>
    </row>
    <row r="1115" spans="1:2">
      <c r="A1115" s="1" t="str">
        <f>"2001.10.00"</f>
        <v>2001.10.00</v>
      </c>
      <c r="B1115" s="2" t="str">
        <f>"Pepinos e pepininhos (cornichons)"</f>
        <v>Pepinos e pepininhos (cornichons)</v>
      </c>
    </row>
    <row r="1116" spans="1:2">
      <c r="A1116" s="1" t="str">
        <f>"2001.90.00"</f>
        <v>2001.90.00</v>
      </c>
      <c r="B1116" s="2" t="str">
        <f>"OUTROS"</f>
        <v>OUTROS</v>
      </c>
    </row>
    <row r="1117" spans="1:2">
      <c r="A1117" s="1" t="str">
        <f>"2002.10.00"</f>
        <v>2002.10.00</v>
      </c>
      <c r="B1117" s="2" t="str">
        <f>"Tomates inteiros ou em pedacos"</f>
        <v>Tomates inteiros ou em pedacos</v>
      </c>
    </row>
    <row r="1118" spans="1:2">
      <c r="A1118" s="1" t="str">
        <f>"2002.90.10"</f>
        <v>2002.90.10</v>
      </c>
      <c r="B1118" s="2" t="str">
        <f>"Sucos"</f>
        <v>Sucos</v>
      </c>
    </row>
    <row r="1119" spans="1:2">
      <c r="A1119" s="1" t="str">
        <f>"2002.90.90"</f>
        <v>2002.90.90</v>
      </c>
      <c r="B1119" s="2" t="str">
        <f>"Outros"</f>
        <v>Outros</v>
      </c>
    </row>
    <row r="1120" spans="1:2">
      <c r="A1120" s="1" t="str">
        <f>"2003.10.00"</f>
        <v>2003.10.00</v>
      </c>
      <c r="B1120" s="2" t="str">
        <f>"Cogumelos do genero Agaricus"</f>
        <v>Cogumelos do genero Agaricus</v>
      </c>
    </row>
    <row r="1121" spans="1:2">
      <c r="A1121" s="1" t="str">
        <f>"2003.90.00"</f>
        <v>2003.90.00</v>
      </c>
      <c r="B1121" s="2" t="str">
        <f>"Outros"</f>
        <v>Outros</v>
      </c>
    </row>
    <row r="1122" spans="1:2">
      <c r="A1122" s="1" t="str">
        <f>"2004.10.00"</f>
        <v>2004.10.00</v>
      </c>
      <c r="B1122" s="2" t="str">
        <f>"Batatas"</f>
        <v>Batatas</v>
      </c>
    </row>
    <row r="1123" spans="1:2">
      <c r="A1123" s="1" t="str">
        <f>"2004.90.00"</f>
        <v>2004.90.00</v>
      </c>
      <c r="B1123" s="2" t="str">
        <f>"Outros produtos horticolas e mistur"</f>
        <v>Outros produtos horticolas e mistur</v>
      </c>
    </row>
    <row r="1124" spans="1:2">
      <c r="A1124" s="1" t="str">
        <f>"2005.10.00"</f>
        <v>2005.10.00</v>
      </c>
      <c r="B1124" s="2" t="str">
        <f>"Produtos horticolas homogeneizados"</f>
        <v>Produtos horticolas homogeneizados</v>
      </c>
    </row>
    <row r="1125" spans="1:2">
      <c r="A1125" s="1" t="str">
        <f>"2005.20.00"</f>
        <v>2005.20.00</v>
      </c>
      <c r="B1125" s="2" t="str">
        <f>"Batatas"</f>
        <v>Batatas</v>
      </c>
    </row>
    <row r="1126" spans="1:2">
      <c r="A1126" s="1" t="str">
        <f>"2005.40.00"</f>
        <v>2005.40.00</v>
      </c>
      <c r="B1126" s="2" t="str">
        <f>"Ervilhas (Pisum sativum)"</f>
        <v>Ervilhas (Pisum sativum)</v>
      </c>
    </row>
    <row r="1127" spans="1:2">
      <c r="A1127" s="1" t="str">
        <f>"2005.51.00"</f>
        <v>2005.51.00</v>
      </c>
      <c r="B1127" s="2" t="str">
        <f>"Feijoes em graos"</f>
        <v>Feijoes em graos</v>
      </c>
    </row>
    <row r="1128" spans="1:2">
      <c r="A1128" s="1" t="str">
        <f>"2005.59.00"</f>
        <v>2005.59.00</v>
      </c>
      <c r="B1128" s="2" t="str">
        <f>"Outros"</f>
        <v>Outros</v>
      </c>
    </row>
    <row r="1129" spans="1:2">
      <c r="A1129" s="1" t="str">
        <f>"2005.60.00"</f>
        <v>2005.60.00</v>
      </c>
      <c r="B1129" s="2" t="str">
        <f>"Aspargos"</f>
        <v>Aspargos</v>
      </c>
    </row>
    <row r="1130" spans="1:2">
      <c r="A1130" s="1" t="str">
        <f>"2005.70.00"</f>
        <v>2005.70.00</v>
      </c>
      <c r="B1130" s="2" t="str">
        <f>"AZEITONAS"</f>
        <v>AZEITONAS</v>
      </c>
    </row>
    <row r="1131" spans="1:2">
      <c r="A1131" s="1" t="str">
        <f>"2005.80.00"</f>
        <v>2005.80.00</v>
      </c>
      <c r="B1131" s="2" t="str">
        <f>"Milho doce (Zea mays var. saccharat"</f>
        <v>Milho doce (Zea mays var. saccharat</v>
      </c>
    </row>
    <row r="1132" spans="1:2">
      <c r="A1132" s="1" t="str">
        <f>"2005.91.00"</f>
        <v>2005.91.00</v>
      </c>
      <c r="B1132" s="2" t="str">
        <f>"Brotos (Rebentos*) de bambu"</f>
        <v>Brotos (Rebentos*) de bambu</v>
      </c>
    </row>
    <row r="1133" spans="1:2">
      <c r="A1133" s="1" t="str">
        <f>"2005.99.00"</f>
        <v>2005.99.00</v>
      </c>
      <c r="B1133" s="2" t="str">
        <f>"Outros"</f>
        <v>Outros</v>
      </c>
    </row>
    <row r="1134" spans="1:2">
      <c r="A1134" s="1" t="str">
        <f>"2006.00.00"</f>
        <v>2006.00.00</v>
      </c>
      <c r="B1134" s="2" t="str">
        <f>"Produtos horticolas, fruta, cascas"</f>
        <v>Produtos horticolas, fruta, cascas</v>
      </c>
    </row>
    <row r="1135" spans="1:2">
      <c r="A1135" s="1" t="str">
        <f>"2007.10.00"</f>
        <v>2007.10.00</v>
      </c>
      <c r="B1135" s="2" t="str">
        <f>"Preparacoes homogeneizadas"</f>
        <v>Preparacoes homogeneizadas</v>
      </c>
    </row>
    <row r="1136" spans="1:2">
      <c r="A1136" s="1" t="str">
        <f>"2007.91.00"</f>
        <v>2007.91.00</v>
      </c>
      <c r="B1136" s="2" t="str">
        <f>"De citros (citrinos*)"</f>
        <v>De citros (citrinos*)</v>
      </c>
    </row>
    <row r="1137" spans="1:2">
      <c r="A1137" s="1" t="str">
        <f>"2007.99.10"</f>
        <v>2007.99.10</v>
      </c>
      <c r="B1137" s="2" t="str">
        <f>"OUTROS"</f>
        <v>OUTROS</v>
      </c>
    </row>
    <row r="1138" spans="1:2">
      <c r="A1138" s="1" t="str">
        <f>"2007.99.21"</f>
        <v>2007.99.21</v>
      </c>
      <c r="B1138" s="2" t="str">
        <f>"De acai (Euterpe oleracea)"</f>
        <v>De acai (Euterpe oleracea)</v>
      </c>
    </row>
    <row r="1139" spans="1:2">
      <c r="A1139" s="1" t="str">
        <f>"2007.99.22"</f>
        <v>2007.99.22</v>
      </c>
      <c r="B1139" s="2" t="str">
        <f>"De acerola (Malpighia spp.)"</f>
        <v>De acerola (Malpighia spp.)</v>
      </c>
    </row>
    <row r="1140" spans="1:2">
      <c r="A1140" s="1" t="str">
        <f>"2007.99.23"</f>
        <v>2007.99.23</v>
      </c>
      <c r="B1140" s="2" t="str">
        <f>"De banana (Musa spp.)"</f>
        <v>De banana (Musa spp.)</v>
      </c>
    </row>
    <row r="1141" spans="1:2">
      <c r="A1141" s="1" t="str">
        <f>"2007.99.24"</f>
        <v>2007.99.24</v>
      </c>
      <c r="B1141" s="2" t="str">
        <f>"De goiaba (Psidium guajava)"</f>
        <v>De goiaba (Psidium guajava)</v>
      </c>
    </row>
    <row r="1142" spans="1:2">
      <c r="A1142" s="1" t="str">
        <f>"2007.99.25"</f>
        <v>2007.99.25</v>
      </c>
      <c r="B1142" s="2" t="str">
        <f>"De manga (Mangifera indica)"</f>
        <v>De manga (Mangifera indica)</v>
      </c>
    </row>
    <row r="1143" spans="1:2">
      <c r="A1143" s="1" t="str">
        <f>"2007.99.29"</f>
        <v>2007.99.29</v>
      </c>
      <c r="B1143" s="2" t="str">
        <f>"Outros"</f>
        <v>Outros</v>
      </c>
    </row>
    <row r="1144" spans="1:2">
      <c r="A1144" s="1" t="str">
        <f>"2007.99.90"</f>
        <v>2007.99.90</v>
      </c>
      <c r="B1144" s="2" t="str">
        <f>"Outros"</f>
        <v>Outros</v>
      </c>
    </row>
    <row r="1145" spans="1:2">
      <c r="A1145" s="1" t="str">
        <f>"2008.11.00"</f>
        <v>2008.11.00</v>
      </c>
      <c r="B1145" s="2" t="str">
        <f>"OUTROS"</f>
        <v>OUTROS</v>
      </c>
    </row>
    <row r="1146" spans="1:2">
      <c r="A1146" s="1" t="str">
        <f>"2008.19.00"</f>
        <v>2008.19.00</v>
      </c>
      <c r="B1146" s="2" t="str">
        <f>"Outros, incluindo as misturas"</f>
        <v>Outros, incluindo as misturas</v>
      </c>
    </row>
    <row r="1147" spans="1:2">
      <c r="A1147" s="1" t="str">
        <f>"2008.20.10"</f>
        <v>2008.20.10</v>
      </c>
      <c r="B1147" s="2" t="str">
        <f>"Em agua edulcorada, incluindo os xa"</f>
        <v>Em agua edulcorada, incluindo os xa</v>
      </c>
    </row>
    <row r="1148" spans="1:2">
      <c r="A1148" s="1" t="str">
        <f>"2008.20.90"</f>
        <v>2008.20.90</v>
      </c>
      <c r="B1148" s="2" t="str">
        <f>"Outros"</f>
        <v>Outros</v>
      </c>
    </row>
    <row r="1149" spans="1:2">
      <c r="A1149" s="1" t="str">
        <f>"2008.30.00"</f>
        <v>2008.30.00</v>
      </c>
      <c r="B1149" s="2" t="str">
        <f>"Citros (Citrinos*)"</f>
        <v>Citros (Citrinos*)</v>
      </c>
    </row>
    <row r="1150" spans="1:2">
      <c r="A1150" s="1" t="str">
        <f>"2008.40.10"</f>
        <v>2008.40.10</v>
      </c>
      <c r="B1150" s="2" t="str">
        <f>"Em agua edulcorada, incluindo os xa"</f>
        <v>Em agua edulcorada, incluindo os xa</v>
      </c>
    </row>
    <row r="1151" spans="1:2">
      <c r="A1151" s="1" t="str">
        <f>"2008.40.90"</f>
        <v>2008.40.90</v>
      </c>
      <c r="B1151" s="2" t="str">
        <f>"Outras"</f>
        <v>Outras</v>
      </c>
    </row>
    <row r="1152" spans="1:2">
      <c r="A1152" s="1" t="str">
        <f>"2008.50.00"</f>
        <v>2008.50.00</v>
      </c>
      <c r="B1152" s="2" t="str">
        <f>"Damascos"</f>
        <v>Damascos</v>
      </c>
    </row>
    <row r="1153" spans="1:2">
      <c r="A1153" s="1" t="str">
        <f>"2008.60.10"</f>
        <v>2008.60.10</v>
      </c>
      <c r="B1153" s="2" t="str">
        <f>"Em agua edulcorada, incluindo os xa"</f>
        <v>Em agua edulcorada, incluindo os xa</v>
      </c>
    </row>
    <row r="1154" spans="1:2">
      <c r="A1154" s="1" t="str">
        <f>"2008.60.90"</f>
        <v>2008.60.90</v>
      </c>
      <c r="B1154" s="2" t="str">
        <f>"Outras"</f>
        <v>Outras</v>
      </c>
    </row>
    <row r="1155" spans="1:2">
      <c r="A1155" s="1" t="str">
        <f>"2008.70.10"</f>
        <v>2008.70.10</v>
      </c>
      <c r="B1155" s="2" t="str">
        <f>"EM ÁGUA EDULCORADA,  XAROPES"</f>
        <v>EM ÁGUA EDULCORADA,  XAROPES</v>
      </c>
    </row>
    <row r="1156" spans="1:2">
      <c r="A1156" s="1" t="str">
        <f>"2008.70.20"</f>
        <v>2008.70.20</v>
      </c>
      <c r="B1156" s="2" t="str">
        <f>"Polpa com valor Brix igual ou super"</f>
        <v>Polpa com valor Brix igual ou super</v>
      </c>
    </row>
    <row r="1157" spans="1:2">
      <c r="A1157" s="1" t="str">
        <f>"2008.70.90"</f>
        <v>2008.70.90</v>
      </c>
      <c r="B1157" s="2" t="str">
        <f>"Outros"</f>
        <v>Outros</v>
      </c>
    </row>
    <row r="1158" spans="1:2">
      <c r="A1158" s="1" t="str">
        <f>"2008.80.00"</f>
        <v>2008.80.00</v>
      </c>
      <c r="B1158" s="2" t="str">
        <f>"Morangos"</f>
        <v>Morangos</v>
      </c>
    </row>
    <row r="1159" spans="1:2">
      <c r="A1159" s="1" t="str">
        <f>"2008.91.00"</f>
        <v>2008.91.00</v>
      </c>
      <c r="B1159" s="2" t="str">
        <f>"PALMITOS"</f>
        <v>PALMITOS</v>
      </c>
    </row>
    <row r="1160" spans="1:2">
      <c r="A1160" s="1" t="str">
        <f>"2008.93.00"</f>
        <v>2008.93.00</v>
      </c>
      <c r="B1160" s="2" t="str">
        <f>"Airelas vermelhas (Vaccinium macroc"</f>
        <v>Airelas vermelhas (Vaccinium macroc</v>
      </c>
    </row>
    <row r="1161" spans="1:2">
      <c r="A1161" s="1" t="str">
        <f>"2008.97.10"</f>
        <v>2008.97.10</v>
      </c>
      <c r="B1161" s="2" t="str">
        <f>"SALADA DE FRUTAS"</f>
        <v>SALADA DE FRUTAS</v>
      </c>
    </row>
    <row r="1162" spans="1:2">
      <c r="A1162" s="1" t="str">
        <f>"2008.97.90"</f>
        <v>2008.97.90</v>
      </c>
      <c r="B1162" s="2" t="str">
        <f>"Outras"</f>
        <v>Outras</v>
      </c>
    </row>
    <row r="1163" spans="1:2">
      <c r="A1163" s="1" t="str">
        <f>"2008.99.00"</f>
        <v>2008.99.00</v>
      </c>
      <c r="B1163" s="2" t="str">
        <f>"Outras"</f>
        <v>Outras</v>
      </c>
    </row>
    <row r="1164" spans="1:2">
      <c r="A1164" s="1" t="str">
        <f>"2009.11.00"</f>
        <v>2009.11.00</v>
      </c>
      <c r="B1164" s="2" t="str">
        <f>"Congelado"</f>
        <v>Congelado</v>
      </c>
    </row>
    <row r="1165" spans="1:2">
      <c r="A1165" s="1" t="str">
        <f>"2009.12.00"</f>
        <v>2009.12.00</v>
      </c>
      <c r="B1165" s="2" t="str">
        <f>"Nao congelado, com valor Brix nao s"</f>
        <v>Nao congelado, com valor Brix nao s</v>
      </c>
    </row>
    <row r="1166" spans="1:2">
      <c r="A1166" s="1" t="str">
        <f>"2009.19.00"</f>
        <v>2009.19.00</v>
      </c>
      <c r="B1166" s="2" t="str">
        <f>"Outros"</f>
        <v>Outros</v>
      </c>
    </row>
    <row r="1167" spans="1:2">
      <c r="A1167" s="1" t="str">
        <f>"2009.21.00"</f>
        <v>2009.21.00</v>
      </c>
      <c r="B1167" s="2" t="str">
        <f>"Com valor Brix nao superior a 20"</f>
        <v>Com valor Brix nao superior a 20</v>
      </c>
    </row>
    <row r="1168" spans="1:2">
      <c r="A1168" s="1" t="str">
        <f>"2009.29.00"</f>
        <v>2009.29.00</v>
      </c>
      <c r="B1168" s="2" t="str">
        <f>"Outros"</f>
        <v>Outros</v>
      </c>
    </row>
    <row r="1169" spans="1:2">
      <c r="A1169" s="1" t="str">
        <f>"2009.31.00"</f>
        <v>2009.31.00</v>
      </c>
      <c r="B1169" s="2" t="str">
        <f>"Com valor Brix nao superior a 20"</f>
        <v>Com valor Brix nao superior a 20</v>
      </c>
    </row>
    <row r="1170" spans="1:2">
      <c r="A1170" s="1" t="str">
        <f>"2009.39.00"</f>
        <v>2009.39.00</v>
      </c>
      <c r="B1170" s="2" t="str">
        <f>"Outros"</f>
        <v>Outros</v>
      </c>
    </row>
    <row r="1171" spans="1:2">
      <c r="A1171" s="1" t="str">
        <f>"2009.41.00"</f>
        <v>2009.41.00</v>
      </c>
      <c r="B1171" s="2" t="str">
        <f>"Com valor Brix nao superior a 20"</f>
        <v>Com valor Brix nao superior a 20</v>
      </c>
    </row>
    <row r="1172" spans="1:2">
      <c r="A1172" s="1" t="str">
        <f>"2009.49.00"</f>
        <v>2009.49.00</v>
      </c>
      <c r="B1172" s="2" t="str">
        <f>"Outros"</f>
        <v>Outros</v>
      </c>
    </row>
    <row r="1173" spans="1:2">
      <c r="A1173" s="1" t="str">
        <f>"2009.50.00"</f>
        <v>2009.50.00</v>
      </c>
      <c r="B1173" s="2" t="str">
        <f>"Suco (sumo) de tomate"</f>
        <v>Suco (sumo) de tomate</v>
      </c>
    </row>
    <row r="1174" spans="1:2">
      <c r="A1174" s="1" t="str">
        <f>"2009.61.00"</f>
        <v>2009.61.00</v>
      </c>
      <c r="B1174" s="2" t="str">
        <f>"COM VALOR BRIX NÃO SUPERIOR A 30"</f>
        <v>COM VALOR BRIX NÃO SUPERIOR A 30</v>
      </c>
    </row>
    <row r="1175" spans="1:2">
      <c r="A1175" s="1" t="str">
        <f>"2009.69.00"</f>
        <v>2009.69.00</v>
      </c>
      <c r="B1175" s="2" t="str">
        <f>"Outros"</f>
        <v>Outros</v>
      </c>
    </row>
    <row r="1176" spans="1:2">
      <c r="A1176" s="1" t="str">
        <f>"2009.71.00"</f>
        <v>2009.71.00</v>
      </c>
      <c r="B1176" s="2" t="str">
        <f>"Com valor Brix nao superior a 20"</f>
        <v>Com valor Brix nao superior a 20</v>
      </c>
    </row>
    <row r="1177" spans="1:2">
      <c r="A1177" s="1" t="str">
        <f>"2009.79.00"</f>
        <v>2009.79.00</v>
      </c>
      <c r="B1177" s="2" t="str">
        <f>"Outros"</f>
        <v>Outros</v>
      </c>
    </row>
    <row r="1178" spans="1:2">
      <c r="A1178" s="1" t="str">
        <f>"2009.81.00"</f>
        <v>2009.81.00</v>
      </c>
      <c r="B1178" s="2" t="str">
        <f>"Suco (sumo) de airela vermelha (Vac"</f>
        <v>Suco (sumo) de airela vermelha (Vac</v>
      </c>
    </row>
    <row r="1179" spans="1:2">
      <c r="A1179" s="1" t="str">
        <f>"2009.89.11"</f>
        <v>2009.89.11</v>
      </c>
      <c r="B1179" s="2" t="str">
        <f>"De pessego, com valor Brix igual ou"</f>
        <v>De pessego, com valor Brix igual ou</v>
      </c>
    </row>
    <row r="1180" spans="1:2">
      <c r="A1180" s="1" t="str">
        <f>"2009.89.12"</f>
        <v>2009.89.12</v>
      </c>
      <c r="B1180" s="2" t="str">
        <f>"De acerola (Malpighia spp.)"</f>
        <v>De acerola (Malpighia spp.)</v>
      </c>
    </row>
    <row r="1181" spans="1:2">
      <c r="A1181" s="1" t="str">
        <f>"2009.89.13"</f>
        <v>2009.89.13</v>
      </c>
      <c r="B1181" s="2" t="str">
        <f>"De maracuja (Passiflora edulis)"</f>
        <v>De maracuja (Passiflora edulis)</v>
      </c>
    </row>
    <row r="1182" spans="1:2">
      <c r="A1182" s="1" t="str">
        <f>"2009.89.19"</f>
        <v>2009.89.19</v>
      </c>
      <c r="B1182" s="2" t="str">
        <f>"Outros"</f>
        <v>Outros</v>
      </c>
    </row>
    <row r="1183" spans="1:2">
      <c r="A1183" s="1" t="str">
        <f>"2009.89.90"</f>
        <v>2009.89.90</v>
      </c>
      <c r="B1183" s="2" t="str">
        <f>"OUTROS"</f>
        <v>OUTROS</v>
      </c>
    </row>
    <row r="1184" spans="1:2">
      <c r="A1184" s="1" t="str">
        <f>"2009.90.00"</f>
        <v>2009.90.00</v>
      </c>
      <c r="B1184" s="2" t="str">
        <f>"Misturas de sucos (sumos)"</f>
        <v>Misturas de sucos (sumos)</v>
      </c>
    </row>
    <row r="1185" spans="1:2">
      <c r="A1185" s="1" t="str">
        <f>"2101.11.10"</f>
        <v>2101.11.10</v>
      </c>
      <c r="B1185" s="2" t="str">
        <f>"Cafe soluvel, mesmo descafeinado"</f>
        <v>Cafe soluvel, mesmo descafeinado</v>
      </c>
    </row>
    <row r="1186" spans="1:2">
      <c r="A1186" s="1" t="str">
        <f>"2101.11.90"</f>
        <v>2101.11.90</v>
      </c>
      <c r="B1186" s="2" t="str">
        <f>"Outros"</f>
        <v>Outros</v>
      </c>
    </row>
    <row r="1187" spans="1:2">
      <c r="A1187" s="1" t="str">
        <f>"2101.12.00"</f>
        <v>2101.12.00</v>
      </c>
      <c r="B1187" s="2" t="str">
        <f>"PREPARAÇ BASE EXTRATOS/BASE DE CAFÉ"</f>
        <v>PREPARAÇ BASE EXTRATOS/BASE DE CAFÉ</v>
      </c>
    </row>
    <row r="1188" spans="1:2">
      <c r="A1188" s="1" t="str">
        <f>"2101.20.10"</f>
        <v>2101.20.10</v>
      </c>
      <c r="B1188" s="2" t="str">
        <f>"De cha"</f>
        <v>De cha</v>
      </c>
    </row>
    <row r="1189" spans="1:2">
      <c r="A1189" s="1" t="str">
        <f>"2101.20.20"</f>
        <v>2101.20.20</v>
      </c>
      <c r="B1189" s="2" t="str">
        <f>"De mate"</f>
        <v>De mate</v>
      </c>
    </row>
    <row r="1190" spans="1:2">
      <c r="A1190" s="1" t="str">
        <f>"2101.30.00"</f>
        <v>2101.30.00</v>
      </c>
      <c r="B1190" s="2" t="str">
        <f>"Chicoria torrada e outros sucedaneo"</f>
        <v>Chicoria torrada e outros sucedaneo</v>
      </c>
    </row>
    <row r="1191" spans="1:2">
      <c r="A1191" s="1" t="str">
        <f>"2102.10.10"</f>
        <v>2102.10.10</v>
      </c>
      <c r="B1191" s="2" t="str">
        <f>"Saccharomyces boulardii"</f>
        <v>Saccharomyces boulardii</v>
      </c>
    </row>
    <row r="1192" spans="1:2">
      <c r="A1192" s="1" t="str">
        <f>"2102.10.90"</f>
        <v>2102.10.90</v>
      </c>
      <c r="B1192" s="2" t="str">
        <f>"Outras"</f>
        <v>Outras</v>
      </c>
    </row>
    <row r="1193" spans="1:2">
      <c r="A1193" s="1" t="str">
        <f>"2102.20.00"</f>
        <v>2102.20.00</v>
      </c>
      <c r="B1193" s="2" t="str">
        <f>"Leveduras mortas; outros microrgani"</f>
        <v>Leveduras mortas; outros microrgani</v>
      </c>
    </row>
    <row r="1194" spans="1:2">
      <c r="A1194" s="1" t="str">
        <f>"2102.30.00"</f>
        <v>2102.30.00</v>
      </c>
      <c r="B1194" s="2" t="str">
        <f>"Pos para levedar, preparados"</f>
        <v>Pos para levedar, preparados</v>
      </c>
    </row>
    <row r="1195" spans="1:2">
      <c r="A1195" s="1" t="str">
        <f>"2103.10.10"</f>
        <v>2103.10.10</v>
      </c>
      <c r="B1195" s="2" t="str">
        <f>"Em embalagens imediatas de conteudo"</f>
        <v>Em embalagens imediatas de conteudo</v>
      </c>
    </row>
    <row r="1196" spans="1:2">
      <c r="A1196" s="1" t="str">
        <f>"2103.10.90"</f>
        <v>2103.10.90</v>
      </c>
      <c r="B1196" s="2" t="str">
        <f>"Outros"</f>
        <v>Outros</v>
      </c>
    </row>
    <row r="1197" spans="1:2">
      <c r="A1197" s="1" t="str">
        <f>"2103.20.10"</f>
        <v>2103.20.10</v>
      </c>
      <c r="B1197" s="2" t="str">
        <f>"Em embalagens imediatas de conteudo"</f>
        <v>Em embalagens imediatas de conteudo</v>
      </c>
    </row>
    <row r="1198" spans="1:2">
      <c r="A1198" s="1" t="str">
        <f>"2103.20.90"</f>
        <v>2103.20.90</v>
      </c>
      <c r="B1198" s="2" t="str">
        <f>"Outros"</f>
        <v>Outros</v>
      </c>
    </row>
    <row r="1199" spans="1:2">
      <c r="A1199" s="1" t="str">
        <f>"2103.30.10"</f>
        <v>2103.30.10</v>
      </c>
      <c r="B1199" s="2" t="str">
        <f>"Farinha de mostarda"</f>
        <v>Farinha de mostarda</v>
      </c>
    </row>
    <row r="1200" spans="1:2">
      <c r="A1200" s="1" t="str">
        <f>"2103.30.21"</f>
        <v>2103.30.21</v>
      </c>
      <c r="B1200" s="2" t="str">
        <f>"Em embalagens imediatas de conteudo"</f>
        <v>Em embalagens imediatas de conteudo</v>
      </c>
    </row>
    <row r="1201" spans="1:2">
      <c r="A1201" s="1" t="str">
        <f>"2103.30.29"</f>
        <v>2103.30.29</v>
      </c>
      <c r="B1201" s="2" t="str">
        <f>"Outras"</f>
        <v>Outras</v>
      </c>
    </row>
    <row r="1202" spans="1:2">
      <c r="A1202" s="1" t="str">
        <f>"2103.90.11"</f>
        <v>2103.90.11</v>
      </c>
      <c r="B1202" s="2" t="str">
        <f>"EM EMBALAG C/ CONT INFER/IGUAL 1KG"</f>
        <v>EM EMBALAG C/ CONT INFER/IGUAL 1KG</v>
      </c>
    </row>
    <row r="1203" spans="1:2">
      <c r="A1203" s="1" t="str">
        <f>"2103.90.19"</f>
        <v>2103.90.19</v>
      </c>
      <c r="B1203" s="2" t="str">
        <f>"Outra"</f>
        <v>Outra</v>
      </c>
    </row>
    <row r="1204" spans="1:2">
      <c r="A1204" s="1" t="str">
        <f>"2103.90.21"</f>
        <v>2103.90.21</v>
      </c>
      <c r="B1204" s="2" t="str">
        <f>"EM EMBALAG C/ CONTEU IGUA/INFER 1KG"</f>
        <v>EM EMBALAG C/ CONTEU IGUA/INFER 1KG</v>
      </c>
    </row>
    <row r="1205" spans="1:2">
      <c r="A1205" s="1" t="str">
        <f>"2103.90.29"</f>
        <v>2103.90.29</v>
      </c>
      <c r="B1205" s="2" t="str">
        <f>"Outros"</f>
        <v>Outros</v>
      </c>
    </row>
    <row r="1206" spans="1:2">
      <c r="A1206" s="1" t="str">
        <f>"2103.90.91"</f>
        <v>2103.90.91</v>
      </c>
      <c r="B1206" s="2" t="str">
        <f>"Em embalagens imediatas de conteudo"</f>
        <v>Em embalagens imediatas de conteudo</v>
      </c>
    </row>
    <row r="1207" spans="1:2">
      <c r="A1207" s="1" t="str">
        <f>"2103.90.99"</f>
        <v>2103.90.99</v>
      </c>
      <c r="B1207" s="2" t="str">
        <f>"Outros"</f>
        <v>Outros</v>
      </c>
    </row>
    <row r="1208" spans="1:2">
      <c r="A1208" s="1" t="str">
        <f>"2104.10.11"</f>
        <v>2104.10.11</v>
      </c>
      <c r="B1208" s="2" t="str">
        <f>"Em embalagens imediatas de conteudo"</f>
        <v>Em embalagens imediatas de conteudo</v>
      </c>
    </row>
    <row r="1209" spans="1:2">
      <c r="A1209" s="1" t="str">
        <f>"2104.10.19"</f>
        <v>2104.10.19</v>
      </c>
      <c r="B1209" s="2" t="str">
        <f>"Outras"</f>
        <v>Outras</v>
      </c>
    </row>
    <row r="1210" spans="1:2">
      <c r="A1210" s="1" t="str">
        <f>"2104.10.21"</f>
        <v>2104.10.21</v>
      </c>
      <c r="B1210" s="2" t="str">
        <f>"Em embalagens imediatas de conteudo"</f>
        <v>Em embalagens imediatas de conteudo</v>
      </c>
    </row>
    <row r="1211" spans="1:2">
      <c r="A1211" s="1" t="str">
        <f>"2104.10.29"</f>
        <v>2104.10.29</v>
      </c>
      <c r="B1211" s="2" t="str">
        <f>"Outros"</f>
        <v>Outros</v>
      </c>
    </row>
    <row r="1212" spans="1:2">
      <c r="A1212" s="1" t="str">
        <f>"2104.20.00"</f>
        <v>2104.20.00</v>
      </c>
      <c r="B1212" s="2" t="str">
        <f>"Preparacoes alimenticias compostas"</f>
        <v>Preparacoes alimenticias compostas</v>
      </c>
    </row>
    <row r="1213" spans="1:2">
      <c r="A1213" s="1" t="str">
        <f>"2105.00.10"</f>
        <v>2105.00.10</v>
      </c>
      <c r="B1213" s="2" t="str">
        <f>"EMBALAG IMEDIATA CONT INF IGUAL 2KG"</f>
        <v>EMBALAG IMEDIATA CONT INF IGUAL 2KG</v>
      </c>
    </row>
    <row r="1214" spans="1:2">
      <c r="A1214" s="1" t="str">
        <f>"2105.00.90"</f>
        <v>2105.00.90</v>
      </c>
      <c r="B1214" s="2" t="str">
        <f>"OUTROS"</f>
        <v>OUTROS</v>
      </c>
    </row>
    <row r="1215" spans="1:2">
      <c r="A1215" s="1" t="str">
        <f>"2106.10.00"</f>
        <v>2106.10.00</v>
      </c>
      <c r="B1215" s="2" t="str">
        <f>"Concentrados de proteinas e substan"</f>
        <v>Concentrados de proteinas e substan</v>
      </c>
    </row>
    <row r="1216" spans="1:2">
      <c r="A1216" s="1" t="str">
        <f>"2106.90.10"</f>
        <v>2106.90.10</v>
      </c>
      <c r="B1216" s="2" t="str">
        <f>"PREPARAÇ TIPOS UTILIZ ELAB. BEBIDAS"</f>
        <v>PREPARAÇ TIPOS UTILIZ ELAB. BEBIDAS</v>
      </c>
    </row>
    <row r="1217" spans="1:2">
      <c r="A1217" s="1" t="str">
        <f>"2106.90.21"</f>
        <v>2106.90.21</v>
      </c>
      <c r="B1217" s="2" t="str">
        <f>"outros"</f>
        <v>outros</v>
      </c>
    </row>
    <row r="1218" spans="1:2">
      <c r="A1218" s="1" t="str">
        <f>"2106.90.29"</f>
        <v>2106.90.29</v>
      </c>
      <c r="B1218" s="2" t="str">
        <f>"GELATINA"</f>
        <v>GELATINA</v>
      </c>
    </row>
    <row r="1219" spans="1:2">
      <c r="A1219" s="1" t="str">
        <f>"2106.90.30"</f>
        <v>2106.90.30</v>
      </c>
      <c r="B1219" s="2" t="str">
        <f>"Complementos alimentares"</f>
        <v>Complementos alimentares</v>
      </c>
    </row>
    <row r="1220" spans="1:2">
      <c r="A1220" s="1" t="str">
        <f>"2106.90.40"</f>
        <v>2106.90.40</v>
      </c>
      <c r="B1220" s="2" t="str">
        <f>"Misturas a base de ascorbato de sod"</f>
        <v>Misturas a base de ascorbato de sod</v>
      </c>
    </row>
    <row r="1221" spans="1:2">
      <c r="A1221" s="1" t="str">
        <f>"2106.90.50"</f>
        <v>2106.90.50</v>
      </c>
      <c r="B1221" s="2" t="str">
        <f>"Gomas de mascar, sem acucar"</f>
        <v>Gomas de mascar, sem acucar</v>
      </c>
    </row>
    <row r="1222" spans="1:2">
      <c r="A1222" s="1" t="str">
        <f>"2106.90.60"</f>
        <v>2106.90.60</v>
      </c>
      <c r="B1222" s="2" t="str">
        <f>"Caramelos, confeitos, pastilhas e p"</f>
        <v>Caramelos, confeitos, pastilhas e p</v>
      </c>
    </row>
    <row r="1223" spans="1:2">
      <c r="A1223" s="1" t="str">
        <f>"2106.90.90"</f>
        <v>2106.90.90</v>
      </c>
      <c r="B1223" s="2" t="str">
        <f>"REFEICOES"</f>
        <v>REFEICOES</v>
      </c>
    </row>
    <row r="1224" spans="1:2">
      <c r="A1224" s="1" t="str">
        <f>"2201.10.00"</f>
        <v>2201.10.00</v>
      </c>
      <c r="B1224" s="2" t="str">
        <f>"ÁGUAS MINERAIS E ÁGUAS GASEIFICADAS"</f>
        <v>ÁGUAS MINERAIS E ÁGUAS GASEIFICADAS</v>
      </c>
    </row>
    <row r="1225" spans="1:2">
      <c r="A1225" s="1" t="str">
        <f>"2201.90.00"</f>
        <v>2201.90.00</v>
      </c>
      <c r="B1225" s="2" t="str">
        <f>"Outros"</f>
        <v>Outros</v>
      </c>
    </row>
    <row r="1226" spans="1:2">
      <c r="A1226" s="1" t="str">
        <f>"2202.10.00"</f>
        <v>2202.10.00</v>
      </c>
      <c r="B1226" s="2" t="str">
        <f>"ÁGUAS, GASF, MINER, EDULCOR, AROMAT"</f>
        <v>ÁGUAS, GASF, MINER, EDULCOR, AROMAT</v>
      </c>
    </row>
    <row r="1227" spans="1:2">
      <c r="A1227" s="1" t="str">
        <f>"2202.91.00"</f>
        <v>2202.91.00</v>
      </c>
      <c r="B1227" s="2" t="str">
        <f>"Cerveja sem alcool"</f>
        <v>Cerveja sem alcool</v>
      </c>
    </row>
    <row r="1228" spans="1:2">
      <c r="A1228" s="1" t="str">
        <f>"2202.99.00"</f>
        <v>2202.99.00</v>
      </c>
      <c r="B1228" s="2" t="str">
        <f>"Outras"</f>
        <v>Outras</v>
      </c>
    </row>
    <row r="1229" spans="1:2">
      <c r="A1229" s="1" t="str">
        <f>"2203.00.00"</f>
        <v>2203.00.00</v>
      </c>
      <c r="B1229" s="2" t="str">
        <f>"CERVEJAS DE MALTE."</f>
        <v>CERVEJAS DE MALTE.</v>
      </c>
    </row>
    <row r="1230" spans="1:2">
      <c r="A1230" s="1" t="str">
        <f>"2204.10.10"</f>
        <v>2204.10.10</v>
      </c>
      <c r="B1230" s="2" t="str">
        <f>"TIPO CHAMPANHA (CHAMPAGNE)"</f>
        <v>TIPO CHAMPANHA (CHAMPAGNE)</v>
      </c>
    </row>
    <row r="1231" spans="1:2">
      <c r="A1231" s="1" t="str">
        <f>"2204.10.90"</f>
        <v>2204.10.90</v>
      </c>
      <c r="B1231" s="2" t="str">
        <f>"OUTROS"</f>
        <v>OUTROS</v>
      </c>
    </row>
    <row r="1232" spans="1:2">
      <c r="A1232" s="1" t="str">
        <f>"2204.21.00"</f>
        <v>2204.21.00</v>
      </c>
      <c r="B1232" s="2" t="str">
        <f>"RECIPIENTES DE CAPAC NÃO SUPER 2L"</f>
        <v>RECIPIENTES DE CAPAC NÃO SUPER 2L</v>
      </c>
    </row>
    <row r="1233" spans="1:2">
      <c r="A1233" s="1" t="str">
        <f>"2204.22.11"</f>
        <v>2204.22.11</v>
      </c>
      <c r="B1233" s="2" t="str">
        <f>"Em recipientes de capacidade nao su"</f>
        <v>Em recipientes de capacidade nao su</v>
      </c>
    </row>
    <row r="1234" spans="1:2">
      <c r="A1234" s="1" t="str">
        <f>"2204.22.19"</f>
        <v>2204.22.19</v>
      </c>
      <c r="B1234" s="2" t="str">
        <f>"Outros"</f>
        <v>Outros</v>
      </c>
    </row>
    <row r="1235" spans="1:2">
      <c r="A1235" s="1" t="str">
        <f>"2204.22.20"</f>
        <v>2204.22.20</v>
      </c>
      <c r="B1235" s="2" t="str">
        <f>"Mostos"</f>
        <v>Mostos</v>
      </c>
    </row>
    <row r="1236" spans="1:2">
      <c r="A1236" s="1" t="str">
        <f>"2204.29.10"</f>
        <v>2204.29.10</v>
      </c>
      <c r="B1236" s="2" t="str">
        <f>"Vinhos"</f>
        <v>Vinhos</v>
      </c>
    </row>
    <row r="1237" spans="1:2">
      <c r="A1237" s="1" t="str">
        <f>"2204.29.20"</f>
        <v>2204.29.20</v>
      </c>
      <c r="B1237" s="2" t="str">
        <f>"Mostos"</f>
        <v>Mostos</v>
      </c>
    </row>
    <row r="1238" spans="1:2">
      <c r="A1238" s="1" t="str">
        <f>"2204.30.00"</f>
        <v>2204.30.00</v>
      </c>
      <c r="B1238" s="2" t="str">
        <f>"Outros mostos de uvas"</f>
        <v>Outros mostos de uvas</v>
      </c>
    </row>
    <row r="1239" spans="1:2">
      <c r="A1239" s="1" t="str">
        <f>"2205.10.00"</f>
        <v>2205.10.00</v>
      </c>
      <c r="B1239" s="2" t="str">
        <f>"Em recipientes de capacidade nao su"</f>
        <v>Em recipientes de capacidade nao su</v>
      </c>
    </row>
    <row r="1240" spans="1:2">
      <c r="A1240" s="1" t="str">
        <f>"2205.90.00"</f>
        <v>2205.90.00</v>
      </c>
      <c r="B1240" s="2" t="str">
        <f>"Outros"</f>
        <v>Outros</v>
      </c>
    </row>
    <row r="1241" spans="1:2">
      <c r="A1241" s="1" t="str">
        <f>"2206.00.10"</f>
        <v>2206.00.10</v>
      </c>
      <c r="B1241" s="2" t="str">
        <f>"Sidra"</f>
        <v>Sidra</v>
      </c>
    </row>
    <row r="1242" spans="1:2">
      <c r="A1242" s="1" t="str">
        <f>"2206.00.90"</f>
        <v>2206.00.90</v>
      </c>
      <c r="B1242" s="2" t="str">
        <f>"Outras"</f>
        <v>Outras</v>
      </c>
    </row>
    <row r="1243" spans="1:2">
      <c r="A1243" s="1" t="str">
        <f>"2207.10.00"</f>
        <v>2207.10.00</v>
      </c>
      <c r="B1243" s="2" t="str">
        <f>"INATIVA - ALCOOL ETILICO"</f>
        <v>INATIVA - ALCOOL ETILICO</v>
      </c>
    </row>
    <row r="1244" spans="1:2">
      <c r="A1244" s="1" t="str">
        <f>"2207.10.10"</f>
        <v>2207.10.10</v>
      </c>
      <c r="B1244" s="2" t="str">
        <f>"C/ TEOR ÁGUA IGUAL/INFER 1% VOL"</f>
        <v>C/ TEOR ÁGUA IGUAL/INFER 1% VOL</v>
      </c>
    </row>
    <row r="1245" spans="1:2">
      <c r="A1245" s="1" t="str">
        <f>"2207.10.90"</f>
        <v>2207.10.90</v>
      </c>
      <c r="B1245" s="2" t="str">
        <f>"OUTROS"</f>
        <v>OUTROS</v>
      </c>
    </row>
    <row r="1246" spans="1:2">
      <c r="A1246" s="1" t="str">
        <f>"2207.20.11"</f>
        <v>2207.20.11</v>
      </c>
      <c r="B1246" s="2" t="str">
        <f>"Com um teor de agua inferior ou igu"</f>
        <v>Com um teor de agua inferior ou igu</v>
      </c>
    </row>
    <row r="1247" spans="1:2">
      <c r="A1247" s="1" t="str">
        <f>"2207.20.19"</f>
        <v>2207.20.19</v>
      </c>
      <c r="B1247" s="2" t="str">
        <f>"Outros"</f>
        <v>Outros</v>
      </c>
    </row>
    <row r="1248" spans="1:2">
      <c r="A1248" s="1" t="str">
        <f>"2207.20.20"</f>
        <v>2207.20.20</v>
      </c>
      <c r="B1248" s="2" t="str">
        <f>"Aguardente"</f>
        <v>Aguardente</v>
      </c>
    </row>
    <row r="1249" spans="1:2">
      <c r="A1249" s="1" t="str">
        <f>"2208.20.00"</f>
        <v>2208.20.00</v>
      </c>
      <c r="B1249" s="2" t="str">
        <f>"Aguardentes de vinho ou de bagaco d"</f>
        <v>Aguardentes de vinho ou de bagaco d</v>
      </c>
    </row>
    <row r="1250" spans="1:2">
      <c r="A1250" s="1" t="str">
        <f>"2208.30.10"</f>
        <v>2208.30.10</v>
      </c>
      <c r="B1250" s="2" t="str">
        <f>"Com um teor alcoolico, em volume, s"</f>
        <v>Com um teor alcoolico, em volume, s</v>
      </c>
    </row>
    <row r="1251" spans="1:2">
      <c r="A1251" s="1" t="str">
        <f>"2208.30.20"</f>
        <v>2208.30.20</v>
      </c>
      <c r="B1251" s="2" t="str">
        <f>"Em embalagens de capacidade inferio"</f>
        <v>Em embalagens de capacidade inferio</v>
      </c>
    </row>
    <row r="1252" spans="1:2">
      <c r="A1252" s="1" t="str">
        <f>"2208.30.90"</f>
        <v>2208.30.90</v>
      </c>
      <c r="B1252" s="2" t="str">
        <f>"Outros"</f>
        <v>Outros</v>
      </c>
    </row>
    <row r="1253" spans="1:2">
      <c r="A1253" s="1" t="str">
        <f>"2208.40.00"</f>
        <v>2208.40.00</v>
      </c>
      <c r="B1253" s="2" t="str">
        <f>"Rum e outras aguardentes provenient"</f>
        <v>Rum e outras aguardentes provenient</v>
      </c>
    </row>
    <row r="1254" spans="1:2">
      <c r="A1254" s="1" t="str">
        <f>"2208.50.00"</f>
        <v>2208.50.00</v>
      </c>
      <c r="B1254" s="2" t="str">
        <f>"Gim e genebra"</f>
        <v>Gim e genebra</v>
      </c>
    </row>
    <row r="1255" spans="1:2">
      <c r="A1255" s="1" t="str">
        <f>"2208.60.00"</f>
        <v>2208.60.00</v>
      </c>
      <c r="B1255" s="2" t="str">
        <f>"Vodca"</f>
        <v>Vodca</v>
      </c>
    </row>
    <row r="1256" spans="1:2">
      <c r="A1256" s="1" t="str">
        <f>"2208.70.00"</f>
        <v>2208.70.00</v>
      </c>
      <c r="B1256" s="2" t="str">
        <f>"Licores"</f>
        <v>Licores</v>
      </c>
    </row>
    <row r="1257" spans="1:2">
      <c r="A1257" s="1" t="str">
        <f>"2208.90.00"</f>
        <v>2208.90.00</v>
      </c>
      <c r="B1257" s="2" t="str">
        <f>"Outros"</f>
        <v>Outros</v>
      </c>
    </row>
    <row r="1258" spans="1:2">
      <c r="A1258" s="1" t="str">
        <f>"2209.00.00"</f>
        <v>2209.00.00</v>
      </c>
      <c r="B1258" s="2" t="str">
        <f>"Vinagres e seus sucedaneos obtidos"</f>
        <v>Vinagres e seus sucedaneos obtidos</v>
      </c>
    </row>
    <row r="1259" spans="1:2">
      <c r="A1259" s="1" t="str">
        <f>"2301.10.10"</f>
        <v>2301.10.10</v>
      </c>
      <c r="B1259" s="2" t="str">
        <f>"De carne"</f>
        <v>De carne</v>
      </c>
    </row>
    <row r="1260" spans="1:2">
      <c r="A1260" s="1" t="str">
        <f>"2301.10.90"</f>
        <v>2301.10.90</v>
      </c>
      <c r="B1260" s="2" t="str">
        <f>"Outros"</f>
        <v>Outros</v>
      </c>
    </row>
    <row r="1261" spans="1:2">
      <c r="A1261" s="1" t="str">
        <f>"2301.20.10"</f>
        <v>2301.20.10</v>
      </c>
      <c r="B1261" s="2" t="str">
        <f>"De peixes"</f>
        <v>De peixes</v>
      </c>
    </row>
    <row r="1262" spans="1:2">
      <c r="A1262" s="1" t="str">
        <f>"2301.20.90"</f>
        <v>2301.20.90</v>
      </c>
      <c r="B1262" s="2" t="str">
        <f>"Outros"</f>
        <v>Outros</v>
      </c>
    </row>
    <row r="1263" spans="1:2">
      <c r="A1263" s="1" t="str">
        <f>"2302.10.00"</f>
        <v>2302.10.00</v>
      </c>
      <c r="B1263" s="2" t="str">
        <f>"De milho"</f>
        <v>De milho</v>
      </c>
    </row>
    <row r="1264" spans="1:2">
      <c r="A1264" s="1" t="str">
        <f>"2302.30.10"</f>
        <v>2302.30.10</v>
      </c>
      <c r="B1264" s="2" t="str">
        <f>"Farelo"</f>
        <v>Farelo</v>
      </c>
    </row>
    <row r="1265" spans="1:2">
      <c r="A1265" s="1" t="str">
        <f>"2302.30.90"</f>
        <v>2302.30.90</v>
      </c>
      <c r="B1265" s="2" t="str">
        <f>"Outros"</f>
        <v>Outros</v>
      </c>
    </row>
    <row r="1266" spans="1:2">
      <c r="A1266" s="1" t="str">
        <f>"2302.40.00"</f>
        <v>2302.40.00</v>
      </c>
      <c r="B1266" s="2" t="str">
        <f>"De outros cereais"</f>
        <v>De outros cereais</v>
      </c>
    </row>
    <row r="1267" spans="1:2">
      <c r="A1267" s="1" t="str">
        <f>"2302.50.00"</f>
        <v>2302.50.00</v>
      </c>
      <c r="B1267" s="2" t="str">
        <f>"De leguminosas"</f>
        <v>De leguminosas</v>
      </c>
    </row>
    <row r="1268" spans="1:2">
      <c r="A1268" s="1" t="str">
        <f>"2303.10.00"</f>
        <v>2303.10.00</v>
      </c>
      <c r="B1268" s="2" t="str">
        <f>"Residuos da fabricacao do amido e r"</f>
        <v>Residuos da fabricacao do amido e r</v>
      </c>
    </row>
    <row r="1269" spans="1:2">
      <c r="A1269" s="1" t="str">
        <f>"2303.20.00"</f>
        <v>2303.20.00</v>
      </c>
      <c r="B1269" s="2" t="str">
        <f>"Polpas de beterraba, bagacos de can"</f>
        <v>Polpas de beterraba, bagacos de can</v>
      </c>
    </row>
    <row r="1270" spans="1:2">
      <c r="A1270" s="1" t="str">
        <f>"2303.30.00"</f>
        <v>2303.30.00</v>
      </c>
      <c r="B1270" s="2" t="str">
        <f>"Borras e desperdicios da industria"</f>
        <v>Borras e desperdicios da industria</v>
      </c>
    </row>
    <row r="1271" spans="1:2">
      <c r="A1271" s="1" t="str">
        <f>"2304.00.10"</f>
        <v>2304.00.10</v>
      </c>
      <c r="B1271" s="2" t="str">
        <f>"Farinhas e pellets"</f>
        <v>Farinhas e pellets</v>
      </c>
    </row>
    <row r="1272" spans="1:2">
      <c r="A1272" s="1" t="str">
        <f>"2304.00.90"</f>
        <v>2304.00.90</v>
      </c>
      <c r="B1272" s="2" t="str">
        <f>"Outros"</f>
        <v>Outros</v>
      </c>
    </row>
    <row r="1273" spans="1:2">
      <c r="A1273" s="1" t="str">
        <f>"2305.00.00"</f>
        <v>2305.00.00</v>
      </c>
      <c r="B1273" s="2" t="str">
        <f>"Tortas (Bagacos*) e outros residuos"</f>
        <v>Tortas (Bagacos*) e outros residuos</v>
      </c>
    </row>
    <row r="1274" spans="1:2">
      <c r="A1274" s="1" t="str">
        <f>"2306.10.00"</f>
        <v>2306.10.00</v>
      </c>
      <c r="B1274" s="2" t="str">
        <f>"De sementes de algodao"</f>
        <v>De sementes de algodao</v>
      </c>
    </row>
    <row r="1275" spans="1:2">
      <c r="A1275" s="1" t="str">
        <f>"2306.20.00"</f>
        <v>2306.20.00</v>
      </c>
      <c r="B1275" s="2" t="str">
        <f>"De linhaca (sementes de linho)"</f>
        <v>De linhaca (sementes de linho)</v>
      </c>
    </row>
    <row r="1276" spans="1:2">
      <c r="A1276" s="1" t="str">
        <f>"2306.30.10"</f>
        <v>2306.30.10</v>
      </c>
      <c r="B1276" s="2" t="str">
        <f>"Tortas, farinhas e pellets"</f>
        <v>Tortas, farinhas e pellets</v>
      </c>
    </row>
    <row r="1277" spans="1:2">
      <c r="A1277" s="1" t="str">
        <f>"2306.30.90"</f>
        <v>2306.30.90</v>
      </c>
      <c r="B1277" s="2" t="str">
        <f>"Outros"</f>
        <v>Outros</v>
      </c>
    </row>
    <row r="1278" spans="1:2">
      <c r="A1278" s="1" t="str">
        <f>"2306.41.00"</f>
        <v>2306.41.00</v>
      </c>
      <c r="B1278" s="2" t="str">
        <f>"Com baixo teor de acido erucico"</f>
        <v>Com baixo teor de acido erucico</v>
      </c>
    </row>
    <row r="1279" spans="1:2">
      <c r="A1279" s="1" t="str">
        <f>"2306.49.00"</f>
        <v>2306.49.00</v>
      </c>
      <c r="B1279" s="2" t="str">
        <f>"Outros"</f>
        <v>Outros</v>
      </c>
    </row>
    <row r="1280" spans="1:2">
      <c r="A1280" s="1" t="str">
        <f>"2306.50.00"</f>
        <v>2306.50.00</v>
      </c>
      <c r="B1280" s="2" t="str">
        <f>"De coco ou de copra"</f>
        <v>De coco ou de copra</v>
      </c>
    </row>
    <row r="1281" spans="1:2">
      <c r="A1281" s="1" t="str">
        <f>"2306.60.00"</f>
        <v>2306.60.00</v>
      </c>
      <c r="B1281" s="2" t="str">
        <f>"De nozes ou de amendoas de palma (p"</f>
        <v>De nozes ou de amendoas de palma (p</v>
      </c>
    </row>
    <row r="1282" spans="1:2">
      <c r="A1282" s="1" t="str">
        <f>"2306.90.10"</f>
        <v>2306.90.10</v>
      </c>
      <c r="B1282" s="2" t="str">
        <f>"De germe de milho"</f>
        <v>De germe de milho</v>
      </c>
    </row>
    <row r="1283" spans="1:2">
      <c r="A1283" s="1" t="str">
        <f>"2306.90.90"</f>
        <v>2306.90.90</v>
      </c>
      <c r="B1283" s="2" t="str">
        <f>"Outros"</f>
        <v>Outros</v>
      </c>
    </row>
    <row r="1284" spans="1:2">
      <c r="A1284" s="1" t="str">
        <f>"2307.00.00"</f>
        <v>2307.00.00</v>
      </c>
      <c r="B1284" s="2" t="str">
        <f>"Borras de vinho; tartaro em bruto."</f>
        <v>Borras de vinho; tartaro em bruto.</v>
      </c>
    </row>
    <row r="1285" spans="1:2">
      <c r="A1285" s="1" t="str">
        <f>"2308.00.00"</f>
        <v>2308.00.00</v>
      </c>
      <c r="B1285" s="2" t="str">
        <f>"Materias vegetais e desperdicios ve"</f>
        <v>Materias vegetais e desperdicios ve</v>
      </c>
    </row>
    <row r="1286" spans="1:2">
      <c r="A1286" s="1" t="str">
        <f>"2309.10.00"</f>
        <v>2309.10.00</v>
      </c>
      <c r="B1286" s="2" t="str">
        <f>"Alimentos para caes ou gatos, acond"</f>
        <v>Alimentos para caes ou gatos, acond</v>
      </c>
    </row>
    <row r="1287" spans="1:2">
      <c r="A1287" s="1" t="str">
        <f>"2309.90.10"</f>
        <v>2309.90.10</v>
      </c>
      <c r="B1287" s="2" t="str">
        <f>"Preparacoes destinadas a fornecer a"</f>
        <v>Preparacoes destinadas a fornecer a</v>
      </c>
    </row>
    <row r="1288" spans="1:2">
      <c r="A1288" s="1" t="str">
        <f>"2309.90.20"</f>
        <v>2309.90.20</v>
      </c>
      <c r="B1288" s="2" t="str">
        <f>"Preparacoes a base de sal iodado, f"</f>
        <v>Preparacoes a base de sal iodado, f</v>
      </c>
    </row>
    <row r="1289" spans="1:2">
      <c r="A1289" s="1" t="str">
        <f>"2309.90.30"</f>
        <v>2309.90.30</v>
      </c>
      <c r="B1289" s="2" t="str">
        <f>"Bolachas e biscoitos"</f>
        <v>Bolachas e biscoitos</v>
      </c>
    </row>
    <row r="1290" spans="1:2">
      <c r="A1290" s="1" t="str">
        <f>"2309.90.40"</f>
        <v>2309.90.40</v>
      </c>
      <c r="B1290" s="2" t="str">
        <f>"Preparacoes que contenham diclazuri"</f>
        <v>Preparacoes que contenham diclazuri</v>
      </c>
    </row>
    <row r="1291" spans="1:2">
      <c r="A1291" s="1" t="str">
        <f>"2309.90.50"</f>
        <v>2309.90.50</v>
      </c>
      <c r="B1291" s="2" t="str">
        <f>"Preparacoes com um teor de cloridra"</f>
        <v>Preparacoes com um teor de cloridra</v>
      </c>
    </row>
    <row r="1292" spans="1:2">
      <c r="A1292" s="1" t="str">
        <f>"2309.90.60"</f>
        <v>2309.90.60</v>
      </c>
      <c r="B1292" s="2" t="str">
        <f>"Preparacoes que contenham xilanase"</f>
        <v>Preparacoes que contenham xilanase</v>
      </c>
    </row>
    <row r="1293" spans="1:2">
      <c r="A1293" s="1" t="str">
        <f>"2309.90.90"</f>
        <v>2309.90.90</v>
      </c>
      <c r="B1293" s="2" t="str">
        <f>"Outras"</f>
        <v>Outras</v>
      </c>
    </row>
    <row r="1294" spans="1:2">
      <c r="A1294" s="1" t="str">
        <f>"2401.10.10"</f>
        <v>2401.10.10</v>
      </c>
      <c r="B1294" s="2" t="str">
        <f>"Em folhas, sem secar nem fermentar"</f>
        <v>Em folhas, sem secar nem fermentar</v>
      </c>
    </row>
    <row r="1295" spans="1:2">
      <c r="A1295" s="1" t="str">
        <f>"2401.10.20"</f>
        <v>2401.10.20</v>
      </c>
      <c r="B1295" s="2" t="str">
        <f>"Em folhas secas ou fermentadas tipo"</f>
        <v>Em folhas secas ou fermentadas tipo</v>
      </c>
    </row>
    <row r="1296" spans="1:2">
      <c r="A1296" s="1" t="str">
        <f>"2401.10.30"</f>
        <v>2401.10.30</v>
      </c>
      <c r="B1296" s="2" t="str">
        <f>"Em folhas secas em secador de ar qu"</f>
        <v>Em folhas secas em secador de ar qu</v>
      </c>
    </row>
    <row r="1297" spans="1:2">
      <c r="A1297" s="1" t="str">
        <f>"2401.10.40"</f>
        <v>2401.10.40</v>
      </c>
      <c r="B1297" s="2" t="str">
        <f>"Em folhas secas, com um conteudo de"</f>
        <v>Em folhas secas, com um conteudo de</v>
      </c>
    </row>
    <row r="1298" spans="1:2">
      <c r="A1298" s="1" t="str">
        <f>"2401.10.90"</f>
        <v>2401.10.90</v>
      </c>
      <c r="B1298" s="2" t="str">
        <f>"Outros"</f>
        <v>Outros</v>
      </c>
    </row>
    <row r="1299" spans="1:2">
      <c r="A1299" s="1" t="str">
        <f>"2401.20.10"</f>
        <v>2401.20.10</v>
      </c>
      <c r="B1299" s="2" t="str">
        <f>"Em folhas, sem secar nem fermentar"</f>
        <v>Em folhas, sem secar nem fermentar</v>
      </c>
    </row>
    <row r="1300" spans="1:2">
      <c r="A1300" s="1" t="str">
        <f>"2401.20.20"</f>
        <v>2401.20.20</v>
      </c>
      <c r="B1300" s="2" t="str">
        <f>"Em folhas secas ou fermentadas tipo"</f>
        <v>Em folhas secas ou fermentadas tipo</v>
      </c>
    </row>
    <row r="1301" spans="1:2">
      <c r="A1301" s="1" t="str">
        <f>"2401.20.30"</f>
        <v>2401.20.30</v>
      </c>
      <c r="B1301" s="2" t="str">
        <f>"Em folhas secas em secador de ar qu"</f>
        <v>Em folhas secas em secador de ar qu</v>
      </c>
    </row>
    <row r="1302" spans="1:2">
      <c r="A1302" s="1" t="str">
        <f>"2401.20.40"</f>
        <v>2401.20.40</v>
      </c>
      <c r="B1302" s="2" t="str">
        <f>"Em folhas secas (light air cured),"</f>
        <v>Em folhas secas (light air cured),</v>
      </c>
    </row>
    <row r="1303" spans="1:2">
      <c r="A1303" s="1" t="str">
        <f>"2401.20.90"</f>
        <v>2401.20.90</v>
      </c>
      <c r="B1303" s="2" t="str">
        <f>"Outros"</f>
        <v>Outros</v>
      </c>
    </row>
    <row r="1304" spans="1:2">
      <c r="A1304" s="1" t="str">
        <f>"2401.30.00"</f>
        <v>2401.30.00</v>
      </c>
      <c r="B1304" s="2" t="str">
        <f>"Desperdicios de tabaco"</f>
        <v>Desperdicios de tabaco</v>
      </c>
    </row>
    <row r="1305" spans="1:2">
      <c r="A1305" s="1" t="str">
        <f>"2402.10.00"</f>
        <v>2402.10.00</v>
      </c>
      <c r="B1305" s="2" t="str">
        <f>"Charutos e cigarrilhas, que contenh"</f>
        <v>Charutos e cigarrilhas, que contenh</v>
      </c>
    </row>
    <row r="1306" spans="1:2">
      <c r="A1306" s="1" t="str">
        <f>"2402.20.00"</f>
        <v>2402.20.00</v>
      </c>
      <c r="B1306" s="2" t="str">
        <f>"Cigarros que contenham tabaco"</f>
        <v>Cigarros que contenham tabaco</v>
      </c>
    </row>
    <row r="1307" spans="1:2">
      <c r="A1307" s="1" t="str">
        <f>"2402.90.00"</f>
        <v>2402.90.00</v>
      </c>
      <c r="B1307" s="2" t="str">
        <f>"Outros"</f>
        <v>Outros</v>
      </c>
    </row>
    <row r="1308" spans="1:2">
      <c r="A1308" s="1" t="str">
        <f>"2403.11.00"</f>
        <v>2403.11.00</v>
      </c>
      <c r="B1308" s="2" t="str">
        <f>"Tabaco para narguile (cachimbo de a"</f>
        <v>Tabaco para narguile (cachimbo de a</v>
      </c>
    </row>
    <row r="1309" spans="1:2">
      <c r="A1309" s="1" t="str">
        <f>"2403.19.00"</f>
        <v>2403.19.00</v>
      </c>
      <c r="B1309" s="2" t="str">
        <f>"Outros"</f>
        <v>Outros</v>
      </c>
    </row>
    <row r="1310" spans="1:2">
      <c r="A1310" s="1" t="str">
        <f>"2403.91.00"</f>
        <v>2403.91.00</v>
      </c>
      <c r="B1310" s="2" t="str">
        <f>"Tabaco ôhomogeneizadoö ou ôreconsti"</f>
        <v>Tabaco ôhomogeneizadoö ou ôreconsti</v>
      </c>
    </row>
    <row r="1311" spans="1:2">
      <c r="A1311" s="1" t="str">
        <f>"2403.99.10"</f>
        <v>2403.99.10</v>
      </c>
      <c r="B1311" s="2" t="str">
        <f>"Extratos e molhos"</f>
        <v>Extratos e molhos</v>
      </c>
    </row>
    <row r="1312" spans="1:2">
      <c r="A1312" s="1" t="str">
        <f>"2403.99.90"</f>
        <v>2403.99.90</v>
      </c>
      <c r="B1312" s="2" t="str">
        <f>"Outros"</f>
        <v>Outros</v>
      </c>
    </row>
    <row r="1313" spans="1:2">
      <c r="A1313" s="1" t="str">
        <f>"2501.00.11"</f>
        <v>2501.00.11</v>
      </c>
      <c r="B1313" s="2" t="str">
        <f>"Sal marinho"</f>
        <v>Sal marinho</v>
      </c>
    </row>
    <row r="1314" spans="1:2">
      <c r="A1314" s="1" t="str">
        <f>"2501.00.19"</f>
        <v>2501.00.19</v>
      </c>
      <c r="B1314" s="2" t="str">
        <f>"Outros"</f>
        <v>Outros</v>
      </c>
    </row>
    <row r="1315" spans="1:2">
      <c r="A1315" s="1" t="str">
        <f>"2501.00.20"</f>
        <v>2501.00.20</v>
      </c>
      <c r="B1315" s="2" t="str">
        <f>"Sal de mesa"</f>
        <v>Sal de mesa</v>
      </c>
    </row>
    <row r="1316" spans="1:2">
      <c r="A1316" s="1" t="str">
        <f>"2501.00.90"</f>
        <v>2501.00.90</v>
      </c>
      <c r="B1316" s="2" t="str">
        <f>"Outros"</f>
        <v>Outros</v>
      </c>
    </row>
    <row r="1317" spans="1:2">
      <c r="A1317" s="1" t="str">
        <f>"2502.00.00"</f>
        <v>2502.00.00</v>
      </c>
      <c r="B1317" s="2" t="str">
        <f>"Piritas de ferro nao ustuladas."</f>
        <v>Piritas de ferro nao ustuladas.</v>
      </c>
    </row>
    <row r="1318" spans="1:2">
      <c r="A1318" s="1" t="str">
        <f>"2503.00.10"</f>
        <v>2503.00.10</v>
      </c>
      <c r="B1318" s="2" t="str">
        <f>"A granel"</f>
        <v>A granel</v>
      </c>
    </row>
    <row r="1319" spans="1:2">
      <c r="A1319" s="1" t="str">
        <f>"2503.00.90"</f>
        <v>2503.00.90</v>
      </c>
      <c r="B1319" s="2" t="str">
        <f>"Outros"</f>
        <v>Outros</v>
      </c>
    </row>
    <row r="1320" spans="1:2">
      <c r="A1320" s="1" t="str">
        <f>"2504.10.00"</f>
        <v>2504.10.00</v>
      </c>
      <c r="B1320" s="2" t="str">
        <f>"Em po ou em escamas"</f>
        <v>Em po ou em escamas</v>
      </c>
    </row>
    <row r="1321" spans="1:2">
      <c r="A1321" s="1" t="str">
        <f>"2504.90.00"</f>
        <v>2504.90.00</v>
      </c>
      <c r="B1321" s="2" t="str">
        <f>"Outra"</f>
        <v>Outra</v>
      </c>
    </row>
    <row r="1322" spans="1:2">
      <c r="A1322" s="1" t="str">
        <f>"2505.10.00"</f>
        <v>2505.10.00</v>
      </c>
      <c r="B1322" s="2" t="str">
        <f>"AREIA"</f>
        <v>AREIA</v>
      </c>
    </row>
    <row r="1323" spans="1:2">
      <c r="A1323" s="1" t="str">
        <f>"2505.90.00"</f>
        <v>2505.90.00</v>
      </c>
      <c r="B1323" s="2" t="str">
        <f>"Outras areias"</f>
        <v>Outras areias</v>
      </c>
    </row>
    <row r="1324" spans="1:2">
      <c r="A1324" s="1" t="str">
        <f>"2506.10.00"</f>
        <v>2506.10.00</v>
      </c>
      <c r="B1324" s="2" t="str">
        <f>"QUARTZO PLATE"</f>
        <v>QUARTZO PLATE</v>
      </c>
    </row>
    <row r="1325" spans="1:2">
      <c r="A1325" s="1" t="str">
        <f>"2506.20.00"</f>
        <v>2506.20.00</v>
      </c>
      <c r="B1325" s="2" t="str">
        <f>"Quartzitos"</f>
        <v>Quartzitos</v>
      </c>
    </row>
    <row r="1326" spans="1:2">
      <c r="A1326" s="1" t="str">
        <f>"2507.00.10"</f>
        <v>2507.00.10</v>
      </c>
      <c r="B1326" s="2" t="str">
        <f>"SILICATO DE ALUMINIO"</f>
        <v>SILICATO DE ALUMINIO</v>
      </c>
    </row>
    <row r="1327" spans="1:2">
      <c r="A1327" s="1" t="str">
        <f>"2507.00.90"</f>
        <v>2507.00.90</v>
      </c>
      <c r="B1327" s="2" t="str">
        <f>"Outros"</f>
        <v>Outros</v>
      </c>
    </row>
    <row r="1328" spans="1:2">
      <c r="A1328" s="1" t="str">
        <f>"2508.10.00"</f>
        <v>2508.10.00</v>
      </c>
      <c r="B1328" s="2" t="str">
        <f>"Bentonita"</f>
        <v>Bentonita</v>
      </c>
    </row>
    <row r="1329" spans="1:2">
      <c r="A1329" s="1" t="str">
        <f>"2508.30.00"</f>
        <v>2508.30.00</v>
      </c>
      <c r="B1329" s="2" t="str">
        <f>"Argilas refratarias"</f>
        <v>Argilas refratarias</v>
      </c>
    </row>
    <row r="1330" spans="1:2">
      <c r="A1330" s="1" t="str">
        <f>"2508.40.10"</f>
        <v>2508.40.10</v>
      </c>
      <c r="B1330" s="2" t="str">
        <f>"Plasticas, com um teor de Fe2O3, em"</f>
        <v>Plasticas, com um teor de Fe2O3, em</v>
      </c>
    </row>
    <row r="1331" spans="1:2">
      <c r="A1331" s="1" t="str">
        <f>"2508.40.90"</f>
        <v>2508.40.90</v>
      </c>
      <c r="B1331" s="2" t="str">
        <f>"OUTRAS"</f>
        <v>OUTRAS</v>
      </c>
    </row>
    <row r="1332" spans="1:2">
      <c r="A1332" s="1" t="str">
        <f>"2508.50.00"</f>
        <v>2508.50.00</v>
      </c>
      <c r="B1332" s="2" t="str">
        <f>"Andaluzita, cianita e silimanita"</f>
        <v>Andaluzita, cianita e silimanita</v>
      </c>
    </row>
    <row r="1333" spans="1:2">
      <c r="A1333" s="1" t="str">
        <f>"2508.60.00"</f>
        <v>2508.60.00</v>
      </c>
      <c r="B1333" s="2" t="str">
        <f>"Mulita"</f>
        <v>Mulita</v>
      </c>
    </row>
    <row r="1334" spans="1:2">
      <c r="A1334" s="1" t="str">
        <f>"2508.70.00"</f>
        <v>2508.70.00</v>
      </c>
      <c r="B1334" s="2" t="str">
        <f>"Barro cozido em po (terra de chamot"</f>
        <v>Barro cozido em po (terra de chamot</v>
      </c>
    </row>
    <row r="1335" spans="1:2">
      <c r="A1335" s="1" t="str">
        <f>"2509.00.00"</f>
        <v>2509.00.00</v>
      </c>
      <c r="B1335" s="2" t="str">
        <f>"Cre."</f>
        <v>Cre.</v>
      </c>
    </row>
    <row r="1336" spans="1:2">
      <c r="A1336" s="1" t="str">
        <f>"2510.10.10"</f>
        <v>2510.10.10</v>
      </c>
      <c r="B1336" s="2" t="str">
        <f>"Fosfatos de calcio naturais"</f>
        <v>Fosfatos de calcio naturais</v>
      </c>
    </row>
    <row r="1337" spans="1:2">
      <c r="A1337" s="1" t="str">
        <f>"2510.10.90"</f>
        <v>2510.10.90</v>
      </c>
      <c r="B1337" s="2" t="str">
        <f>"Outros"</f>
        <v>Outros</v>
      </c>
    </row>
    <row r="1338" spans="1:2">
      <c r="A1338" s="1" t="str">
        <f>"2510.20.10"</f>
        <v>2510.20.10</v>
      </c>
      <c r="B1338" s="2" t="str">
        <f>"Fosfatos de calcio naturais"</f>
        <v>Fosfatos de calcio naturais</v>
      </c>
    </row>
    <row r="1339" spans="1:2">
      <c r="A1339" s="1" t="str">
        <f>"2510.20.90"</f>
        <v>2510.20.90</v>
      </c>
      <c r="B1339" s="2" t="str">
        <f>"Outros"</f>
        <v>Outros</v>
      </c>
    </row>
    <row r="1340" spans="1:2">
      <c r="A1340" s="1" t="str">
        <f>"2511.10.00"</f>
        <v>2511.10.00</v>
      </c>
      <c r="B1340" s="2" t="str">
        <f>"Sulfato de bario natural (baritina)"</f>
        <v>Sulfato de bario natural (baritina)</v>
      </c>
    </row>
    <row r="1341" spans="1:2">
      <c r="A1341" s="1" t="str">
        <f>"2511.20.00"</f>
        <v>2511.20.00</v>
      </c>
      <c r="B1341" s="2" t="str">
        <f>"Carbonato de bario natural (witheri"</f>
        <v>Carbonato de bario natural (witheri</v>
      </c>
    </row>
    <row r="1342" spans="1:2">
      <c r="A1342" s="1" t="str">
        <f>"2512.00.00"</f>
        <v>2512.00.00</v>
      </c>
      <c r="B1342" s="2" t="str">
        <f>"Farinhas siliciosas fosseis (por ex"</f>
        <v>Farinhas siliciosas fosseis (por ex</v>
      </c>
    </row>
    <row r="1343" spans="1:2">
      <c r="A1343" s="1" t="str">
        <f>"2513.10.00"</f>
        <v>2513.10.00</v>
      </c>
      <c r="B1343" s="2" t="str">
        <f>"Pedra-pomes"</f>
        <v>Pedra-pomes</v>
      </c>
    </row>
    <row r="1344" spans="1:2">
      <c r="A1344" s="1" t="str">
        <f>"2513.20.00"</f>
        <v>2513.20.00</v>
      </c>
      <c r="B1344" s="2" t="str">
        <f>"Esmeril, corindo natural, granada n"</f>
        <v>Esmeril, corindo natural, granada n</v>
      </c>
    </row>
    <row r="1345" spans="1:2">
      <c r="A1345" s="1" t="str">
        <f>"2514.00.00"</f>
        <v>2514.00.00</v>
      </c>
      <c r="B1345" s="2" t="str">
        <f>"Ardosia, mesmo desbastada ou simple"</f>
        <v>Ardosia, mesmo desbastada ou simple</v>
      </c>
    </row>
    <row r="1346" spans="1:2">
      <c r="A1346" s="1" t="str">
        <f>"2515.11.00"</f>
        <v>2515.11.00</v>
      </c>
      <c r="B1346" s="2" t="str">
        <f>"Em bruto ou desbastados"</f>
        <v>Em bruto ou desbastados</v>
      </c>
    </row>
    <row r="1347" spans="1:2">
      <c r="A1347" s="1" t="str">
        <f>"2515.12.10"</f>
        <v>2515.12.10</v>
      </c>
      <c r="B1347" s="2" t="str">
        <f>"Marmores"</f>
        <v>Marmores</v>
      </c>
    </row>
    <row r="1348" spans="1:2">
      <c r="A1348" s="1" t="str">
        <f>"2515.12.20"</f>
        <v>2515.12.20</v>
      </c>
      <c r="B1348" s="2" t="str">
        <f>"Travertinos"</f>
        <v>Travertinos</v>
      </c>
    </row>
    <row r="1349" spans="1:2">
      <c r="A1349" s="1" t="str">
        <f>"2515.20.00"</f>
        <v>2515.20.00</v>
      </c>
      <c r="B1349" s="2" t="str">
        <f>"Granitos belgas e outras pedras cal"</f>
        <v>Granitos belgas e outras pedras cal</v>
      </c>
    </row>
    <row r="1350" spans="1:2">
      <c r="A1350" s="1" t="str">
        <f>"2516.11.00"</f>
        <v>2516.11.00</v>
      </c>
      <c r="B1350" s="2" t="str">
        <f>"Em bruto ou desbastado"</f>
        <v>Em bruto ou desbastado</v>
      </c>
    </row>
    <row r="1351" spans="1:2">
      <c r="A1351" s="1" t="str">
        <f>"2516.12.00"</f>
        <v>2516.12.00</v>
      </c>
      <c r="B1351" s="2" t="str">
        <f>"CORTADO SERRA  BLOCOS QUADRAD RETAN"</f>
        <v>CORTADO SERRA  BLOCOS QUADRAD RETAN</v>
      </c>
    </row>
    <row r="1352" spans="1:2">
      <c r="A1352" s="1" t="str">
        <f>"2516.20.00"</f>
        <v>2516.20.00</v>
      </c>
      <c r="B1352" s="2" t="str">
        <f>"Arenito"</f>
        <v>Arenito</v>
      </c>
    </row>
    <row r="1353" spans="1:2">
      <c r="A1353" s="1" t="str">
        <f>"2516.90.00"</f>
        <v>2516.90.00</v>
      </c>
      <c r="B1353" s="2" t="str">
        <f>"Outras pedras de cantaria ou de con"</f>
        <v>Outras pedras de cantaria ou de con</v>
      </c>
    </row>
    <row r="1354" spans="1:2">
      <c r="A1354" s="1" t="str">
        <f>"2517.10.00"</f>
        <v>2517.10.00</v>
      </c>
      <c r="B1354" s="2" t="str">
        <f>"Calhaus, cascalho, pedras britadas,"</f>
        <v>Calhaus, cascalho, pedras britadas,</v>
      </c>
    </row>
    <row r="1355" spans="1:2">
      <c r="A1355" s="1" t="str">
        <f>"2517.20.00"</f>
        <v>2517.20.00</v>
      </c>
      <c r="B1355" s="2" t="str">
        <f>"Macadame de escorias de altos-forno"</f>
        <v>Macadame de escorias de altos-forno</v>
      </c>
    </row>
    <row r="1356" spans="1:2">
      <c r="A1356" s="1" t="str">
        <f>"2517.30.00"</f>
        <v>2517.30.00</v>
      </c>
      <c r="B1356" s="2" t="str">
        <f>"Tarmacadame"</f>
        <v>Tarmacadame</v>
      </c>
    </row>
    <row r="1357" spans="1:2">
      <c r="A1357" s="1" t="str">
        <f>"2517.41.00"</f>
        <v>2517.41.00</v>
      </c>
      <c r="B1357" s="2" t="str">
        <f>"De marmore"</f>
        <v>De marmore</v>
      </c>
    </row>
    <row r="1358" spans="1:2">
      <c r="A1358" s="1" t="str">
        <f>"2517.49.00"</f>
        <v>2517.49.00</v>
      </c>
      <c r="B1358" s="2" t="str">
        <f>"Outros"</f>
        <v>Outros</v>
      </c>
    </row>
    <row r="1359" spans="1:2">
      <c r="A1359" s="1" t="str">
        <f>"2518.10.00"</f>
        <v>2518.10.00</v>
      </c>
      <c r="B1359" s="2" t="str">
        <f>"DOLOMITA NÃO CALCIONADA NEM SINTERI"</f>
        <v>DOLOMITA NÃO CALCIONADA NEM SINTERI</v>
      </c>
    </row>
    <row r="1360" spans="1:2">
      <c r="A1360" s="1" t="str">
        <f>"2518.20.00"</f>
        <v>2518.20.00</v>
      </c>
      <c r="B1360" s="2" t="str">
        <f>"Dolomita calcinada ou sinterizada"</f>
        <v>Dolomita calcinada ou sinterizada</v>
      </c>
    </row>
    <row r="1361" spans="1:2">
      <c r="A1361" s="1" t="str">
        <f>"2518.30.00"</f>
        <v>2518.30.00</v>
      </c>
      <c r="B1361" s="2" t="str">
        <f>"Aglomerados de dolomita"</f>
        <v>Aglomerados de dolomita</v>
      </c>
    </row>
    <row r="1362" spans="1:2">
      <c r="A1362" s="1" t="str">
        <f>"2519.10.00"</f>
        <v>2519.10.00</v>
      </c>
      <c r="B1362" s="2" t="str">
        <f>"Carbonato de magnesio natural (magn"</f>
        <v>Carbonato de magnesio natural (magn</v>
      </c>
    </row>
    <row r="1363" spans="1:2">
      <c r="A1363" s="1" t="str">
        <f>"2519.90.10"</f>
        <v>2519.90.10</v>
      </c>
      <c r="B1363" s="2" t="str">
        <f>"Magnesia eletrofundida"</f>
        <v>Magnesia eletrofundida</v>
      </c>
    </row>
    <row r="1364" spans="1:2">
      <c r="A1364" s="1" t="str">
        <f>"2519.90.90"</f>
        <v>2519.90.90</v>
      </c>
      <c r="B1364" s="2" t="str">
        <f>"Outros"</f>
        <v>Outros</v>
      </c>
    </row>
    <row r="1365" spans="1:2">
      <c r="A1365" s="1" t="str">
        <f>"2520.10.11"</f>
        <v>2520.10.11</v>
      </c>
      <c r="B1365" s="2" t="str">
        <f>"Em pedacos irregulares (pedras)"</f>
        <v>Em pedacos irregulares (pedras)</v>
      </c>
    </row>
    <row r="1366" spans="1:2">
      <c r="A1366" s="1" t="str">
        <f>"2520.10.19"</f>
        <v>2520.10.19</v>
      </c>
      <c r="B1366" s="2" t="str">
        <f>"Outros"</f>
        <v>Outros</v>
      </c>
    </row>
    <row r="1367" spans="1:2">
      <c r="A1367" s="1" t="str">
        <f>"2520.10.20"</f>
        <v>2520.10.20</v>
      </c>
      <c r="B1367" s="2" t="str">
        <f>"Anidrita"</f>
        <v>Anidrita</v>
      </c>
    </row>
    <row r="1368" spans="1:2">
      <c r="A1368" s="1" t="str">
        <f>"2520.20.10"</f>
        <v>2520.20.10</v>
      </c>
      <c r="B1368" s="2" t="str">
        <f>"Moido, apto para uso odontologico"</f>
        <v>Moido, apto para uso odontologico</v>
      </c>
    </row>
    <row r="1369" spans="1:2">
      <c r="A1369" s="1" t="str">
        <f>"2520.20.90"</f>
        <v>2520.20.90</v>
      </c>
      <c r="B1369" s="2" t="str">
        <f>"Outros"</f>
        <v>Outros</v>
      </c>
    </row>
    <row r="1370" spans="1:2">
      <c r="A1370" s="1" t="str">
        <f>"2521.00.00"</f>
        <v>2521.00.00</v>
      </c>
      <c r="B1370" s="2" t="str">
        <f>"Castinas; pedras calcarias utilizad"</f>
        <v>Castinas; pedras calcarias utilizad</v>
      </c>
    </row>
    <row r="1371" spans="1:2">
      <c r="A1371" s="1" t="str">
        <f>"2522.10.00"</f>
        <v>2522.10.00</v>
      </c>
      <c r="B1371" s="2" t="str">
        <f>"Cal viva"</f>
        <v>Cal viva</v>
      </c>
    </row>
    <row r="1372" spans="1:2">
      <c r="A1372" s="1" t="str">
        <f>"2522.20.00"</f>
        <v>2522.20.00</v>
      </c>
      <c r="B1372" s="2" t="str">
        <f>"CAL APAGADA"</f>
        <v>CAL APAGADA</v>
      </c>
    </row>
    <row r="1373" spans="1:2">
      <c r="A1373" s="1" t="str">
        <f>"2522.30.00"</f>
        <v>2522.30.00</v>
      </c>
      <c r="B1373" s="2" t="str">
        <f>"Cal hidraulica"</f>
        <v>Cal hidraulica</v>
      </c>
    </row>
    <row r="1374" spans="1:2">
      <c r="A1374" s="1" t="str">
        <f>"2523.10.00"</f>
        <v>2523.10.00</v>
      </c>
      <c r="B1374" s="2" t="str">
        <f>"Cimentos nao pulverizados, denomina"</f>
        <v>Cimentos nao pulverizados, denomina</v>
      </c>
    </row>
    <row r="1375" spans="1:2">
      <c r="A1375" s="1" t="str">
        <f>"2523.21.00"</f>
        <v>2523.21.00</v>
      </c>
      <c r="B1375" s="2" t="str">
        <f>"Cimentos brancos, mesmo corados art"</f>
        <v>Cimentos brancos, mesmo corados art</v>
      </c>
    </row>
    <row r="1376" spans="1:2">
      <c r="A1376" s="1" t="str">
        <f>"2523.29.10"</f>
        <v>2523.29.10</v>
      </c>
      <c r="B1376" s="2" t="str">
        <f>"CIMENTO COMUM"</f>
        <v>CIMENTO COMUM</v>
      </c>
    </row>
    <row r="1377" spans="1:2">
      <c r="A1377" s="1" t="str">
        <f>"2523.29.90"</f>
        <v>2523.29.90</v>
      </c>
      <c r="B1377" s="2" t="str">
        <f>"Outros"</f>
        <v>Outros</v>
      </c>
    </row>
    <row r="1378" spans="1:2">
      <c r="A1378" s="1" t="str">
        <f>"2523.30.00"</f>
        <v>2523.30.00</v>
      </c>
      <c r="B1378" s="2" t="str">
        <f>"Cimentos aluminosos"</f>
        <v>Cimentos aluminosos</v>
      </c>
    </row>
    <row r="1379" spans="1:2">
      <c r="A1379" s="1" t="str">
        <f>"2523.90.00"</f>
        <v>2523.90.00</v>
      </c>
      <c r="B1379" s="2" t="str">
        <f>"Outros cimentos hidraulicos"</f>
        <v>Outros cimentos hidraulicos</v>
      </c>
    </row>
    <row r="1380" spans="1:2">
      <c r="A1380" s="1" t="str">
        <f>"2524.10.00"</f>
        <v>2524.10.00</v>
      </c>
      <c r="B1380" s="2" t="str">
        <f>"Crocidolita"</f>
        <v>Crocidolita</v>
      </c>
    </row>
    <row r="1381" spans="1:2">
      <c r="A1381" s="1" t="str">
        <f>"2524.90.00"</f>
        <v>2524.90.00</v>
      </c>
      <c r="B1381" s="2" t="str">
        <f>"Outros"</f>
        <v>Outros</v>
      </c>
    </row>
    <row r="1382" spans="1:2">
      <c r="A1382" s="1" t="str">
        <f>"2525.10.00"</f>
        <v>2525.10.00</v>
      </c>
      <c r="B1382" s="2" t="str">
        <f>"Mica em bruto ou clivada em folhas"</f>
        <v>Mica em bruto ou clivada em folhas</v>
      </c>
    </row>
    <row r="1383" spans="1:2">
      <c r="A1383" s="1" t="str">
        <f>"2525.20.00"</f>
        <v>2525.20.00</v>
      </c>
      <c r="B1383" s="2" t="str">
        <f>"Mica em po"</f>
        <v>Mica em po</v>
      </c>
    </row>
    <row r="1384" spans="1:2">
      <c r="A1384" s="1" t="str">
        <f>"2525.30.00"</f>
        <v>2525.30.00</v>
      </c>
      <c r="B1384" s="2" t="str">
        <f>"Desperdicios de mica"</f>
        <v>Desperdicios de mica</v>
      </c>
    </row>
    <row r="1385" spans="1:2">
      <c r="A1385" s="1" t="str">
        <f>"2526.10.00"</f>
        <v>2526.10.00</v>
      </c>
      <c r="B1385" s="2" t="str">
        <f>"Nao triturados nem em po"</f>
        <v>Nao triturados nem em po</v>
      </c>
    </row>
    <row r="1386" spans="1:2">
      <c r="A1386" s="1" t="str">
        <f>"2526.20.00"</f>
        <v>2526.20.00</v>
      </c>
      <c r="B1386" s="2" t="str">
        <f>"Triturados ou em po"</f>
        <v>Triturados ou em po</v>
      </c>
    </row>
    <row r="1387" spans="1:2">
      <c r="A1387" s="1" t="str">
        <f>"2528.00.00"</f>
        <v>2528.00.00</v>
      </c>
      <c r="B1387" s="2" t="str">
        <f>"Boratos naturais e seus concentrado"</f>
        <v>Boratos naturais e seus concentrado</v>
      </c>
    </row>
    <row r="1388" spans="1:2">
      <c r="A1388" s="1" t="str">
        <f>"2529.10.00"</f>
        <v>2529.10.00</v>
      </c>
      <c r="B1388" s="2" t="str">
        <f>"Feldspato"</f>
        <v>Feldspato</v>
      </c>
    </row>
    <row r="1389" spans="1:2">
      <c r="A1389" s="1" t="str">
        <f>"2529.21.00"</f>
        <v>2529.21.00</v>
      </c>
      <c r="B1389" s="2" t="str">
        <f>"Que contenha, em peso, 97 % ou meno"</f>
        <v>Que contenha, em peso, 97 % ou meno</v>
      </c>
    </row>
    <row r="1390" spans="1:2">
      <c r="A1390" s="1" t="str">
        <f>"2529.22.00"</f>
        <v>2529.22.00</v>
      </c>
      <c r="B1390" s="2" t="str">
        <f>"Que contenha, em peso, mais de 97 %"</f>
        <v>Que contenha, em peso, mais de 97 %</v>
      </c>
    </row>
    <row r="1391" spans="1:2">
      <c r="A1391" s="1" t="str">
        <f>"2529.30.00"</f>
        <v>2529.30.00</v>
      </c>
      <c r="B1391" s="2" t="str">
        <f>"LEUCITA; NEFELINA E NEFELINA-SIENIT"</f>
        <v>LEUCITA; NEFELINA E NEFELINA-SIENIT</v>
      </c>
    </row>
    <row r="1392" spans="1:2">
      <c r="A1392" s="1" t="str">
        <f>"2530.10.10"</f>
        <v>2530.10.10</v>
      </c>
      <c r="B1392" s="2" t="str">
        <f>"Perlita"</f>
        <v>Perlita</v>
      </c>
    </row>
    <row r="1393" spans="1:2">
      <c r="A1393" s="1" t="str">
        <f>"2530.10.90"</f>
        <v>2530.10.90</v>
      </c>
      <c r="B1393" s="2" t="str">
        <f>"Outras"</f>
        <v>Outras</v>
      </c>
    </row>
    <row r="1394" spans="1:2">
      <c r="A1394" s="1" t="str">
        <f>"2530.20.00"</f>
        <v>2530.20.00</v>
      </c>
      <c r="B1394" s="2" t="str">
        <f>"Quieserita, epsomita (sulfatos de m"</f>
        <v>Quieserita, epsomita (sulfatos de m</v>
      </c>
    </row>
    <row r="1395" spans="1:2">
      <c r="A1395" s="1" t="str">
        <f>"2530.90.00"</f>
        <v>2530.90.00</v>
      </c>
      <c r="B1395" s="2" t="str">
        <f>"INATIVA - OUTROS TIPOS DE PRODUTOS"</f>
        <v>INATIVA - OUTROS TIPOS DE PRODUTOS</v>
      </c>
    </row>
    <row r="1396" spans="1:2">
      <c r="A1396" s="1" t="str">
        <f>"2530.90.10"</f>
        <v>2530.90.10</v>
      </c>
      <c r="B1396" s="2" t="str">
        <f>"Espodumenio"</f>
        <v>Espodumenio</v>
      </c>
    </row>
    <row r="1397" spans="1:2">
      <c r="A1397" s="1" t="str">
        <f>"2530.90.20"</f>
        <v>2530.90.20</v>
      </c>
      <c r="B1397" s="2" t="str">
        <f>"Areia de zirconio micronizada, prop"</f>
        <v>Areia de zirconio micronizada, prop</v>
      </c>
    </row>
    <row r="1398" spans="1:2">
      <c r="A1398" s="1" t="str">
        <f>"2530.90.30"</f>
        <v>2530.90.30</v>
      </c>
      <c r="B1398" s="2" t="str">
        <f>"Minerais de metais das terras raras"</f>
        <v>Minerais de metais das terras raras</v>
      </c>
    </row>
    <row r="1399" spans="1:2">
      <c r="A1399" s="1" t="str">
        <f>"2530.90.40"</f>
        <v>2530.90.40</v>
      </c>
      <c r="B1399" s="2" t="str">
        <f>"Terras corantes"</f>
        <v>Terras corantes</v>
      </c>
    </row>
    <row r="1400" spans="1:2">
      <c r="A1400" s="1" t="str">
        <f>"2530.90.90"</f>
        <v>2530.90.90</v>
      </c>
      <c r="B1400" s="2" t="str">
        <f>"AGALMATOLITO"</f>
        <v>AGALMATOLITO</v>
      </c>
    </row>
    <row r="1401" spans="1:2">
      <c r="A1401" s="1" t="str">
        <f>"2532.04.17"</f>
        <v>2532.04.17</v>
      </c>
      <c r="B1401" s="2" t="str">
        <f>"INATIVO - LUHYDRAN"</f>
        <v>INATIVO - LUHYDRAN</v>
      </c>
    </row>
    <row r="1402" spans="1:2">
      <c r="A1402" s="1" t="str">
        <f>"2601.11.00"</f>
        <v>2601.11.00</v>
      </c>
      <c r="B1402" s="2" t="str">
        <f>"Nao aglomerados"</f>
        <v>Nao aglomerados</v>
      </c>
    </row>
    <row r="1403" spans="1:2">
      <c r="A1403" s="1" t="str">
        <f>"2601.12.10"</f>
        <v>2601.12.10</v>
      </c>
      <c r="B1403" s="2" t="str">
        <f>"Aglomerados por processo de peletiz"</f>
        <v>Aglomerados por processo de peletiz</v>
      </c>
    </row>
    <row r="1404" spans="1:2">
      <c r="A1404" s="1" t="str">
        <f>"2601.12.90"</f>
        <v>2601.12.90</v>
      </c>
      <c r="B1404" s="2" t="str">
        <f>"Outros"</f>
        <v>Outros</v>
      </c>
    </row>
    <row r="1405" spans="1:2">
      <c r="A1405" s="1" t="str">
        <f>"2601.20.00"</f>
        <v>2601.20.00</v>
      </c>
      <c r="B1405" s="2" t="str">
        <f>"Piritas de ferro ustuladas (cinzas"</f>
        <v>Piritas de ferro ustuladas (cinzas</v>
      </c>
    </row>
    <row r="1406" spans="1:2">
      <c r="A1406" s="1" t="str">
        <f>"2602.00.10"</f>
        <v>2602.00.10</v>
      </c>
      <c r="B1406" s="2" t="str">
        <f>"Aglomerados"</f>
        <v>Aglomerados</v>
      </c>
    </row>
    <row r="1407" spans="1:2">
      <c r="A1407" s="1" t="str">
        <f>"2602.00.90"</f>
        <v>2602.00.90</v>
      </c>
      <c r="B1407" s="2" t="str">
        <f>"Outros"</f>
        <v>Outros</v>
      </c>
    </row>
    <row r="1408" spans="1:2">
      <c r="A1408" s="1" t="str">
        <f>"2603.00.10"</f>
        <v>2603.00.10</v>
      </c>
      <c r="B1408" s="2" t="str">
        <f>"Sulfetos"</f>
        <v>Sulfetos</v>
      </c>
    </row>
    <row r="1409" spans="1:2">
      <c r="A1409" s="1" t="str">
        <f>"2603.00.90"</f>
        <v>2603.00.90</v>
      </c>
      <c r="B1409" s="2" t="str">
        <f>"Outros"</f>
        <v>Outros</v>
      </c>
    </row>
    <row r="1410" spans="1:2">
      <c r="A1410" s="1" t="str">
        <f>"2604.00.00"</f>
        <v>2604.00.00</v>
      </c>
      <c r="B1410" s="2" t="str">
        <f>"Minerios de niquel e seus concentra"</f>
        <v>Minerios de niquel e seus concentra</v>
      </c>
    </row>
    <row r="1411" spans="1:2">
      <c r="A1411" s="1" t="str">
        <f>"2605.00.00"</f>
        <v>2605.00.00</v>
      </c>
      <c r="B1411" s="2" t="str">
        <f>"Minerios de cobalto e seus concentr"</f>
        <v>Minerios de cobalto e seus concentr</v>
      </c>
    </row>
    <row r="1412" spans="1:2">
      <c r="A1412" s="1" t="str">
        <f>"2606.00.11"</f>
        <v>2606.00.11</v>
      </c>
      <c r="B1412" s="2" t="str">
        <f>"Nao calcinada"</f>
        <v>Nao calcinada</v>
      </c>
    </row>
    <row r="1413" spans="1:2">
      <c r="A1413" s="1" t="str">
        <f>"2606.00.12"</f>
        <v>2606.00.12</v>
      </c>
      <c r="B1413" s="2" t="str">
        <f>"Calcinada"</f>
        <v>Calcinada</v>
      </c>
    </row>
    <row r="1414" spans="1:2">
      <c r="A1414" s="1" t="str">
        <f>"2606.00.90"</f>
        <v>2606.00.90</v>
      </c>
      <c r="B1414" s="2" t="str">
        <f>"Outros"</f>
        <v>Outros</v>
      </c>
    </row>
    <row r="1415" spans="1:2">
      <c r="A1415" s="1" t="str">
        <f>"2607.00.00"</f>
        <v>2607.00.00</v>
      </c>
      <c r="B1415" s="2" t="str">
        <f>"Minerios de chumbo e seus concentra"</f>
        <v>Minerios de chumbo e seus concentra</v>
      </c>
    </row>
    <row r="1416" spans="1:2">
      <c r="A1416" s="1" t="str">
        <f>"2608.00.10"</f>
        <v>2608.00.10</v>
      </c>
      <c r="B1416" s="2" t="str">
        <f>"Sulfetos"</f>
        <v>Sulfetos</v>
      </c>
    </row>
    <row r="1417" spans="1:2">
      <c r="A1417" s="1" t="str">
        <f>"2608.00.90"</f>
        <v>2608.00.90</v>
      </c>
      <c r="B1417" s="2" t="str">
        <f>"Outros"</f>
        <v>Outros</v>
      </c>
    </row>
    <row r="1418" spans="1:2">
      <c r="A1418" s="1" t="str">
        <f>"2609.00.00"</f>
        <v>2609.00.00</v>
      </c>
      <c r="B1418" s="2" t="str">
        <f>"Minerios de estanho e seus concentr"</f>
        <v>Minerios de estanho e seus concentr</v>
      </c>
    </row>
    <row r="1419" spans="1:2">
      <c r="A1419" s="1" t="str">
        <f>"2610.00.10"</f>
        <v>2610.00.10</v>
      </c>
      <c r="B1419" s="2" t="str">
        <f>"Cromita"</f>
        <v>Cromita</v>
      </c>
    </row>
    <row r="1420" spans="1:2">
      <c r="A1420" s="1" t="str">
        <f>"2610.00.90"</f>
        <v>2610.00.90</v>
      </c>
      <c r="B1420" s="2" t="str">
        <f>"Outros"</f>
        <v>Outros</v>
      </c>
    </row>
    <row r="1421" spans="1:2">
      <c r="A1421" s="1" t="str">
        <f>"2611.00.00"</f>
        <v>2611.00.00</v>
      </c>
      <c r="B1421" s="2" t="str">
        <f>"Minerios de tungstenio (volframio)"</f>
        <v>Minerios de tungstenio (volframio)</v>
      </c>
    </row>
    <row r="1422" spans="1:2">
      <c r="A1422" s="1" t="str">
        <f>"2612.10.00"</f>
        <v>2612.10.00</v>
      </c>
      <c r="B1422" s="2" t="str">
        <f>"Minerios de uranio e seus concentra"</f>
        <v>Minerios de uranio e seus concentra</v>
      </c>
    </row>
    <row r="1423" spans="1:2">
      <c r="A1423" s="1" t="str">
        <f>"2612.20.00"</f>
        <v>2612.20.00</v>
      </c>
      <c r="B1423" s="2" t="str">
        <f>"Minerios de torio e seus concentrad"</f>
        <v>Minerios de torio e seus concentrad</v>
      </c>
    </row>
    <row r="1424" spans="1:2">
      <c r="A1424" s="1" t="str">
        <f>"2613.10.10"</f>
        <v>2613.10.10</v>
      </c>
      <c r="B1424" s="2" t="str">
        <f>"Molibdenita"</f>
        <v>Molibdenita</v>
      </c>
    </row>
    <row r="1425" spans="1:2">
      <c r="A1425" s="1" t="str">
        <f>"2613.10.90"</f>
        <v>2613.10.90</v>
      </c>
      <c r="B1425" s="2" t="str">
        <f>"Outros"</f>
        <v>Outros</v>
      </c>
    </row>
    <row r="1426" spans="1:2">
      <c r="A1426" s="1" t="str">
        <f>"2613.90.10"</f>
        <v>2613.90.10</v>
      </c>
      <c r="B1426" s="2" t="str">
        <f>"Molibdenita"</f>
        <v>Molibdenita</v>
      </c>
    </row>
    <row r="1427" spans="1:2">
      <c r="A1427" s="1" t="str">
        <f>"2613.90.90"</f>
        <v>2613.90.90</v>
      </c>
      <c r="B1427" s="2" t="str">
        <f>"Outros"</f>
        <v>Outros</v>
      </c>
    </row>
    <row r="1428" spans="1:2">
      <c r="A1428" s="1" t="str">
        <f>"2614.00.10"</f>
        <v>2614.00.10</v>
      </c>
      <c r="B1428" s="2" t="str">
        <f>"Ilmenita"</f>
        <v>Ilmenita</v>
      </c>
    </row>
    <row r="1429" spans="1:2">
      <c r="A1429" s="1" t="str">
        <f>"2614.00.90"</f>
        <v>2614.00.90</v>
      </c>
      <c r="B1429" s="2" t="str">
        <f>"Outros"</f>
        <v>Outros</v>
      </c>
    </row>
    <row r="1430" spans="1:2">
      <c r="A1430" s="1" t="str">
        <f>"2615.10.10"</f>
        <v>2615.10.10</v>
      </c>
      <c r="B1430" s="2" t="str">
        <f>"Badeleita"</f>
        <v>Badeleita</v>
      </c>
    </row>
    <row r="1431" spans="1:2">
      <c r="A1431" s="1" t="str">
        <f>"2615.10.20"</f>
        <v>2615.10.20</v>
      </c>
      <c r="B1431" s="2" t="str">
        <f>"Zirconita"</f>
        <v>Zirconita</v>
      </c>
    </row>
    <row r="1432" spans="1:2">
      <c r="A1432" s="1" t="str">
        <f>"2615.10.90"</f>
        <v>2615.10.90</v>
      </c>
      <c r="B1432" s="2" t="str">
        <f>"Outros"</f>
        <v>Outros</v>
      </c>
    </row>
    <row r="1433" spans="1:2">
      <c r="A1433" s="1" t="str">
        <f>"2615.90.00"</f>
        <v>2615.90.00</v>
      </c>
      <c r="B1433" s="2" t="str">
        <f>"Outros"</f>
        <v>Outros</v>
      </c>
    </row>
    <row r="1434" spans="1:2">
      <c r="A1434" s="1" t="str">
        <f>"2616.10.00"</f>
        <v>2616.10.00</v>
      </c>
      <c r="B1434" s="2" t="str">
        <f>"Minerios de prata e seus concentrad"</f>
        <v>Minerios de prata e seus concentrad</v>
      </c>
    </row>
    <row r="1435" spans="1:2">
      <c r="A1435" s="1" t="str">
        <f>"2616.90.00"</f>
        <v>2616.90.00</v>
      </c>
      <c r="B1435" s="2" t="str">
        <f>"Outros"</f>
        <v>Outros</v>
      </c>
    </row>
    <row r="1436" spans="1:2">
      <c r="A1436" s="1" t="str">
        <f>"2617.10.00"</f>
        <v>2617.10.00</v>
      </c>
      <c r="B1436" s="2" t="str">
        <f>"Minerios de antimonio e seus concen"</f>
        <v>Minerios de antimonio e seus concen</v>
      </c>
    </row>
    <row r="1437" spans="1:2">
      <c r="A1437" s="1" t="str">
        <f>"2617.90.00"</f>
        <v>2617.90.00</v>
      </c>
      <c r="B1437" s="2" t="str">
        <f>"Outros"</f>
        <v>Outros</v>
      </c>
    </row>
    <row r="1438" spans="1:2">
      <c r="A1438" s="1" t="str">
        <f>"2618.00.00"</f>
        <v>2618.00.00</v>
      </c>
      <c r="B1438" s="2" t="str">
        <f>"Escoria de altos-fornos granulada ("</f>
        <v>Escoria de altos-fornos granulada (</v>
      </c>
    </row>
    <row r="1439" spans="1:2">
      <c r="A1439" s="1" t="str">
        <f>"2619.00.00"</f>
        <v>2619.00.00</v>
      </c>
      <c r="B1439" s="2" t="str">
        <f>"Escorias (exceto escoria de altos-f"</f>
        <v>Escorias (exceto escoria de altos-f</v>
      </c>
    </row>
    <row r="1440" spans="1:2">
      <c r="A1440" s="1" t="str">
        <f>"2620.11.00"</f>
        <v>2620.11.00</v>
      </c>
      <c r="B1440" s="2" t="str">
        <f>"Mates de galvanizacao"</f>
        <v>Mates de galvanizacao</v>
      </c>
    </row>
    <row r="1441" spans="1:2">
      <c r="A1441" s="1" t="str">
        <f>"2620.19.00"</f>
        <v>2620.19.00</v>
      </c>
      <c r="B1441" s="2" t="str">
        <f>"Outros"</f>
        <v>Outros</v>
      </c>
    </row>
    <row r="1442" spans="1:2">
      <c r="A1442" s="1" t="str">
        <f>"2620.21.00"</f>
        <v>2620.21.00</v>
      </c>
      <c r="B1442" s="2" t="str">
        <f>"Lamas (borras) de gasolina que cont"</f>
        <v>Lamas (borras) de gasolina que cont</v>
      </c>
    </row>
    <row r="1443" spans="1:2">
      <c r="A1443" s="1" t="str">
        <f>"2620.29.00"</f>
        <v>2620.29.00</v>
      </c>
      <c r="B1443" s="2" t="str">
        <f>"Outros"</f>
        <v>Outros</v>
      </c>
    </row>
    <row r="1444" spans="1:2">
      <c r="A1444" s="1" t="str">
        <f>"2620.30.00"</f>
        <v>2620.30.00</v>
      </c>
      <c r="B1444" s="2" t="str">
        <f>"Que contenham principalmente cobre"</f>
        <v>Que contenham principalmente cobre</v>
      </c>
    </row>
    <row r="1445" spans="1:2">
      <c r="A1445" s="1" t="str">
        <f>"2620.40.00"</f>
        <v>2620.40.00</v>
      </c>
      <c r="B1445" s="2" t="str">
        <f>"Que contenham principalmente alumin"</f>
        <v>Que contenham principalmente alumin</v>
      </c>
    </row>
    <row r="1446" spans="1:2">
      <c r="A1446" s="1" t="str">
        <f>"2620.60.00"</f>
        <v>2620.60.00</v>
      </c>
      <c r="B1446" s="2" t="str">
        <f>"Que contenham arsenio, mercurio, ta"</f>
        <v>Que contenham arsenio, mercurio, ta</v>
      </c>
    </row>
    <row r="1447" spans="1:2">
      <c r="A1447" s="1" t="str">
        <f>"2620.91.00"</f>
        <v>2620.91.00</v>
      </c>
      <c r="B1447" s="2" t="str">
        <f>"Que contenham antimonio, berilio, c"</f>
        <v>Que contenham antimonio, berilio, c</v>
      </c>
    </row>
    <row r="1448" spans="1:2">
      <c r="A1448" s="1" t="str">
        <f>"2620.99.10"</f>
        <v>2620.99.10</v>
      </c>
      <c r="B1448" s="2" t="str">
        <f>"Que contenham principalmente titani"</f>
        <v>Que contenham principalmente titani</v>
      </c>
    </row>
    <row r="1449" spans="1:2">
      <c r="A1449" s="1" t="str">
        <f>"2620.99.90"</f>
        <v>2620.99.90</v>
      </c>
      <c r="B1449" s="2" t="str">
        <f>"Outros"</f>
        <v>Outros</v>
      </c>
    </row>
    <row r="1450" spans="1:2">
      <c r="A1450" s="1" t="str">
        <f>"2621.10.00"</f>
        <v>2621.10.00</v>
      </c>
      <c r="B1450" s="2" t="str">
        <f>"Cinzas e residuos provenientes da i"</f>
        <v>Cinzas e residuos provenientes da i</v>
      </c>
    </row>
    <row r="1451" spans="1:2">
      <c r="A1451" s="1" t="str">
        <f>"2621.90.10"</f>
        <v>2621.90.10</v>
      </c>
      <c r="B1451" s="2" t="str">
        <f>"Cinzas de origem vegetal"</f>
        <v>Cinzas de origem vegetal</v>
      </c>
    </row>
    <row r="1452" spans="1:2">
      <c r="A1452" s="1" t="str">
        <f>"2621.90.90"</f>
        <v>2621.90.90</v>
      </c>
      <c r="B1452" s="2" t="str">
        <f>"Outras"</f>
        <v>Outras</v>
      </c>
    </row>
    <row r="1453" spans="1:2">
      <c r="A1453" s="1" t="str">
        <f>"2701.11.00"</f>
        <v>2701.11.00</v>
      </c>
      <c r="B1453" s="2" t="str">
        <f>"Antracita"</f>
        <v>Antracita</v>
      </c>
    </row>
    <row r="1454" spans="1:2">
      <c r="A1454" s="1" t="str">
        <f>"2701.12.00"</f>
        <v>2701.12.00</v>
      </c>
      <c r="B1454" s="2" t="str">
        <f>"Hulha betuminosa"</f>
        <v>Hulha betuminosa</v>
      </c>
    </row>
    <row r="1455" spans="1:2">
      <c r="A1455" s="1" t="str">
        <f>"2701.19.00"</f>
        <v>2701.19.00</v>
      </c>
      <c r="B1455" s="2" t="str">
        <f>"Outras hulhas"</f>
        <v>Outras hulhas</v>
      </c>
    </row>
    <row r="1456" spans="1:2">
      <c r="A1456" s="1" t="str">
        <f>"2701.20.00"</f>
        <v>2701.20.00</v>
      </c>
      <c r="B1456" s="2" t="str">
        <f>"Briquetes, bolas em aglomerados e c"</f>
        <v>Briquetes, bolas em aglomerados e c</v>
      </c>
    </row>
    <row r="1457" spans="1:2">
      <c r="A1457" s="1" t="str">
        <f>"2702.10.00"</f>
        <v>2702.10.00</v>
      </c>
      <c r="B1457" s="2" t="str">
        <f>"Linhitas, mesmo em po, mas nao aglo"</f>
        <v>Linhitas, mesmo em po, mas nao aglo</v>
      </c>
    </row>
    <row r="1458" spans="1:2">
      <c r="A1458" s="1" t="str">
        <f>"2702.20.00"</f>
        <v>2702.20.00</v>
      </c>
      <c r="B1458" s="2" t="str">
        <f>"Linhitas aglomeradas"</f>
        <v>Linhitas aglomeradas</v>
      </c>
    </row>
    <row r="1459" spans="1:2">
      <c r="A1459" s="1" t="str">
        <f>"2703.00.00"</f>
        <v>2703.00.00</v>
      </c>
      <c r="B1459" s="2" t="str">
        <f>"Turfa (incluindo a turfa para cama"</f>
        <v>Turfa (incluindo a turfa para cama</v>
      </c>
    </row>
    <row r="1460" spans="1:2">
      <c r="A1460" s="1" t="str">
        <f>"2704.00.10"</f>
        <v>2704.00.10</v>
      </c>
      <c r="B1460" s="2" t="str">
        <f>"Coques"</f>
        <v>Coques</v>
      </c>
    </row>
    <row r="1461" spans="1:2">
      <c r="A1461" s="1" t="str">
        <f>"2704.00.90"</f>
        <v>2704.00.90</v>
      </c>
      <c r="B1461" s="2" t="str">
        <f>"Outros"</f>
        <v>Outros</v>
      </c>
    </row>
    <row r="1462" spans="1:2">
      <c r="A1462" s="1" t="str">
        <f>"2705.00.00"</f>
        <v>2705.00.00</v>
      </c>
      <c r="B1462" s="2" t="str">
        <f>"Gas de hulha, gas de agua, gas pobr"</f>
        <v>Gas de hulha, gas de agua, gas pobr</v>
      </c>
    </row>
    <row r="1463" spans="1:2">
      <c r="A1463" s="1" t="str">
        <f>"2706.00.00"</f>
        <v>2706.00.00</v>
      </c>
      <c r="B1463" s="2" t="str">
        <f>"Alcatroes de hulha, de linhita ou d"</f>
        <v>Alcatroes de hulha, de linhita ou d</v>
      </c>
    </row>
    <row r="1464" spans="1:2">
      <c r="A1464" s="1" t="str">
        <f>"2707.10.00"</f>
        <v>2707.10.00</v>
      </c>
      <c r="B1464" s="2" t="str">
        <f>"Benzol (benzeno)"</f>
        <v>Benzol (benzeno)</v>
      </c>
    </row>
    <row r="1465" spans="1:2">
      <c r="A1465" s="1" t="str">
        <f>"2707.20.00"</f>
        <v>2707.20.00</v>
      </c>
      <c r="B1465" s="2" t="str">
        <f>"Toluol (tolueno)"</f>
        <v>Toluol (tolueno)</v>
      </c>
    </row>
    <row r="1466" spans="1:2">
      <c r="A1466" s="1" t="str">
        <f>"2707.30.00"</f>
        <v>2707.30.00</v>
      </c>
      <c r="B1466" s="2" t="str">
        <f>"Xilol (xilenos)"</f>
        <v>Xilol (xilenos)</v>
      </c>
    </row>
    <row r="1467" spans="1:2">
      <c r="A1467" s="1" t="str">
        <f>"2707.40.00"</f>
        <v>2707.40.00</v>
      </c>
      <c r="B1467" s="2" t="str">
        <f>"Naftaleno"</f>
        <v>Naftaleno</v>
      </c>
    </row>
    <row r="1468" spans="1:2">
      <c r="A1468" s="1" t="str">
        <f>"2707.50.00"</f>
        <v>2707.50.00</v>
      </c>
      <c r="B1468" s="2" t="str">
        <f>"Outras misturas de hidrocarbonetos"</f>
        <v>Outras misturas de hidrocarbonetos</v>
      </c>
    </row>
    <row r="1469" spans="1:2">
      <c r="A1469" s="1" t="str">
        <f>"2707.91.00"</f>
        <v>2707.91.00</v>
      </c>
      <c r="B1469" s="2" t="str">
        <f>"Oleos de creosoto"</f>
        <v>Oleos de creosoto</v>
      </c>
    </row>
    <row r="1470" spans="1:2">
      <c r="A1470" s="1" t="str">
        <f>"2707.99.10"</f>
        <v>2707.99.10</v>
      </c>
      <c r="B1470" s="2" t="str">
        <f>"Cresois"</f>
        <v>Cresois</v>
      </c>
    </row>
    <row r="1471" spans="1:2">
      <c r="A1471" s="1" t="str">
        <f>"2707.99.90"</f>
        <v>2707.99.90</v>
      </c>
      <c r="B1471" s="2" t="str">
        <f>"Outros"</f>
        <v>Outros</v>
      </c>
    </row>
    <row r="1472" spans="1:2">
      <c r="A1472" s="1" t="str">
        <f>"2708.10.00"</f>
        <v>2708.10.00</v>
      </c>
      <c r="B1472" s="2" t="str">
        <f>"Breu"</f>
        <v>Breu</v>
      </c>
    </row>
    <row r="1473" spans="1:2">
      <c r="A1473" s="1" t="str">
        <f>"2708.20.00"</f>
        <v>2708.20.00</v>
      </c>
      <c r="B1473" s="2" t="str">
        <f>"Coque de breu"</f>
        <v>Coque de breu</v>
      </c>
    </row>
    <row r="1474" spans="1:2">
      <c r="A1474" s="1" t="str">
        <f>"2709.00.10"</f>
        <v>2709.00.10</v>
      </c>
      <c r="B1474" s="2" t="str">
        <f>"De petroleo"</f>
        <v>De petroleo</v>
      </c>
    </row>
    <row r="1475" spans="1:2">
      <c r="A1475" s="1" t="str">
        <f>"2709.00.90"</f>
        <v>2709.00.90</v>
      </c>
      <c r="B1475" s="2" t="str">
        <f>"Outros"</f>
        <v>Outros</v>
      </c>
    </row>
    <row r="1476" spans="1:2">
      <c r="A1476" s="1" t="str">
        <f>"2710.00.39"</f>
        <v>2710.00.39</v>
      </c>
      <c r="B1476" s="2" t="str">
        <f>"INATIVA - POLIOL"</f>
        <v>INATIVA - POLIOL</v>
      </c>
    </row>
    <row r="1477" spans="1:2">
      <c r="A1477" s="1" t="str">
        <f>"2710.11.30"</f>
        <v>2710.11.30</v>
      </c>
      <c r="B1477" s="2" t="str">
        <f>"INATIVO - QUEROSENE DESODORIZADO"</f>
        <v>INATIVO - QUEROSENE DESODORIZADO</v>
      </c>
    </row>
    <row r="1478" spans="1:2">
      <c r="A1478" s="1" t="str">
        <f>"2710.12.10"</f>
        <v>2710.12.10</v>
      </c>
      <c r="B1478" s="2" t="str">
        <f>"Hexano comercial"</f>
        <v>Hexano comercial</v>
      </c>
    </row>
    <row r="1479" spans="1:2">
      <c r="A1479" s="1" t="str">
        <f>"2710.12.21"</f>
        <v>2710.12.21</v>
      </c>
      <c r="B1479" s="2" t="str">
        <f>"Diisobutileno"</f>
        <v>Diisobutileno</v>
      </c>
    </row>
    <row r="1480" spans="1:2">
      <c r="A1480" s="1" t="str">
        <f>"2710.12.29"</f>
        <v>2710.12.29</v>
      </c>
      <c r="B1480" s="2" t="str">
        <f>"Outras"</f>
        <v>Outras</v>
      </c>
    </row>
    <row r="1481" spans="1:2">
      <c r="A1481" s="1" t="str">
        <f>"2710.12.30"</f>
        <v>2710.12.30</v>
      </c>
      <c r="B1481" s="2" t="str">
        <f>"Aguarras mineral (white spirit)"</f>
        <v>Aguarras mineral (white spirit)</v>
      </c>
    </row>
    <row r="1482" spans="1:2">
      <c r="A1482" s="1" t="str">
        <f>"2710.12.41"</f>
        <v>2710.12.41</v>
      </c>
      <c r="B1482" s="2" t="str">
        <f>"Para petroquimica"</f>
        <v>Para petroquimica</v>
      </c>
    </row>
    <row r="1483" spans="1:2">
      <c r="A1483" s="1" t="str">
        <f>"2710.12.49"</f>
        <v>2710.12.49</v>
      </c>
      <c r="B1483" s="2" t="str">
        <f>"Outras"</f>
        <v>Outras</v>
      </c>
    </row>
    <row r="1484" spans="1:2">
      <c r="A1484" s="1" t="str">
        <f>"2710.12.51"</f>
        <v>2710.12.51</v>
      </c>
      <c r="B1484" s="2" t="str">
        <f>"De aviacao"</f>
        <v>De aviacao</v>
      </c>
    </row>
    <row r="1485" spans="1:2">
      <c r="A1485" s="1" t="str">
        <f>"2710.12.59"</f>
        <v>2710.12.59</v>
      </c>
      <c r="B1485" s="2" t="str">
        <f>"Outras"</f>
        <v>Outras</v>
      </c>
    </row>
    <row r="1486" spans="1:2">
      <c r="A1486" s="1" t="str">
        <f>"2710.12.60"</f>
        <v>2710.12.60</v>
      </c>
      <c r="B1486" s="2" t="str">
        <f>"Mistura de hidrocarbonetos aciclico"</f>
        <v>Mistura de hidrocarbonetos aciclico</v>
      </c>
    </row>
    <row r="1487" spans="1:2">
      <c r="A1487" s="1" t="str">
        <f>"2710.12.90"</f>
        <v>2710.12.90</v>
      </c>
      <c r="B1487" s="2" t="str">
        <f>"Outros"</f>
        <v>Outros</v>
      </c>
    </row>
    <row r="1488" spans="1:2">
      <c r="A1488" s="1" t="str">
        <f>"2710.19.11"</f>
        <v>2710.19.11</v>
      </c>
      <c r="B1488" s="2" t="str">
        <f>"De aviacao"</f>
        <v>De aviacao</v>
      </c>
    </row>
    <row r="1489" spans="1:2">
      <c r="A1489" s="1" t="str">
        <f>"2710.19.19"</f>
        <v>2710.19.19</v>
      </c>
      <c r="B1489" s="2" t="str">
        <f>"QUEROSENE COMUM"</f>
        <v>QUEROSENE COMUM</v>
      </c>
    </row>
    <row r="1490" spans="1:2">
      <c r="A1490" s="1" t="str">
        <f>"2710.19.21"</f>
        <v>2710.19.21</v>
      </c>
      <c r="B1490" s="2" t="str">
        <f>"""GASÓLEO"" (ÓLEO DIESEL)"</f>
        <v>"GASÓLEO" (ÓLEO DIESEL)</v>
      </c>
    </row>
    <row r="1491" spans="1:2">
      <c r="A1491" s="1" t="str">
        <f>"2710.19.22"</f>
        <v>2710.19.22</v>
      </c>
      <c r="B1491" s="2" t="str">
        <f>"Fuel-oil"</f>
        <v>Fuel-oil</v>
      </c>
    </row>
    <row r="1492" spans="1:2">
      <c r="A1492" s="1" t="str">
        <f>"2710.19.29"</f>
        <v>2710.19.29</v>
      </c>
      <c r="B1492" s="2" t="str">
        <f>"Outros"</f>
        <v>Outros</v>
      </c>
    </row>
    <row r="1493" spans="1:2">
      <c r="A1493" s="1" t="str">
        <f>"2710.19.31"</f>
        <v>2710.19.31</v>
      </c>
      <c r="B1493" s="2" t="str">
        <f>"ÓLEOS LUBRIFICANTES SEM ADITIVO"</f>
        <v>ÓLEOS LUBRIFICANTES SEM ADITIVO</v>
      </c>
    </row>
    <row r="1494" spans="1:2">
      <c r="A1494" s="1" t="str">
        <f>"2710.19.32"</f>
        <v>2710.19.32</v>
      </c>
      <c r="B1494" s="2" t="str">
        <f>"COM ADITIVOS"</f>
        <v>COM ADITIVOS</v>
      </c>
    </row>
    <row r="1495" spans="1:2">
      <c r="A1495" s="1" t="str">
        <f>"2710.19.91"</f>
        <v>2710.19.91</v>
      </c>
      <c r="B1495" s="2" t="str">
        <f>"Oleos minerais brancos (oleos de va"</f>
        <v>Oleos minerais brancos (oleos de va</v>
      </c>
    </row>
    <row r="1496" spans="1:2">
      <c r="A1496" s="1" t="str">
        <f>"2710.19.92"</f>
        <v>2710.19.92</v>
      </c>
      <c r="B1496" s="2" t="str">
        <f>"LÍQUIDOS PARA TRANSMISSÕES HIDRÁULI"</f>
        <v>LÍQUIDOS PARA TRANSMISSÕES HIDRÁULI</v>
      </c>
    </row>
    <row r="1497" spans="1:2">
      <c r="A1497" s="1" t="str">
        <f>"2710.19.93"</f>
        <v>2710.19.93</v>
      </c>
      <c r="B1497" s="2" t="str">
        <f>"Oleos para isolamento eletrico"</f>
        <v>Oleos para isolamento eletrico</v>
      </c>
    </row>
    <row r="1498" spans="1:2">
      <c r="A1498" s="1" t="str">
        <f>"2710.19.94"</f>
        <v>2710.19.94</v>
      </c>
      <c r="B1498" s="2" t="str">
        <f>"Mistura de hidrocarbonetos aciclico"</f>
        <v>Mistura de hidrocarbonetos aciclico</v>
      </c>
    </row>
    <row r="1499" spans="1:2">
      <c r="A1499" s="1" t="str">
        <f>"2710.19.99"</f>
        <v>2710.19.99</v>
      </c>
      <c r="B1499" s="2" t="str">
        <f>"OPTIPIT"</f>
        <v>OPTIPIT</v>
      </c>
    </row>
    <row r="1500" spans="1:2">
      <c r="A1500" s="1" t="str">
        <f>"2710.20.00"</f>
        <v>2710.20.00</v>
      </c>
      <c r="B1500" s="2" t="str">
        <f>"Oleos de petroleo ou de minerais be"</f>
        <v>Oleos de petroleo ou de minerais be</v>
      </c>
    </row>
    <row r="1501" spans="1:2">
      <c r="A1501" s="1" t="str">
        <f>"2710.91.00"</f>
        <v>2710.91.00</v>
      </c>
      <c r="B1501" s="2" t="str">
        <f>"Que contenham difenilas policlorada"</f>
        <v>Que contenham difenilas policlorada</v>
      </c>
    </row>
    <row r="1502" spans="1:2">
      <c r="A1502" s="1" t="str">
        <f>"2710.99.00"</f>
        <v>2710.99.00</v>
      </c>
      <c r="B1502" s="2" t="str">
        <f>"OLEO LUBRIFICANTE"</f>
        <v>OLEO LUBRIFICANTE</v>
      </c>
    </row>
    <row r="1503" spans="1:2">
      <c r="A1503" s="1" t="str">
        <f>"2711.11.00"</f>
        <v>2711.11.00</v>
      </c>
      <c r="B1503" s="2" t="str">
        <f>"GAS NATURAL"</f>
        <v>GAS NATURAL</v>
      </c>
    </row>
    <row r="1504" spans="1:2">
      <c r="A1504" s="1" t="str">
        <f>"2711.12.10"</f>
        <v>2711.12.10</v>
      </c>
      <c r="B1504" s="2" t="str">
        <f>"Bruto"</f>
        <v>Bruto</v>
      </c>
    </row>
    <row r="1505" spans="1:2">
      <c r="A1505" s="1" t="str">
        <f>"2711.12.90"</f>
        <v>2711.12.90</v>
      </c>
      <c r="B1505" s="2" t="str">
        <f>"Outros"</f>
        <v>Outros</v>
      </c>
    </row>
    <row r="1506" spans="1:2">
      <c r="A1506" s="1" t="str">
        <f>"2711.13.00"</f>
        <v>2711.13.00</v>
      </c>
      <c r="B1506" s="2" t="str">
        <f>"Butanos"</f>
        <v>Butanos</v>
      </c>
    </row>
    <row r="1507" spans="1:2">
      <c r="A1507" s="1" t="str">
        <f>"2711.14.00"</f>
        <v>2711.14.00</v>
      </c>
      <c r="B1507" s="2" t="str">
        <f>"Etileno, propileno, butileno e buta"</f>
        <v>Etileno, propileno, butileno e buta</v>
      </c>
    </row>
    <row r="1508" spans="1:2">
      <c r="A1508" s="1" t="str">
        <f>"2711.19.10"</f>
        <v>2711.19.10</v>
      </c>
      <c r="B1508" s="2" t="str">
        <f>"Gás liquefeito de petróleo (GLP)"</f>
        <v>Gás liquefeito de petróleo (GLP)</v>
      </c>
    </row>
    <row r="1509" spans="1:2">
      <c r="A1509" s="1" t="str">
        <f>"2711.19.90"</f>
        <v>2711.19.90</v>
      </c>
      <c r="B1509" s="2" t="str">
        <f>"Outros"</f>
        <v>Outros</v>
      </c>
    </row>
    <row r="1510" spans="1:2">
      <c r="A1510" s="1" t="str">
        <f>"2711.21.00"</f>
        <v>2711.21.00</v>
      </c>
      <c r="B1510" s="2" t="str">
        <f>"Gas natural"</f>
        <v>Gas natural</v>
      </c>
    </row>
    <row r="1511" spans="1:2">
      <c r="A1511" s="1" t="str">
        <f>"2711.29.10"</f>
        <v>2711.29.10</v>
      </c>
      <c r="B1511" s="2" t="str">
        <f>"Butanos"</f>
        <v>Butanos</v>
      </c>
    </row>
    <row r="1512" spans="1:2">
      <c r="A1512" s="1" t="str">
        <f>"2711.29.90"</f>
        <v>2711.29.90</v>
      </c>
      <c r="B1512" s="2" t="str">
        <f>"Outros"</f>
        <v>Outros</v>
      </c>
    </row>
    <row r="1513" spans="1:2">
      <c r="A1513" s="1" t="str">
        <f>"2712.10.00"</f>
        <v>2712.10.00</v>
      </c>
      <c r="B1513" s="2" t="str">
        <f>"VASELINA"</f>
        <v>VASELINA</v>
      </c>
    </row>
    <row r="1514" spans="1:2">
      <c r="A1514" s="1" t="str">
        <f>"2712.20.00"</f>
        <v>2712.20.00</v>
      </c>
      <c r="B1514" s="2" t="str">
        <f>"Parafina que contenha, em peso, men"</f>
        <v>Parafina que contenha, em peso, men</v>
      </c>
    </row>
    <row r="1515" spans="1:2">
      <c r="A1515" s="1" t="str">
        <f>"2712.90.00"</f>
        <v>2712.90.00</v>
      </c>
      <c r="B1515" s="2" t="str">
        <f>"PROPYLMATTE 31"</f>
        <v>PROPYLMATTE 31</v>
      </c>
    </row>
    <row r="1516" spans="1:2">
      <c r="A1516" s="1" t="str">
        <f>"2713.11.00"</f>
        <v>2713.11.00</v>
      </c>
      <c r="B1516" s="2" t="str">
        <f>"Nao calcinado"</f>
        <v>Nao calcinado</v>
      </c>
    </row>
    <row r="1517" spans="1:2">
      <c r="A1517" s="1" t="str">
        <f>"2713.12.00"</f>
        <v>2713.12.00</v>
      </c>
      <c r="B1517" s="2" t="str">
        <f>"Calcinado"</f>
        <v>Calcinado</v>
      </c>
    </row>
    <row r="1518" spans="1:2">
      <c r="A1518" s="1" t="str">
        <f>"2713.20.00"</f>
        <v>2713.20.00</v>
      </c>
      <c r="B1518" s="2" t="str">
        <f>"Betume de petroleo"</f>
        <v>Betume de petroleo</v>
      </c>
    </row>
    <row r="1519" spans="1:2">
      <c r="A1519" s="1" t="str">
        <f>"2713.90.00"</f>
        <v>2713.90.00</v>
      </c>
      <c r="B1519" s="2" t="str">
        <f>"Outros residuos dos oleos de petrol"</f>
        <v>Outros residuos dos oleos de petrol</v>
      </c>
    </row>
    <row r="1520" spans="1:2">
      <c r="A1520" s="1" t="str">
        <f>"2714.10.00"</f>
        <v>2714.10.00</v>
      </c>
      <c r="B1520" s="2" t="str">
        <f>"Xistos e areias betuminosos"</f>
        <v>Xistos e areias betuminosos</v>
      </c>
    </row>
    <row r="1521" spans="1:2">
      <c r="A1521" s="1" t="str">
        <f>"2714.90.00"</f>
        <v>2714.90.00</v>
      </c>
      <c r="B1521" s="2" t="str">
        <f>"Outros"</f>
        <v>Outros</v>
      </c>
    </row>
    <row r="1522" spans="1:2">
      <c r="A1522" s="1" t="str">
        <f>"2715.00.00"</f>
        <v>2715.00.00</v>
      </c>
      <c r="B1522" s="2" t="str">
        <f>"Misturas betuminosas a base de asfa"</f>
        <v>Misturas betuminosas a base de asfa</v>
      </c>
    </row>
    <row r="1523" spans="1:2">
      <c r="A1523" s="1" t="str">
        <f>"2716.00.00"</f>
        <v>2716.00.00</v>
      </c>
      <c r="B1523" s="2" t="str">
        <f>"ENERGIA ELÉTRICA"</f>
        <v>ENERGIA ELÉTRICA</v>
      </c>
    </row>
    <row r="1524" spans="1:2">
      <c r="A1524" s="1" t="str">
        <f>"2801.10.00"</f>
        <v>2801.10.00</v>
      </c>
      <c r="B1524" s="2" t="str">
        <f>"Cloro"</f>
        <v>Cloro</v>
      </c>
    </row>
    <row r="1525" spans="1:2">
      <c r="A1525" s="1" t="str">
        <f>"2801.20.10"</f>
        <v>2801.20.10</v>
      </c>
      <c r="B1525" s="2" t="str">
        <f>"SUBLIMADO"</f>
        <v>SUBLIMADO</v>
      </c>
    </row>
    <row r="1526" spans="1:2">
      <c r="A1526" s="1" t="str">
        <f>"2801.20.90"</f>
        <v>2801.20.90</v>
      </c>
      <c r="B1526" s="2" t="str">
        <f>"Outros"</f>
        <v>Outros</v>
      </c>
    </row>
    <row r="1527" spans="1:2">
      <c r="A1527" s="1" t="str">
        <f>"2801.30.00"</f>
        <v>2801.30.00</v>
      </c>
      <c r="B1527" s="2" t="str">
        <f>"Fluor; bromo"</f>
        <v>Fluor; bromo</v>
      </c>
    </row>
    <row r="1528" spans="1:2">
      <c r="A1528" s="1" t="str">
        <f>"2802.00.00"</f>
        <v>2802.00.00</v>
      </c>
      <c r="B1528" s="2" t="str">
        <f>"Enxofre sublimado ou precipitado; e"</f>
        <v>Enxofre sublimado ou precipitado; e</v>
      </c>
    </row>
    <row r="1529" spans="1:2">
      <c r="A1529" s="1" t="str">
        <f>"2803.00.11"</f>
        <v>2803.00.11</v>
      </c>
      <c r="B1529" s="2" t="str">
        <f>"Negro de acetileno"</f>
        <v>Negro de acetileno</v>
      </c>
    </row>
    <row r="1530" spans="1:2">
      <c r="A1530" s="1" t="str">
        <f>"2803.00.19"</f>
        <v>2803.00.19</v>
      </c>
      <c r="B1530" s="2" t="str">
        <f>"ICARBON BLACK  BLACKPEARLS"</f>
        <v>ICARBON BLACK  BLACKPEARLS</v>
      </c>
    </row>
    <row r="1531" spans="1:2">
      <c r="A1531" s="1" t="str">
        <f>"2803.00.90"</f>
        <v>2803.00.90</v>
      </c>
      <c r="B1531" s="2" t="str">
        <f>"Outros"</f>
        <v>Outros</v>
      </c>
    </row>
    <row r="1532" spans="1:2">
      <c r="A1532" s="1" t="str">
        <f>"2804.10.00"</f>
        <v>2804.10.00</v>
      </c>
      <c r="B1532" s="2" t="str">
        <f>"Hidrogenio"</f>
        <v>Hidrogenio</v>
      </c>
    </row>
    <row r="1533" spans="1:2">
      <c r="A1533" s="1" t="str">
        <f>"2804.21.00"</f>
        <v>2804.21.00</v>
      </c>
      <c r="B1533" s="2" t="str">
        <f>"ARGÔNIO (ÁRGON)"</f>
        <v>ARGÔNIO (ÁRGON)</v>
      </c>
    </row>
    <row r="1534" spans="1:2">
      <c r="A1534" s="1" t="str">
        <f>"2804.29.10"</f>
        <v>2804.29.10</v>
      </c>
      <c r="B1534" s="2" t="str">
        <f>"Helio liquido"</f>
        <v>Helio liquido</v>
      </c>
    </row>
    <row r="1535" spans="1:2">
      <c r="A1535" s="1" t="str">
        <f>"2804.29.90"</f>
        <v>2804.29.90</v>
      </c>
      <c r="B1535" s="2" t="str">
        <f>"MISTURAS E GASES ESPECIAIS"</f>
        <v>MISTURAS E GASES ESPECIAIS</v>
      </c>
    </row>
    <row r="1536" spans="1:2">
      <c r="A1536" s="1" t="str">
        <f>"2804.30.00"</f>
        <v>2804.30.00</v>
      </c>
      <c r="B1536" s="2" t="str">
        <f>"NITROGENIO"</f>
        <v>NITROGENIO</v>
      </c>
    </row>
    <row r="1537" spans="1:2">
      <c r="A1537" s="1" t="str">
        <f>"2804.40.00"</f>
        <v>2804.40.00</v>
      </c>
      <c r="B1537" s="2" t="str">
        <f>"OXIGENIO"</f>
        <v>OXIGENIO</v>
      </c>
    </row>
    <row r="1538" spans="1:2">
      <c r="A1538" s="1" t="str">
        <f>"2804.50.00"</f>
        <v>2804.50.00</v>
      </c>
      <c r="B1538" s="2" t="str">
        <f>"Boro; telurio"</f>
        <v>Boro; telurio</v>
      </c>
    </row>
    <row r="1539" spans="1:2">
      <c r="A1539" s="1" t="str">
        <f>"2804.61.00"</f>
        <v>2804.61.00</v>
      </c>
      <c r="B1539" s="2" t="str">
        <f>"Que contenham, em peso, pelo menos"</f>
        <v>Que contenham, em peso, pelo menos</v>
      </c>
    </row>
    <row r="1540" spans="1:2">
      <c r="A1540" s="1" t="str">
        <f>"2804.69.00"</f>
        <v>2804.69.00</v>
      </c>
      <c r="B1540" s="2" t="str">
        <f>"Outro"</f>
        <v>Outro</v>
      </c>
    </row>
    <row r="1541" spans="1:2">
      <c r="A1541" s="1" t="str">
        <f>"2804.70.10"</f>
        <v>2804.70.10</v>
      </c>
      <c r="B1541" s="2" t="str">
        <f>"Branco"</f>
        <v>Branco</v>
      </c>
    </row>
    <row r="1542" spans="1:2">
      <c r="A1542" s="1" t="str">
        <f>"2804.70.20"</f>
        <v>2804.70.20</v>
      </c>
      <c r="B1542" s="2" t="str">
        <f>"Vermelho ou amorfo"</f>
        <v>Vermelho ou amorfo</v>
      </c>
    </row>
    <row r="1543" spans="1:2">
      <c r="A1543" s="1" t="str">
        <f>"2804.70.30"</f>
        <v>2804.70.30</v>
      </c>
      <c r="B1543" s="2" t="str">
        <f>"Negro"</f>
        <v>Negro</v>
      </c>
    </row>
    <row r="1544" spans="1:2">
      <c r="A1544" s="1" t="str">
        <f>"2804.80.00"</f>
        <v>2804.80.00</v>
      </c>
      <c r="B1544" s="2" t="str">
        <f>"Arsenio"</f>
        <v>Arsenio</v>
      </c>
    </row>
    <row r="1545" spans="1:2">
      <c r="A1545" s="1" t="str">
        <f>"2804.90.00"</f>
        <v>2804.90.00</v>
      </c>
      <c r="B1545" s="2" t="str">
        <f>"Selenio"</f>
        <v>Selenio</v>
      </c>
    </row>
    <row r="1546" spans="1:2">
      <c r="A1546" s="1" t="str">
        <f>"2805.11.00"</f>
        <v>2805.11.00</v>
      </c>
      <c r="B1546" s="2" t="str">
        <f>"Sodio"</f>
        <v>Sodio</v>
      </c>
    </row>
    <row r="1547" spans="1:2">
      <c r="A1547" s="1" t="str">
        <f>"2805.12.00"</f>
        <v>2805.12.00</v>
      </c>
      <c r="B1547" s="2" t="str">
        <f>"Calcio"</f>
        <v>Calcio</v>
      </c>
    </row>
    <row r="1548" spans="1:2">
      <c r="A1548" s="1" t="str">
        <f>"2805.19.10"</f>
        <v>2805.19.10</v>
      </c>
      <c r="B1548" s="2" t="str">
        <f>"Estroncio"</f>
        <v>Estroncio</v>
      </c>
    </row>
    <row r="1549" spans="1:2">
      <c r="A1549" s="1" t="str">
        <f>"2805.19.20"</f>
        <v>2805.19.20</v>
      </c>
      <c r="B1549" s="2" t="str">
        <f>"Bario"</f>
        <v>Bario</v>
      </c>
    </row>
    <row r="1550" spans="1:2">
      <c r="A1550" s="1" t="str">
        <f>"2805.19.90"</f>
        <v>2805.19.90</v>
      </c>
      <c r="B1550" s="2" t="str">
        <f>"Outros"</f>
        <v>Outros</v>
      </c>
    </row>
    <row r="1551" spans="1:2">
      <c r="A1551" s="1" t="str">
        <f>"2805.30.10"</f>
        <v>2805.30.10</v>
      </c>
      <c r="B1551" s="2" t="str">
        <f>"Liga de cerio, com um teor de ferro"</f>
        <v>Liga de cerio, com um teor de ferro</v>
      </c>
    </row>
    <row r="1552" spans="1:2">
      <c r="A1552" s="1" t="str">
        <f>"2805.30.90"</f>
        <v>2805.30.90</v>
      </c>
      <c r="B1552" s="2" t="str">
        <f>"Outros"</f>
        <v>Outros</v>
      </c>
    </row>
    <row r="1553" spans="1:2">
      <c r="A1553" s="1" t="str">
        <f>"2805.40.00"</f>
        <v>2805.40.00</v>
      </c>
      <c r="B1553" s="2" t="str">
        <f>"Mercurio"</f>
        <v>Mercurio</v>
      </c>
    </row>
    <row r="1554" spans="1:2">
      <c r="A1554" s="1" t="str">
        <f>"2806.10.10"</f>
        <v>2806.10.10</v>
      </c>
      <c r="B1554" s="2" t="str">
        <f>"Em estado gasoso ou liquefeito"</f>
        <v>Em estado gasoso ou liquefeito</v>
      </c>
    </row>
    <row r="1555" spans="1:2">
      <c r="A1555" s="1" t="str">
        <f>"2806.10.20"</f>
        <v>2806.10.20</v>
      </c>
      <c r="B1555" s="2" t="str">
        <f>"EM SOLUÇÃO AQUOSA"</f>
        <v>EM SOLUÇÃO AQUOSA</v>
      </c>
    </row>
    <row r="1556" spans="1:2">
      <c r="A1556" s="1" t="str">
        <f>"2806.20.00"</f>
        <v>2806.20.00</v>
      </c>
      <c r="B1556" s="2" t="str">
        <f>"Acido clorossulfurico"</f>
        <v>Acido clorossulfurico</v>
      </c>
    </row>
    <row r="1557" spans="1:2">
      <c r="A1557" s="1" t="str">
        <f>"2807.00.10"</f>
        <v>2807.00.10</v>
      </c>
      <c r="B1557" s="2" t="str">
        <f>"ÁCIDO SULFÚRICO"</f>
        <v>ÁCIDO SULFÚRICO</v>
      </c>
    </row>
    <row r="1558" spans="1:2">
      <c r="A1558" s="1" t="str">
        <f>"2807.00.20"</f>
        <v>2807.00.20</v>
      </c>
      <c r="B1558" s="2" t="str">
        <f>"Acido sulfurico fumante (oleum)"</f>
        <v>Acido sulfurico fumante (oleum)</v>
      </c>
    </row>
    <row r="1559" spans="1:2">
      <c r="A1559" s="1" t="str">
        <f>"2808.00.10"</f>
        <v>2808.00.10</v>
      </c>
      <c r="B1559" s="2" t="str">
        <f>"Acido nitrico"</f>
        <v>Acido nitrico</v>
      </c>
    </row>
    <row r="1560" spans="1:2">
      <c r="A1560" s="1" t="str">
        <f>"2808.00.20"</f>
        <v>2808.00.20</v>
      </c>
      <c r="B1560" s="2" t="str">
        <f>"Acidos sulfonitricos"</f>
        <v>Acidos sulfonitricos</v>
      </c>
    </row>
    <row r="1561" spans="1:2">
      <c r="A1561" s="1" t="str">
        <f>"2809.10.00"</f>
        <v>2809.10.00</v>
      </c>
      <c r="B1561" s="2" t="str">
        <f>"Pentoxido de difosforo"</f>
        <v>Pentoxido de difosforo</v>
      </c>
    </row>
    <row r="1562" spans="1:2">
      <c r="A1562" s="1" t="str">
        <f>"2809.20.11"</f>
        <v>2809.20.11</v>
      </c>
      <c r="B1562" s="2" t="str">
        <f>"OUTROS"</f>
        <v>OUTROS</v>
      </c>
    </row>
    <row r="1563" spans="1:2">
      <c r="A1563" s="1" t="str">
        <f>"2809.20.19"</f>
        <v>2809.20.19</v>
      </c>
      <c r="B1563" s="2" t="str">
        <f>"Outros"</f>
        <v>Outros</v>
      </c>
    </row>
    <row r="1564" spans="1:2">
      <c r="A1564" s="1" t="str">
        <f>"2809.20.20"</f>
        <v>2809.20.20</v>
      </c>
      <c r="B1564" s="2" t="str">
        <f>"Acidos metafosforicos"</f>
        <v>Acidos metafosforicos</v>
      </c>
    </row>
    <row r="1565" spans="1:2">
      <c r="A1565" s="1" t="str">
        <f>"2809.20.30"</f>
        <v>2809.20.30</v>
      </c>
      <c r="B1565" s="2" t="str">
        <f>"Acido pirofosforico"</f>
        <v>Acido pirofosforico</v>
      </c>
    </row>
    <row r="1566" spans="1:2">
      <c r="A1566" s="1" t="str">
        <f>"2809.20.90"</f>
        <v>2809.20.90</v>
      </c>
      <c r="B1566" s="2" t="str">
        <f>"Outros"</f>
        <v>Outros</v>
      </c>
    </row>
    <row r="1567" spans="1:2">
      <c r="A1567" s="1" t="str">
        <f>"2810.00.10"</f>
        <v>2810.00.10</v>
      </c>
      <c r="B1567" s="2" t="str">
        <f>"Acido ortoborico"</f>
        <v>Acido ortoborico</v>
      </c>
    </row>
    <row r="1568" spans="1:2">
      <c r="A1568" s="1" t="str">
        <f>"2810.00.90"</f>
        <v>2810.00.90</v>
      </c>
      <c r="B1568" s="2" t="str">
        <f>"Outros"</f>
        <v>Outros</v>
      </c>
    </row>
    <row r="1569" spans="1:2">
      <c r="A1569" s="1" t="str">
        <f>"2811.11.00"</f>
        <v>2811.11.00</v>
      </c>
      <c r="B1569" s="2" t="str">
        <f>"Fluoreto de hidrogenio (acido fluor"</f>
        <v>Fluoreto de hidrogenio (acido fluor</v>
      </c>
    </row>
    <row r="1570" spans="1:2">
      <c r="A1570" s="1" t="str">
        <f>"2811.12.00"</f>
        <v>2811.12.00</v>
      </c>
      <c r="B1570" s="2" t="str">
        <f>"Cianeto de hidrogenio (acido cianid"</f>
        <v>Cianeto de hidrogenio (acido cianid</v>
      </c>
    </row>
    <row r="1571" spans="1:2">
      <c r="A1571" s="1" t="str">
        <f>"2811.19.10"</f>
        <v>2811.19.10</v>
      </c>
      <c r="B1571" s="2" t="str">
        <f>"Acido aminossulfonico (acido sulfam"</f>
        <v>Acido aminossulfonico (acido sulfam</v>
      </c>
    </row>
    <row r="1572" spans="1:2">
      <c r="A1572" s="1" t="str">
        <f>"2811.19.20"</f>
        <v>2811.19.20</v>
      </c>
      <c r="B1572" s="2" t="str">
        <f>"Acido fosfonico (acido fosforoso)"</f>
        <v>Acido fosfonico (acido fosforoso)</v>
      </c>
    </row>
    <row r="1573" spans="1:2">
      <c r="A1573" s="1" t="str">
        <f>"2811.19.30"</f>
        <v>2811.19.30</v>
      </c>
      <c r="B1573" s="2" t="str">
        <f>"ÁCIDO PERCLÓRICO"</f>
        <v>ÁCIDO PERCLÓRICO</v>
      </c>
    </row>
    <row r="1574" spans="1:2">
      <c r="A1574" s="1" t="str">
        <f>"2811.19.40"</f>
        <v>2811.19.40</v>
      </c>
      <c r="B1574" s="2" t="str">
        <f>"Fluoracidos e outros compostos de f"</f>
        <v>Fluoracidos e outros compostos de f</v>
      </c>
    </row>
    <row r="1575" spans="1:2">
      <c r="A1575" s="1" t="str">
        <f>"2811.19.90"</f>
        <v>2811.19.90</v>
      </c>
      <c r="B1575" s="2" t="str">
        <f>"Outros"</f>
        <v>Outros</v>
      </c>
    </row>
    <row r="1576" spans="1:2">
      <c r="A1576" s="1" t="str">
        <f>"2811.21.00"</f>
        <v>2811.21.00</v>
      </c>
      <c r="B1576" s="2" t="str">
        <f>"Dioxido de carbono"</f>
        <v>Dioxido de carbono</v>
      </c>
    </row>
    <row r="1577" spans="1:2">
      <c r="A1577" s="1" t="str">
        <f>"2811.22.10"</f>
        <v>2811.22.10</v>
      </c>
      <c r="B1577" s="2" t="str">
        <f>"TIXOSIL"</f>
        <v>TIXOSIL</v>
      </c>
    </row>
    <row r="1578" spans="1:2">
      <c r="A1578" s="1" t="str">
        <f>"2811.22.20"</f>
        <v>2811.22.20</v>
      </c>
      <c r="B1578" s="2" t="str">
        <f>"Tipo aerogel"</f>
        <v>Tipo aerogel</v>
      </c>
    </row>
    <row r="1579" spans="1:2">
      <c r="A1579" s="1" t="str">
        <f>"2811.22.30"</f>
        <v>2811.22.30</v>
      </c>
      <c r="B1579" s="2" t="str">
        <f>"GASIL-GEL DE SILICA"</f>
        <v>GASIL-GEL DE SILICA</v>
      </c>
    </row>
    <row r="1580" spans="1:2">
      <c r="A1580" s="1" t="str">
        <f>"2811.22.90"</f>
        <v>2811.22.90</v>
      </c>
      <c r="B1580" s="2" t="str">
        <f>"DIOX.SILICIO/OUTROS"</f>
        <v>DIOX.SILICIO/OUTROS</v>
      </c>
    </row>
    <row r="1581" spans="1:2">
      <c r="A1581" s="1" t="str">
        <f>"2811.29.10"</f>
        <v>2811.29.10</v>
      </c>
      <c r="B1581" s="2" t="str">
        <f>"Dioxido de enxofre"</f>
        <v>Dioxido de enxofre</v>
      </c>
    </row>
    <row r="1582" spans="1:2">
      <c r="A1582" s="1" t="str">
        <f>"2811.29.90"</f>
        <v>2811.29.90</v>
      </c>
      <c r="B1582" s="2" t="str">
        <f>"Outros"</f>
        <v>Outros</v>
      </c>
    </row>
    <row r="1583" spans="1:2">
      <c r="A1583" s="1" t="str">
        <f>"2812.11.00"</f>
        <v>2812.11.00</v>
      </c>
      <c r="B1583" s="2" t="str">
        <f>"Dicloreto de carbonila (fosgenio)"</f>
        <v>Dicloreto de carbonila (fosgenio)</v>
      </c>
    </row>
    <row r="1584" spans="1:2">
      <c r="A1584" s="1" t="str">
        <f>"2812.12.00"</f>
        <v>2812.12.00</v>
      </c>
      <c r="B1584" s="2" t="str">
        <f>"Oxicloreto de fosforo"</f>
        <v>Oxicloreto de fosforo</v>
      </c>
    </row>
    <row r="1585" spans="1:2">
      <c r="A1585" s="1" t="str">
        <f>"2812.13.00"</f>
        <v>2812.13.00</v>
      </c>
      <c r="B1585" s="2" t="str">
        <f>"Tricloreto de fosforo"</f>
        <v>Tricloreto de fosforo</v>
      </c>
    </row>
    <row r="1586" spans="1:2">
      <c r="A1586" s="1" t="str">
        <f>"2812.14.00"</f>
        <v>2812.14.00</v>
      </c>
      <c r="B1586" s="2" t="str">
        <f>"Pentacloreto de fosforo"</f>
        <v>Pentacloreto de fosforo</v>
      </c>
    </row>
    <row r="1587" spans="1:2">
      <c r="A1587" s="1" t="str">
        <f>"2812.15.00"</f>
        <v>2812.15.00</v>
      </c>
      <c r="B1587" s="2" t="str">
        <f>"Monocloreto de enxofre"</f>
        <v>Monocloreto de enxofre</v>
      </c>
    </row>
    <row r="1588" spans="1:2">
      <c r="A1588" s="1" t="str">
        <f>"2812.16.00"</f>
        <v>2812.16.00</v>
      </c>
      <c r="B1588" s="2" t="str">
        <f>"Dicloreto de enxofre"</f>
        <v>Dicloreto de enxofre</v>
      </c>
    </row>
    <row r="1589" spans="1:2">
      <c r="A1589" s="1" t="str">
        <f>"2812.17.00"</f>
        <v>2812.17.00</v>
      </c>
      <c r="B1589" s="2" t="str">
        <f>"Cloreto de tionila"</f>
        <v>Cloreto de tionila</v>
      </c>
    </row>
    <row r="1590" spans="1:2">
      <c r="A1590" s="1" t="str">
        <f>"2812.19.11"</f>
        <v>2812.19.11</v>
      </c>
      <c r="B1590" s="2" t="str">
        <f>"Tricloreto de arsenio"</f>
        <v>Tricloreto de arsenio</v>
      </c>
    </row>
    <row r="1591" spans="1:2">
      <c r="A1591" s="1" t="str">
        <f>"2812.19.19"</f>
        <v>2812.19.19</v>
      </c>
      <c r="B1591" s="2" t="str">
        <f>"Outros"</f>
        <v>Outros</v>
      </c>
    </row>
    <row r="1592" spans="1:2">
      <c r="A1592" s="1" t="str">
        <f>"2812.19.20"</f>
        <v>2812.19.20</v>
      </c>
      <c r="B1592" s="2" t="str">
        <f>"Oxicloretos"</f>
        <v>Oxicloretos</v>
      </c>
    </row>
    <row r="1593" spans="1:2">
      <c r="A1593" s="1" t="str">
        <f>"2812.90.00"</f>
        <v>2812.90.00</v>
      </c>
      <c r="B1593" s="2" t="str">
        <f>"Outros"</f>
        <v>Outros</v>
      </c>
    </row>
    <row r="1594" spans="1:2">
      <c r="A1594" s="1" t="str">
        <f>"2813.10.00"</f>
        <v>2813.10.00</v>
      </c>
      <c r="B1594" s="2" t="str">
        <f>"Dissulfeto de carbono"</f>
        <v>Dissulfeto de carbono</v>
      </c>
    </row>
    <row r="1595" spans="1:2">
      <c r="A1595" s="1" t="str">
        <f>"2813.90.10"</f>
        <v>2813.90.10</v>
      </c>
      <c r="B1595" s="2" t="str">
        <f>"Pentassulfeto de difosforo"</f>
        <v>Pentassulfeto de difosforo</v>
      </c>
    </row>
    <row r="1596" spans="1:2">
      <c r="A1596" s="1" t="str">
        <f>"2813.90.90"</f>
        <v>2813.90.90</v>
      </c>
      <c r="B1596" s="2" t="str">
        <f>"Outros"</f>
        <v>Outros</v>
      </c>
    </row>
    <row r="1597" spans="1:2">
      <c r="A1597" s="1" t="str">
        <f>"2814.10.00"</f>
        <v>2814.10.00</v>
      </c>
      <c r="B1597" s="2" t="str">
        <f>"Amoniaco anidro"</f>
        <v>Amoniaco anidro</v>
      </c>
    </row>
    <row r="1598" spans="1:2">
      <c r="A1598" s="1" t="str">
        <f>"2814.20.00"</f>
        <v>2814.20.00</v>
      </c>
      <c r="B1598" s="2" t="str">
        <f>"Amoníaco em solução aquosa (amônia)"</f>
        <v>Amoníaco em solução aquosa (amônia)</v>
      </c>
    </row>
    <row r="1599" spans="1:2">
      <c r="A1599" s="1" t="str">
        <f>"2815.11.00"</f>
        <v>2815.11.00</v>
      </c>
      <c r="B1599" s="2" t="str">
        <f>"SÓLIDOS"</f>
        <v>SÓLIDOS</v>
      </c>
    </row>
    <row r="1600" spans="1:2">
      <c r="A1600" s="1" t="str">
        <f>"2815.12.00"</f>
        <v>2815.12.00</v>
      </c>
      <c r="B1600" s="2" t="str">
        <f>"EM SOLUÇÃO AQUOSA (LIXÍVIA DE SODA"</f>
        <v>EM SOLUÇÃO AQUOSA (LIXÍVIA DE SODA</v>
      </c>
    </row>
    <row r="1601" spans="1:2">
      <c r="A1601" s="1" t="str">
        <f>"2815.20.00"</f>
        <v>2815.20.00</v>
      </c>
      <c r="B1601" s="2" t="str">
        <f>"Hidroxido de potassio (potassa caus"</f>
        <v>Hidroxido de potassio (potassa caus</v>
      </c>
    </row>
    <row r="1602" spans="1:2">
      <c r="A1602" s="1" t="str">
        <f>"2815.30.00"</f>
        <v>2815.30.00</v>
      </c>
      <c r="B1602" s="2" t="str">
        <f>"Peroxidos de sodio ou de potassio"</f>
        <v>Peroxidos de sodio ou de potassio</v>
      </c>
    </row>
    <row r="1603" spans="1:2">
      <c r="A1603" s="1" t="str">
        <f>"2816.10.10"</f>
        <v>2816.10.10</v>
      </c>
      <c r="B1603" s="2" t="str">
        <f>"Hidroxido"</f>
        <v>Hidroxido</v>
      </c>
    </row>
    <row r="1604" spans="1:2">
      <c r="A1604" s="1" t="str">
        <f>"2816.10.20"</f>
        <v>2816.10.20</v>
      </c>
      <c r="B1604" s="2" t="str">
        <f>"Peroxido"</f>
        <v>Peroxido</v>
      </c>
    </row>
    <row r="1605" spans="1:2">
      <c r="A1605" s="1" t="str">
        <f>"2816.40.10"</f>
        <v>2816.40.10</v>
      </c>
      <c r="B1605" s="2" t="str">
        <f>"Hidroxido de bario"</f>
        <v>Hidroxido de bario</v>
      </c>
    </row>
    <row r="1606" spans="1:2">
      <c r="A1606" s="1" t="str">
        <f>"2816.40.90"</f>
        <v>2816.40.90</v>
      </c>
      <c r="B1606" s="2" t="str">
        <f>"Outros"</f>
        <v>Outros</v>
      </c>
    </row>
    <row r="1607" spans="1:2">
      <c r="A1607" s="1" t="str">
        <f>"2817.00.10"</f>
        <v>2817.00.10</v>
      </c>
      <c r="B1607" s="2" t="str">
        <f>"Oxido de zinco (branco de zinco)"</f>
        <v>Oxido de zinco (branco de zinco)</v>
      </c>
    </row>
    <row r="1608" spans="1:2">
      <c r="A1608" s="1" t="str">
        <f>"2817.00.20"</f>
        <v>2817.00.20</v>
      </c>
      <c r="B1608" s="2" t="str">
        <f>"Peroxido de zinco"</f>
        <v>Peroxido de zinco</v>
      </c>
    </row>
    <row r="1609" spans="1:2">
      <c r="A1609" s="1" t="str">
        <f>"2818.10.10"</f>
        <v>2818.10.10</v>
      </c>
      <c r="B1609" s="2" t="str">
        <f>"Branco, que passe atraves de uma pe"</f>
        <v>Branco, que passe atraves de uma pe</v>
      </c>
    </row>
    <row r="1610" spans="1:2">
      <c r="A1610" s="1" t="str">
        <f>"2818.10.90"</f>
        <v>2818.10.90</v>
      </c>
      <c r="B1610" s="2" t="str">
        <f>"Outros"</f>
        <v>Outros</v>
      </c>
    </row>
    <row r="1611" spans="1:2">
      <c r="A1611" s="1" t="str">
        <f>"2818.20.10"</f>
        <v>2818.20.10</v>
      </c>
      <c r="B1611" s="2" t="str">
        <f>"Alumina calcinada"</f>
        <v>Alumina calcinada</v>
      </c>
    </row>
    <row r="1612" spans="1:2">
      <c r="A1612" s="1" t="str">
        <f>"2818.20.90"</f>
        <v>2818.20.90</v>
      </c>
      <c r="B1612" s="2" t="str">
        <f>"Outros"</f>
        <v>Outros</v>
      </c>
    </row>
    <row r="1613" spans="1:2">
      <c r="A1613" s="1" t="str">
        <f>"2818.30.00"</f>
        <v>2818.30.00</v>
      </c>
      <c r="B1613" s="2" t="str">
        <f>"Hidroxido de aluminio"</f>
        <v>Hidroxido de aluminio</v>
      </c>
    </row>
    <row r="1614" spans="1:2">
      <c r="A1614" s="1" t="str">
        <f>"2819.10.00"</f>
        <v>2819.10.00</v>
      </c>
      <c r="B1614" s="2" t="str">
        <f>"Trioxido de cromo"</f>
        <v>Trioxido de cromo</v>
      </c>
    </row>
    <row r="1615" spans="1:2">
      <c r="A1615" s="1" t="str">
        <f>"2819.90.10"</f>
        <v>2819.90.10</v>
      </c>
      <c r="B1615" s="2" t="str">
        <f>"Oxidos"</f>
        <v>Oxidos</v>
      </c>
    </row>
    <row r="1616" spans="1:2">
      <c r="A1616" s="1" t="str">
        <f>"2819.90.20"</f>
        <v>2819.90.20</v>
      </c>
      <c r="B1616" s="2" t="str">
        <f>"Hidroxidos"</f>
        <v>Hidroxidos</v>
      </c>
    </row>
    <row r="1617" spans="1:2">
      <c r="A1617" s="1" t="str">
        <f>"2820.10.00"</f>
        <v>2820.10.00</v>
      </c>
      <c r="B1617" s="2" t="str">
        <f>"Dioxido de manganes"</f>
        <v>Dioxido de manganes</v>
      </c>
    </row>
    <row r="1618" spans="1:2">
      <c r="A1618" s="1" t="str">
        <f>"2820.90.10"</f>
        <v>2820.90.10</v>
      </c>
      <c r="B1618" s="2" t="str">
        <f>"Oxido manganoso"</f>
        <v>Oxido manganoso</v>
      </c>
    </row>
    <row r="1619" spans="1:2">
      <c r="A1619" s="1" t="str">
        <f>"2820.90.20"</f>
        <v>2820.90.20</v>
      </c>
      <c r="B1619" s="2" t="str">
        <f>"Trioxido de dimanganes (sesquioxido"</f>
        <v>Trioxido de dimanganes (sesquioxido</v>
      </c>
    </row>
    <row r="1620" spans="1:2">
      <c r="A1620" s="1" t="str">
        <f>"2820.90.30"</f>
        <v>2820.90.30</v>
      </c>
      <c r="B1620" s="2" t="str">
        <f>"Tetraoxido de trimanganes (oxido sa"</f>
        <v>Tetraoxido de trimanganes (oxido sa</v>
      </c>
    </row>
    <row r="1621" spans="1:2">
      <c r="A1621" s="1" t="str">
        <f>"2820.90.40"</f>
        <v>2820.90.40</v>
      </c>
      <c r="B1621" s="2" t="str">
        <f>"Heptaoxido de dimanganes (anidrido"</f>
        <v>Heptaoxido de dimanganes (anidrido</v>
      </c>
    </row>
    <row r="1622" spans="1:2">
      <c r="A1622" s="1" t="str">
        <f>"2821.10.11"</f>
        <v>2821.10.11</v>
      </c>
      <c r="B1622" s="2" t="str">
        <f>"BAYFERROX"</f>
        <v>BAYFERROX</v>
      </c>
    </row>
    <row r="1623" spans="1:2">
      <c r="A1623" s="1" t="str">
        <f>"2821.10.19"</f>
        <v>2821.10.19</v>
      </c>
      <c r="B1623" s="2" t="str">
        <f>"Outros"</f>
        <v>Outros</v>
      </c>
    </row>
    <row r="1624" spans="1:2">
      <c r="A1624" s="1" t="str">
        <f>"2821.10.20"</f>
        <v>2821.10.20</v>
      </c>
      <c r="B1624" s="2" t="str">
        <f>"OXIDO FERROSO"</f>
        <v>OXIDO FERROSO</v>
      </c>
    </row>
    <row r="1625" spans="1:2">
      <c r="A1625" s="1" t="str">
        <f>"2821.10.30"</f>
        <v>2821.10.30</v>
      </c>
      <c r="B1625" s="2" t="str">
        <f>"BAYFERROX 917-HIDROXIDO DE FERRO"</f>
        <v>BAYFERROX 917-HIDROXIDO DE FERRO</v>
      </c>
    </row>
    <row r="1626" spans="1:2">
      <c r="A1626" s="1" t="str">
        <f>"2821.10.90"</f>
        <v>2821.10.90</v>
      </c>
      <c r="B1626" s="2" t="str">
        <f>"OUTROS"</f>
        <v>OUTROS</v>
      </c>
    </row>
    <row r="1627" spans="1:2">
      <c r="A1627" s="1" t="str">
        <f>"2821.20.00"</f>
        <v>2821.20.00</v>
      </c>
      <c r="B1627" s="2" t="str">
        <f>"Terras corantes"</f>
        <v>Terras corantes</v>
      </c>
    </row>
    <row r="1628" spans="1:2">
      <c r="A1628" s="1" t="str">
        <f>"2822.00.10"</f>
        <v>2822.00.10</v>
      </c>
      <c r="B1628" s="2" t="str">
        <f>"Tetraoxido de tricobalto (oxido sal"</f>
        <v>Tetraoxido de tricobalto (oxido sal</v>
      </c>
    </row>
    <row r="1629" spans="1:2">
      <c r="A1629" s="1" t="str">
        <f>"2822.00.90"</f>
        <v>2822.00.90</v>
      </c>
      <c r="B1629" s="2" t="str">
        <f>"Outros"</f>
        <v>Outros</v>
      </c>
    </row>
    <row r="1630" spans="1:2">
      <c r="A1630" s="1" t="str">
        <f>"2823.00.10"</f>
        <v>2823.00.10</v>
      </c>
      <c r="B1630" s="2" t="str">
        <f>"Tipo anatase"</f>
        <v>Tipo anatase</v>
      </c>
    </row>
    <row r="1631" spans="1:2">
      <c r="A1631" s="1" t="str">
        <f>"2823.00.90"</f>
        <v>2823.00.90</v>
      </c>
      <c r="B1631" s="2" t="str">
        <f>"Outros"</f>
        <v>Outros</v>
      </c>
    </row>
    <row r="1632" spans="1:2">
      <c r="A1632" s="1" t="str">
        <f>"2824.10.00"</f>
        <v>2824.10.00</v>
      </c>
      <c r="B1632" s="2" t="str">
        <f>"Monoxido de chumbo (litargirio, mas"</f>
        <v>Monoxido de chumbo (litargirio, mas</v>
      </c>
    </row>
    <row r="1633" spans="1:2">
      <c r="A1633" s="1" t="str">
        <f>"2824.90.10"</f>
        <v>2824.90.10</v>
      </c>
      <c r="B1633" s="2" t="str">
        <f>"Minio (zarcao) e minio-laranja (min"</f>
        <v>Minio (zarcao) e minio-laranja (min</v>
      </c>
    </row>
    <row r="1634" spans="1:2">
      <c r="A1634" s="1" t="str">
        <f>"2824.90.90"</f>
        <v>2824.90.90</v>
      </c>
      <c r="B1634" s="2" t="str">
        <f>"Outros"</f>
        <v>Outros</v>
      </c>
    </row>
    <row r="1635" spans="1:2">
      <c r="A1635" s="1" t="str">
        <f>"2825.10.10"</f>
        <v>2825.10.10</v>
      </c>
      <c r="B1635" s="2" t="str">
        <f>"Hidrazina e seus sais inorganicos"</f>
        <v>Hidrazina e seus sais inorganicos</v>
      </c>
    </row>
    <row r="1636" spans="1:2">
      <c r="A1636" s="1" t="str">
        <f>"2825.10.20"</f>
        <v>2825.10.20</v>
      </c>
      <c r="B1636" s="2" t="str">
        <f>"Hidroxilamina e seus sais inorganic"</f>
        <v>Hidroxilamina e seus sais inorganic</v>
      </c>
    </row>
    <row r="1637" spans="1:2">
      <c r="A1637" s="1" t="str">
        <f>"2825.20.10"</f>
        <v>2825.20.10</v>
      </c>
      <c r="B1637" s="2" t="str">
        <f>"Oxido"</f>
        <v>Oxido</v>
      </c>
    </row>
    <row r="1638" spans="1:2">
      <c r="A1638" s="1" t="str">
        <f>"2825.20.20"</f>
        <v>2825.20.20</v>
      </c>
      <c r="B1638" s="2" t="str">
        <f>"Hidroxido"</f>
        <v>Hidroxido</v>
      </c>
    </row>
    <row r="1639" spans="1:2">
      <c r="A1639" s="1" t="str">
        <f>"2825.30.10"</f>
        <v>2825.30.10</v>
      </c>
      <c r="B1639" s="2" t="str">
        <f>"Pentoxido de divanadio"</f>
        <v>Pentoxido de divanadio</v>
      </c>
    </row>
    <row r="1640" spans="1:2">
      <c r="A1640" s="1" t="str">
        <f>"2825.30.90"</f>
        <v>2825.30.90</v>
      </c>
      <c r="B1640" s="2" t="str">
        <f>"Outros"</f>
        <v>Outros</v>
      </c>
    </row>
    <row r="1641" spans="1:2">
      <c r="A1641" s="1" t="str">
        <f>"2825.40.10"</f>
        <v>2825.40.10</v>
      </c>
      <c r="B1641" s="2" t="str">
        <f>"Oxido niqueloso"</f>
        <v>Oxido niqueloso</v>
      </c>
    </row>
    <row r="1642" spans="1:2">
      <c r="A1642" s="1" t="str">
        <f>"2825.40.90"</f>
        <v>2825.40.90</v>
      </c>
      <c r="B1642" s="2" t="str">
        <f>"Outros"</f>
        <v>Outros</v>
      </c>
    </row>
    <row r="1643" spans="1:2">
      <c r="A1643" s="1" t="str">
        <f>"2825.50.10"</f>
        <v>2825.50.10</v>
      </c>
      <c r="B1643" s="2" t="str">
        <f>"Oxido cuprico, com um teor de CuO i"</f>
        <v>Oxido cuprico, com um teor de CuO i</v>
      </c>
    </row>
    <row r="1644" spans="1:2">
      <c r="A1644" s="1" t="str">
        <f>"2825.50.90"</f>
        <v>2825.50.90</v>
      </c>
      <c r="B1644" s="2" t="str">
        <f>"Outros"</f>
        <v>Outros</v>
      </c>
    </row>
    <row r="1645" spans="1:2">
      <c r="A1645" s="1" t="str">
        <f>"2825.60.10"</f>
        <v>2825.60.10</v>
      </c>
      <c r="B1645" s="2" t="str">
        <f>"Oxidos de germanio"</f>
        <v>Oxidos de germanio</v>
      </c>
    </row>
    <row r="1646" spans="1:2">
      <c r="A1646" s="1" t="str">
        <f>"2825.60.20"</f>
        <v>2825.60.20</v>
      </c>
      <c r="B1646" s="2" t="str">
        <f>"Dioxido de zirconio"</f>
        <v>Dioxido de zirconio</v>
      </c>
    </row>
    <row r="1647" spans="1:2">
      <c r="A1647" s="1" t="str">
        <f>"2825.70.10"</f>
        <v>2825.70.10</v>
      </c>
      <c r="B1647" s="2" t="str">
        <f>"Trioxido de molibdenio"</f>
        <v>Trioxido de molibdenio</v>
      </c>
    </row>
    <row r="1648" spans="1:2">
      <c r="A1648" s="1" t="str">
        <f>"2825.70.90"</f>
        <v>2825.70.90</v>
      </c>
      <c r="B1648" s="2" t="str">
        <f>"Outros"</f>
        <v>Outros</v>
      </c>
    </row>
    <row r="1649" spans="1:2">
      <c r="A1649" s="1" t="str">
        <f>"2825.80.10"</f>
        <v>2825.80.10</v>
      </c>
      <c r="B1649" s="2" t="str">
        <f>"Trioxido de antimonio"</f>
        <v>Trioxido de antimonio</v>
      </c>
    </row>
    <row r="1650" spans="1:2">
      <c r="A1650" s="1" t="str">
        <f>"2825.80.90"</f>
        <v>2825.80.90</v>
      </c>
      <c r="B1650" s="2" t="str">
        <f>"Outros"</f>
        <v>Outros</v>
      </c>
    </row>
    <row r="1651" spans="1:2">
      <c r="A1651" s="1" t="str">
        <f>"2825.90.10"</f>
        <v>2825.90.10</v>
      </c>
      <c r="B1651" s="2" t="str">
        <f>"Oxido de cadmio"</f>
        <v>Oxido de cadmio</v>
      </c>
    </row>
    <row r="1652" spans="1:2">
      <c r="A1652" s="1" t="str">
        <f>"2825.90.20"</f>
        <v>2825.90.20</v>
      </c>
      <c r="B1652" s="2" t="str">
        <f>"Trioxido de tungstenio (volframio)"</f>
        <v>Trioxido de tungstenio (volframio)</v>
      </c>
    </row>
    <row r="1653" spans="1:2">
      <c r="A1653" s="1" t="str">
        <f>"2825.90.90"</f>
        <v>2825.90.90</v>
      </c>
      <c r="B1653" s="2" t="str">
        <f>"Outros"</f>
        <v>Outros</v>
      </c>
    </row>
    <row r="1654" spans="1:2">
      <c r="A1654" s="1" t="str">
        <f>"2826.12.00"</f>
        <v>2826.12.00</v>
      </c>
      <c r="B1654" s="2" t="str">
        <f>"De aluminio"</f>
        <v>De aluminio</v>
      </c>
    </row>
    <row r="1655" spans="1:2">
      <c r="A1655" s="1" t="str">
        <f>"2826.19.10"</f>
        <v>2826.19.10</v>
      </c>
      <c r="B1655" s="2" t="str">
        <f>"Trifluoreto de cromo"</f>
        <v>Trifluoreto de cromo</v>
      </c>
    </row>
    <row r="1656" spans="1:2">
      <c r="A1656" s="1" t="str">
        <f>"2826.19.20"</f>
        <v>2826.19.20</v>
      </c>
      <c r="B1656" s="2" t="str">
        <f>"Fluoreto acido de amonio"</f>
        <v>Fluoreto acido de amonio</v>
      </c>
    </row>
    <row r="1657" spans="1:2">
      <c r="A1657" s="1" t="str">
        <f>"2826.19.90"</f>
        <v>2826.19.90</v>
      </c>
      <c r="B1657" s="2" t="str">
        <f>"Outros"</f>
        <v>Outros</v>
      </c>
    </row>
    <row r="1658" spans="1:2">
      <c r="A1658" s="1" t="str">
        <f>"2826.30.00"</f>
        <v>2826.30.00</v>
      </c>
      <c r="B1658" s="2" t="str">
        <f>"Hexafluoraluminato de sodio (crioli"</f>
        <v>Hexafluoraluminato de sodio (crioli</v>
      </c>
    </row>
    <row r="1659" spans="1:2">
      <c r="A1659" s="1" t="str">
        <f>"2826.90.10"</f>
        <v>2826.90.10</v>
      </c>
      <c r="B1659" s="2" t="str">
        <f>"Fluoroaluminato de potassio"</f>
        <v>Fluoroaluminato de potassio</v>
      </c>
    </row>
    <row r="1660" spans="1:2">
      <c r="A1660" s="1" t="str">
        <f>"2826.90.20"</f>
        <v>2826.90.20</v>
      </c>
      <c r="B1660" s="2" t="str">
        <f>"Fluorossilicatos de sodio ou de pot"</f>
        <v>Fluorossilicatos de sodio ou de pot</v>
      </c>
    </row>
    <row r="1661" spans="1:2">
      <c r="A1661" s="1" t="str">
        <f>"2826.90.90"</f>
        <v>2826.90.90</v>
      </c>
      <c r="B1661" s="2" t="str">
        <f>"Outros"</f>
        <v>Outros</v>
      </c>
    </row>
    <row r="1662" spans="1:2">
      <c r="A1662" s="1" t="str">
        <f>"2827.10.00"</f>
        <v>2827.10.00</v>
      </c>
      <c r="B1662" s="2" t="str">
        <f>"CLORETO DE AMÔNIO"</f>
        <v>CLORETO DE AMÔNIO</v>
      </c>
    </row>
    <row r="1663" spans="1:2">
      <c r="A1663" s="1" t="str">
        <f>"2827.20.10"</f>
        <v>2827.20.10</v>
      </c>
      <c r="B1663" s="2" t="str">
        <f>"Com um teor de CaCl2 igual ou super"</f>
        <v>Com um teor de CaCl2 igual ou super</v>
      </c>
    </row>
    <row r="1664" spans="1:2">
      <c r="A1664" s="1" t="str">
        <f>"2827.20.90"</f>
        <v>2827.20.90</v>
      </c>
      <c r="B1664" s="2" t="str">
        <f>"Outros"</f>
        <v>Outros</v>
      </c>
    </row>
    <row r="1665" spans="1:2">
      <c r="A1665" s="1" t="str">
        <f>"2827.31.10"</f>
        <v>2827.31.10</v>
      </c>
      <c r="B1665" s="2" t="str">
        <f>"Com um teor de MgCl2 inferior a 98"</f>
        <v>Com um teor de MgCl2 inferior a 98</v>
      </c>
    </row>
    <row r="1666" spans="1:2">
      <c r="A1666" s="1" t="str">
        <f>"2827.31.90"</f>
        <v>2827.31.90</v>
      </c>
      <c r="B1666" s="2" t="str">
        <f>"Outros"</f>
        <v>Outros</v>
      </c>
    </row>
    <row r="1667" spans="1:2">
      <c r="A1667" s="1" t="str">
        <f>"2827.32.00"</f>
        <v>2827.32.00</v>
      </c>
      <c r="B1667" s="2" t="str">
        <f>"DE ALUMÍNIO"</f>
        <v>DE ALUMÍNIO</v>
      </c>
    </row>
    <row r="1668" spans="1:2">
      <c r="A1668" s="1" t="str">
        <f>"2827.35.00"</f>
        <v>2827.35.00</v>
      </c>
      <c r="B1668" s="2" t="str">
        <f>"De niquel"</f>
        <v>De niquel</v>
      </c>
    </row>
    <row r="1669" spans="1:2">
      <c r="A1669" s="1" t="str">
        <f>"2827.39.10"</f>
        <v>2827.39.10</v>
      </c>
      <c r="B1669" s="2" t="str">
        <f>"De cobre I (cloreto cuproso ou mono"</f>
        <v>De cobre I (cloreto cuproso ou mono</v>
      </c>
    </row>
    <row r="1670" spans="1:2">
      <c r="A1670" s="1" t="str">
        <f>"2827.39.20"</f>
        <v>2827.39.20</v>
      </c>
      <c r="B1670" s="2" t="str">
        <f>"De titanio"</f>
        <v>De titanio</v>
      </c>
    </row>
    <row r="1671" spans="1:2">
      <c r="A1671" s="1" t="str">
        <f>"2827.39.40"</f>
        <v>2827.39.40</v>
      </c>
      <c r="B1671" s="2" t="str">
        <f>"De zirconio"</f>
        <v>De zirconio</v>
      </c>
    </row>
    <row r="1672" spans="1:2">
      <c r="A1672" s="1" t="str">
        <f>"2827.39.50"</f>
        <v>2827.39.50</v>
      </c>
      <c r="B1672" s="2" t="str">
        <f>"De antimonio"</f>
        <v>De antimonio</v>
      </c>
    </row>
    <row r="1673" spans="1:2">
      <c r="A1673" s="1" t="str">
        <f>"2827.39.60"</f>
        <v>2827.39.60</v>
      </c>
      <c r="B1673" s="2" t="str">
        <f>"De litio"</f>
        <v>De litio</v>
      </c>
    </row>
    <row r="1674" spans="1:2">
      <c r="A1674" s="1" t="str">
        <f>"2827.39.70"</f>
        <v>2827.39.70</v>
      </c>
      <c r="B1674" s="2" t="str">
        <f>"De bismuto"</f>
        <v>De bismuto</v>
      </c>
    </row>
    <row r="1675" spans="1:2">
      <c r="A1675" s="1" t="str">
        <f>"2827.39.91"</f>
        <v>2827.39.91</v>
      </c>
      <c r="B1675" s="2" t="str">
        <f>"De cadmio"</f>
        <v>De cadmio</v>
      </c>
    </row>
    <row r="1676" spans="1:2">
      <c r="A1676" s="1" t="str">
        <f>"2827.39.92"</f>
        <v>2827.39.92</v>
      </c>
      <c r="B1676" s="2" t="str">
        <f>"De cesio"</f>
        <v>De cesio</v>
      </c>
    </row>
    <row r="1677" spans="1:2">
      <c r="A1677" s="1" t="str">
        <f>"2827.39.93"</f>
        <v>2827.39.93</v>
      </c>
      <c r="B1677" s="2" t="str">
        <f>"De cromo"</f>
        <v>De cromo</v>
      </c>
    </row>
    <row r="1678" spans="1:2">
      <c r="A1678" s="1" t="str">
        <f>"2827.39.94"</f>
        <v>2827.39.94</v>
      </c>
      <c r="B1678" s="2" t="str">
        <f>"De estroncio"</f>
        <v>De estroncio</v>
      </c>
    </row>
    <row r="1679" spans="1:2">
      <c r="A1679" s="1" t="str">
        <f>"2827.39.95"</f>
        <v>2827.39.95</v>
      </c>
      <c r="B1679" s="2" t="str">
        <f>"De manganes"</f>
        <v>De manganes</v>
      </c>
    </row>
    <row r="1680" spans="1:2">
      <c r="A1680" s="1" t="str">
        <f>"2827.39.96"</f>
        <v>2827.39.96</v>
      </c>
      <c r="B1680" s="2" t="str">
        <f>"De ferro"</f>
        <v>De ferro</v>
      </c>
    </row>
    <row r="1681" spans="1:2">
      <c r="A1681" s="1" t="str">
        <f>"2827.39.97"</f>
        <v>2827.39.97</v>
      </c>
      <c r="B1681" s="2" t="str">
        <f>"De cobalto"</f>
        <v>De cobalto</v>
      </c>
    </row>
    <row r="1682" spans="1:2">
      <c r="A1682" s="1" t="str">
        <f>"2827.39.98"</f>
        <v>2827.39.98</v>
      </c>
      <c r="B1682" s="2" t="str">
        <f>"De zinco"</f>
        <v>De zinco</v>
      </c>
    </row>
    <row r="1683" spans="1:2">
      <c r="A1683" s="1" t="str">
        <f>"2827.39.99"</f>
        <v>2827.39.99</v>
      </c>
      <c r="B1683" s="2" t="str">
        <f>"Outros"</f>
        <v>Outros</v>
      </c>
    </row>
    <row r="1684" spans="1:2">
      <c r="A1684" s="1" t="str">
        <f>"2827.41.10"</f>
        <v>2827.41.10</v>
      </c>
      <c r="B1684" s="2" t="str">
        <f>"Oxicloretos"</f>
        <v>Oxicloretos</v>
      </c>
    </row>
    <row r="1685" spans="1:2">
      <c r="A1685" s="1" t="str">
        <f>"2827.41.20"</f>
        <v>2827.41.20</v>
      </c>
      <c r="B1685" s="2" t="str">
        <f>"Hidroxicloretos"</f>
        <v>Hidroxicloretos</v>
      </c>
    </row>
    <row r="1686" spans="1:2">
      <c r="A1686" s="1" t="str">
        <f>"2827.49.11"</f>
        <v>2827.49.11</v>
      </c>
      <c r="B1686" s="2" t="str">
        <f>"De bismuto"</f>
        <v>De bismuto</v>
      </c>
    </row>
    <row r="1687" spans="1:2">
      <c r="A1687" s="1" t="str">
        <f>"2827.49.12"</f>
        <v>2827.49.12</v>
      </c>
      <c r="B1687" s="2" t="str">
        <f>"De zirconio"</f>
        <v>De zirconio</v>
      </c>
    </row>
    <row r="1688" spans="1:2">
      <c r="A1688" s="1" t="str">
        <f>"2827.49.19"</f>
        <v>2827.49.19</v>
      </c>
      <c r="B1688" s="2" t="str">
        <f>"Outros"</f>
        <v>Outros</v>
      </c>
    </row>
    <row r="1689" spans="1:2">
      <c r="A1689" s="1" t="str">
        <f>"2827.49.21"</f>
        <v>2827.49.21</v>
      </c>
      <c r="B1689" s="2" t="str">
        <f>"De aluminio"</f>
        <v>De aluminio</v>
      </c>
    </row>
    <row r="1690" spans="1:2">
      <c r="A1690" s="1" t="str">
        <f>"2827.49.29"</f>
        <v>2827.49.29</v>
      </c>
      <c r="B1690" s="2" t="str">
        <f>"Outros"</f>
        <v>Outros</v>
      </c>
    </row>
    <row r="1691" spans="1:2">
      <c r="A1691" s="1" t="str">
        <f>"2827.51.00"</f>
        <v>2827.51.00</v>
      </c>
      <c r="B1691" s="2" t="str">
        <f>"Brometos de sodio ou de potassio"</f>
        <v>Brometos de sodio ou de potassio</v>
      </c>
    </row>
    <row r="1692" spans="1:2">
      <c r="A1692" s="1" t="str">
        <f>"2827.59.00"</f>
        <v>2827.59.00</v>
      </c>
      <c r="B1692" s="2" t="str">
        <f>"Outros"</f>
        <v>Outros</v>
      </c>
    </row>
    <row r="1693" spans="1:2">
      <c r="A1693" s="1" t="str">
        <f>"2827.60.11"</f>
        <v>2827.60.11</v>
      </c>
      <c r="B1693" s="2" t="str">
        <f>"De sodio"</f>
        <v>De sodio</v>
      </c>
    </row>
    <row r="1694" spans="1:2">
      <c r="A1694" s="1" t="str">
        <f>"2827.60.12"</f>
        <v>2827.60.12</v>
      </c>
      <c r="B1694" s="2" t="str">
        <f>"De potassio"</f>
        <v>De potassio</v>
      </c>
    </row>
    <row r="1695" spans="1:2">
      <c r="A1695" s="1" t="str">
        <f>"2827.60.19"</f>
        <v>2827.60.19</v>
      </c>
      <c r="B1695" s="2" t="str">
        <f>"Outros"</f>
        <v>Outros</v>
      </c>
    </row>
    <row r="1696" spans="1:2">
      <c r="A1696" s="1" t="str">
        <f>"2827.60.21"</f>
        <v>2827.60.21</v>
      </c>
      <c r="B1696" s="2" t="str">
        <f>"De potassio"</f>
        <v>De potassio</v>
      </c>
    </row>
    <row r="1697" spans="1:2">
      <c r="A1697" s="1" t="str">
        <f>"2827.60.29"</f>
        <v>2827.60.29</v>
      </c>
      <c r="B1697" s="2" t="str">
        <f>"Outros"</f>
        <v>Outros</v>
      </c>
    </row>
    <row r="1698" spans="1:2">
      <c r="A1698" s="1" t="str">
        <f>"2828.10.00"</f>
        <v>2828.10.00</v>
      </c>
      <c r="B1698" s="2" t="str">
        <f>"Hipoclorito de calcio comercial e o"</f>
        <v>Hipoclorito de calcio comercial e o</v>
      </c>
    </row>
    <row r="1699" spans="1:2">
      <c r="A1699" s="1" t="str">
        <f>"2828.90.11"</f>
        <v>2828.90.11</v>
      </c>
      <c r="B1699" s="2" t="str">
        <f>"DE SÓDIO"</f>
        <v>DE SÓDIO</v>
      </c>
    </row>
    <row r="1700" spans="1:2">
      <c r="A1700" s="1" t="str">
        <f>"2828.90.19"</f>
        <v>2828.90.19</v>
      </c>
      <c r="B1700" s="2" t="str">
        <f>"Outros"</f>
        <v>Outros</v>
      </c>
    </row>
    <row r="1701" spans="1:2">
      <c r="A1701" s="1" t="str">
        <f>"2828.90.20"</f>
        <v>2828.90.20</v>
      </c>
      <c r="B1701" s="2" t="str">
        <f>"Clorito de sodio"</f>
        <v>Clorito de sodio</v>
      </c>
    </row>
    <row r="1702" spans="1:2">
      <c r="A1702" s="1" t="str">
        <f>"2828.90.90"</f>
        <v>2828.90.90</v>
      </c>
      <c r="B1702" s="2" t="str">
        <f>"Outros"</f>
        <v>Outros</v>
      </c>
    </row>
    <row r="1703" spans="1:2">
      <c r="A1703" s="1" t="str">
        <f>"2829.11.00"</f>
        <v>2829.11.00</v>
      </c>
      <c r="B1703" s="2" t="str">
        <f>"De sodio"</f>
        <v>De sodio</v>
      </c>
    </row>
    <row r="1704" spans="1:2">
      <c r="A1704" s="1" t="str">
        <f>"2829.19.10"</f>
        <v>2829.19.10</v>
      </c>
      <c r="B1704" s="2" t="str">
        <f>"De calcio"</f>
        <v>De calcio</v>
      </c>
    </row>
    <row r="1705" spans="1:2">
      <c r="A1705" s="1" t="str">
        <f>"2829.19.20"</f>
        <v>2829.19.20</v>
      </c>
      <c r="B1705" s="2" t="str">
        <f>"De potassio"</f>
        <v>De potassio</v>
      </c>
    </row>
    <row r="1706" spans="1:2">
      <c r="A1706" s="1" t="str">
        <f>"2829.19.90"</f>
        <v>2829.19.90</v>
      </c>
      <c r="B1706" s="2" t="str">
        <f>"Outros"</f>
        <v>Outros</v>
      </c>
    </row>
    <row r="1707" spans="1:2">
      <c r="A1707" s="1" t="str">
        <f>"2829.90.11"</f>
        <v>2829.90.11</v>
      </c>
      <c r="B1707" s="2" t="str">
        <f>"De sodio"</f>
        <v>De sodio</v>
      </c>
    </row>
    <row r="1708" spans="1:2">
      <c r="A1708" s="1" t="str">
        <f>"2829.90.12"</f>
        <v>2829.90.12</v>
      </c>
      <c r="B1708" s="2" t="str">
        <f>"De potassio"</f>
        <v>De potassio</v>
      </c>
    </row>
    <row r="1709" spans="1:2">
      <c r="A1709" s="1" t="str">
        <f>"2829.90.19"</f>
        <v>2829.90.19</v>
      </c>
      <c r="B1709" s="2" t="str">
        <f>"Outros"</f>
        <v>Outros</v>
      </c>
    </row>
    <row r="1710" spans="1:2">
      <c r="A1710" s="1" t="str">
        <f>"2829.90.21"</f>
        <v>2829.90.21</v>
      </c>
      <c r="B1710" s="2" t="str">
        <f>"De sodio"</f>
        <v>De sodio</v>
      </c>
    </row>
    <row r="1711" spans="1:2">
      <c r="A1711" s="1" t="str">
        <f>"2829.90.22"</f>
        <v>2829.90.22</v>
      </c>
      <c r="B1711" s="2" t="str">
        <f>"De potassio"</f>
        <v>De potassio</v>
      </c>
    </row>
    <row r="1712" spans="1:2">
      <c r="A1712" s="1" t="str">
        <f>"2829.90.29"</f>
        <v>2829.90.29</v>
      </c>
      <c r="B1712" s="2" t="str">
        <f>"Outros"</f>
        <v>Outros</v>
      </c>
    </row>
    <row r="1713" spans="1:2">
      <c r="A1713" s="1" t="str">
        <f>"2829.90.31"</f>
        <v>2829.90.31</v>
      </c>
      <c r="B1713" s="2" t="str">
        <f>"De potassio"</f>
        <v>De potassio</v>
      </c>
    </row>
    <row r="1714" spans="1:2">
      <c r="A1714" s="1" t="str">
        <f>"2829.90.32"</f>
        <v>2829.90.32</v>
      </c>
      <c r="B1714" s="2" t="str">
        <f>"De calcio"</f>
        <v>De calcio</v>
      </c>
    </row>
    <row r="1715" spans="1:2">
      <c r="A1715" s="1" t="str">
        <f>"2829.90.39"</f>
        <v>2829.90.39</v>
      </c>
      <c r="B1715" s="2" t="str">
        <f>"Outros"</f>
        <v>Outros</v>
      </c>
    </row>
    <row r="1716" spans="1:2">
      <c r="A1716" s="1" t="str">
        <f>"2829.90.40"</f>
        <v>2829.90.40</v>
      </c>
      <c r="B1716" s="2" t="str">
        <f>"Periodatos"</f>
        <v>Periodatos</v>
      </c>
    </row>
    <row r="1717" spans="1:2">
      <c r="A1717" s="1" t="str">
        <f>"2829.90.50"</f>
        <v>2829.90.50</v>
      </c>
      <c r="B1717" s="2" t="str">
        <f>"Percloratos"</f>
        <v>Percloratos</v>
      </c>
    </row>
    <row r="1718" spans="1:2">
      <c r="A1718" s="1" t="str">
        <f>"2830.10.10"</f>
        <v>2830.10.10</v>
      </c>
      <c r="B1718" s="2" t="str">
        <f>"De dissodio"</f>
        <v>De dissodio</v>
      </c>
    </row>
    <row r="1719" spans="1:2">
      <c r="A1719" s="1" t="str">
        <f>"2830.10.20"</f>
        <v>2830.10.20</v>
      </c>
      <c r="B1719" s="2" t="str">
        <f>"De monossodio (hidrogenossulfeto de"</f>
        <v>De monossodio (hidrogenossulfeto de</v>
      </c>
    </row>
    <row r="1720" spans="1:2">
      <c r="A1720" s="1" t="str">
        <f>"2830.90.11"</f>
        <v>2830.90.11</v>
      </c>
      <c r="B1720" s="2" t="str">
        <f>"De molibdenio IV (dissulfeto de mol"</f>
        <v>De molibdenio IV (dissulfeto de mol</v>
      </c>
    </row>
    <row r="1721" spans="1:2">
      <c r="A1721" s="1" t="str">
        <f>"2830.90.12"</f>
        <v>2830.90.12</v>
      </c>
      <c r="B1721" s="2" t="str">
        <f>"De bario"</f>
        <v>De bario</v>
      </c>
    </row>
    <row r="1722" spans="1:2">
      <c r="A1722" s="1" t="str">
        <f>"2830.90.13"</f>
        <v>2830.90.13</v>
      </c>
      <c r="B1722" s="2" t="str">
        <f>"De potassio"</f>
        <v>De potassio</v>
      </c>
    </row>
    <row r="1723" spans="1:2">
      <c r="A1723" s="1" t="str">
        <f>"2830.90.14"</f>
        <v>2830.90.14</v>
      </c>
      <c r="B1723" s="2" t="str">
        <f>"De chumbo"</f>
        <v>De chumbo</v>
      </c>
    </row>
    <row r="1724" spans="1:2">
      <c r="A1724" s="1" t="str">
        <f>"2830.90.15"</f>
        <v>2830.90.15</v>
      </c>
      <c r="B1724" s="2" t="str">
        <f>"De estroncio"</f>
        <v>De estroncio</v>
      </c>
    </row>
    <row r="1725" spans="1:2">
      <c r="A1725" s="1" t="str">
        <f>"2830.90.16"</f>
        <v>2830.90.16</v>
      </c>
      <c r="B1725" s="2" t="str">
        <f>"De zinco"</f>
        <v>De zinco</v>
      </c>
    </row>
    <row r="1726" spans="1:2">
      <c r="A1726" s="1" t="str">
        <f>"2830.90.19"</f>
        <v>2830.90.19</v>
      </c>
      <c r="B1726" s="2" t="str">
        <f>"Outros"</f>
        <v>Outros</v>
      </c>
    </row>
    <row r="1727" spans="1:2">
      <c r="A1727" s="1" t="str">
        <f>"2830.90.20"</f>
        <v>2830.90.20</v>
      </c>
      <c r="B1727" s="2" t="str">
        <f>"Polissulfetos"</f>
        <v>Polissulfetos</v>
      </c>
    </row>
    <row r="1728" spans="1:2">
      <c r="A1728" s="1" t="str">
        <f>"2831.10.11"</f>
        <v>2831.10.11</v>
      </c>
      <c r="B1728" s="2" t="str">
        <f>"Estabilizados"</f>
        <v>Estabilizados</v>
      </c>
    </row>
    <row r="1729" spans="1:2">
      <c r="A1729" s="1" t="str">
        <f>"2831.10.19"</f>
        <v>2831.10.19</v>
      </c>
      <c r="B1729" s="2" t="str">
        <f>"Outros"</f>
        <v>Outros</v>
      </c>
    </row>
    <row r="1730" spans="1:2">
      <c r="A1730" s="1" t="str">
        <f>"2831.10.21"</f>
        <v>2831.10.21</v>
      </c>
      <c r="B1730" s="2" t="str">
        <f>"Estabilizados com formaldeido"</f>
        <v>Estabilizados com formaldeido</v>
      </c>
    </row>
    <row r="1731" spans="1:2">
      <c r="A1731" s="1" t="str">
        <f>"2831.10.29"</f>
        <v>2831.10.29</v>
      </c>
      <c r="B1731" s="2" t="str">
        <f>"Outros"</f>
        <v>Outros</v>
      </c>
    </row>
    <row r="1732" spans="1:2">
      <c r="A1732" s="1" t="str">
        <f>"2831.90.10"</f>
        <v>2831.90.10</v>
      </c>
      <c r="B1732" s="2" t="str">
        <f>"Ditionito de zinco"</f>
        <v>Ditionito de zinco</v>
      </c>
    </row>
    <row r="1733" spans="1:2">
      <c r="A1733" s="1" t="str">
        <f>"2831.90.90"</f>
        <v>2831.90.90</v>
      </c>
      <c r="B1733" s="2" t="str">
        <f>"Outros"</f>
        <v>Outros</v>
      </c>
    </row>
    <row r="1734" spans="1:2">
      <c r="A1734" s="1" t="str">
        <f>"2832.10.10"</f>
        <v>2832.10.10</v>
      </c>
      <c r="B1734" s="2" t="str">
        <f>"De dissodio"</f>
        <v>De dissodio</v>
      </c>
    </row>
    <row r="1735" spans="1:2">
      <c r="A1735" s="1" t="str">
        <f>"2832.10.90"</f>
        <v>2832.10.90</v>
      </c>
      <c r="B1735" s="2" t="str">
        <f>"Outros"</f>
        <v>Outros</v>
      </c>
    </row>
    <row r="1736" spans="1:2">
      <c r="A1736" s="1" t="str">
        <f>"2832.20.00"</f>
        <v>2832.20.00</v>
      </c>
      <c r="B1736" s="2" t="str">
        <f>"Outros sulfitos"</f>
        <v>Outros sulfitos</v>
      </c>
    </row>
    <row r="1737" spans="1:2">
      <c r="A1737" s="1" t="str">
        <f>"2832.30.10"</f>
        <v>2832.30.10</v>
      </c>
      <c r="B1737" s="2" t="str">
        <f>"De amonio"</f>
        <v>De amonio</v>
      </c>
    </row>
    <row r="1738" spans="1:2">
      <c r="A1738" s="1" t="str">
        <f>"2832.30.20"</f>
        <v>2832.30.20</v>
      </c>
      <c r="B1738" s="2" t="str">
        <f>"De sodio"</f>
        <v>De sodio</v>
      </c>
    </row>
    <row r="1739" spans="1:2">
      <c r="A1739" s="1" t="str">
        <f>"2832.30.90"</f>
        <v>2832.30.90</v>
      </c>
      <c r="B1739" s="2" t="str">
        <f>"Outros"</f>
        <v>Outros</v>
      </c>
    </row>
    <row r="1740" spans="1:2">
      <c r="A1740" s="1" t="str">
        <f>"2833.11.10"</f>
        <v>2833.11.10</v>
      </c>
      <c r="B1740" s="2" t="str">
        <f>"Anidro"</f>
        <v>Anidro</v>
      </c>
    </row>
    <row r="1741" spans="1:2">
      <c r="A1741" s="1" t="str">
        <f>"2833.11.90"</f>
        <v>2833.11.90</v>
      </c>
      <c r="B1741" s="2" t="str">
        <f>"Outros"</f>
        <v>Outros</v>
      </c>
    </row>
    <row r="1742" spans="1:2">
      <c r="A1742" s="1" t="str">
        <f>"2833.19.00"</f>
        <v>2833.19.00</v>
      </c>
      <c r="B1742" s="2" t="str">
        <f>"Outros"</f>
        <v>Outros</v>
      </c>
    </row>
    <row r="1743" spans="1:2">
      <c r="A1743" s="1" t="str">
        <f>"2833.21.00"</f>
        <v>2833.21.00</v>
      </c>
      <c r="B1743" s="2" t="str">
        <f>"De magnesio"</f>
        <v>De magnesio</v>
      </c>
    </row>
    <row r="1744" spans="1:2">
      <c r="A1744" s="1" t="str">
        <f>"2833.22.00"</f>
        <v>2833.22.00</v>
      </c>
      <c r="B1744" s="2" t="str">
        <f>"DE ALUMÍNIO"</f>
        <v>DE ALUMÍNIO</v>
      </c>
    </row>
    <row r="1745" spans="1:2">
      <c r="A1745" s="1" t="str">
        <f>"2833.24.00"</f>
        <v>2833.24.00</v>
      </c>
      <c r="B1745" s="2" t="str">
        <f>"De niquel"</f>
        <v>De niquel</v>
      </c>
    </row>
    <row r="1746" spans="1:2">
      <c r="A1746" s="1" t="str">
        <f>"2833.25.10"</f>
        <v>2833.25.10</v>
      </c>
      <c r="B1746" s="2" t="str">
        <f>"Cuproso"</f>
        <v>Cuproso</v>
      </c>
    </row>
    <row r="1747" spans="1:2">
      <c r="A1747" s="1" t="str">
        <f>"2833.25.20"</f>
        <v>2833.25.20</v>
      </c>
      <c r="B1747" s="2" t="str">
        <f>"Cuprico"</f>
        <v>Cuprico</v>
      </c>
    </row>
    <row r="1748" spans="1:2">
      <c r="A1748" s="1" t="str">
        <f>"2833.27.10"</f>
        <v>2833.27.10</v>
      </c>
      <c r="B1748" s="2" t="str">
        <f>"COM TEOR DE BASO4 97,5% -BLANC FIX"</f>
        <v>COM TEOR DE BASO4 97,5% -BLANC FIX</v>
      </c>
    </row>
    <row r="1749" spans="1:2">
      <c r="A1749" s="1" t="str">
        <f>"2833.27.90"</f>
        <v>2833.27.90</v>
      </c>
      <c r="B1749" s="2" t="str">
        <f>"Outros"</f>
        <v>Outros</v>
      </c>
    </row>
    <row r="1750" spans="1:2">
      <c r="A1750" s="1" t="str">
        <f>"2833.29.10"</f>
        <v>2833.29.10</v>
      </c>
      <c r="B1750" s="2" t="str">
        <f>"De antimonio"</f>
        <v>De antimonio</v>
      </c>
    </row>
    <row r="1751" spans="1:2">
      <c r="A1751" s="1" t="str">
        <f>"2833.29.20"</f>
        <v>2833.29.20</v>
      </c>
      <c r="B1751" s="2" t="str">
        <f>"De litio"</f>
        <v>De litio</v>
      </c>
    </row>
    <row r="1752" spans="1:2">
      <c r="A1752" s="1" t="str">
        <f>"2833.29.30"</f>
        <v>2833.29.30</v>
      </c>
      <c r="B1752" s="2" t="str">
        <f>"De estroncio"</f>
        <v>De estroncio</v>
      </c>
    </row>
    <row r="1753" spans="1:2">
      <c r="A1753" s="1" t="str">
        <f>"2833.29.40"</f>
        <v>2833.29.40</v>
      </c>
      <c r="B1753" s="2" t="str">
        <f>"Sulfato ferroso"</f>
        <v>Sulfato ferroso</v>
      </c>
    </row>
    <row r="1754" spans="1:2">
      <c r="A1754" s="1" t="str">
        <f>"2833.29.50"</f>
        <v>2833.29.50</v>
      </c>
      <c r="B1754" s="2" t="str">
        <f>"Neutro de chumbo"</f>
        <v>Neutro de chumbo</v>
      </c>
    </row>
    <row r="1755" spans="1:2">
      <c r="A1755" s="1" t="str">
        <f>"2833.29.60"</f>
        <v>2833.29.60</v>
      </c>
      <c r="B1755" s="2" t="str">
        <f>"De cromo"</f>
        <v>De cromo</v>
      </c>
    </row>
    <row r="1756" spans="1:2">
      <c r="A1756" s="1" t="str">
        <f>"2833.29.70"</f>
        <v>2833.29.70</v>
      </c>
      <c r="B1756" s="2" t="str">
        <f>"De zinco"</f>
        <v>De zinco</v>
      </c>
    </row>
    <row r="1757" spans="1:2">
      <c r="A1757" s="1" t="str">
        <f>"2833.29.90"</f>
        <v>2833.29.90</v>
      </c>
      <c r="B1757" s="2" t="str">
        <f>"Outros"</f>
        <v>Outros</v>
      </c>
    </row>
    <row r="1758" spans="1:2">
      <c r="A1758" s="1" t="str">
        <f>"2833.30.00"</f>
        <v>2833.30.00</v>
      </c>
      <c r="B1758" s="2" t="str">
        <f>"Alumes"</f>
        <v>Alumes</v>
      </c>
    </row>
    <row r="1759" spans="1:2">
      <c r="A1759" s="1" t="str">
        <f>"2833.40.10"</f>
        <v>2833.40.10</v>
      </c>
      <c r="B1759" s="2" t="str">
        <f>"De sodio"</f>
        <v>De sodio</v>
      </c>
    </row>
    <row r="1760" spans="1:2">
      <c r="A1760" s="1" t="str">
        <f>"2833.40.20"</f>
        <v>2833.40.20</v>
      </c>
      <c r="B1760" s="2" t="str">
        <f>"DE AMÔNIO"</f>
        <v>DE AMÔNIO</v>
      </c>
    </row>
    <row r="1761" spans="1:2">
      <c r="A1761" s="1" t="str">
        <f>"2833.40.90"</f>
        <v>2833.40.90</v>
      </c>
      <c r="B1761" s="2" t="str">
        <f>"Outros"</f>
        <v>Outros</v>
      </c>
    </row>
    <row r="1762" spans="1:2">
      <c r="A1762" s="1" t="str">
        <f>"2834.10.10"</f>
        <v>2834.10.10</v>
      </c>
      <c r="B1762" s="2" t="str">
        <f>"De sodio"</f>
        <v>De sodio</v>
      </c>
    </row>
    <row r="1763" spans="1:2">
      <c r="A1763" s="1" t="str">
        <f>"2834.10.90"</f>
        <v>2834.10.90</v>
      </c>
      <c r="B1763" s="2" t="str">
        <f>"OUTROS"</f>
        <v>OUTROS</v>
      </c>
    </row>
    <row r="1764" spans="1:2">
      <c r="A1764" s="1" t="str">
        <f>"2834.21.10"</f>
        <v>2834.21.10</v>
      </c>
      <c r="B1764" s="2" t="str">
        <f>"Com um teor de KNO3 inferior ou igu"</f>
        <v>Com um teor de KNO3 inferior ou igu</v>
      </c>
    </row>
    <row r="1765" spans="1:2">
      <c r="A1765" s="1" t="str">
        <f>"2834.21.90"</f>
        <v>2834.21.90</v>
      </c>
      <c r="B1765" s="2" t="str">
        <f>"Outros"</f>
        <v>Outros</v>
      </c>
    </row>
    <row r="1766" spans="1:2">
      <c r="A1766" s="1" t="str">
        <f>"2834.29.10"</f>
        <v>2834.29.10</v>
      </c>
      <c r="B1766" s="2" t="str">
        <f>"De calcio, com um teor de nitrogeni"</f>
        <v>De calcio, com um teor de nitrogeni</v>
      </c>
    </row>
    <row r="1767" spans="1:2">
      <c r="A1767" s="1" t="str">
        <f>"2834.29.30"</f>
        <v>2834.29.30</v>
      </c>
      <c r="B1767" s="2" t="str">
        <f>"De aluminio"</f>
        <v>De aluminio</v>
      </c>
    </row>
    <row r="1768" spans="1:2">
      <c r="A1768" s="1" t="str">
        <f>"2834.29.40"</f>
        <v>2834.29.40</v>
      </c>
      <c r="B1768" s="2" t="str">
        <f>"De litio"</f>
        <v>De litio</v>
      </c>
    </row>
    <row r="1769" spans="1:2">
      <c r="A1769" s="1" t="str">
        <f>"2834.29.90"</f>
        <v>2834.29.90</v>
      </c>
      <c r="B1769" s="2" t="str">
        <f>"Outros"</f>
        <v>Outros</v>
      </c>
    </row>
    <row r="1770" spans="1:2">
      <c r="A1770" s="1" t="str">
        <f>"2835.10.11"</f>
        <v>2835.10.11</v>
      </c>
      <c r="B1770" s="2" t="str">
        <f>"De sodio"</f>
        <v>De sodio</v>
      </c>
    </row>
    <row r="1771" spans="1:2">
      <c r="A1771" s="1" t="str">
        <f>"2835.10.19"</f>
        <v>2835.10.19</v>
      </c>
      <c r="B1771" s="2" t="str">
        <f>"Outros"</f>
        <v>Outros</v>
      </c>
    </row>
    <row r="1772" spans="1:2">
      <c r="A1772" s="1" t="str">
        <f>"2835.10.21"</f>
        <v>2835.10.21</v>
      </c>
      <c r="B1772" s="2" t="str">
        <f>"Dibasico de chumbo"</f>
        <v>Dibasico de chumbo</v>
      </c>
    </row>
    <row r="1773" spans="1:2">
      <c r="A1773" s="1" t="str">
        <f>"2835.10.29"</f>
        <v>2835.10.29</v>
      </c>
      <c r="B1773" s="2" t="str">
        <f>"Outros"</f>
        <v>Outros</v>
      </c>
    </row>
    <row r="1774" spans="1:2">
      <c r="A1774" s="1" t="str">
        <f>"2835.22.00"</f>
        <v>2835.22.00</v>
      </c>
      <c r="B1774" s="2" t="str">
        <f>"Mono ou dissodico"</f>
        <v>Mono ou dissodico</v>
      </c>
    </row>
    <row r="1775" spans="1:2">
      <c r="A1775" s="1" t="str">
        <f>"2835.24.00"</f>
        <v>2835.24.00</v>
      </c>
      <c r="B1775" s="2" t="str">
        <f>"De potassio"</f>
        <v>De potassio</v>
      </c>
    </row>
    <row r="1776" spans="1:2">
      <c r="A1776" s="1" t="str">
        <f>"2835.25.00"</f>
        <v>2835.25.00</v>
      </c>
      <c r="B1776" s="2" t="str">
        <f>"Hidrogeno-ortofosfato de calcio (fo"</f>
        <v>Hidrogeno-ortofosfato de calcio (fo</v>
      </c>
    </row>
    <row r="1777" spans="1:2">
      <c r="A1777" s="1" t="str">
        <f>"2835.26.00"</f>
        <v>2835.26.00</v>
      </c>
      <c r="B1777" s="2" t="str">
        <f>"Outros fosfatos de calcio"</f>
        <v>Outros fosfatos de calcio</v>
      </c>
    </row>
    <row r="1778" spans="1:2">
      <c r="A1778" s="1" t="str">
        <f>"2835.29.10"</f>
        <v>2835.29.10</v>
      </c>
      <c r="B1778" s="2" t="str">
        <f>"De ferro"</f>
        <v>De ferro</v>
      </c>
    </row>
    <row r="1779" spans="1:2">
      <c r="A1779" s="1" t="str">
        <f>"2835.29.20"</f>
        <v>2835.29.20</v>
      </c>
      <c r="B1779" s="2" t="str">
        <f>"De cobalto"</f>
        <v>De cobalto</v>
      </c>
    </row>
    <row r="1780" spans="1:2">
      <c r="A1780" s="1" t="str">
        <f>"2835.29.30"</f>
        <v>2835.29.30</v>
      </c>
      <c r="B1780" s="2" t="str">
        <f>"De cobre"</f>
        <v>De cobre</v>
      </c>
    </row>
    <row r="1781" spans="1:2">
      <c r="A1781" s="1" t="str">
        <f>"2835.29.40"</f>
        <v>2835.29.40</v>
      </c>
      <c r="B1781" s="2" t="str">
        <f>"De cromo"</f>
        <v>De cromo</v>
      </c>
    </row>
    <row r="1782" spans="1:2">
      <c r="A1782" s="1" t="str">
        <f>"2835.29.50"</f>
        <v>2835.29.50</v>
      </c>
      <c r="B1782" s="2" t="str">
        <f>"De estroncio"</f>
        <v>De estroncio</v>
      </c>
    </row>
    <row r="1783" spans="1:2">
      <c r="A1783" s="1" t="str">
        <f>"2835.29.60"</f>
        <v>2835.29.60</v>
      </c>
      <c r="B1783" s="2" t="str">
        <f>"De manganes"</f>
        <v>De manganes</v>
      </c>
    </row>
    <row r="1784" spans="1:2">
      <c r="A1784" s="1" t="str">
        <f>"2835.29.70"</f>
        <v>2835.29.70</v>
      </c>
      <c r="B1784" s="2" t="str">
        <f>"De triamonio"</f>
        <v>De triamonio</v>
      </c>
    </row>
    <row r="1785" spans="1:2">
      <c r="A1785" s="1" t="str">
        <f>"2835.29.80"</f>
        <v>2835.29.80</v>
      </c>
      <c r="B1785" s="2" t="str">
        <f>"De trissodio"</f>
        <v>De trissodio</v>
      </c>
    </row>
    <row r="1786" spans="1:2">
      <c r="A1786" s="1" t="str">
        <f>"2835.29.90"</f>
        <v>2835.29.90</v>
      </c>
      <c r="B1786" s="2" t="str">
        <f>"Outros"</f>
        <v>Outros</v>
      </c>
    </row>
    <row r="1787" spans="1:2">
      <c r="A1787" s="1" t="str">
        <f>"2835.31.10"</f>
        <v>2835.31.10</v>
      </c>
      <c r="B1787" s="2" t="str">
        <f>"Grau alimenticio, de acordo com o e"</f>
        <v>Grau alimenticio, de acordo com o e</v>
      </c>
    </row>
    <row r="1788" spans="1:2">
      <c r="A1788" s="1" t="str">
        <f>"2835.31.90"</f>
        <v>2835.31.90</v>
      </c>
      <c r="B1788" s="2" t="str">
        <f>"Outros"</f>
        <v>Outros</v>
      </c>
    </row>
    <row r="1789" spans="1:2">
      <c r="A1789" s="1" t="str">
        <f>"2835.39.10"</f>
        <v>2835.39.10</v>
      </c>
      <c r="B1789" s="2" t="str">
        <f>"Metafosfatos de sodio"</f>
        <v>Metafosfatos de sodio</v>
      </c>
    </row>
    <row r="1790" spans="1:2">
      <c r="A1790" s="1" t="str">
        <f>"2835.39.20"</f>
        <v>2835.39.20</v>
      </c>
      <c r="B1790" s="2" t="str">
        <f>"Pirofosfatos de sodio"</f>
        <v>Pirofosfatos de sodio</v>
      </c>
    </row>
    <row r="1791" spans="1:2">
      <c r="A1791" s="1" t="str">
        <f>"2835.39.30"</f>
        <v>2835.39.30</v>
      </c>
      <c r="B1791" s="2" t="str">
        <f>"Pirofosfato de zinco"</f>
        <v>Pirofosfato de zinco</v>
      </c>
    </row>
    <row r="1792" spans="1:2">
      <c r="A1792" s="1" t="str">
        <f>"2835.39.90"</f>
        <v>2835.39.90</v>
      </c>
      <c r="B1792" s="2" t="str">
        <f>"Outros"</f>
        <v>Outros</v>
      </c>
    </row>
    <row r="1793" spans="1:2">
      <c r="A1793" s="1" t="str">
        <f>"2836.20.10"</f>
        <v>2836.20.10</v>
      </c>
      <c r="B1793" s="2" t="str">
        <f>"Anidro"</f>
        <v>Anidro</v>
      </c>
    </row>
    <row r="1794" spans="1:2">
      <c r="A1794" s="1" t="str">
        <f>"2836.20.90"</f>
        <v>2836.20.90</v>
      </c>
      <c r="B1794" s="2" t="str">
        <f>"Outros"</f>
        <v>Outros</v>
      </c>
    </row>
    <row r="1795" spans="1:2">
      <c r="A1795" s="1" t="str">
        <f>"2836.30.00"</f>
        <v>2836.30.00</v>
      </c>
      <c r="B1795" s="2" t="str">
        <f>"Hidrogenocarbonato (bicarbonato) de"</f>
        <v>Hidrogenocarbonato (bicarbonato) de</v>
      </c>
    </row>
    <row r="1796" spans="1:2">
      <c r="A1796" s="1" t="str">
        <f>"2836.40.00"</f>
        <v>2836.40.00</v>
      </c>
      <c r="B1796" s="2" t="str">
        <f>"Carbonatos de potassio"</f>
        <v>Carbonatos de potassio</v>
      </c>
    </row>
    <row r="1797" spans="1:2">
      <c r="A1797" s="1" t="str">
        <f>"2836.50.00"</f>
        <v>2836.50.00</v>
      </c>
      <c r="B1797" s="2" t="str">
        <f>"CARBONATO DE CALCIO-PRODUTO MINERAL"</f>
        <v>CARBONATO DE CALCIO-PRODUTO MINERAL</v>
      </c>
    </row>
    <row r="1798" spans="1:2">
      <c r="A1798" s="1" t="str">
        <f>"2836.60.10"</f>
        <v>2836.60.10</v>
      </c>
      <c r="B1798" s="2" t="str">
        <f>"Com um teor de BaCO3 igual ou super"</f>
        <v>Com um teor de BaCO3 igual ou super</v>
      </c>
    </row>
    <row r="1799" spans="1:2">
      <c r="A1799" s="1" t="str">
        <f>"2836.60.90"</f>
        <v>2836.60.90</v>
      </c>
      <c r="B1799" s="2" t="str">
        <f>"Outros"</f>
        <v>Outros</v>
      </c>
    </row>
    <row r="1800" spans="1:2">
      <c r="A1800" s="1" t="str">
        <f>"2836.91.00"</f>
        <v>2836.91.00</v>
      </c>
      <c r="B1800" s="2" t="str">
        <f>"Carbonatos de litio"</f>
        <v>Carbonatos de litio</v>
      </c>
    </row>
    <row r="1801" spans="1:2">
      <c r="A1801" s="1" t="str">
        <f>"2836.92.00"</f>
        <v>2836.92.00</v>
      </c>
      <c r="B1801" s="2" t="str">
        <f>"Carbonato de estroncio"</f>
        <v>Carbonato de estroncio</v>
      </c>
    </row>
    <row r="1802" spans="1:2">
      <c r="A1802" s="1" t="str">
        <f>"2836.99.11"</f>
        <v>2836.99.11</v>
      </c>
      <c r="B1802" s="2" t="str">
        <f>"De magnesio, de densidade aparente"</f>
        <v>De magnesio, de densidade aparente</v>
      </c>
    </row>
    <row r="1803" spans="1:2">
      <c r="A1803" s="1" t="str">
        <f>"2836.99.12"</f>
        <v>2836.99.12</v>
      </c>
      <c r="B1803" s="2" t="str">
        <f>"De zirconio"</f>
        <v>De zirconio</v>
      </c>
    </row>
    <row r="1804" spans="1:2">
      <c r="A1804" s="1" t="str">
        <f>"2836.99.13"</f>
        <v>2836.99.13</v>
      </c>
      <c r="B1804" s="2" t="str">
        <f>"De amonio comercial e outros carbon"</f>
        <v>De amonio comercial e outros carbon</v>
      </c>
    </row>
    <row r="1805" spans="1:2">
      <c r="A1805" s="1" t="str">
        <f>"2836.99.19"</f>
        <v>2836.99.19</v>
      </c>
      <c r="B1805" s="2" t="str">
        <f>"Outros"</f>
        <v>Outros</v>
      </c>
    </row>
    <row r="1806" spans="1:2">
      <c r="A1806" s="1" t="str">
        <f>"2836.99.20"</f>
        <v>2836.99.20</v>
      </c>
      <c r="B1806" s="2" t="str">
        <f>"Peroxocarbonatos (percarbonatos)"</f>
        <v>Peroxocarbonatos (percarbonatos)</v>
      </c>
    </row>
    <row r="1807" spans="1:2">
      <c r="A1807" s="1" t="str">
        <f>"2837.11.00"</f>
        <v>2837.11.00</v>
      </c>
      <c r="B1807" s="2" t="str">
        <f>"De sodio"</f>
        <v>De sodio</v>
      </c>
    </row>
    <row r="1808" spans="1:2">
      <c r="A1808" s="1" t="str">
        <f>"2837.19.11"</f>
        <v>2837.19.11</v>
      </c>
      <c r="B1808" s="2" t="str">
        <f>"De potassio"</f>
        <v>De potassio</v>
      </c>
    </row>
    <row r="1809" spans="1:2">
      <c r="A1809" s="1" t="str">
        <f>"2837.19.12"</f>
        <v>2837.19.12</v>
      </c>
      <c r="B1809" s="2" t="str">
        <f>"De zinco"</f>
        <v>De zinco</v>
      </c>
    </row>
    <row r="1810" spans="1:2">
      <c r="A1810" s="1" t="str">
        <f>"2837.19.14"</f>
        <v>2837.19.14</v>
      </c>
      <c r="B1810" s="2" t="str">
        <f>"De cobre I (cianeto cuproso)"</f>
        <v>De cobre I (cianeto cuproso)</v>
      </c>
    </row>
    <row r="1811" spans="1:2">
      <c r="A1811" s="1" t="str">
        <f>"2837.19.15"</f>
        <v>2837.19.15</v>
      </c>
      <c r="B1811" s="2" t="str">
        <f>"De cobre II (cianeto cuprico)"</f>
        <v>De cobre II (cianeto cuprico)</v>
      </c>
    </row>
    <row r="1812" spans="1:2">
      <c r="A1812" s="1" t="str">
        <f>"2837.19.19"</f>
        <v>2837.19.19</v>
      </c>
      <c r="B1812" s="2" t="str">
        <f>"Outros"</f>
        <v>Outros</v>
      </c>
    </row>
    <row r="1813" spans="1:2">
      <c r="A1813" s="1" t="str">
        <f>"2837.19.20"</f>
        <v>2837.19.20</v>
      </c>
      <c r="B1813" s="2" t="str">
        <f>"Oxicianetos"</f>
        <v>Oxicianetos</v>
      </c>
    </row>
    <row r="1814" spans="1:2">
      <c r="A1814" s="1" t="str">
        <f>"2837.20.11"</f>
        <v>2837.20.11</v>
      </c>
      <c r="B1814" s="2" t="str">
        <f>"De sodio"</f>
        <v>De sodio</v>
      </c>
    </row>
    <row r="1815" spans="1:2">
      <c r="A1815" s="1" t="str">
        <f>"2837.20.12"</f>
        <v>2837.20.12</v>
      </c>
      <c r="B1815" s="2" t="str">
        <f>"De ferro II (ferrocianeto ferroso)"</f>
        <v>De ferro II (ferrocianeto ferroso)</v>
      </c>
    </row>
    <row r="1816" spans="1:2">
      <c r="A1816" s="1" t="str">
        <f>"2837.20.19"</f>
        <v>2837.20.19</v>
      </c>
      <c r="B1816" s="2" t="str">
        <f>"Outros"</f>
        <v>Outros</v>
      </c>
    </row>
    <row r="1817" spans="1:2">
      <c r="A1817" s="1" t="str">
        <f>"2837.20.21"</f>
        <v>2837.20.21</v>
      </c>
      <c r="B1817" s="2" t="str">
        <f>"De potassio"</f>
        <v>De potassio</v>
      </c>
    </row>
    <row r="1818" spans="1:2">
      <c r="A1818" s="1" t="str">
        <f>"2837.20.22"</f>
        <v>2837.20.22</v>
      </c>
      <c r="B1818" s="2" t="str">
        <f>"De ferro II (ferricianeto ferroso)"</f>
        <v>De ferro II (ferricianeto ferroso)</v>
      </c>
    </row>
    <row r="1819" spans="1:2">
      <c r="A1819" s="1" t="str">
        <f>"2837.20.23"</f>
        <v>2837.20.23</v>
      </c>
      <c r="B1819" s="2" t="str">
        <f>"De ferro III (ferricianeto ferrico)"</f>
        <v>De ferro III (ferricianeto ferrico)</v>
      </c>
    </row>
    <row r="1820" spans="1:2">
      <c r="A1820" s="1" t="str">
        <f>"2837.20.29"</f>
        <v>2837.20.29</v>
      </c>
      <c r="B1820" s="2" t="str">
        <f>"Outros"</f>
        <v>Outros</v>
      </c>
    </row>
    <row r="1821" spans="1:2">
      <c r="A1821" s="1" t="str">
        <f>"2837.20.90"</f>
        <v>2837.20.90</v>
      </c>
      <c r="B1821" s="2" t="str">
        <f>"Outros"</f>
        <v>Outros</v>
      </c>
    </row>
    <row r="1822" spans="1:2">
      <c r="A1822" s="1" t="str">
        <f>"2839.11.00"</f>
        <v>2839.11.00</v>
      </c>
      <c r="B1822" s="2" t="str">
        <f>"Metassilicatos"</f>
        <v>Metassilicatos</v>
      </c>
    </row>
    <row r="1823" spans="1:2">
      <c r="A1823" s="1" t="str">
        <f>"2839.19.00"</f>
        <v>2839.19.00</v>
      </c>
      <c r="B1823" s="2" t="str">
        <f>"OUTROS"</f>
        <v>OUTROS</v>
      </c>
    </row>
    <row r="1824" spans="1:2">
      <c r="A1824" s="1" t="str">
        <f>"2839.90.10"</f>
        <v>2839.90.10</v>
      </c>
      <c r="B1824" s="2" t="str">
        <f>"De magnesio"</f>
        <v>De magnesio</v>
      </c>
    </row>
    <row r="1825" spans="1:2">
      <c r="A1825" s="1" t="str">
        <f>"2839.90.20"</f>
        <v>2839.90.20</v>
      </c>
      <c r="B1825" s="2" t="str">
        <f>"De aluminio"</f>
        <v>De aluminio</v>
      </c>
    </row>
    <row r="1826" spans="1:2">
      <c r="A1826" s="1" t="str">
        <f>"2839.90.30"</f>
        <v>2839.90.30</v>
      </c>
      <c r="B1826" s="2" t="str">
        <f>"De zirconio"</f>
        <v>De zirconio</v>
      </c>
    </row>
    <row r="1827" spans="1:2">
      <c r="A1827" s="1" t="str">
        <f>"2839.90.40"</f>
        <v>2839.90.40</v>
      </c>
      <c r="B1827" s="2" t="str">
        <f>"De chumbo"</f>
        <v>De chumbo</v>
      </c>
    </row>
    <row r="1828" spans="1:2">
      <c r="A1828" s="1" t="str">
        <f>"2839.90.50"</f>
        <v>2839.90.50</v>
      </c>
      <c r="B1828" s="2" t="str">
        <f>"De potassio"</f>
        <v>De potassio</v>
      </c>
    </row>
    <row r="1829" spans="1:2">
      <c r="A1829" s="1" t="str">
        <f>"2839.90.90"</f>
        <v>2839.90.90</v>
      </c>
      <c r="B1829" s="2" t="str">
        <f>"Outros"</f>
        <v>Outros</v>
      </c>
    </row>
    <row r="1830" spans="1:2">
      <c r="A1830" s="1" t="str">
        <f>"2840.11.00"</f>
        <v>2840.11.00</v>
      </c>
      <c r="B1830" s="2" t="str">
        <f>"Anidro"</f>
        <v>Anidro</v>
      </c>
    </row>
    <row r="1831" spans="1:2">
      <c r="A1831" s="1" t="str">
        <f>"2840.19.00"</f>
        <v>2840.19.00</v>
      </c>
      <c r="B1831" s="2" t="str">
        <f>"Outro"</f>
        <v>Outro</v>
      </c>
    </row>
    <row r="1832" spans="1:2">
      <c r="A1832" s="1" t="str">
        <f>"2840.20.00"</f>
        <v>2840.20.00</v>
      </c>
      <c r="B1832" s="2" t="str">
        <f>"Outros boratos"</f>
        <v>Outros boratos</v>
      </c>
    </row>
    <row r="1833" spans="1:2">
      <c r="A1833" s="1" t="str">
        <f>"2840.30.00"</f>
        <v>2840.30.00</v>
      </c>
      <c r="B1833" s="2" t="str">
        <f>"Peroxoboratos (perboratos)"</f>
        <v>Peroxoboratos (perboratos)</v>
      </c>
    </row>
    <row r="1834" spans="1:2">
      <c r="A1834" s="1" t="str">
        <f>"2841.30.00"</f>
        <v>2841.30.00</v>
      </c>
      <c r="B1834" s="2" t="str">
        <f>"Dicromato de sodio"</f>
        <v>Dicromato de sodio</v>
      </c>
    </row>
    <row r="1835" spans="1:2">
      <c r="A1835" s="1" t="str">
        <f>"2841.50.11"</f>
        <v>2841.50.11</v>
      </c>
      <c r="B1835" s="2" t="str">
        <f>"Cromato de amonio; dicromato de amo"</f>
        <v>Cromato de amonio; dicromato de amo</v>
      </c>
    </row>
    <row r="1836" spans="1:2">
      <c r="A1836" s="1" t="str">
        <f>"2841.50.12"</f>
        <v>2841.50.12</v>
      </c>
      <c r="B1836" s="2" t="str">
        <f>"Cromato de potassio"</f>
        <v>Cromato de potassio</v>
      </c>
    </row>
    <row r="1837" spans="1:2">
      <c r="A1837" s="1" t="str">
        <f>"2841.50.13"</f>
        <v>2841.50.13</v>
      </c>
      <c r="B1837" s="2" t="str">
        <f>"Cromato de sodio"</f>
        <v>Cromato de sodio</v>
      </c>
    </row>
    <row r="1838" spans="1:2">
      <c r="A1838" s="1" t="str">
        <f>"2841.50.14"</f>
        <v>2841.50.14</v>
      </c>
      <c r="B1838" s="2" t="str">
        <f>"Dicromato de potassio"</f>
        <v>Dicromato de potassio</v>
      </c>
    </row>
    <row r="1839" spans="1:2">
      <c r="A1839" s="1" t="str">
        <f>"2841.50.15"</f>
        <v>2841.50.15</v>
      </c>
      <c r="B1839" s="2" t="str">
        <f>"Cromato de zinco"</f>
        <v>Cromato de zinco</v>
      </c>
    </row>
    <row r="1840" spans="1:2">
      <c r="A1840" s="1" t="str">
        <f>"2841.50.16"</f>
        <v>2841.50.16</v>
      </c>
      <c r="B1840" s="2" t="str">
        <f>"Cromato de chumbo"</f>
        <v>Cromato de chumbo</v>
      </c>
    </row>
    <row r="1841" spans="1:2">
      <c r="A1841" s="1" t="str">
        <f>"2841.50.19"</f>
        <v>2841.50.19</v>
      </c>
      <c r="B1841" s="2" t="str">
        <f>"Outros"</f>
        <v>Outros</v>
      </c>
    </row>
    <row r="1842" spans="1:2">
      <c r="A1842" s="1" t="str">
        <f>"2841.50.20"</f>
        <v>2841.50.20</v>
      </c>
      <c r="B1842" s="2" t="str">
        <f>"Peroxocromatos"</f>
        <v>Peroxocromatos</v>
      </c>
    </row>
    <row r="1843" spans="1:2">
      <c r="A1843" s="1" t="str">
        <f>"2841.61.00"</f>
        <v>2841.61.00</v>
      </c>
      <c r="B1843" s="2" t="str">
        <f>"Permanganato de potassio"</f>
        <v>Permanganato de potassio</v>
      </c>
    </row>
    <row r="1844" spans="1:2">
      <c r="A1844" s="1" t="str">
        <f>"2841.69.10"</f>
        <v>2841.69.10</v>
      </c>
      <c r="B1844" s="2" t="str">
        <f>"Manganitos"</f>
        <v>Manganitos</v>
      </c>
    </row>
    <row r="1845" spans="1:2">
      <c r="A1845" s="1" t="str">
        <f>"2841.69.20"</f>
        <v>2841.69.20</v>
      </c>
      <c r="B1845" s="2" t="str">
        <f>"Manganatos"</f>
        <v>Manganatos</v>
      </c>
    </row>
    <row r="1846" spans="1:2">
      <c r="A1846" s="1" t="str">
        <f>"2841.69.30"</f>
        <v>2841.69.30</v>
      </c>
      <c r="B1846" s="2" t="str">
        <f>"Permanganatos"</f>
        <v>Permanganatos</v>
      </c>
    </row>
    <row r="1847" spans="1:2">
      <c r="A1847" s="1" t="str">
        <f>"2841.70.10"</f>
        <v>2841.70.10</v>
      </c>
      <c r="B1847" s="2" t="str">
        <f>"De amonio"</f>
        <v>De amonio</v>
      </c>
    </row>
    <row r="1848" spans="1:2">
      <c r="A1848" s="1" t="str">
        <f>"2841.70.20"</f>
        <v>2841.70.20</v>
      </c>
      <c r="B1848" s="2" t="str">
        <f>"De sodio"</f>
        <v>De sodio</v>
      </c>
    </row>
    <row r="1849" spans="1:2">
      <c r="A1849" s="1" t="str">
        <f>"2841.70.90"</f>
        <v>2841.70.90</v>
      </c>
      <c r="B1849" s="2" t="str">
        <f>"Outros"</f>
        <v>Outros</v>
      </c>
    </row>
    <row r="1850" spans="1:2">
      <c r="A1850" s="1" t="str">
        <f>"2841.80.10"</f>
        <v>2841.80.10</v>
      </c>
      <c r="B1850" s="2" t="str">
        <f>"De amonio"</f>
        <v>De amonio</v>
      </c>
    </row>
    <row r="1851" spans="1:2">
      <c r="A1851" s="1" t="str">
        <f>"2841.80.20"</f>
        <v>2841.80.20</v>
      </c>
      <c r="B1851" s="2" t="str">
        <f>"De chumbo"</f>
        <v>De chumbo</v>
      </c>
    </row>
    <row r="1852" spans="1:2">
      <c r="A1852" s="1" t="str">
        <f>"2841.80.90"</f>
        <v>2841.80.90</v>
      </c>
      <c r="B1852" s="2" t="str">
        <f>"Outros"</f>
        <v>Outros</v>
      </c>
    </row>
    <row r="1853" spans="1:2">
      <c r="A1853" s="1" t="str">
        <f>"2841.90.11"</f>
        <v>2841.90.11</v>
      </c>
      <c r="B1853" s="2" t="str">
        <f>"De chumbo"</f>
        <v>De chumbo</v>
      </c>
    </row>
    <row r="1854" spans="1:2">
      <c r="A1854" s="1" t="str">
        <f>"2841.90.12"</f>
        <v>2841.90.12</v>
      </c>
      <c r="B1854" s="2" t="str">
        <f>"De bario ou de bismuto"</f>
        <v>De bario ou de bismuto</v>
      </c>
    </row>
    <row r="1855" spans="1:2">
      <c r="A1855" s="1" t="str">
        <f>"2841.90.13"</f>
        <v>2841.90.13</v>
      </c>
      <c r="B1855" s="2" t="str">
        <f>"De calcio ou de estroncio"</f>
        <v>De calcio ou de estroncio</v>
      </c>
    </row>
    <row r="1856" spans="1:2">
      <c r="A1856" s="1" t="str">
        <f>"2841.90.14"</f>
        <v>2841.90.14</v>
      </c>
      <c r="B1856" s="2" t="str">
        <f>"De magnesio"</f>
        <v>De magnesio</v>
      </c>
    </row>
    <row r="1857" spans="1:2">
      <c r="A1857" s="1" t="str">
        <f>"2841.90.15"</f>
        <v>2841.90.15</v>
      </c>
      <c r="B1857" s="2" t="str">
        <f>"De lantanio ou de neodimio"</f>
        <v>De lantanio ou de neodimio</v>
      </c>
    </row>
    <row r="1858" spans="1:2">
      <c r="A1858" s="1" t="str">
        <f>"2841.90.19"</f>
        <v>2841.90.19</v>
      </c>
      <c r="B1858" s="2" t="str">
        <f>"Outros"</f>
        <v>Outros</v>
      </c>
    </row>
    <row r="1859" spans="1:2">
      <c r="A1859" s="1" t="str">
        <f>"2841.90.21"</f>
        <v>2841.90.21</v>
      </c>
      <c r="B1859" s="2" t="str">
        <f>"Ferrito de bario"</f>
        <v>Ferrito de bario</v>
      </c>
    </row>
    <row r="1860" spans="1:2">
      <c r="A1860" s="1" t="str">
        <f>"2841.90.22"</f>
        <v>2841.90.22</v>
      </c>
      <c r="B1860" s="2" t="str">
        <f>"Ferrito de estroncio"</f>
        <v>Ferrito de estroncio</v>
      </c>
    </row>
    <row r="1861" spans="1:2">
      <c r="A1861" s="1" t="str">
        <f>"2841.90.29"</f>
        <v>2841.90.29</v>
      </c>
      <c r="B1861" s="2" t="str">
        <f>"Outros"</f>
        <v>Outros</v>
      </c>
    </row>
    <row r="1862" spans="1:2">
      <c r="A1862" s="1" t="str">
        <f>"2841.90.30"</f>
        <v>2841.90.30</v>
      </c>
      <c r="B1862" s="2" t="str">
        <f>"Vanadatos"</f>
        <v>Vanadatos</v>
      </c>
    </row>
    <row r="1863" spans="1:2">
      <c r="A1863" s="1" t="str">
        <f>"2841.90.41"</f>
        <v>2841.90.41</v>
      </c>
      <c r="B1863" s="2" t="str">
        <f>"De bario"</f>
        <v>De bario</v>
      </c>
    </row>
    <row r="1864" spans="1:2">
      <c r="A1864" s="1" t="str">
        <f>"2841.90.42"</f>
        <v>2841.90.42</v>
      </c>
      <c r="B1864" s="2" t="str">
        <f>"De bismuto"</f>
        <v>De bismuto</v>
      </c>
    </row>
    <row r="1865" spans="1:2">
      <c r="A1865" s="1" t="str">
        <f>"2841.90.43"</f>
        <v>2841.90.43</v>
      </c>
      <c r="B1865" s="2" t="str">
        <f>"De calcio"</f>
        <v>De calcio</v>
      </c>
    </row>
    <row r="1866" spans="1:2">
      <c r="A1866" s="1" t="str">
        <f>"2841.90.49"</f>
        <v>2841.90.49</v>
      </c>
      <c r="B1866" s="2" t="str">
        <f>"Outros"</f>
        <v>Outros</v>
      </c>
    </row>
    <row r="1867" spans="1:2">
      <c r="A1867" s="1" t="str">
        <f>"2841.90.50"</f>
        <v>2841.90.50</v>
      </c>
      <c r="B1867" s="2" t="str">
        <f>"Plumbatos"</f>
        <v>Plumbatos</v>
      </c>
    </row>
    <row r="1868" spans="1:2">
      <c r="A1868" s="1" t="str">
        <f>"2841.90.60"</f>
        <v>2841.90.60</v>
      </c>
      <c r="B1868" s="2" t="str">
        <f>"Antimoniatos"</f>
        <v>Antimoniatos</v>
      </c>
    </row>
    <row r="1869" spans="1:2">
      <c r="A1869" s="1" t="str">
        <f>"2841.90.70"</f>
        <v>2841.90.70</v>
      </c>
      <c r="B1869" s="2" t="str">
        <f>"Zincatos"</f>
        <v>Zincatos</v>
      </c>
    </row>
    <row r="1870" spans="1:2">
      <c r="A1870" s="1" t="str">
        <f>"2841.90.81"</f>
        <v>2841.90.81</v>
      </c>
      <c r="B1870" s="2" t="str">
        <f>"ALUMINATO DE SODIO"</f>
        <v>ALUMINATO DE SODIO</v>
      </c>
    </row>
    <row r="1871" spans="1:2">
      <c r="A1871" s="1" t="str">
        <f>"2841.90.82"</f>
        <v>2841.90.82</v>
      </c>
      <c r="B1871" s="2" t="str">
        <f>"De magnesio"</f>
        <v>De magnesio</v>
      </c>
    </row>
    <row r="1872" spans="1:2">
      <c r="A1872" s="1" t="str">
        <f>"2841.90.83"</f>
        <v>2841.90.83</v>
      </c>
      <c r="B1872" s="2" t="str">
        <f>"De bismuto"</f>
        <v>De bismuto</v>
      </c>
    </row>
    <row r="1873" spans="1:2">
      <c r="A1873" s="1" t="str">
        <f>"2841.90.89"</f>
        <v>2841.90.89</v>
      </c>
      <c r="B1873" s="2" t="str">
        <f>"Outros"</f>
        <v>Outros</v>
      </c>
    </row>
    <row r="1874" spans="1:2">
      <c r="A1874" s="1" t="str">
        <f>"2841.90.90"</f>
        <v>2841.90.90</v>
      </c>
      <c r="B1874" s="2" t="str">
        <f>"Outros"</f>
        <v>Outros</v>
      </c>
    </row>
    <row r="1875" spans="1:2">
      <c r="A1875" s="1" t="str">
        <f>"2842.10.10"</f>
        <v>2842.10.10</v>
      </c>
      <c r="B1875" s="2" t="str">
        <f>"Zeolitas do tipo utilizado como tro"</f>
        <v>Zeolitas do tipo utilizado como tro</v>
      </c>
    </row>
    <row r="1876" spans="1:2">
      <c r="A1876" s="1" t="str">
        <f>"2842.10.90"</f>
        <v>2842.10.90</v>
      </c>
      <c r="B1876" s="2" t="str">
        <f>"OUTROS - TIXOLEX"</f>
        <v>OUTROS - TIXOLEX</v>
      </c>
    </row>
    <row r="1877" spans="1:2">
      <c r="A1877" s="1" t="str">
        <f>"2842.90.00"</f>
        <v>2842.90.00</v>
      </c>
      <c r="B1877" s="2" t="str">
        <f>"OUTROS -OMNISTAB IN-515"</f>
        <v>OUTROS -OMNISTAB IN-515</v>
      </c>
    </row>
    <row r="1878" spans="1:2">
      <c r="A1878" s="1" t="str">
        <f>"2843.10.00"</f>
        <v>2843.10.00</v>
      </c>
      <c r="B1878" s="2" t="str">
        <f>"Metais preciosos no estado coloidal"</f>
        <v>Metais preciosos no estado coloidal</v>
      </c>
    </row>
    <row r="1879" spans="1:2">
      <c r="A1879" s="1" t="str">
        <f>"2843.21.00"</f>
        <v>2843.21.00</v>
      </c>
      <c r="B1879" s="2" t="str">
        <f>"NITRATO DE PRATA"</f>
        <v>NITRATO DE PRATA</v>
      </c>
    </row>
    <row r="1880" spans="1:2">
      <c r="A1880" s="1" t="str">
        <f>"2843.29.10"</f>
        <v>2843.29.10</v>
      </c>
      <c r="B1880" s="2" t="str">
        <f>"Vitelinato de prata"</f>
        <v>Vitelinato de prata</v>
      </c>
    </row>
    <row r="1881" spans="1:2">
      <c r="A1881" s="1" t="str">
        <f>"2843.29.90"</f>
        <v>2843.29.90</v>
      </c>
      <c r="B1881" s="2" t="str">
        <f>"Outros"</f>
        <v>Outros</v>
      </c>
    </row>
    <row r="1882" spans="1:2">
      <c r="A1882" s="1" t="str">
        <f>"2843.30.10"</f>
        <v>2843.30.10</v>
      </c>
      <c r="B1882" s="2" t="str">
        <f>"Sulfeto de ouro em dispersao de gel"</f>
        <v>Sulfeto de ouro em dispersao de gel</v>
      </c>
    </row>
    <row r="1883" spans="1:2">
      <c r="A1883" s="1" t="str">
        <f>"2843.30.90"</f>
        <v>2843.30.90</v>
      </c>
      <c r="B1883" s="2" t="str">
        <f>"Outros"</f>
        <v>Outros</v>
      </c>
    </row>
    <row r="1884" spans="1:2">
      <c r="A1884" s="1" t="str">
        <f>"2843.90.11"</f>
        <v>2843.90.11</v>
      </c>
      <c r="B1884" s="2" t="str">
        <f>"Apresentados como medicamentos"</f>
        <v>Apresentados como medicamentos</v>
      </c>
    </row>
    <row r="1885" spans="1:2">
      <c r="A1885" s="1" t="str">
        <f>"2843.90.19"</f>
        <v>2843.90.19</v>
      </c>
      <c r="B1885" s="2" t="str">
        <f>"Outros"</f>
        <v>Outros</v>
      </c>
    </row>
    <row r="1886" spans="1:2">
      <c r="A1886" s="1" t="str">
        <f>"2843.90.90"</f>
        <v>2843.90.90</v>
      </c>
      <c r="B1886" s="2" t="str">
        <f>"Outros"</f>
        <v>Outros</v>
      </c>
    </row>
    <row r="1887" spans="1:2">
      <c r="A1887" s="1" t="str">
        <f>"2844.10.00"</f>
        <v>2844.10.00</v>
      </c>
      <c r="B1887" s="2" t="str">
        <f>"Uranio natural e seus compostos; li"</f>
        <v>Uranio natural e seus compostos; li</v>
      </c>
    </row>
    <row r="1888" spans="1:2">
      <c r="A1888" s="1" t="str">
        <f>"2844.20.00"</f>
        <v>2844.20.00</v>
      </c>
      <c r="B1888" s="2" t="str">
        <f>"Uranio enriquecido em U235 e seus c"</f>
        <v>Uranio enriquecido em U235 e seus c</v>
      </c>
    </row>
    <row r="1889" spans="1:2">
      <c r="A1889" s="1" t="str">
        <f>"2844.30.00"</f>
        <v>2844.30.00</v>
      </c>
      <c r="B1889" s="2" t="str">
        <f>"Uranio empobrecido em U235 e seus c"</f>
        <v>Uranio empobrecido em U235 e seus c</v>
      </c>
    </row>
    <row r="1890" spans="1:2">
      <c r="A1890" s="1" t="str">
        <f>"2844.40.10"</f>
        <v>2844.40.10</v>
      </c>
      <c r="B1890" s="2" t="str">
        <f>"Molibdenio 99 absorvido em alumina,"</f>
        <v>Molibdenio 99 absorvido em alumina,</v>
      </c>
    </row>
    <row r="1891" spans="1:2">
      <c r="A1891" s="1" t="str">
        <f>"2844.40.20"</f>
        <v>2844.40.20</v>
      </c>
      <c r="B1891" s="2" t="str">
        <f>"Cobalto 60"</f>
        <v>Cobalto 60</v>
      </c>
    </row>
    <row r="1892" spans="1:2">
      <c r="A1892" s="1" t="str">
        <f>"2844.40.30"</f>
        <v>2844.40.30</v>
      </c>
      <c r="B1892" s="2" t="str">
        <f>"Iodo 131"</f>
        <v>Iodo 131</v>
      </c>
    </row>
    <row r="1893" spans="1:2">
      <c r="A1893" s="1" t="str">
        <f>"2844.40.90"</f>
        <v>2844.40.90</v>
      </c>
      <c r="B1893" s="2" t="str">
        <f>"Outros"</f>
        <v>Outros</v>
      </c>
    </row>
    <row r="1894" spans="1:2">
      <c r="A1894" s="1" t="str">
        <f>"2844.50.00"</f>
        <v>2844.50.00</v>
      </c>
      <c r="B1894" s="2" t="str">
        <f>"Elementos combustiveis (cartuchos)"</f>
        <v>Elementos combustiveis (cartuchos)</v>
      </c>
    </row>
    <row r="1895" spans="1:2">
      <c r="A1895" s="1" t="str">
        <f>"2845.10.00"</f>
        <v>2845.10.00</v>
      </c>
      <c r="B1895" s="2" t="str">
        <f>"Agua pesada (oxido de deuterio)"</f>
        <v>Agua pesada (oxido de deuterio)</v>
      </c>
    </row>
    <row r="1896" spans="1:2">
      <c r="A1896" s="1" t="str">
        <f>"2845.90.00"</f>
        <v>2845.90.00</v>
      </c>
      <c r="B1896" s="2" t="str">
        <f>"Outros"</f>
        <v>Outros</v>
      </c>
    </row>
    <row r="1897" spans="1:2">
      <c r="A1897" s="1" t="str">
        <f>"2846.10.10"</f>
        <v>2846.10.10</v>
      </c>
      <c r="B1897" s="2" t="str">
        <f>"Oxido cerico"</f>
        <v>Oxido cerico</v>
      </c>
    </row>
    <row r="1898" spans="1:2">
      <c r="A1898" s="1" t="str">
        <f>"2846.10.90"</f>
        <v>2846.10.90</v>
      </c>
      <c r="B1898" s="2" t="str">
        <f>"Outros"</f>
        <v>Outros</v>
      </c>
    </row>
    <row r="1899" spans="1:2">
      <c r="A1899" s="1" t="str">
        <f>"2846.90.10"</f>
        <v>2846.90.10</v>
      </c>
      <c r="B1899" s="2" t="str">
        <f>"Oxido de praseodimio"</f>
        <v>Oxido de praseodimio</v>
      </c>
    </row>
    <row r="1900" spans="1:2">
      <c r="A1900" s="1" t="str">
        <f>"2846.90.20"</f>
        <v>2846.90.20</v>
      </c>
      <c r="B1900" s="2" t="str">
        <f>"Cloretos dos demais metais das terr"</f>
        <v>Cloretos dos demais metais das terr</v>
      </c>
    </row>
    <row r="1901" spans="1:2">
      <c r="A1901" s="1" t="str">
        <f>"2846.90.30"</f>
        <v>2846.90.30</v>
      </c>
      <c r="B1901" s="2" t="str">
        <f>"Gadopentetato de dimeglumina"</f>
        <v>Gadopentetato de dimeglumina</v>
      </c>
    </row>
    <row r="1902" spans="1:2">
      <c r="A1902" s="1" t="str">
        <f>"2846.90.90"</f>
        <v>2846.90.90</v>
      </c>
      <c r="B1902" s="2" t="str">
        <f>"Outros"</f>
        <v>Outros</v>
      </c>
    </row>
    <row r="1903" spans="1:2">
      <c r="A1903" s="1" t="str">
        <f>"2847.00.00"</f>
        <v>2847.00.00</v>
      </c>
      <c r="B1903" s="2" t="str">
        <f>"PERÓXI HIDROG MESMO SOLID UREIA"</f>
        <v>PERÓXI HIDROG MESMO SOLID UREIA</v>
      </c>
    </row>
    <row r="1904" spans="1:2">
      <c r="A1904" s="1" t="str">
        <f>"2849.10.00"</f>
        <v>2849.10.00</v>
      </c>
      <c r="B1904" s="2" t="str">
        <f>"De calcio"</f>
        <v>De calcio</v>
      </c>
    </row>
    <row r="1905" spans="1:2">
      <c r="A1905" s="1" t="str">
        <f>"2849.20.00"</f>
        <v>2849.20.00</v>
      </c>
      <c r="B1905" s="2" t="str">
        <f>"De silicio"</f>
        <v>De silicio</v>
      </c>
    </row>
    <row r="1906" spans="1:2">
      <c r="A1906" s="1" t="str">
        <f>"2849.90.10"</f>
        <v>2849.90.10</v>
      </c>
      <c r="B1906" s="2" t="str">
        <f>"De boro"</f>
        <v>De boro</v>
      </c>
    </row>
    <row r="1907" spans="1:2">
      <c r="A1907" s="1" t="str">
        <f>"2849.90.20"</f>
        <v>2849.90.20</v>
      </c>
      <c r="B1907" s="2" t="str">
        <f>"De tantalo"</f>
        <v>De tantalo</v>
      </c>
    </row>
    <row r="1908" spans="1:2">
      <c r="A1908" s="1" t="str">
        <f>"2849.90.30"</f>
        <v>2849.90.30</v>
      </c>
      <c r="B1908" s="2" t="str">
        <f>"De tungstenio (volframio)"</f>
        <v>De tungstenio (volframio)</v>
      </c>
    </row>
    <row r="1909" spans="1:2">
      <c r="A1909" s="1" t="str">
        <f>"2849.90.90"</f>
        <v>2849.90.90</v>
      </c>
      <c r="B1909" s="2" t="str">
        <f>"Outros"</f>
        <v>Outros</v>
      </c>
    </row>
    <row r="1910" spans="1:2">
      <c r="A1910" s="1" t="str">
        <f>"2850.00.10"</f>
        <v>2850.00.10</v>
      </c>
      <c r="B1910" s="2" t="str">
        <f>"Nitreto de boro"</f>
        <v>Nitreto de boro</v>
      </c>
    </row>
    <row r="1911" spans="1:2">
      <c r="A1911" s="1" t="str">
        <f>"2850.00.20"</f>
        <v>2850.00.20</v>
      </c>
      <c r="B1911" s="2" t="str">
        <f>"Silicieto de calcio"</f>
        <v>Silicieto de calcio</v>
      </c>
    </row>
    <row r="1912" spans="1:2">
      <c r="A1912" s="1" t="str">
        <f>"2850.00.90"</f>
        <v>2850.00.90</v>
      </c>
      <c r="B1912" s="2" t="str">
        <f>"Outros"</f>
        <v>Outros</v>
      </c>
    </row>
    <row r="1913" spans="1:2">
      <c r="A1913" s="1" t="str">
        <f>"2852.10.11"</f>
        <v>2852.10.11</v>
      </c>
      <c r="B1913" s="2" t="str">
        <f>"Oxidos"</f>
        <v>Oxidos</v>
      </c>
    </row>
    <row r="1914" spans="1:2">
      <c r="A1914" s="1" t="str">
        <f>"2852.10.12"</f>
        <v>2852.10.12</v>
      </c>
      <c r="B1914" s="2" t="str">
        <f>"Cloreto de mercurio I (cloreto merc"</f>
        <v>Cloreto de mercurio I (cloreto merc</v>
      </c>
    </row>
    <row r="1915" spans="1:2">
      <c r="A1915" s="1" t="str">
        <f>"2852.10.13"</f>
        <v>2852.10.13</v>
      </c>
      <c r="B1915" s="2" t="str">
        <f>"Cloreto de mercurio II (cloreto mer"</f>
        <v>Cloreto de mercurio II (cloreto mer</v>
      </c>
    </row>
    <row r="1916" spans="1:2">
      <c r="A1916" s="1" t="str">
        <f>"2852.10.14"</f>
        <v>2852.10.14</v>
      </c>
      <c r="B1916" s="2" t="str">
        <f>"Cloreto de mercurio II (cloreto mer"</f>
        <v>Cloreto de mercurio II (cloreto mer</v>
      </c>
    </row>
    <row r="1917" spans="1:2">
      <c r="A1917" s="1" t="str">
        <f>"2852.10.19"</f>
        <v>2852.10.19</v>
      </c>
      <c r="B1917" s="2" t="str">
        <f>"Outros"</f>
        <v>Outros</v>
      </c>
    </row>
    <row r="1918" spans="1:2">
      <c r="A1918" s="1" t="str">
        <f>"2852.10.21"</f>
        <v>2852.10.21</v>
      </c>
      <c r="B1918" s="2" t="str">
        <f>"Acetato de mercurio"</f>
        <v>Acetato de mercurio</v>
      </c>
    </row>
    <row r="1919" spans="1:2">
      <c r="A1919" s="1" t="str">
        <f>"2852.10.22"</f>
        <v>2852.10.22</v>
      </c>
      <c r="B1919" s="2" t="str">
        <f>"Timerosal"</f>
        <v>Timerosal</v>
      </c>
    </row>
    <row r="1920" spans="1:2">
      <c r="A1920" s="1" t="str">
        <f>"2852.10.23"</f>
        <v>2852.10.23</v>
      </c>
      <c r="B1920" s="2" t="str">
        <f>"Estearato de mercurio"</f>
        <v>Estearato de mercurio</v>
      </c>
    </row>
    <row r="1921" spans="1:2">
      <c r="A1921" s="1" t="str">
        <f>"2852.10.24"</f>
        <v>2852.10.24</v>
      </c>
      <c r="B1921" s="2" t="str">
        <f>"Lactato de mercurio"</f>
        <v>Lactato de mercurio</v>
      </c>
    </row>
    <row r="1922" spans="1:2">
      <c r="A1922" s="1" t="str">
        <f>"2852.10.25"</f>
        <v>2852.10.25</v>
      </c>
      <c r="B1922" s="2" t="str">
        <f>"Salicilato de mercurio"</f>
        <v>Salicilato de mercurio</v>
      </c>
    </row>
    <row r="1923" spans="1:2">
      <c r="A1923" s="1" t="str">
        <f>"2852.10.29"</f>
        <v>2852.10.29</v>
      </c>
      <c r="B1923" s="2" t="str">
        <f>"Outros"</f>
        <v>Outros</v>
      </c>
    </row>
    <row r="1924" spans="1:2">
      <c r="A1924" s="1" t="str">
        <f>"2852.90.00"</f>
        <v>2852.90.00</v>
      </c>
      <c r="B1924" s="2" t="str">
        <f>"Outros"</f>
        <v>Outros</v>
      </c>
    </row>
    <row r="1925" spans="1:2">
      <c r="A1925" s="1" t="str">
        <f>"2853.00.90"</f>
        <v>2853.00.90</v>
      </c>
      <c r="B1925" s="2" t="str">
        <f>"INATIVO"</f>
        <v>INATIVO</v>
      </c>
    </row>
    <row r="1926" spans="1:2">
      <c r="A1926" s="1" t="str">
        <f>"2853.10.00"</f>
        <v>2853.10.00</v>
      </c>
      <c r="B1926" s="2" t="str">
        <f>"Cloreto de cianogenio (clorociano)"</f>
        <v>Cloreto de cianogenio (clorociano)</v>
      </c>
    </row>
    <row r="1927" spans="1:2">
      <c r="A1927" s="1" t="str">
        <f>"2853.90.11"</f>
        <v>2853.90.11</v>
      </c>
      <c r="B1927" s="2" t="str">
        <f>"De aluminio"</f>
        <v>De aluminio</v>
      </c>
    </row>
    <row r="1928" spans="1:2">
      <c r="A1928" s="1" t="str">
        <f>"2853.90.12"</f>
        <v>2853.90.12</v>
      </c>
      <c r="B1928" s="2" t="str">
        <f>"De magnesio"</f>
        <v>De magnesio</v>
      </c>
    </row>
    <row r="1929" spans="1:2">
      <c r="A1929" s="1" t="str">
        <f>"2853.90.13"</f>
        <v>2853.90.13</v>
      </c>
      <c r="B1929" s="2" t="str">
        <f>"De cobre (fosfetos de cobre), conte"</f>
        <v>De cobre (fosfetos de cobre), conte</v>
      </c>
    </row>
    <row r="1930" spans="1:2">
      <c r="A1930" s="1" t="str">
        <f>"2853.90.19"</f>
        <v>2853.90.19</v>
      </c>
      <c r="B1930" s="2" t="str">
        <f>"Outros"</f>
        <v>Outros</v>
      </c>
    </row>
    <row r="1931" spans="1:2">
      <c r="A1931" s="1" t="str">
        <f>"2853.90.20"</f>
        <v>2853.90.20</v>
      </c>
      <c r="B1931" s="2" t="str">
        <f>"Cianamida e seus derivados metalico"</f>
        <v>Cianamida e seus derivados metalico</v>
      </c>
    </row>
    <row r="1932" spans="1:2">
      <c r="A1932" s="1" t="str">
        <f>"2853.90.30"</f>
        <v>2853.90.30</v>
      </c>
      <c r="B1932" s="2" t="str">
        <f>"Sulfocloretos de fosforo"</f>
        <v>Sulfocloretos de fosforo</v>
      </c>
    </row>
    <row r="1933" spans="1:2">
      <c r="A1933" s="1" t="str">
        <f>"2853.90.90"</f>
        <v>2853.90.90</v>
      </c>
      <c r="B1933" s="2" t="str">
        <f>"OUTROS"</f>
        <v>OUTROS</v>
      </c>
    </row>
    <row r="1934" spans="1:2">
      <c r="A1934" s="1" t="str">
        <f>"2901.10.00"</f>
        <v>2901.10.00</v>
      </c>
      <c r="B1934" s="2" t="str">
        <f>"Saturados"</f>
        <v>Saturados</v>
      </c>
    </row>
    <row r="1935" spans="1:2">
      <c r="A1935" s="1" t="str">
        <f>"2901.21.00"</f>
        <v>2901.21.00</v>
      </c>
      <c r="B1935" s="2" t="str">
        <f>"Etileno"</f>
        <v>Etileno</v>
      </c>
    </row>
    <row r="1936" spans="1:2">
      <c r="A1936" s="1" t="str">
        <f>"2901.22.00"</f>
        <v>2901.22.00</v>
      </c>
      <c r="B1936" s="2" t="str">
        <f>"Propeno (propileno)"</f>
        <v>Propeno (propileno)</v>
      </c>
    </row>
    <row r="1937" spans="1:2">
      <c r="A1937" s="1" t="str">
        <f>"2901.23.00"</f>
        <v>2901.23.00</v>
      </c>
      <c r="B1937" s="2" t="str">
        <f>"Buteno (butileno) e seus isomeros"</f>
        <v>Buteno (butileno) e seus isomeros</v>
      </c>
    </row>
    <row r="1938" spans="1:2">
      <c r="A1938" s="1" t="str">
        <f>"2901.24.10"</f>
        <v>2901.24.10</v>
      </c>
      <c r="B1938" s="2" t="str">
        <f>"Buta-1,3-dieno"</f>
        <v>Buta-1,3-dieno</v>
      </c>
    </row>
    <row r="1939" spans="1:2">
      <c r="A1939" s="1" t="str">
        <f>"2901.24.20"</f>
        <v>2901.24.20</v>
      </c>
      <c r="B1939" s="2" t="str">
        <f>"Isopreno"</f>
        <v>Isopreno</v>
      </c>
    </row>
    <row r="1940" spans="1:2">
      <c r="A1940" s="1" t="str">
        <f>"2901.29.00"</f>
        <v>2901.29.00</v>
      </c>
      <c r="B1940" s="2" t="str">
        <f>"OUTROS"</f>
        <v>OUTROS</v>
      </c>
    </row>
    <row r="1941" spans="1:2">
      <c r="A1941" s="1" t="str">
        <f>"2902.11.00"</f>
        <v>2902.11.00</v>
      </c>
      <c r="B1941" s="2" t="str">
        <f>"Cicloexano"</f>
        <v>Cicloexano</v>
      </c>
    </row>
    <row r="1942" spans="1:2">
      <c r="A1942" s="1" t="str">
        <f>"2902.19.10"</f>
        <v>2902.19.10</v>
      </c>
      <c r="B1942" s="2" t="str">
        <f>"Limoneno"</f>
        <v>Limoneno</v>
      </c>
    </row>
    <row r="1943" spans="1:2">
      <c r="A1943" s="1" t="str">
        <f>"2902.19.90"</f>
        <v>2902.19.90</v>
      </c>
      <c r="B1943" s="2" t="str">
        <f>"Outros"</f>
        <v>Outros</v>
      </c>
    </row>
    <row r="1944" spans="1:2">
      <c r="A1944" s="1" t="str">
        <f>"2902.20.00"</f>
        <v>2902.20.00</v>
      </c>
      <c r="B1944" s="2" t="str">
        <f>"Benzeno"</f>
        <v>Benzeno</v>
      </c>
    </row>
    <row r="1945" spans="1:2">
      <c r="A1945" s="1" t="str">
        <f>"2902.30.00"</f>
        <v>2902.30.00</v>
      </c>
      <c r="B1945" s="2" t="str">
        <f>"TOLUENO"</f>
        <v>TOLUENO</v>
      </c>
    </row>
    <row r="1946" spans="1:2">
      <c r="A1946" s="1" t="str">
        <f>"2902.41.00"</f>
        <v>2902.41.00</v>
      </c>
      <c r="B1946" s="2" t="str">
        <f>"o-Xileno"</f>
        <v>o-Xileno</v>
      </c>
    </row>
    <row r="1947" spans="1:2">
      <c r="A1947" s="1" t="str">
        <f>"2902.42.00"</f>
        <v>2902.42.00</v>
      </c>
      <c r="B1947" s="2" t="str">
        <f>"m-Xileno"</f>
        <v>m-Xileno</v>
      </c>
    </row>
    <row r="1948" spans="1:2">
      <c r="A1948" s="1" t="str">
        <f>"2902.43.00"</f>
        <v>2902.43.00</v>
      </c>
      <c r="B1948" s="2" t="str">
        <f>"p-Xileno"</f>
        <v>p-Xileno</v>
      </c>
    </row>
    <row r="1949" spans="1:2">
      <c r="A1949" s="1" t="str">
        <f>"2902.44.00"</f>
        <v>2902.44.00</v>
      </c>
      <c r="B1949" s="2" t="str">
        <f>"MISTURA DE ISOMEROS DO XILENO"</f>
        <v>MISTURA DE ISOMEROS DO XILENO</v>
      </c>
    </row>
    <row r="1950" spans="1:2">
      <c r="A1950" s="1" t="str">
        <f>"2902.50.00"</f>
        <v>2902.50.00</v>
      </c>
      <c r="B1950" s="2" t="str">
        <f>"Estireno"</f>
        <v>Estireno</v>
      </c>
    </row>
    <row r="1951" spans="1:2">
      <c r="A1951" s="1" t="str">
        <f>"2902.60.00"</f>
        <v>2902.60.00</v>
      </c>
      <c r="B1951" s="2" t="str">
        <f>"Etilbenzeno"</f>
        <v>Etilbenzeno</v>
      </c>
    </row>
    <row r="1952" spans="1:2">
      <c r="A1952" s="1" t="str">
        <f>"2902.70.00"</f>
        <v>2902.70.00</v>
      </c>
      <c r="B1952" s="2" t="str">
        <f>"Cumeno"</f>
        <v>Cumeno</v>
      </c>
    </row>
    <row r="1953" spans="1:2">
      <c r="A1953" s="1" t="str">
        <f>"2902.90.10"</f>
        <v>2902.90.10</v>
      </c>
      <c r="B1953" s="2" t="str">
        <f>"Difenila (1,1'-bifenila)"</f>
        <v>Difenila (1,1'-bifenila)</v>
      </c>
    </row>
    <row r="1954" spans="1:2">
      <c r="A1954" s="1" t="str">
        <f>"2902.90.20"</f>
        <v>2902.90.20</v>
      </c>
      <c r="B1954" s="2" t="str">
        <f>"Naftaleno"</f>
        <v>Naftaleno</v>
      </c>
    </row>
    <row r="1955" spans="1:2">
      <c r="A1955" s="1" t="str">
        <f>"2902.90.30"</f>
        <v>2902.90.30</v>
      </c>
      <c r="B1955" s="2" t="str">
        <f>"Antraceno"</f>
        <v>Antraceno</v>
      </c>
    </row>
    <row r="1956" spans="1:2">
      <c r="A1956" s="1" t="str">
        <f>"2902.90.40"</f>
        <v>2902.90.40</v>
      </c>
      <c r="B1956" s="2" t="str">
        <f>"alfa-Metilestireno"</f>
        <v>alfa-Metilestireno</v>
      </c>
    </row>
    <row r="1957" spans="1:2">
      <c r="A1957" s="1" t="str">
        <f>"2902.90.90"</f>
        <v>2902.90.90</v>
      </c>
      <c r="B1957" s="2" t="str">
        <f>"Outros"</f>
        <v>Outros</v>
      </c>
    </row>
    <row r="1958" spans="1:2">
      <c r="A1958" s="1" t="str">
        <f>"2903.11.10"</f>
        <v>2903.11.10</v>
      </c>
      <c r="B1958" s="2" t="str">
        <f>"Clorometano (cloreto de metila)"</f>
        <v>Clorometano (cloreto de metila)</v>
      </c>
    </row>
    <row r="1959" spans="1:2">
      <c r="A1959" s="1" t="str">
        <f>"2903.11.20"</f>
        <v>2903.11.20</v>
      </c>
      <c r="B1959" s="2" t="str">
        <f>"Cloroetano (cloreto de etila)"</f>
        <v>Cloroetano (cloreto de etila)</v>
      </c>
    </row>
    <row r="1960" spans="1:2">
      <c r="A1960" s="1" t="str">
        <f>"2903.12.00"</f>
        <v>2903.12.00</v>
      </c>
      <c r="B1960" s="2" t="str">
        <f>"Diclorometano (cloreto de metileno)"</f>
        <v>Diclorometano (cloreto de metileno)</v>
      </c>
    </row>
    <row r="1961" spans="1:2">
      <c r="A1961" s="1" t="str">
        <f>"2903.13.00"</f>
        <v>2903.13.00</v>
      </c>
      <c r="B1961" s="2" t="str">
        <f>"Cloroformio (triclorometano)"</f>
        <v>Cloroformio (triclorometano)</v>
      </c>
    </row>
    <row r="1962" spans="1:2">
      <c r="A1962" s="1" t="str">
        <f>"2903.14.00"</f>
        <v>2903.14.00</v>
      </c>
      <c r="B1962" s="2" t="str">
        <f>"Tetracloreto de carbono"</f>
        <v>Tetracloreto de carbono</v>
      </c>
    </row>
    <row r="1963" spans="1:2">
      <c r="A1963" s="1" t="str">
        <f>"2903.15.00"</f>
        <v>2903.15.00</v>
      </c>
      <c r="B1963" s="2" t="str">
        <f>"Dicloreto de etileno (ISO) (1,2-dic"</f>
        <v>Dicloreto de etileno (ISO) (1,2-dic</v>
      </c>
    </row>
    <row r="1964" spans="1:2">
      <c r="A1964" s="1" t="str">
        <f>"2903.19.10"</f>
        <v>2903.19.10</v>
      </c>
      <c r="B1964" s="2" t="str">
        <f>"1,1,1-Tricloroetano (metilcloroform"</f>
        <v>1,1,1-Tricloroetano (metilcloroform</v>
      </c>
    </row>
    <row r="1965" spans="1:2">
      <c r="A1965" s="1" t="str">
        <f>"2903.19.20"</f>
        <v>2903.19.20</v>
      </c>
      <c r="B1965" s="2" t="str">
        <f>"1,1,2-Tricloroetano"</f>
        <v>1,1,2-Tricloroetano</v>
      </c>
    </row>
    <row r="1966" spans="1:2">
      <c r="A1966" s="1" t="str">
        <f>"2903.19.90"</f>
        <v>2903.19.90</v>
      </c>
      <c r="B1966" s="2" t="str">
        <f>"Outros"</f>
        <v>Outros</v>
      </c>
    </row>
    <row r="1967" spans="1:2">
      <c r="A1967" s="1" t="str">
        <f>"2903.21.00"</f>
        <v>2903.21.00</v>
      </c>
      <c r="B1967" s="2" t="str">
        <f>"Cloreto de vinila (cloroetileno)"</f>
        <v>Cloreto de vinila (cloroetileno)</v>
      </c>
    </row>
    <row r="1968" spans="1:2">
      <c r="A1968" s="1" t="str">
        <f>"2903.22.00"</f>
        <v>2903.22.00</v>
      </c>
      <c r="B1968" s="2" t="str">
        <f>"Tricloroetileno"</f>
        <v>Tricloroetileno</v>
      </c>
    </row>
    <row r="1969" spans="1:2">
      <c r="A1969" s="1" t="str">
        <f>"2903.23.00"</f>
        <v>2903.23.00</v>
      </c>
      <c r="B1969" s="2" t="str">
        <f>"Tetracloroetileno (percloroetileno)"</f>
        <v>Tetracloroetileno (percloroetileno)</v>
      </c>
    </row>
    <row r="1970" spans="1:2">
      <c r="A1970" s="1" t="str">
        <f>"2903.29.00"</f>
        <v>2903.29.00</v>
      </c>
      <c r="B1970" s="2" t="str">
        <f>"Outros"</f>
        <v>Outros</v>
      </c>
    </row>
    <row r="1971" spans="1:2">
      <c r="A1971" s="1" t="str">
        <f>"2903.31.00"</f>
        <v>2903.31.00</v>
      </c>
      <c r="B1971" s="2" t="str">
        <f>"Dibrometo de etileno (ISO) (1,2-dib"</f>
        <v>Dibrometo de etileno (ISO) (1,2-dib</v>
      </c>
    </row>
    <row r="1972" spans="1:2">
      <c r="A1972" s="1" t="str">
        <f>"2903.39.11"</f>
        <v>2903.39.11</v>
      </c>
      <c r="B1972" s="2" t="str">
        <f>"1,1,1,2-Tetrafluoroetano"</f>
        <v>1,1,1,2-Tetrafluoroetano</v>
      </c>
    </row>
    <row r="1973" spans="1:2">
      <c r="A1973" s="1" t="str">
        <f>"2903.39.12"</f>
        <v>2903.39.12</v>
      </c>
      <c r="B1973" s="2" t="str">
        <f>"1,1,3,3,3-Pentafluoro-2-(trifluorom"</f>
        <v>1,1,3,3,3-Pentafluoro-2-(trifluorom</v>
      </c>
    </row>
    <row r="1974" spans="1:2">
      <c r="A1974" s="1" t="str">
        <f>"2903.39.19"</f>
        <v>2903.39.19</v>
      </c>
      <c r="B1974" s="2" t="str">
        <f>"Outros"</f>
        <v>Outros</v>
      </c>
    </row>
    <row r="1975" spans="1:2">
      <c r="A1975" s="1" t="str">
        <f>"2903.39.21"</f>
        <v>2903.39.21</v>
      </c>
      <c r="B1975" s="2" t="str">
        <f>"Bromometano"</f>
        <v>Bromometano</v>
      </c>
    </row>
    <row r="1976" spans="1:2">
      <c r="A1976" s="1" t="str">
        <f>"2903.39.29"</f>
        <v>2903.39.29</v>
      </c>
      <c r="B1976" s="2" t="str">
        <f>"Outros"</f>
        <v>Outros</v>
      </c>
    </row>
    <row r="1977" spans="1:2">
      <c r="A1977" s="1" t="str">
        <f>"2903.39.31"</f>
        <v>2903.39.31</v>
      </c>
      <c r="B1977" s="2" t="str">
        <f>"Iodoetano"</f>
        <v>Iodoetano</v>
      </c>
    </row>
    <row r="1978" spans="1:2">
      <c r="A1978" s="1" t="str">
        <f>"2903.39.32"</f>
        <v>2903.39.32</v>
      </c>
      <c r="B1978" s="2" t="str">
        <f>"Iodoformio"</f>
        <v>Iodoformio</v>
      </c>
    </row>
    <row r="1979" spans="1:2">
      <c r="A1979" s="1" t="str">
        <f>"2903.39.39"</f>
        <v>2903.39.39</v>
      </c>
      <c r="B1979" s="2" t="str">
        <f>"Outros"</f>
        <v>Outros</v>
      </c>
    </row>
    <row r="1980" spans="1:2">
      <c r="A1980" s="1" t="str">
        <f>"2903.71.00"</f>
        <v>2903.71.00</v>
      </c>
      <c r="B1980" s="2" t="str">
        <f>"OUTROS"</f>
        <v>OUTROS</v>
      </c>
    </row>
    <row r="1981" spans="1:2">
      <c r="A1981" s="1" t="str">
        <f>"2903.72.00"</f>
        <v>2903.72.00</v>
      </c>
      <c r="B1981" s="2" t="str">
        <f>"Diclorotrifluoroetanos"</f>
        <v>Diclorotrifluoroetanos</v>
      </c>
    </row>
    <row r="1982" spans="1:2">
      <c r="A1982" s="1" t="str">
        <f>"2903.73.00"</f>
        <v>2903.73.00</v>
      </c>
      <c r="B1982" s="2" t="str">
        <f>"Diclorofluoroetanos"</f>
        <v>Diclorofluoroetanos</v>
      </c>
    </row>
    <row r="1983" spans="1:2">
      <c r="A1983" s="1" t="str">
        <f>"2903.74.00"</f>
        <v>2903.74.00</v>
      </c>
      <c r="B1983" s="2" t="str">
        <f>"Clorodifluoroetanos"</f>
        <v>Clorodifluoroetanos</v>
      </c>
    </row>
    <row r="1984" spans="1:2">
      <c r="A1984" s="1" t="str">
        <f>"2903.75.00"</f>
        <v>2903.75.00</v>
      </c>
      <c r="B1984" s="2" t="str">
        <f>"Dicloropentafluoropropanos"</f>
        <v>Dicloropentafluoropropanos</v>
      </c>
    </row>
    <row r="1985" spans="1:2">
      <c r="A1985" s="1" t="str">
        <f>"2903.76.00"</f>
        <v>2903.76.00</v>
      </c>
      <c r="B1985" s="2" t="str">
        <f>"Bromoclorodifluorometano, bromotrif"</f>
        <v>Bromoclorodifluorometano, bromotrif</v>
      </c>
    </row>
    <row r="1986" spans="1:2">
      <c r="A1986" s="1" t="str">
        <f>"2903.77.11"</f>
        <v>2903.77.11</v>
      </c>
      <c r="B1986" s="2" t="str">
        <f>"Triclorofluorometano"</f>
        <v>Triclorofluorometano</v>
      </c>
    </row>
    <row r="1987" spans="1:2">
      <c r="A1987" s="1" t="str">
        <f>"2903.77.12"</f>
        <v>2903.77.12</v>
      </c>
      <c r="B1987" s="2" t="str">
        <f>"Diclorodifluorometano"</f>
        <v>Diclorodifluorometano</v>
      </c>
    </row>
    <row r="1988" spans="1:2">
      <c r="A1988" s="1" t="str">
        <f>"2903.77.13"</f>
        <v>2903.77.13</v>
      </c>
      <c r="B1988" s="2" t="str">
        <f>"Clorotrifluorometano"</f>
        <v>Clorotrifluorometano</v>
      </c>
    </row>
    <row r="1989" spans="1:2">
      <c r="A1989" s="1" t="str">
        <f>"2903.77.21"</f>
        <v>2903.77.21</v>
      </c>
      <c r="B1989" s="2" t="str">
        <f>"Triclorotrifluoroetanos"</f>
        <v>Triclorotrifluoroetanos</v>
      </c>
    </row>
    <row r="1990" spans="1:2">
      <c r="A1990" s="1" t="str">
        <f>"2903.77.22"</f>
        <v>2903.77.22</v>
      </c>
      <c r="B1990" s="2" t="str">
        <f>"Diclorotetrafluoroetanos e cloropen"</f>
        <v>Diclorotetrafluoroetanos e cloropen</v>
      </c>
    </row>
    <row r="1991" spans="1:2">
      <c r="A1991" s="1" t="str">
        <f>"2903.77.23"</f>
        <v>2903.77.23</v>
      </c>
      <c r="B1991" s="2" t="str">
        <f>"Pentaclorofluoroetano"</f>
        <v>Pentaclorofluoroetano</v>
      </c>
    </row>
    <row r="1992" spans="1:2">
      <c r="A1992" s="1" t="str">
        <f>"2903.77.24"</f>
        <v>2903.77.24</v>
      </c>
      <c r="B1992" s="2" t="str">
        <f>"Tetraclorodifluoroetanos"</f>
        <v>Tetraclorodifluoroetanos</v>
      </c>
    </row>
    <row r="1993" spans="1:2">
      <c r="A1993" s="1" t="str">
        <f>"2903.77.31"</f>
        <v>2903.77.31</v>
      </c>
      <c r="B1993" s="2" t="str">
        <f>"Heptaclorofluoropropanos"</f>
        <v>Heptaclorofluoropropanos</v>
      </c>
    </row>
    <row r="1994" spans="1:2">
      <c r="A1994" s="1" t="str">
        <f>"2903.77.32"</f>
        <v>2903.77.32</v>
      </c>
      <c r="B1994" s="2" t="str">
        <f>"Hexaclorodifluoropropanos"</f>
        <v>Hexaclorodifluoropropanos</v>
      </c>
    </row>
    <row r="1995" spans="1:2">
      <c r="A1995" s="1" t="str">
        <f>"2903.77.33"</f>
        <v>2903.77.33</v>
      </c>
      <c r="B1995" s="2" t="str">
        <f>"Pentaclorotrifluoropropanos"</f>
        <v>Pentaclorotrifluoropropanos</v>
      </c>
    </row>
    <row r="1996" spans="1:2">
      <c r="A1996" s="1" t="str">
        <f>"2903.77.34"</f>
        <v>2903.77.34</v>
      </c>
      <c r="B1996" s="2" t="str">
        <f>"Tetraclorotetrafluoropropanos"</f>
        <v>Tetraclorotetrafluoropropanos</v>
      </c>
    </row>
    <row r="1997" spans="1:2">
      <c r="A1997" s="1" t="str">
        <f>"2903.77.35"</f>
        <v>2903.77.35</v>
      </c>
      <c r="B1997" s="2" t="str">
        <f>"Tricloropentafluoropropanos"</f>
        <v>Tricloropentafluoropropanos</v>
      </c>
    </row>
    <row r="1998" spans="1:2">
      <c r="A1998" s="1" t="str">
        <f>"2903.77.36"</f>
        <v>2903.77.36</v>
      </c>
      <c r="B1998" s="2" t="str">
        <f>"Dicloroexafluoropropanos"</f>
        <v>Dicloroexafluoropropanos</v>
      </c>
    </row>
    <row r="1999" spans="1:2">
      <c r="A1999" s="1" t="str">
        <f>"2903.77.37"</f>
        <v>2903.77.37</v>
      </c>
      <c r="B1999" s="2" t="str">
        <f>"Cloroeptafluoropropanos"</f>
        <v>Cloroeptafluoropropanos</v>
      </c>
    </row>
    <row r="2000" spans="1:2">
      <c r="A2000" s="1" t="str">
        <f>"2903.77.90"</f>
        <v>2903.77.90</v>
      </c>
      <c r="B2000" s="2" t="str">
        <f>"Outros"</f>
        <v>Outros</v>
      </c>
    </row>
    <row r="2001" spans="1:2">
      <c r="A2001" s="1" t="str">
        <f>"2903.78.00"</f>
        <v>2903.78.00</v>
      </c>
      <c r="B2001" s="2" t="str">
        <f>"Outros derivados peralogenados"</f>
        <v>Outros derivados peralogenados</v>
      </c>
    </row>
    <row r="2002" spans="1:2">
      <c r="A2002" s="1" t="str">
        <f>"2903.79.11"</f>
        <v>2903.79.11</v>
      </c>
      <c r="B2002" s="2" t="str">
        <f>"CLOROFLUOROETANOS"</f>
        <v>CLOROFLUOROETANOS</v>
      </c>
    </row>
    <row r="2003" spans="1:2">
      <c r="A2003" s="1" t="str">
        <f>"2903.79.12"</f>
        <v>2903.79.12</v>
      </c>
      <c r="B2003" s="2" t="str">
        <f>"Clorotetrafluoroetanos"</f>
        <v>Clorotetrafluoroetanos</v>
      </c>
    </row>
    <row r="2004" spans="1:2">
      <c r="A2004" s="1" t="str">
        <f>"2903.79.19"</f>
        <v>2903.79.19</v>
      </c>
      <c r="B2004" s="2" t="str">
        <f>"Outros"</f>
        <v>Outros</v>
      </c>
    </row>
    <row r="2005" spans="1:2">
      <c r="A2005" s="1" t="str">
        <f>"2903.79.20"</f>
        <v>2903.79.20</v>
      </c>
      <c r="B2005" s="2" t="str">
        <f>"Derivados do metano, etano ou propa"</f>
        <v>Derivados do metano, etano ou propa</v>
      </c>
    </row>
    <row r="2006" spans="1:2">
      <c r="A2006" s="1" t="str">
        <f>"2903.79.31"</f>
        <v>2903.79.31</v>
      </c>
      <c r="B2006" s="2" t="str">
        <f>"Halotano"</f>
        <v>Halotano</v>
      </c>
    </row>
    <row r="2007" spans="1:2">
      <c r="A2007" s="1" t="str">
        <f>"2903.79.39"</f>
        <v>2903.79.39</v>
      </c>
      <c r="B2007" s="2" t="str">
        <f>"Outros"</f>
        <v>Outros</v>
      </c>
    </row>
    <row r="2008" spans="1:2">
      <c r="A2008" s="1" t="str">
        <f>"2903.79.90"</f>
        <v>2903.79.90</v>
      </c>
      <c r="B2008" s="2" t="str">
        <f>"Outros"</f>
        <v>Outros</v>
      </c>
    </row>
    <row r="2009" spans="1:2">
      <c r="A2009" s="1" t="str">
        <f>"2903.81.10"</f>
        <v>2903.81.10</v>
      </c>
      <c r="B2009" s="2" t="str">
        <f>"Lindano"</f>
        <v>Lindano</v>
      </c>
    </row>
    <row r="2010" spans="1:2">
      <c r="A2010" s="1" t="str">
        <f>"2903.81.90"</f>
        <v>2903.81.90</v>
      </c>
      <c r="B2010" s="2" t="str">
        <f>"Outros"</f>
        <v>Outros</v>
      </c>
    </row>
    <row r="2011" spans="1:2">
      <c r="A2011" s="1" t="str">
        <f>"2903.82.10"</f>
        <v>2903.82.10</v>
      </c>
      <c r="B2011" s="2" t="str">
        <f>"Aldrin"</f>
        <v>Aldrin</v>
      </c>
    </row>
    <row r="2012" spans="1:2">
      <c r="A2012" s="1" t="str">
        <f>"2903.82.20"</f>
        <v>2903.82.20</v>
      </c>
      <c r="B2012" s="2" t="str">
        <f>"Clordano"</f>
        <v>Clordano</v>
      </c>
    </row>
    <row r="2013" spans="1:2">
      <c r="A2013" s="1" t="str">
        <f>"2903.82.30"</f>
        <v>2903.82.30</v>
      </c>
      <c r="B2013" s="2" t="str">
        <f>"Heptacloro"</f>
        <v>Heptacloro</v>
      </c>
    </row>
    <row r="2014" spans="1:2">
      <c r="A2014" s="1" t="str">
        <f>"2903.83.00"</f>
        <v>2903.83.00</v>
      </c>
      <c r="B2014" s="2" t="str">
        <f>"Mirex (ISO)"</f>
        <v>Mirex (ISO)</v>
      </c>
    </row>
    <row r="2015" spans="1:2">
      <c r="A2015" s="1" t="str">
        <f>"2903.89.00"</f>
        <v>2903.89.00</v>
      </c>
      <c r="B2015" s="2" t="str">
        <f>"Outros"</f>
        <v>Outros</v>
      </c>
    </row>
    <row r="2016" spans="1:2">
      <c r="A2016" s="1" t="str">
        <f>"2903.91.10"</f>
        <v>2903.91.10</v>
      </c>
      <c r="B2016" s="2" t="str">
        <f>"Clorobenzeno"</f>
        <v>Clorobenzeno</v>
      </c>
    </row>
    <row r="2017" spans="1:2">
      <c r="A2017" s="1" t="str">
        <f>"2903.91.20"</f>
        <v>2903.91.20</v>
      </c>
      <c r="B2017" s="2" t="str">
        <f>"o-Diclorobenzeno"</f>
        <v>o-Diclorobenzeno</v>
      </c>
    </row>
    <row r="2018" spans="1:2">
      <c r="A2018" s="1" t="str">
        <f>"2903.91.30"</f>
        <v>2903.91.30</v>
      </c>
      <c r="B2018" s="2" t="str">
        <f>"p-Diclorobenzeno"</f>
        <v>p-Diclorobenzeno</v>
      </c>
    </row>
    <row r="2019" spans="1:2">
      <c r="A2019" s="1" t="str">
        <f>"2903.92.10"</f>
        <v>2903.92.10</v>
      </c>
      <c r="B2019" s="2" t="str">
        <f>"Hexaclorobenzeno"</f>
        <v>Hexaclorobenzeno</v>
      </c>
    </row>
    <row r="2020" spans="1:2">
      <c r="A2020" s="1" t="str">
        <f>"2903.92.20"</f>
        <v>2903.92.20</v>
      </c>
      <c r="B2020" s="2" t="str">
        <f>"DDT"</f>
        <v>DDT</v>
      </c>
    </row>
    <row r="2021" spans="1:2">
      <c r="A2021" s="1" t="str">
        <f>"2903.93.00"</f>
        <v>2903.93.00</v>
      </c>
      <c r="B2021" s="2" t="str">
        <f>"Pentaclorobenzeno (ISO)"</f>
        <v>Pentaclorobenzeno (ISO)</v>
      </c>
    </row>
    <row r="2022" spans="1:2">
      <c r="A2022" s="1" t="str">
        <f>"2903.94.00"</f>
        <v>2903.94.00</v>
      </c>
      <c r="B2022" s="2" t="str">
        <f>"Hexabromobifenilas"</f>
        <v>Hexabromobifenilas</v>
      </c>
    </row>
    <row r="2023" spans="1:2">
      <c r="A2023" s="1" t="str">
        <f>"2903.99.11"</f>
        <v>2903.99.11</v>
      </c>
      <c r="B2023" s="2" t="str">
        <f>"Cloreto de benzila"</f>
        <v>Cloreto de benzila</v>
      </c>
    </row>
    <row r="2024" spans="1:2">
      <c r="A2024" s="1" t="str">
        <f>"2903.99.12"</f>
        <v>2903.99.12</v>
      </c>
      <c r="B2024" s="2" t="str">
        <f>"p-Clorotolueno"</f>
        <v>p-Clorotolueno</v>
      </c>
    </row>
    <row r="2025" spans="1:2">
      <c r="A2025" s="1" t="str">
        <f>"2903.99.13"</f>
        <v>2903.99.13</v>
      </c>
      <c r="B2025" s="2" t="str">
        <f>"Cloreto de neofila"</f>
        <v>Cloreto de neofila</v>
      </c>
    </row>
    <row r="2026" spans="1:2">
      <c r="A2026" s="1" t="str">
        <f>"2903.99.14"</f>
        <v>2903.99.14</v>
      </c>
      <c r="B2026" s="2" t="str">
        <f>"Triclorobenzenos"</f>
        <v>Triclorobenzenos</v>
      </c>
    </row>
    <row r="2027" spans="1:2">
      <c r="A2027" s="1" t="str">
        <f>"2903.99.15"</f>
        <v>2903.99.15</v>
      </c>
      <c r="B2027" s="2" t="str">
        <f>"Cloronaftalenos"</f>
        <v>Cloronaftalenos</v>
      </c>
    </row>
    <row r="2028" spans="1:2">
      <c r="A2028" s="1" t="str">
        <f>"2903.99.16"</f>
        <v>2903.99.16</v>
      </c>
      <c r="B2028" s="2" t="str">
        <f>"Cloreto de benzilideno"</f>
        <v>Cloreto de benzilideno</v>
      </c>
    </row>
    <row r="2029" spans="1:2">
      <c r="A2029" s="1" t="str">
        <f>"2903.99.17"</f>
        <v>2903.99.17</v>
      </c>
      <c r="B2029" s="2" t="str">
        <f>"Cloretos de xilila"</f>
        <v>Cloretos de xilila</v>
      </c>
    </row>
    <row r="2030" spans="1:2">
      <c r="A2030" s="1" t="str">
        <f>"2903.99.18"</f>
        <v>2903.99.18</v>
      </c>
      <c r="B2030" s="2" t="str">
        <f>"Bifenilas policloradas (PCB); terfe"</f>
        <v>Bifenilas policloradas (PCB); terfe</v>
      </c>
    </row>
    <row r="2031" spans="1:2">
      <c r="A2031" s="1" t="str">
        <f>"2903.99.19"</f>
        <v>2903.99.19</v>
      </c>
      <c r="B2031" s="2" t="str">
        <f>"Outros"</f>
        <v>Outros</v>
      </c>
    </row>
    <row r="2032" spans="1:2">
      <c r="A2032" s="1" t="str">
        <f>"2903.99.21"</f>
        <v>2903.99.21</v>
      </c>
      <c r="B2032" s="2" t="str">
        <f>"Bromobenzeno"</f>
        <v>Bromobenzeno</v>
      </c>
    </row>
    <row r="2033" spans="1:2">
      <c r="A2033" s="1" t="str">
        <f>"2903.99.22"</f>
        <v>2903.99.22</v>
      </c>
      <c r="B2033" s="2" t="str">
        <f>"Brometos de xilila"</f>
        <v>Brometos de xilila</v>
      </c>
    </row>
    <row r="2034" spans="1:2">
      <c r="A2034" s="1" t="str">
        <f>"2903.99.23"</f>
        <v>2903.99.23</v>
      </c>
      <c r="B2034" s="2" t="str">
        <f>"Bromodifenilmetano"</f>
        <v>Bromodifenilmetano</v>
      </c>
    </row>
    <row r="2035" spans="1:2">
      <c r="A2035" s="1" t="str">
        <f>"2903.99.24"</f>
        <v>2903.99.24</v>
      </c>
      <c r="B2035" s="2" t="str">
        <f>"Bifenilas polibromadas (PBB)"</f>
        <v>Bifenilas polibromadas (PBB)</v>
      </c>
    </row>
    <row r="2036" spans="1:2">
      <c r="A2036" s="1" t="str">
        <f>"2903.99.29"</f>
        <v>2903.99.29</v>
      </c>
      <c r="B2036" s="2" t="str">
        <f>"Outros"</f>
        <v>Outros</v>
      </c>
    </row>
    <row r="2037" spans="1:2">
      <c r="A2037" s="1" t="str">
        <f>"2903.99.31"</f>
        <v>2903.99.31</v>
      </c>
      <c r="B2037" s="2" t="str">
        <f>"4-Cloro-alfa,alfa,alfa-trifluortolu"</f>
        <v>4-Cloro-alfa,alfa,alfa-trifluortolu</v>
      </c>
    </row>
    <row r="2038" spans="1:2">
      <c r="A2038" s="1" t="str">
        <f>"2903.99.39"</f>
        <v>2903.99.39</v>
      </c>
      <c r="B2038" s="2" t="str">
        <f>"Outros"</f>
        <v>Outros</v>
      </c>
    </row>
    <row r="2039" spans="1:2">
      <c r="A2039" s="1" t="str">
        <f>"2903.99.90"</f>
        <v>2903.99.90</v>
      </c>
      <c r="B2039" s="2" t="str">
        <f>"Outros"</f>
        <v>Outros</v>
      </c>
    </row>
    <row r="2040" spans="1:2">
      <c r="A2040" s="1" t="str">
        <f>"2904.10.11"</f>
        <v>2904.10.11</v>
      </c>
      <c r="B2040" s="2" t="str">
        <f>"Acido metanossulfonico"</f>
        <v>Acido metanossulfonico</v>
      </c>
    </row>
    <row r="2041" spans="1:2">
      <c r="A2041" s="1" t="str">
        <f>"2904.10.12"</f>
        <v>2904.10.12</v>
      </c>
      <c r="B2041" s="2" t="str">
        <f>"Metanossulfonato de chumbo"</f>
        <v>Metanossulfonato de chumbo</v>
      </c>
    </row>
    <row r="2042" spans="1:2">
      <c r="A2042" s="1" t="str">
        <f>"2904.10.13"</f>
        <v>2904.10.13</v>
      </c>
      <c r="B2042" s="2" t="str">
        <f>"Metanossulfonato de estanho"</f>
        <v>Metanossulfonato de estanho</v>
      </c>
    </row>
    <row r="2043" spans="1:2">
      <c r="A2043" s="1" t="str">
        <f>"2904.10.19"</f>
        <v>2904.10.19</v>
      </c>
      <c r="B2043" s="2" t="str">
        <f>"Outros"</f>
        <v>Outros</v>
      </c>
    </row>
    <row r="2044" spans="1:2">
      <c r="A2044" s="1" t="str">
        <f>"2904.10.20"</f>
        <v>2904.10.20</v>
      </c>
      <c r="B2044" s="2" t="str">
        <f>"Acido dodecilbenzenossulfonico e se"</f>
        <v>Acido dodecilbenzenossulfonico e se</v>
      </c>
    </row>
    <row r="2045" spans="1:2">
      <c r="A2045" s="1" t="str">
        <f>"2904.10.30"</f>
        <v>2904.10.30</v>
      </c>
      <c r="B2045" s="2" t="str">
        <f>"ACIDOS TOLUENOSSULFONICOS; XILENOSS"</f>
        <v>ACIDOS TOLUENOSSULFONICOS; XILENOSS</v>
      </c>
    </row>
    <row r="2046" spans="1:2">
      <c r="A2046" s="1" t="str">
        <f>"2904.10.40"</f>
        <v>2904.10.40</v>
      </c>
      <c r="B2046" s="2" t="str">
        <f>"Acido etanossulfonico; acido etilen"</f>
        <v>Acido etanossulfonico; acido etilen</v>
      </c>
    </row>
    <row r="2047" spans="1:2">
      <c r="A2047" s="1" t="str">
        <f>"2904.10.51"</f>
        <v>2904.10.51</v>
      </c>
      <c r="B2047" s="2" t="str">
        <f>"Naftalenossulfonatos de sodio"</f>
        <v>Naftalenossulfonatos de sodio</v>
      </c>
    </row>
    <row r="2048" spans="1:2">
      <c r="A2048" s="1" t="str">
        <f>"2904.10.52"</f>
        <v>2904.10.52</v>
      </c>
      <c r="B2048" s="2" t="str">
        <f>"Acido beta-naftalenossulfonico"</f>
        <v>Acido beta-naftalenossulfonico</v>
      </c>
    </row>
    <row r="2049" spans="1:2">
      <c r="A2049" s="1" t="str">
        <f>"2904.10.53"</f>
        <v>2904.10.53</v>
      </c>
      <c r="B2049" s="2" t="str">
        <f>"Acidos alquil- e dialquilnaftalenos"</f>
        <v>Acidos alquil- e dialquilnaftalenos</v>
      </c>
    </row>
    <row r="2050" spans="1:2">
      <c r="A2050" s="1" t="str">
        <f>"2904.10.59"</f>
        <v>2904.10.59</v>
      </c>
      <c r="B2050" s="2" t="str">
        <f>"Outros"</f>
        <v>Outros</v>
      </c>
    </row>
    <row r="2051" spans="1:2">
      <c r="A2051" s="1" t="str">
        <f>"2904.10.60"</f>
        <v>2904.10.60</v>
      </c>
      <c r="B2051" s="2" t="str">
        <f>"Acido benzenossulfonico e seus sais"</f>
        <v>Acido benzenossulfonico e seus sais</v>
      </c>
    </row>
    <row r="2052" spans="1:2">
      <c r="A2052" s="1" t="str">
        <f>"2904.10.90"</f>
        <v>2904.10.90</v>
      </c>
      <c r="B2052" s="2" t="str">
        <f>"Outros"</f>
        <v>Outros</v>
      </c>
    </row>
    <row r="2053" spans="1:2">
      <c r="A2053" s="1" t="str">
        <f>"2904.20.10"</f>
        <v>2904.20.10</v>
      </c>
      <c r="B2053" s="2" t="str">
        <f>"Mononitrotoluenos (MNT)"</f>
        <v>Mononitrotoluenos (MNT)</v>
      </c>
    </row>
    <row r="2054" spans="1:2">
      <c r="A2054" s="1" t="str">
        <f>"2904.20.20"</f>
        <v>2904.20.20</v>
      </c>
      <c r="B2054" s="2" t="str">
        <f>"Nitropropanos"</f>
        <v>Nitropropanos</v>
      </c>
    </row>
    <row r="2055" spans="1:2">
      <c r="A2055" s="1" t="str">
        <f>"2904.20.30"</f>
        <v>2904.20.30</v>
      </c>
      <c r="B2055" s="2" t="str">
        <f>"Dinitrotoluenos"</f>
        <v>Dinitrotoluenos</v>
      </c>
    </row>
    <row r="2056" spans="1:2">
      <c r="A2056" s="1" t="str">
        <f>"2904.20.41"</f>
        <v>2904.20.41</v>
      </c>
      <c r="B2056" s="2" t="str">
        <f>"2,4,6-Trinitrotolueno (TNT)"</f>
        <v>2,4,6-Trinitrotolueno (TNT)</v>
      </c>
    </row>
    <row r="2057" spans="1:2">
      <c r="A2057" s="1" t="str">
        <f>"2904.20.49"</f>
        <v>2904.20.49</v>
      </c>
      <c r="B2057" s="2" t="str">
        <f>"Outros"</f>
        <v>Outros</v>
      </c>
    </row>
    <row r="2058" spans="1:2">
      <c r="A2058" s="1" t="str">
        <f>"2904.20.51"</f>
        <v>2904.20.51</v>
      </c>
      <c r="B2058" s="2" t="str">
        <f>"Nitrobenzeno"</f>
        <v>Nitrobenzeno</v>
      </c>
    </row>
    <row r="2059" spans="1:2">
      <c r="A2059" s="1" t="str">
        <f>"2904.20.52"</f>
        <v>2904.20.52</v>
      </c>
      <c r="B2059" s="2" t="str">
        <f>"1,3,5-Trinitrobenzeno"</f>
        <v>1,3,5-Trinitrobenzeno</v>
      </c>
    </row>
    <row r="2060" spans="1:2">
      <c r="A2060" s="1" t="str">
        <f>"2904.20.59"</f>
        <v>2904.20.59</v>
      </c>
      <c r="B2060" s="2" t="str">
        <f>"Outros"</f>
        <v>Outros</v>
      </c>
    </row>
    <row r="2061" spans="1:2">
      <c r="A2061" s="1" t="str">
        <f>"2904.20.60"</f>
        <v>2904.20.60</v>
      </c>
      <c r="B2061" s="2" t="str">
        <f>"Derivados nitrados do xileno"</f>
        <v>Derivados nitrados do xileno</v>
      </c>
    </row>
    <row r="2062" spans="1:2">
      <c r="A2062" s="1" t="str">
        <f>"2904.20.70"</f>
        <v>2904.20.70</v>
      </c>
      <c r="B2062" s="2" t="str">
        <f>"Mononitroetano; nitrometanos"</f>
        <v>Mononitroetano; nitrometanos</v>
      </c>
    </row>
    <row r="2063" spans="1:2">
      <c r="A2063" s="1" t="str">
        <f>"2904.20.90"</f>
        <v>2904.20.90</v>
      </c>
      <c r="B2063" s="2" t="str">
        <f>"Outros"</f>
        <v>Outros</v>
      </c>
    </row>
    <row r="2064" spans="1:2">
      <c r="A2064" s="1" t="str">
        <f>"2904.31.00"</f>
        <v>2904.31.00</v>
      </c>
      <c r="B2064" s="2" t="str">
        <f>"Acido perfluoroctano sulfonico"</f>
        <v>Acido perfluoroctano sulfonico</v>
      </c>
    </row>
    <row r="2065" spans="1:2">
      <c r="A2065" s="1" t="str">
        <f>"2904.32.00"</f>
        <v>2904.32.00</v>
      </c>
      <c r="B2065" s="2" t="str">
        <f>"Perfluoroctanossulfonato de amonio"</f>
        <v>Perfluoroctanossulfonato de amonio</v>
      </c>
    </row>
    <row r="2066" spans="1:2">
      <c r="A2066" s="1" t="str">
        <f>"2904.33.00"</f>
        <v>2904.33.00</v>
      </c>
      <c r="B2066" s="2" t="str">
        <f>"Perfluoroctanossulfonato de litio"</f>
        <v>Perfluoroctanossulfonato de litio</v>
      </c>
    </row>
    <row r="2067" spans="1:2">
      <c r="A2067" s="1" t="str">
        <f>"2904.34.00"</f>
        <v>2904.34.00</v>
      </c>
      <c r="B2067" s="2" t="str">
        <f>"Perfluoroctanossulfonato de potassi"</f>
        <v>Perfluoroctanossulfonato de potassi</v>
      </c>
    </row>
    <row r="2068" spans="1:2">
      <c r="A2068" s="1" t="str">
        <f>"2904.35.00"</f>
        <v>2904.35.00</v>
      </c>
      <c r="B2068" s="2" t="str">
        <f>"Outros sais do acido perfluoroctano"</f>
        <v>Outros sais do acido perfluoroctano</v>
      </c>
    </row>
    <row r="2069" spans="1:2">
      <c r="A2069" s="1" t="str">
        <f>"2904.36.00"</f>
        <v>2904.36.00</v>
      </c>
      <c r="B2069" s="2" t="str">
        <f>"Fluoreto de perfluoroctanossulfonil"</f>
        <v>Fluoreto de perfluoroctanossulfonil</v>
      </c>
    </row>
    <row r="2070" spans="1:2">
      <c r="A2070" s="1" t="str">
        <f>"2904.91.00"</f>
        <v>2904.91.00</v>
      </c>
      <c r="B2070" s="2" t="str">
        <f>"Tricloronitrometano (cloropicrina)"</f>
        <v>Tricloronitrometano (cloropicrina)</v>
      </c>
    </row>
    <row r="2071" spans="1:2">
      <c r="A2071" s="1" t="str">
        <f>"2904.99.11"</f>
        <v>2904.99.11</v>
      </c>
      <c r="B2071" s="2" t="str">
        <f>"1-Cloro-4-nitrobenzeno"</f>
        <v>1-Cloro-4-nitrobenzeno</v>
      </c>
    </row>
    <row r="2072" spans="1:2">
      <c r="A2072" s="1" t="str">
        <f>"2904.99.12"</f>
        <v>2904.99.12</v>
      </c>
      <c r="B2072" s="2" t="str">
        <f>"1-Cloro-2,4-dinitrobenzeno"</f>
        <v>1-Cloro-2,4-dinitrobenzeno</v>
      </c>
    </row>
    <row r="2073" spans="1:2">
      <c r="A2073" s="1" t="str">
        <f>"2904.99.13"</f>
        <v>2904.99.13</v>
      </c>
      <c r="B2073" s="2" t="str">
        <f>"2-Cloro-1,3-dinitrobenzeno"</f>
        <v>2-Cloro-1,3-dinitrobenzeno</v>
      </c>
    </row>
    <row r="2074" spans="1:2">
      <c r="A2074" s="1" t="str">
        <f>"2904.99.14"</f>
        <v>2904.99.14</v>
      </c>
      <c r="B2074" s="2" t="str">
        <f>"4-Cloro-alfa,alfa,alfa-trifluor-3,5"</f>
        <v>4-Cloro-alfa,alfa,alfa-trifluor-3,5</v>
      </c>
    </row>
    <row r="2075" spans="1:2">
      <c r="A2075" s="1" t="str">
        <f>"2904.99.15"</f>
        <v>2904.99.15</v>
      </c>
      <c r="B2075" s="2" t="str">
        <f>"o-Nitroclorobenzeno; m-nitroclorobe"</f>
        <v>o-Nitroclorobenzeno; m-nitroclorobe</v>
      </c>
    </row>
    <row r="2076" spans="1:2">
      <c r="A2076" s="1" t="str">
        <f>"2904.99.16"</f>
        <v>2904.99.16</v>
      </c>
      <c r="B2076" s="2" t="str">
        <f>"1,2-Dicloro-4-nitrobenzeno"</f>
        <v>1,2-Dicloro-4-nitrobenzeno</v>
      </c>
    </row>
    <row r="2077" spans="1:2">
      <c r="A2077" s="1" t="str">
        <f>"2904.99.19"</f>
        <v>2904.99.19</v>
      </c>
      <c r="B2077" s="2" t="str">
        <f>"Outros"</f>
        <v>Outros</v>
      </c>
    </row>
    <row r="2078" spans="1:2">
      <c r="A2078" s="1" t="str">
        <f>"2904.99.21"</f>
        <v>2904.99.21</v>
      </c>
      <c r="B2078" s="2" t="str">
        <f>"Acidos dinitroestilbenodissulfonico"</f>
        <v>Acidos dinitroestilbenodissulfonico</v>
      </c>
    </row>
    <row r="2079" spans="1:2">
      <c r="A2079" s="1" t="str">
        <f>"2904.99.29"</f>
        <v>2904.99.29</v>
      </c>
      <c r="B2079" s="2" t="str">
        <f>"Outros"</f>
        <v>Outros</v>
      </c>
    </row>
    <row r="2080" spans="1:2">
      <c r="A2080" s="1" t="str">
        <f>"2904.99.30"</f>
        <v>2904.99.30</v>
      </c>
      <c r="B2080" s="2" t="str">
        <f>"Cloreto de p-toluenossulfonila (clo"</f>
        <v>Cloreto de p-toluenossulfonila (clo</v>
      </c>
    </row>
    <row r="2081" spans="1:2">
      <c r="A2081" s="1" t="str">
        <f>"2904.99.40"</f>
        <v>2904.99.40</v>
      </c>
      <c r="B2081" s="2" t="str">
        <f>"Cloreto de o-toluenossulfonila"</f>
        <v>Cloreto de o-toluenossulfonila</v>
      </c>
    </row>
    <row r="2082" spans="1:2">
      <c r="A2082" s="1" t="str">
        <f>"2904.99.90"</f>
        <v>2904.99.90</v>
      </c>
      <c r="B2082" s="2" t="str">
        <f>"Outros"</f>
        <v>Outros</v>
      </c>
    </row>
    <row r="2083" spans="1:2">
      <c r="A2083" s="1" t="str">
        <f>"2905.11.00"</f>
        <v>2905.11.00</v>
      </c>
      <c r="B2083" s="2" t="str">
        <f>"Metanol (alcool metilico)"</f>
        <v>Metanol (alcool metilico)</v>
      </c>
    </row>
    <row r="2084" spans="1:2">
      <c r="A2084" s="1" t="str">
        <f>"2905.12.10"</f>
        <v>2905.12.10</v>
      </c>
      <c r="B2084" s="2" t="str">
        <f>"Alcool propilico"</f>
        <v>Alcool propilico</v>
      </c>
    </row>
    <row r="2085" spans="1:2">
      <c r="A2085" s="1" t="str">
        <f>"2905.12.20"</f>
        <v>2905.12.20</v>
      </c>
      <c r="B2085" s="2" t="str">
        <f>"ALCOOL ISOPROPILICO"</f>
        <v>ALCOOL ISOPROPILICO</v>
      </c>
    </row>
    <row r="2086" spans="1:2">
      <c r="A2086" s="1" t="str">
        <f>"2905.13.00"</f>
        <v>2905.13.00</v>
      </c>
      <c r="B2086" s="2" t="str">
        <f>"BUTAN-1-OL (ÁLCOOL N-BUTÍLICO)"</f>
        <v>BUTAN-1-OL (ÁLCOOL N-BUTÍLICO)</v>
      </c>
    </row>
    <row r="2087" spans="1:2">
      <c r="A2087" s="1" t="str">
        <f>"2905.14.10"</f>
        <v>2905.14.10</v>
      </c>
      <c r="B2087" s="2" t="str">
        <f>"Alcool isobutilico (2-metil-1-propa"</f>
        <v>Alcool isobutilico (2-metil-1-propa</v>
      </c>
    </row>
    <row r="2088" spans="1:2">
      <c r="A2088" s="1" t="str">
        <f>"2905.14.20"</f>
        <v>2905.14.20</v>
      </c>
      <c r="B2088" s="2" t="str">
        <f>"ALCOOL SEC-BUTILICO 2-BUTANOL"</f>
        <v>ALCOOL SEC-BUTILICO 2-BUTANOL</v>
      </c>
    </row>
    <row r="2089" spans="1:2">
      <c r="A2089" s="1" t="str">
        <f>"2905.14.30"</f>
        <v>2905.14.30</v>
      </c>
      <c r="B2089" s="2" t="str">
        <f>"Alcool ter-butilico (2-metil-2-prop"</f>
        <v>Alcool ter-butilico (2-metil-2-prop</v>
      </c>
    </row>
    <row r="2090" spans="1:2">
      <c r="A2090" s="1" t="str">
        <f>"2905.16.00"</f>
        <v>2905.16.00</v>
      </c>
      <c r="B2090" s="2" t="str">
        <f>"Octanol (alcool octilico) e seus is"</f>
        <v>Octanol (alcool octilico) e seus is</v>
      </c>
    </row>
    <row r="2091" spans="1:2">
      <c r="A2091" s="1" t="str">
        <f>"2905.17.10"</f>
        <v>2905.17.10</v>
      </c>
      <c r="B2091" s="2" t="str">
        <f>"Alcool laurico"</f>
        <v>Alcool laurico</v>
      </c>
    </row>
    <row r="2092" spans="1:2">
      <c r="A2092" s="1" t="str">
        <f>"2905.17.20"</f>
        <v>2905.17.20</v>
      </c>
      <c r="B2092" s="2" t="str">
        <f>"Alcool cetilico"</f>
        <v>Alcool cetilico</v>
      </c>
    </row>
    <row r="2093" spans="1:2">
      <c r="A2093" s="1" t="str">
        <f>"2905.17.30"</f>
        <v>2905.17.30</v>
      </c>
      <c r="B2093" s="2" t="str">
        <f>"Alcool estearico"</f>
        <v>Alcool estearico</v>
      </c>
    </row>
    <row r="2094" spans="1:2">
      <c r="A2094" s="1" t="str">
        <f>"2905.19.11"</f>
        <v>2905.19.11</v>
      </c>
      <c r="B2094" s="2" t="str">
        <f>"n-Decanol"</f>
        <v>n-Decanol</v>
      </c>
    </row>
    <row r="2095" spans="1:2">
      <c r="A2095" s="1" t="str">
        <f>"2905.19.12"</f>
        <v>2905.19.12</v>
      </c>
      <c r="B2095" s="2" t="str">
        <f>"Isodecanol"</f>
        <v>Isodecanol</v>
      </c>
    </row>
    <row r="2096" spans="1:2">
      <c r="A2096" s="1" t="str">
        <f>"2905.19.19"</f>
        <v>2905.19.19</v>
      </c>
      <c r="B2096" s="2" t="str">
        <f>"Outros"</f>
        <v>Outros</v>
      </c>
    </row>
    <row r="2097" spans="1:2">
      <c r="A2097" s="1" t="str">
        <f>"2905.19.21"</f>
        <v>2905.19.21</v>
      </c>
      <c r="B2097" s="2" t="str">
        <f>"Etilato de magnesio"</f>
        <v>Etilato de magnesio</v>
      </c>
    </row>
    <row r="2098" spans="1:2">
      <c r="A2098" s="1" t="str">
        <f>"2905.19.22"</f>
        <v>2905.19.22</v>
      </c>
      <c r="B2098" s="2" t="str">
        <f>"Metilato de sodio"</f>
        <v>Metilato de sodio</v>
      </c>
    </row>
    <row r="2099" spans="1:2">
      <c r="A2099" s="1" t="str">
        <f>"2905.19.23"</f>
        <v>2905.19.23</v>
      </c>
      <c r="B2099" s="2" t="str">
        <f>"Etilato de sodio"</f>
        <v>Etilato de sodio</v>
      </c>
    </row>
    <row r="2100" spans="1:2">
      <c r="A2100" s="1" t="str">
        <f>"2905.19.29"</f>
        <v>2905.19.29</v>
      </c>
      <c r="B2100" s="2" t="str">
        <f>"Outros"</f>
        <v>Outros</v>
      </c>
    </row>
    <row r="2101" spans="1:2">
      <c r="A2101" s="1" t="str">
        <f>"2905.19.91"</f>
        <v>2905.19.91</v>
      </c>
      <c r="B2101" s="2" t="str">
        <f>"4-Metilpentan-2-ol"</f>
        <v>4-Metilpentan-2-ol</v>
      </c>
    </row>
    <row r="2102" spans="1:2">
      <c r="A2102" s="1" t="str">
        <f>"2905.19.92"</f>
        <v>2905.19.92</v>
      </c>
      <c r="B2102" s="2" t="str">
        <f>"Isononanol"</f>
        <v>Isononanol</v>
      </c>
    </row>
    <row r="2103" spans="1:2">
      <c r="A2103" s="1" t="str">
        <f>"2905.19.93"</f>
        <v>2905.19.93</v>
      </c>
      <c r="B2103" s="2" t="str">
        <f>"Isotridecanol"</f>
        <v>Isotridecanol</v>
      </c>
    </row>
    <row r="2104" spans="1:2">
      <c r="A2104" s="1" t="str">
        <f>"2905.19.94"</f>
        <v>2905.19.94</v>
      </c>
      <c r="B2104" s="2" t="str">
        <f>"Tetraidrolinalol (3,7-dimetiloctan-"</f>
        <v>Tetraidrolinalol (3,7-dimetiloctan-</v>
      </c>
    </row>
    <row r="2105" spans="1:2">
      <c r="A2105" s="1" t="str">
        <f>"2905.19.95"</f>
        <v>2905.19.95</v>
      </c>
      <c r="B2105" s="2" t="str">
        <f>"3,3-Dimetilbutan-2-ol (alcool pinac"</f>
        <v>3,3-Dimetilbutan-2-ol (alcool pinac</v>
      </c>
    </row>
    <row r="2106" spans="1:2">
      <c r="A2106" s="1" t="str">
        <f>"2905.19.96"</f>
        <v>2905.19.96</v>
      </c>
      <c r="B2106" s="2" t="str">
        <f>"Pentanol (alcool amilico) e seus is"</f>
        <v>Pentanol (alcool amilico) e seus is</v>
      </c>
    </row>
    <row r="2107" spans="1:2">
      <c r="A2107" s="1" t="str">
        <f>"2905.19.99"</f>
        <v>2905.19.99</v>
      </c>
      <c r="B2107" s="2" t="str">
        <f>"Outros"</f>
        <v>Outros</v>
      </c>
    </row>
    <row r="2108" spans="1:2">
      <c r="A2108" s="1" t="str">
        <f>"2905.22.10"</f>
        <v>2905.22.10</v>
      </c>
      <c r="B2108" s="2" t="str">
        <f>"Linalol"</f>
        <v>Linalol</v>
      </c>
    </row>
    <row r="2109" spans="1:2">
      <c r="A2109" s="1" t="str">
        <f>"2905.22.20"</f>
        <v>2905.22.20</v>
      </c>
      <c r="B2109" s="2" t="str">
        <f>"Geraniol"</f>
        <v>Geraniol</v>
      </c>
    </row>
    <row r="2110" spans="1:2">
      <c r="A2110" s="1" t="str">
        <f>"2905.22.30"</f>
        <v>2905.22.30</v>
      </c>
      <c r="B2110" s="2" t="str">
        <f>"Diidromircenol (2,6-dimetil-7-octen"</f>
        <v>Diidromircenol (2,6-dimetil-7-octen</v>
      </c>
    </row>
    <row r="2111" spans="1:2">
      <c r="A2111" s="1" t="str">
        <f>"2905.22.90"</f>
        <v>2905.22.90</v>
      </c>
      <c r="B2111" s="2" t="str">
        <f>"Outros"</f>
        <v>Outros</v>
      </c>
    </row>
    <row r="2112" spans="1:2">
      <c r="A2112" s="1" t="str">
        <f>"2905.29.10"</f>
        <v>2905.29.10</v>
      </c>
      <c r="B2112" s="2" t="str">
        <f>"Alcool alilico"</f>
        <v>Alcool alilico</v>
      </c>
    </row>
    <row r="2113" spans="1:2">
      <c r="A2113" s="1" t="str">
        <f>"2905.29.90"</f>
        <v>2905.29.90</v>
      </c>
      <c r="B2113" s="2" t="str">
        <f>"Outros"</f>
        <v>Outros</v>
      </c>
    </row>
    <row r="2114" spans="1:2">
      <c r="A2114" s="1" t="str">
        <f>"2905.31.00"</f>
        <v>2905.31.00</v>
      </c>
      <c r="B2114" s="2" t="str">
        <f>"Etilenoglicol (etanodiol)"</f>
        <v>Etilenoglicol (etanodiol)</v>
      </c>
    </row>
    <row r="2115" spans="1:2">
      <c r="A2115" s="1" t="str">
        <f>"2905.32.00"</f>
        <v>2905.32.00</v>
      </c>
      <c r="B2115" s="2" t="str">
        <f>"Propilenoglicol (propano-1,2-diol)"</f>
        <v>Propilenoglicol (propano-1,2-diol)</v>
      </c>
    </row>
    <row r="2116" spans="1:2">
      <c r="A2116" s="1" t="str">
        <f>"2905.39.10"</f>
        <v>2905.39.10</v>
      </c>
      <c r="B2116" s="2" t="str">
        <f>"2-Metil-2,4-pentanodiol (hexilenogl"</f>
        <v>2-Metil-2,4-pentanodiol (hexilenogl</v>
      </c>
    </row>
    <row r="2117" spans="1:2">
      <c r="A2117" s="1" t="str">
        <f>"2905.39.20"</f>
        <v>2905.39.20</v>
      </c>
      <c r="B2117" s="2" t="str">
        <f>"Trimetilenoglicol (1,3-propanodiol)"</f>
        <v>Trimetilenoglicol (1,3-propanodiol)</v>
      </c>
    </row>
    <row r="2118" spans="1:2">
      <c r="A2118" s="1" t="str">
        <f>"2905.39.30"</f>
        <v>2905.39.30</v>
      </c>
      <c r="B2118" s="2" t="str">
        <f>"butil glicol"</f>
        <v>butil glicol</v>
      </c>
    </row>
    <row r="2119" spans="1:2">
      <c r="A2119" s="1" t="str">
        <f>"2905.39.90"</f>
        <v>2905.39.90</v>
      </c>
      <c r="B2119" s="2" t="str">
        <f>"OUTROS - ENVIRROGEM"</f>
        <v>OUTROS - ENVIRROGEM</v>
      </c>
    </row>
    <row r="2120" spans="1:2">
      <c r="A2120" s="1" t="str">
        <f>"2905.41.00"</f>
        <v>2905.41.00</v>
      </c>
      <c r="B2120" s="2" t="str">
        <f>"ETIL PROPANO -TRIMETILOLPROPANO"</f>
        <v>ETIL PROPANO -TRIMETILOLPROPANO</v>
      </c>
    </row>
    <row r="2121" spans="1:2">
      <c r="A2121" s="1" t="str">
        <f>"2905.42.00"</f>
        <v>2905.42.00</v>
      </c>
      <c r="B2121" s="2" t="str">
        <f>"Pentaeritritol (pentaeritrita)"</f>
        <v>Pentaeritritol (pentaeritrita)</v>
      </c>
    </row>
    <row r="2122" spans="1:2">
      <c r="A2122" s="1" t="str">
        <f>"2905.43.00"</f>
        <v>2905.43.00</v>
      </c>
      <c r="B2122" s="2" t="str">
        <f>"Manitol"</f>
        <v>Manitol</v>
      </c>
    </row>
    <row r="2123" spans="1:2">
      <c r="A2123" s="1" t="str">
        <f>"2905.44.00"</f>
        <v>2905.44.00</v>
      </c>
      <c r="B2123" s="2" t="str">
        <f>"D-glucitol (sorbitol)"</f>
        <v>D-glucitol (sorbitol)</v>
      </c>
    </row>
    <row r="2124" spans="1:2">
      <c r="A2124" s="1" t="str">
        <f>"2905.45.00"</f>
        <v>2905.45.00</v>
      </c>
      <c r="B2124" s="2" t="str">
        <f>"GLICEROL BI DESTILADA"</f>
        <v>GLICEROL BI DESTILADA</v>
      </c>
    </row>
    <row r="2125" spans="1:2">
      <c r="A2125" s="1" t="str">
        <f>"2905.49.00"</f>
        <v>2905.49.00</v>
      </c>
      <c r="B2125" s="2" t="str">
        <f>"OUTROS"</f>
        <v>OUTROS</v>
      </c>
    </row>
    <row r="2126" spans="1:2">
      <c r="A2126" s="1" t="str">
        <f>"2905.51.00"</f>
        <v>2905.51.00</v>
      </c>
      <c r="B2126" s="2" t="str">
        <f>"Etclorvinol (DCI)"</f>
        <v>Etclorvinol (DCI)</v>
      </c>
    </row>
    <row r="2127" spans="1:2">
      <c r="A2127" s="1" t="str">
        <f>"2905.59.10"</f>
        <v>2905.59.10</v>
      </c>
      <c r="B2127" s="2" t="str">
        <f>"Hidrato de cloral"</f>
        <v>Hidrato de cloral</v>
      </c>
    </row>
    <row r="2128" spans="1:2">
      <c r="A2128" s="1" t="str">
        <f>"2905.59.90"</f>
        <v>2905.59.90</v>
      </c>
      <c r="B2128" s="2" t="str">
        <f>"Outros"</f>
        <v>Outros</v>
      </c>
    </row>
    <row r="2129" spans="1:2">
      <c r="A2129" s="1" t="str">
        <f>"2906.11.00"</f>
        <v>2906.11.00</v>
      </c>
      <c r="B2129" s="2" t="str">
        <f>"Mentol"</f>
        <v>Mentol</v>
      </c>
    </row>
    <row r="2130" spans="1:2">
      <c r="A2130" s="1" t="str">
        <f>"2906.12.00"</f>
        <v>2906.12.00</v>
      </c>
      <c r="B2130" s="2" t="str">
        <f>"Cicloexanol, metilcicloexanois e di"</f>
        <v>Cicloexanol, metilcicloexanois e di</v>
      </c>
    </row>
    <row r="2131" spans="1:2">
      <c r="A2131" s="1" t="str">
        <f>"2906.13.00"</f>
        <v>2906.13.00</v>
      </c>
      <c r="B2131" s="2" t="str">
        <f>"Esterois e inositois"</f>
        <v>Esterois e inositois</v>
      </c>
    </row>
    <row r="2132" spans="1:2">
      <c r="A2132" s="1" t="str">
        <f>"2906.19.10"</f>
        <v>2906.19.10</v>
      </c>
      <c r="B2132" s="2" t="str">
        <f>"Derivados do mentol"</f>
        <v>Derivados do mentol</v>
      </c>
    </row>
    <row r="2133" spans="1:2">
      <c r="A2133" s="1" t="str">
        <f>"2906.19.20"</f>
        <v>2906.19.20</v>
      </c>
      <c r="B2133" s="2" t="str">
        <f>"Borneol; isoborneol"</f>
        <v>Borneol; isoborneol</v>
      </c>
    </row>
    <row r="2134" spans="1:2">
      <c r="A2134" s="1" t="str">
        <f>"2906.19.30"</f>
        <v>2906.19.30</v>
      </c>
      <c r="B2134" s="2" t="str">
        <f>"Terpina e seu hidrato"</f>
        <v>Terpina e seu hidrato</v>
      </c>
    </row>
    <row r="2135" spans="1:2">
      <c r="A2135" s="1" t="str">
        <f>"2906.19.40"</f>
        <v>2906.19.40</v>
      </c>
      <c r="B2135" s="2" t="str">
        <f>"Alcool fenchilico (1,3,3-trimetil-2"</f>
        <v>Alcool fenchilico (1,3,3-trimetil-2</v>
      </c>
    </row>
    <row r="2136" spans="1:2">
      <c r="A2136" s="1" t="str">
        <f>"2906.19.50"</f>
        <v>2906.19.50</v>
      </c>
      <c r="B2136" s="2" t="str">
        <f>"Terpineois"</f>
        <v>Terpineois</v>
      </c>
    </row>
    <row r="2137" spans="1:2">
      <c r="A2137" s="1" t="str">
        <f>"2906.19.90"</f>
        <v>2906.19.90</v>
      </c>
      <c r="B2137" s="2" t="str">
        <f>"Outros"</f>
        <v>Outros</v>
      </c>
    </row>
    <row r="2138" spans="1:2">
      <c r="A2138" s="1" t="str">
        <f>"2906.21.00"</f>
        <v>2906.21.00</v>
      </c>
      <c r="B2138" s="2" t="str">
        <f>"Alcool benzilico"</f>
        <v>Alcool benzilico</v>
      </c>
    </row>
    <row r="2139" spans="1:2">
      <c r="A2139" s="1" t="str">
        <f>"2906.29.10"</f>
        <v>2906.29.10</v>
      </c>
      <c r="B2139" s="2" t="str">
        <f>"2-Feniletanol"</f>
        <v>2-Feniletanol</v>
      </c>
    </row>
    <row r="2140" spans="1:2">
      <c r="A2140" s="1" t="str">
        <f>"2906.29.20"</f>
        <v>2906.29.20</v>
      </c>
      <c r="B2140" s="2" t="str">
        <f>"Dicofol"</f>
        <v>Dicofol</v>
      </c>
    </row>
    <row r="2141" spans="1:2">
      <c r="A2141" s="1" t="str">
        <f>"2906.29.90"</f>
        <v>2906.29.90</v>
      </c>
      <c r="B2141" s="2" t="str">
        <f>"Outros"</f>
        <v>Outros</v>
      </c>
    </row>
    <row r="2142" spans="1:2">
      <c r="A2142" s="1" t="str">
        <f>"2907.11.00"</f>
        <v>2907.11.00</v>
      </c>
      <c r="B2142" s="2" t="str">
        <f>"Fenol (hidroxibenzeno) e seus sais"</f>
        <v>Fenol (hidroxibenzeno) e seus sais</v>
      </c>
    </row>
    <row r="2143" spans="1:2">
      <c r="A2143" s="1" t="str">
        <f>"2907.12.00"</f>
        <v>2907.12.00</v>
      </c>
      <c r="B2143" s="2" t="str">
        <f>"Cresois e seus sais"</f>
        <v>Cresois e seus sais</v>
      </c>
    </row>
    <row r="2144" spans="1:2">
      <c r="A2144" s="1" t="str">
        <f>"2907.13.00"</f>
        <v>2907.13.00</v>
      </c>
      <c r="B2144" s="2" t="str">
        <f>"Octilfenol, nonilfenol, e seus isom"</f>
        <v>Octilfenol, nonilfenol, e seus isom</v>
      </c>
    </row>
    <row r="2145" spans="1:2">
      <c r="A2145" s="1" t="str">
        <f>"2907.15.10"</f>
        <v>2907.15.10</v>
      </c>
      <c r="B2145" s="2" t="str">
        <f>"beta-Naftol e seus sais"</f>
        <v>beta-Naftol e seus sais</v>
      </c>
    </row>
    <row r="2146" spans="1:2">
      <c r="A2146" s="1" t="str">
        <f>"2907.15.90"</f>
        <v>2907.15.90</v>
      </c>
      <c r="B2146" s="2" t="str">
        <f>"Outros"</f>
        <v>Outros</v>
      </c>
    </row>
    <row r="2147" spans="1:2">
      <c r="A2147" s="1" t="str">
        <f>"2907.19.10"</f>
        <v>2907.19.10</v>
      </c>
      <c r="B2147" s="2" t="str">
        <f>"2,6-Di-ter-butil-p-cresol e seus sa"</f>
        <v>2,6-Di-ter-butil-p-cresol e seus sa</v>
      </c>
    </row>
    <row r="2148" spans="1:2">
      <c r="A2148" s="1" t="str">
        <f>"2907.19.20"</f>
        <v>2907.19.20</v>
      </c>
      <c r="B2148" s="2" t="str">
        <f>"o-Fenilfenol e seus sais"</f>
        <v>o-Fenilfenol e seus sais</v>
      </c>
    </row>
    <row r="2149" spans="1:2">
      <c r="A2149" s="1" t="str">
        <f>"2907.19.30"</f>
        <v>2907.19.30</v>
      </c>
      <c r="B2149" s="2" t="str">
        <f>"p-ter-Butilfenol e seus sais"</f>
        <v>p-ter-Butilfenol e seus sais</v>
      </c>
    </row>
    <row r="2150" spans="1:2">
      <c r="A2150" s="1" t="str">
        <f>"2907.19.40"</f>
        <v>2907.19.40</v>
      </c>
      <c r="B2150" s="2" t="str">
        <f>"Xilenois e seus sais"</f>
        <v>Xilenois e seus sais</v>
      </c>
    </row>
    <row r="2151" spans="1:2">
      <c r="A2151" s="1" t="str">
        <f>"2907.19.90"</f>
        <v>2907.19.90</v>
      </c>
      <c r="B2151" s="2" t="str">
        <f>"Outros"</f>
        <v>Outros</v>
      </c>
    </row>
    <row r="2152" spans="1:2">
      <c r="A2152" s="1" t="str">
        <f>"2907.21.00"</f>
        <v>2907.21.00</v>
      </c>
      <c r="B2152" s="2" t="str">
        <f>"Resorcinol e seus sais"</f>
        <v>Resorcinol e seus sais</v>
      </c>
    </row>
    <row r="2153" spans="1:2">
      <c r="A2153" s="1" t="str">
        <f>"2907.22.00"</f>
        <v>2907.22.00</v>
      </c>
      <c r="B2153" s="2" t="str">
        <f>"Hidroquinona e seus sais"</f>
        <v>Hidroquinona e seus sais</v>
      </c>
    </row>
    <row r="2154" spans="1:2">
      <c r="A2154" s="1" t="str">
        <f>"2907.23.00"</f>
        <v>2907.23.00</v>
      </c>
      <c r="B2154" s="2" t="str">
        <f>"4,4'-Isopropilidenodifenol (bisfeno"</f>
        <v>4,4'-Isopropilidenodifenol (bisfeno</v>
      </c>
    </row>
    <row r="2155" spans="1:2">
      <c r="A2155" s="1" t="str">
        <f>"2907.29.00"</f>
        <v>2907.29.00</v>
      </c>
      <c r="B2155" s="2" t="str">
        <f>"Outros"</f>
        <v>Outros</v>
      </c>
    </row>
    <row r="2156" spans="1:2">
      <c r="A2156" s="1" t="str">
        <f>"2908.11.00"</f>
        <v>2908.11.00</v>
      </c>
      <c r="B2156" s="2" t="str">
        <f>"Pentaclorofenol (ISO)"</f>
        <v>Pentaclorofenol (ISO)</v>
      </c>
    </row>
    <row r="2157" spans="1:2">
      <c r="A2157" s="1" t="str">
        <f>"2908.19.11"</f>
        <v>2908.19.11</v>
      </c>
      <c r="B2157" s="2" t="str">
        <f>"4-Cloro-m-cresol e seus sais"</f>
        <v>4-Cloro-m-cresol e seus sais</v>
      </c>
    </row>
    <row r="2158" spans="1:2">
      <c r="A2158" s="1" t="str">
        <f>"2908.19.12"</f>
        <v>2908.19.12</v>
      </c>
      <c r="B2158" s="2" t="str">
        <f>"Diclorofenois e seus sais"</f>
        <v>Diclorofenois e seus sais</v>
      </c>
    </row>
    <row r="2159" spans="1:2">
      <c r="A2159" s="1" t="str">
        <f>"2908.19.13"</f>
        <v>2908.19.13</v>
      </c>
      <c r="B2159" s="2" t="str">
        <f>"p-Clorofenol"</f>
        <v>p-Clorofenol</v>
      </c>
    </row>
    <row r="2160" spans="1:2">
      <c r="A2160" s="1" t="str">
        <f>"2908.19.14"</f>
        <v>2908.19.14</v>
      </c>
      <c r="B2160" s="2" t="str">
        <f>"Triclorofenois e seus sais"</f>
        <v>Triclorofenois e seus sais</v>
      </c>
    </row>
    <row r="2161" spans="1:2">
      <c r="A2161" s="1" t="str">
        <f>"2908.19.15"</f>
        <v>2908.19.15</v>
      </c>
      <c r="B2161" s="2" t="str">
        <f>"Tetraclorofenois e seus sais"</f>
        <v>Tetraclorofenois e seus sais</v>
      </c>
    </row>
    <row r="2162" spans="1:2">
      <c r="A2162" s="1" t="str">
        <f>"2908.19.19"</f>
        <v>2908.19.19</v>
      </c>
      <c r="B2162" s="2" t="str">
        <f>"Outros"</f>
        <v>Outros</v>
      </c>
    </row>
    <row r="2163" spans="1:2">
      <c r="A2163" s="1" t="str">
        <f>"2908.19.21"</f>
        <v>2908.19.21</v>
      </c>
      <c r="B2163" s="2" t="str">
        <f>"2,4,6-Tribromofenol"</f>
        <v>2,4,6-Tribromofenol</v>
      </c>
    </row>
    <row r="2164" spans="1:2">
      <c r="A2164" s="1" t="str">
        <f>"2908.19.29"</f>
        <v>2908.19.29</v>
      </c>
      <c r="B2164" s="2" t="str">
        <f>"Outros"</f>
        <v>Outros</v>
      </c>
    </row>
    <row r="2165" spans="1:2">
      <c r="A2165" s="1" t="str">
        <f>"2908.19.90"</f>
        <v>2908.19.90</v>
      </c>
      <c r="B2165" s="2" t="str">
        <f>"Outros"</f>
        <v>Outros</v>
      </c>
    </row>
    <row r="2166" spans="1:2">
      <c r="A2166" s="1" t="str">
        <f>"2908.91.00"</f>
        <v>2908.91.00</v>
      </c>
      <c r="B2166" s="2" t="str">
        <f>"Dinoseb (ISO) e seus sais"</f>
        <v>Dinoseb (ISO) e seus sais</v>
      </c>
    </row>
    <row r="2167" spans="1:2">
      <c r="A2167" s="1" t="str">
        <f>"2908.92.00"</f>
        <v>2908.92.00</v>
      </c>
      <c r="B2167" s="2" t="str">
        <f>"4,6-Dinitro-o-cresol (DNOC (ISO)) e"</f>
        <v>4,6-Dinitro-o-cresol (DNOC (ISO)) e</v>
      </c>
    </row>
    <row r="2168" spans="1:2">
      <c r="A2168" s="1" t="str">
        <f>"2908.99.12"</f>
        <v>2908.99.12</v>
      </c>
      <c r="B2168" s="2" t="str">
        <f>"p-Nitrofenol e seus sais"</f>
        <v>p-Nitrofenol e seus sais</v>
      </c>
    </row>
    <row r="2169" spans="1:2">
      <c r="A2169" s="1" t="str">
        <f>"2908.99.13"</f>
        <v>2908.99.13</v>
      </c>
      <c r="B2169" s="2" t="str">
        <f>"Acido picrico"</f>
        <v>Acido picrico</v>
      </c>
    </row>
    <row r="2170" spans="1:2">
      <c r="A2170" s="1" t="str">
        <f>"2908.99.19"</f>
        <v>2908.99.19</v>
      </c>
      <c r="B2170" s="2" t="str">
        <f>"Outros"</f>
        <v>Outros</v>
      </c>
    </row>
    <row r="2171" spans="1:2">
      <c r="A2171" s="1" t="str">
        <f>"2908.99.21"</f>
        <v>2908.99.21</v>
      </c>
      <c r="B2171" s="2" t="str">
        <f>"Disofenol"</f>
        <v>Disofenol</v>
      </c>
    </row>
    <row r="2172" spans="1:2">
      <c r="A2172" s="1" t="str">
        <f>"2908.99.29"</f>
        <v>2908.99.29</v>
      </c>
      <c r="B2172" s="2" t="str">
        <f>"Outros"</f>
        <v>Outros</v>
      </c>
    </row>
    <row r="2173" spans="1:2">
      <c r="A2173" s="1" t="str">
        <f>"2908.99.30"</f>
        <v>2908.99.30</v>
      </c>
      <c r="B2173" s="2" t="str">
        <f>"Derivados sulfonados do fenol, seus"</f>
        <v>Derivados sulfonados do fenol, seus</v>
      </c>
    </row>
    <row r="2174" spans="1:2">
      <c r="A2174" s="1" t="str">
        <f>"2908.99.90"</f>
        <v>2908.99.90</v>
      </c>
      <c r="B2174" s="2" t="str">
        <f>"Outros"</f>
        <v>Outros</v>
      </c>
    </row>
    <row r="2175" spans="1:2">
      <c r="A2175" s="1" t="str">
        <f>"2909.11.00"</f>
        <v>2909.11.00</v>
      </c>
      <c r="B2175" s="2" t="str">
        <f>"Eter dietilico (oxido de dietila)"</f>
        <v>Eter dietilico (oxido de dietila)</v>
      </c>
    </row>
    <row r="2176" spans="1:2">
      <c r="A2176" s="1" t="str">
        <f>"2909.19.10"</f>
        <v>2909.19.10</v>
      </c>
      <c r="B2176" s="2" t="str">
        <f>"Eter metil-ter-butilico (MTBE)"</f>
        <v>Eter metil-ter-butilico (MTBE)</v>
      </c>
    </row>
    <row r="2177" spans="1:2">
      <c r="A2177" s="1" t="str">
        <f>"2909.19.90"</f>
        <v>2909.19.90</v>
      </c>
      <c r="B2177" s="2" t="str">
        <f>"Outros"</f>
        <v>Outros</v>
      </c>
    </row>
    <row r="2178" spans="1:2">
      <c r="A2178" s="1" t="str">
        <f>"2909.20.00"</f>
        <v>2909.20.00</v>
      </c>
      <c r="B2178" s="2" t="str">
        <f>"Eteres ciclanicos, ciclenicos, cicl"</f>
        <v>Eteres ciclanicos, ciclenicos, cicl</v>
      </c>
    </row>
    <row r="2179" spans="1:2">
      <c r="A2179" s="1" t="str">
        <f>"2909.24.00"</f>
        <v>2909.24.00</v>
      </c>
      <c r="B2179" s="2" t="str">
        <f>"INATIVO - ANIDRIDO ACÉTICO"</f>
        <v>INATIVO - ANIDRIDO ACÉTICO</v>
      </c>
    </row>
    <row r="2180" spans="1:2">
      <c r="A2180" s="1" t="str">
        <f>"2909.30.11"</f>
        <v>2909.30.11</v>
      </c>
      <c r="B2180" s="2" t="str">
        <f>"Anetol"</f>
        <v>Anetol</v>
      </c>
    </row>
    <row r="2181" spans="1:2">
      <c r="A2181" s="1" t="str">
        <f>"2909.30.12"</f>
        <v>2909.30.12</v>
      </c>
      <c r="B2181" s="2" t="str">
        <f>"Eter difenilico (eter fenilico)"</f>
        <v>Eter difenilico (eter fenilico)</v>
      </c>
    </row>
    <row r="2182" spans="1:2">
      <c r="A2182" s="1" t="str">
        <f>"2909.30.13"</f>
        <v>2909.30.13</v>
      </c>
      <c r="B2182" s="2" t="str">
        <f>"Eter dibenzilico (eter benzilico)"</f>
        <v>Eter dibenzilico (eter benzilico)</v>
      </c>
    </row>
    <row r="2183" spans="1:2">
      <c r="A2183" s="1" t="str">
        <f>"2909.30.14"</f>
        <v>2909.30.14</v>
      </c>
      <c r="B2183" s="2" t="str">
        <f>"Eter feniletil-isoamilico"</f>
        <v>Eter feniletil-isoamilico</v>
      </c>
    </row>
    <row r="2184" spans="1:2">
      <c r="A2184" s="1" t="str">
        <f>"2909.30.19"</f>
        <v>2909.30.19</v>
      </c>
      <c r="B2184" s="2" t="str">
        <f>"Outros"</f>
        <v>Outros</v>
      </c>
    </row>
    <row r="2185" spans="1:2">
      <c r="A2185" s="1" t="str">
        <f>"2909.30.21"</f>
        <v>2909.30.21</v>
      </c>
      <c r="B2185" s="2" t="str">
        <f>"Oxifluorfeno"</f>
        <v>Oxifluorfeno</v>
      </c>
    </row>
    <row r="2186" spans="1:2">
      <c r="A2186" s="1" t="str">
        <f>"2909.30.29"</f>
        <v>2909.30.29</v>
      </c>
      <c r="B2186" s="2" t="str">
        <f>"Outros"</f>
        <v>Outros</v>
      </c>
    </row>
    <row r="2187" spans="1:2">
      <c r="A2187" s="1" t="str">
        <f>"2909.41.00"</f>
        <v>2909.41.00</v>
      </c>
      <c r="B2187" s="2" t="str">
        <f>"OXIDIETANOL - DIETILENO"</f>
        <v>OXIDIETANOL - DIETILENO</v>
      </c>
    </row>
    <row r="2188" spans="1:2">
      <c r="A2188" s="1" t="str">
        <f>"2909.42.00"</f>
        <v>2909.42.00</v>
      </c>
      <c r="B2188" s="2" t="str">
        <f>"INATIVO  - ANIDRIDO ACÉTICO"</f>
        <v>INATIVO  - ANIDRIDO ACÉTICO</v>
      </c>
    </row>
    <row r="2189" spans="1:2">
      <c r="A2189" s="1" t="str">
        <f>"2909.43.10"</f>
        <v>2909.43.10</v>
      </c>
      <c r="B2189" s="2" t="str">
        <f>"DO ETILENOGLICOL - BUTIL"</f>
        <v>DO ETILENOGLICOL - BUTIL</v>
      </c>
    </row>
    <row r="2190" spans="1:2">
      <c r="A2190" s="1" t="str">
        <f>"2909.43.20"</f>
        <v>2909.43.20</v>
      </c>
      <c r="B2190" s="2" t="str">
        <f>"Do dietilenoglicol"</f>
        <v>Do dietilenoglicol</v>
      </c>
    </row>
    <row r="2191" spans="1:2">
      <c r="A2191" s="1" t="str">
        <f>"2909.44.11"</f>
        <v>2909.44.11</v>
      </c>
      <c r="B2191" s="2" t="str">
        <f>"ETIL GLICOL"</f>
        <v>ETIL GLICOL</v>
      </c>
    </row>
    <row r="2192" spans="1:2">
      <c r="A2192" s="1" t="str">
        <f>"2909.44.12"</f>
        <v>2909.44.12</v>
      </c>
      <c r="B2192" s="2" t="str">
        <f>"Eter isobutilico"</f>
        <v>Eter isobutilico</v>
      </c>
    </row>
    <row r="2193" spans="1:2">
      <c r="A2193" s="1" t="str">
        <f>"2909.44.13"</f>
        <v>2909.44.13</v>
      </c>
      <c r="B2193" s="2" t="str">
        <f>"Eter hexilico"</f>
        <v>Eter hexilico</v>
      </c>
    </row>
    <row r="2194" spans="1:2">
      <c r="A2194" s="1" t="str">
        <f>"2909.44.19"</f>
        <v>2909.44.19</v>
      </c>
      <c r="B2194" s="2" t="str">
        <f>"Outros"</f>
        <v>Outros</v>
      </c>
    </row>
    <row r="2195" spans="1:2">
      <c r="A2195" s="1" t="str">
        <f>"2909.44.21"</f>
        <v>2909.44.21</v>
      </c>
      <c r="B2195" s="2" t="str">
        <f>"Eter etilico"</f>
        <v>Eter etilico</v>
      </c>
    </row>
    <row r="2196" spans="1:2">
      <c r="A2196" s="1" t="str">
        <f>"2909.44.29"</f>
        <v>2909.44.29</v>
      </c>
      <c r="B2196" s="2" t="str">
        <f>"Outros"</f>
        <v>Outros</v>
      </c>
    </row>
    <row r="2197" spans="1:2">
      <c r="A2197" s="1" t="str">
        <f>"2909.49.10"</f>
        <v>2909.49.10</v>
      </c>
      <c r="B2197" s="2" t="str">
        <f>"Guaifenesina"</f>
        <v>Guaifenesina</v>
      </c>
    </row>
    <row r="2198" spans="1:2">
      <c r="A2198" s="1" t="str">
        <f>"2909.49.21"</f>
        <v>2909.49.21</v>
      </c>
      <c r="B2198" s="2" t="str">
        <f>"Trietilenoglicol"</f>
        <v>Trietilenoglicol</v>
      </c>
    </row>
    <row r="2199" spans="1:2">
      <c r="A2199" s="1" t="str">
        <f>"2909.49.22"</f>
        <v>2909.49.22</v>
      </c>
      <c r="B2199" s="2" t="str">
        <f>"Tetraetilenoglicol"</f>
        <v>Tetraetilenoglicol</v>
      </c>
    </row>
    <row r="2200" spans="1:2">
      <c r="A2200" s="1" t="str">
        <f>"2909.49.23"</f>
        <v>2909.49.23</v>
      </c>
      <c r="B2200" s="2" t="str">
        <f>"Pentaetilenoglicol e seus eteres"</f>
        <v>Pentaetilenoglicol e seus eteres</v>
      </c>
    </row>
    <row r="2201" spans="1:2">
      <c r="A2201" s="1" t="str">
        <f>"2909.49.24"</f>
        <v>2909.49.24</v>
      </c>
      <c r="B2201" s="2" t="str">
        <f>"ÉTER FENÍLICO DO ETILENOGLICOL"</f>
        <v>ÉTER FENÍLICO DO ETILENOGLICOL</v>
      </c>
    </row>
    <row r="2202" spans="1:2">
      <c r="A2202" s="1" t="str">
        <f>"2909.49.29"</f>
        <v>2909.49.29</v>
      </c>
      <c r="B2202" s="2" t="str">
        <f>"Outros"</f>
        <v>Outros</v>
      </c>
    </row>
    <row r="2203" spans="1:2">
      <c r="A2203" s="1" t="str">
        <f>"2909.49.31"</f>
        <v>2909.49.31</v>
      </c>
      <c r="B2203" s="2" t="str">
        <f>"Dipropilenoglicol"</f>
        <v>Dipropilenoglicol</v>
      </c>
    </row>
    <row r="2204" spans="1:2">
      <c r="A2204" s="1" t="str">
        <f>"2909.49.32"</f>
        <v>2909.49.32</v>
      </c>
      <c r="B2204" s="2" t="str">
        <f>"ETERES DO MONO E  TRIPOPILENOGLICOL"</f>
        <v>ETERES DO MONO E  TRIPOPILENOGLICOL</v>
      </c>
    </row>
    <row r="2205" spans="1:2">
      <c r="A2205" s="1" t="str">
        <f>"2909.49.39"</f>
        <v>2909.49.39</v>
      </c>
      <c r="B2205" s="2" t="str">
        <f>"Outros"</f>
        <v>Outros</v>
      </c>
    </row>
    <row r="2206" spans="1:2">
      <c r="A2206" s="1" t="str">
        <f>"2909.49.41"</f>
        <v>2909.49.41</v>
      </c>
      <c r="B2206" s="2" t="str">
        <f>"Eter etilico do butilenoglicol"</f>
        <v>Eter etilico do butilenoglicol</v>
      </c>
    </row>
    <row r="2207" spans="1:2">
      <c r="A2207" s="1" t="str">
        <f>"2909.49.49"</f>
        <v>2909.49.49</v>
      </c>
      <c r="B2207" s="2" t="str">
        <f>"Outros"</f>
        <v>Outros</v>
      </c>
    </row>
    <row r="2208" spans="1:2">
      <c r="A2208" s="1" t="str">
        <f>"2909.49.50"</f>
        <v>2909.49.50</v>
      </c>
      <c r="B2208" s="2" t="str">
        <f>"Alcoois fenoxibenzilicos"</f>
        <v>Alcoois fenoxibenzilicos</v>
      </c>
    </row>
    <row r="2209" spans="1:2">
      <c r="A2209" s="1" t="str">
        <f>"2909.49.90"</f>
        <v>2909.49.90</v>
      </c>
      <c r="B2209" s="2" t="str">
        <f>"OUTROS - MICROESFERA"</f>
        <v>OUTROS - MICROESFERA</v>
      </c>
    </row>
    <row r="2210" spans="1:2">
      <c r="A2210" s="1" t="str">
        <f>"2909.50.11"</f>
        <v>2909.50.11</v>
      </c>
      <c r="B2210" s="2" t="str">
        <f>"Triclosan"</f>
        <v>Triclosan</v>
      </c>
    </row>
    <row r="2211" spans="1:2">
      <c r="A2211" s="1" t="str">
        <f>"2909.50.12"</f>
        <v>2909.50.12</v>
      </c>
      <c r="B2211" s="2" t="str">
        <f>"Eugenol"</f>
        <v>Eugenol</v>
      </c>
    </row>
    <row r="2212" spans="1:2">
      <c r="A2212" s="1" t="str">
        <f>"2909.50.13"</f>
        <v>2909.50.13</v>
      </c>
      <c r="B2212" s="2" t="str">
        <f>"Isoeugenol"</f>
        <v>Isoeugenol</v>
      </c>
    </row>
    <row r="2213" spans="1:2">
      <c r="A2213" s="1" t="str">
        <f>"2909.50.19"</f>
        <v>2909.50.19</v>
      </c>
      <c r="B2213" s="2" t="str">
        <f>"Outros"</f>
        <v>Outros</v>
      </c>
    </row>
    <row r="2214" spans="1:2">
      <c r="A2214" s="1" t="str">
        <f>"2909.50.90"</f>
        <v>2909.50.90</v>
      </c>
      <c r="B2214" s="2" t="str">
        <f>"Outros"</f>
        <v>Outros</v>
      </c>
    </row>
    <row r="2215" spans="1:2">
      <c r="A2215" s="1" t="str">
        <f>"2909.60.11"</f>
        <v>2909.60.11</v>
      </c>
      <c r="B2215" s="2" t="str">
        <f>"De diisopropilbenzeno"</f>
        <v>De diisopropilbenzeno</v>
      </c>
    </row>
    <row r="2216" spans="1:2">
      <c r="A2216" s="1" t="str">
        <f>"2909.60.12"</f>
        <v>2909.60.12</v>
      </c>
      <c r="B2216" s="2" t="str">
        <f>"De ter-butila"</f>
        <v>De ter-butila</v>
      </c>
    </row>
    <row r="2217" spans="1:2">
      <c r="A2217" s="1" t="str">
        <f>"2909.60.13"</f>
        <v>2909.60.13</v>
      </c>
      <c r="B2217" s="2" t="str">
        <f>"De p-mentano"</f>
        <v>De p-mentano</v>
      </c>
    </row>
    <row r="2218" spans="1:2">
      <c r="A2218" s="1" t="str">
        <f>"2909.60.19"</f>
        <v>2909.60.19</v>
      </c>
      <c r="B2218" s="2" t="str">
        <f>"Outros"</f>
        <v>Outros</v>
      </c>
    </row>
    <row r="2219" spans="1:2">
      <c r="A2219" s="1" t="str">
        <f>"2909.60.20"</f>
        <v>2909.60.20</v>
      </c>
      <c r="B2219" s="2" t="str">
        <f>"Peroxidos"</f>
        <v>Peroxidos</v>
      </c>
    </row>
    <row r="2220" spans="1:2">
      <c r="A2220" s="1" t="str">
        <f>"2910.10.00"</f>
        <v>2910.10.00</v>
      </c>
      <c r="B2220" s="2" t="str">
        <f>"Oxirano (oxido de etileno)"</f>
        <v>Oxirano (oxido de etileno)</v>
      </c>
    </row>
    <row r="2221" spans="1:2">
      <c r="A2221" s="1" t="str">
        <f>"2910.20.00"</f>
        <v>2910.20.00</v>
      </c>
      <c r="B2221" s="2" t="str">
        <f>"Metiloxirano (oxido de propileno)"</f>
        <v>Metiloxirano (oxido de propileno)</v>
      </c>
    </row>
    <row r="2222" spans="1:2">
      <c r="A2222" s="1" t="str">
        <f>"2910.30.00"</f>
        <v>2910.30.00</v>
      </c>
      <c r="B2222" s="2" t="str">
        <f>"1-Cloro-2,3-epoxipropano (epiclorid"</f>
        <v>1-Cloro-2,3-epoxipropano (epiclorid</v>
      </c>
    </row>
    <row r="2223" spans="1:2">
      <c r="A2223" s="1" t="str">
        <f>"2910.40.00"</f>
        <v>2910.40.00</v>
      </c>
      <c r="B2223" s="2" t="str">
        <f>"Dieldrin (ISO, DCI)"</f>
        <v>Dieldrin (ISO, DCI)</v>
      </c>
    </row>
    <row r="2224" spans="1:2">
      <c r="A2224" s="1" t="str">
        <f>"2910.50.00"</f>
        <v>2910.50.00</v>
      </c>
      <c r="B2224" s="2" t="str">
        <f>"Endrin (ISO)"</f>
        <v>Endrin (ISO)</v>
      </c>
    </row>
    <row r="2225" spans="1:2">
      <c r="A2225" s="1" t="str">
        <f>"2910.90.10"</f>
        <v>2910.90.10</v>
      </c>
      <c r="B2225" s="2" t="str">
        <f>"Oxido de estireno"</f>
        <v>Oxido de estireno</v>
      </c>
    </row>
    <row r="2226" spans="1:2">
      <c r="A2226" s="1" t="str">
        <f>"2910.90.90"</f>
        <v>2910.90.90</v>
      </c>
      <c r="B2226" s="2" t="str">
        <f>"Outros"</f>
        <v>Outros</v>
      </c>
    </row>
    <row r="2227" spans="1:2">
      <c r="A2227" s="1" t="str">
        <f>"2911.00.10"</f>
        <v>2911.00.10</v>
      </c>
      <c r="B2227" s="2" t="str">
        <f>"Dimetilacetal do 2-nitrobenzaldeido"</f>
        <v>Dimetilacetal do 2-nitrobenzaldeido</v>
      </c>
    </row>
    <row r="2228" spans="1:2">
      <c r="A2228" s="1" t="str">
        <f>"2911.00.90"</f>
        <v>2911.00.90</v>
      </c>
      <c r="B2228" s="2" t="str">
        <f>"Outros"</f>
        <v>Outros</v>
      </c>
    </row>
    <row r="2229" spans="1:2">
      <c r="A2229" s="1" t="str">
        <f>"2912.11.00"</f>
        <v>2912.11.00</v>
      </c>
      <c r="B2229" s="2" t="str">
        <f>"Metanal (formaldeido)"</f>
        <v>Metanal (formaldeido)</v>
      </c>
    </row>
    <row r="2230" spans="1:2">
      <c r="A2230" s="1" t="str">
        <f>"2912.12.00"</f>
        <v>2912.12.00</v>
      </c>
      <c r="B2230" s="2" t="str">
        <f>"Etanal (acetaldeido)"</f>
        <v>Etanal (acetaldeido)</v>
      </c>
    </row>
    <row r="2231" spans="1:2">
      <c r="A2231" s="1" t="str">
        <f>"2912.19.11"</f>
        <v>2912.19.11</v>
      </c>
      <c r="B2231" s="2" t="str">
        <f>"Glioxal"</f>
        <v>Glioxal</v>
      </c>
    </row>
    <row r="2232" spans="1:2">
      <c r="A2232" s="1" t="str">
        <f>"2912.19.12"</f>
        <v>2912.19.12</v>
      </c>
      <c r="B2232" s="2" t="str">
        <f>"GLUTARALDEÍDO"</f>
        <v>GLUTARALDEÍDO</v>
      </c>
    </row>
    <row r="2233" spans="1:2">
      <c r="A2233" s="1" t="str">
        <f>"2912.19.19"</f>
        <v>2912.19.19</v>
      </c>
      <c r="B2233" s="2" t="str">
        <f>"Outros"</f>
        <v>Outros</v>
      </c>
    </row>
    <row r="2234" spans="1:2">
      <c r="A2234" s="1" t="str">
        <f>"2912.19.21"</f>
        <v>2912.19.21</v>
      </c>
      <c r="B2234" s="2" t="str">
        <f>"Citral"</f>
        <v>Citral</v>
      </c>
    </row>
    <row r="2235" spans="1:2">
      <c r="A2235" s="1" t="str">
        <f>"2912.19.22"</f>
        <v>2912.19.22</v>
      </c>
      <c r="B2235" s="2" t="str">
        <f>"Citronelal (3,7-dimetil-6-octenal)"</f>
        <v>Citronelal (3,7-dimetil-6-octenal)</v>
      </c>
    </row>
    <row r="2236" spans="1:2">
      <c r="A2236" s="1" t="str">
        <f>"2912.19.23"</f>
        <v>2912.19.23</v>
      </c>
      <c r="B2236" s="2" t="str">
        <f>"Bergamal (3,7-dimetil-2-metileno-6-"</f>
        <v>Bergamal (3,7-dimetil-2-metileno-6-</v>
      </c>
    </row>
    <row r="2237" spans="1:2">
      <c r="A2237" s="1" t="str">
        <f>"2912.19.29"</f>
        <v>2912.19.29</v>
      </c>
      <c r="B2237" s="2" t="str">
        <f>"Outros"</f>
        <v>Outros</v>
      </c>
    </row>
    <row r="2238" spans="1:2">
      <c r="A2238" s="1" t="str">
        <f>"2912.19.91"</f>
        <v>2912.19.91</v>
      </c>
      <c r="B2238" s="2" t="str">
        <f>"Heptanal"</f>
        <v>Heptanal</v>
      </c>
    </row>
    <row r="2239" spans="1:2">
      <c r="A2239" s="1" t="str">
        <f>"2912.19.99"</f>
        <v>2912.19.99</v>
      </c>
      <c r="B2239" s="2" t="str">
        <f>"Outros"</f>
        <v>Outros</v>
      </c>
    </row>
    <row r="2240" spans="1:2">
      <c r="A2240" s="1" t="str">
        <f>"2912.21.00"</f>
        <v>2912.21.00</v>
      </c>
      <c r="B2240" s="2" t="str">
        <f>"Benzaldeido (aldeido benzoico)"</f>
        <v>Benzaldeido (aldeido benzoico)</v>
      </c>
    </row>
    <row r="2241" spans="1:2">
      <c r="A2241" s="1" t="str">
        <f>"2912.29.10"</f>
        <v>2912.29.10</v>
      </c>
      <c r="B2241" s="2" t="str">
        <f>"Aldeido alfa-amilcinamico"</f>
        <v>Aldeido alfa-amilcinamico</v>
      </c>
    </row>
    <row r="2242" spans="1:2">
      <c r="A2242" s="1" t="str">
        <f>"2912.29.20"</f>
        <v>2912.29.20</v>
      </c>
      <c r="B2242" s="2" t="str">
        <f>"Aldeido alfa-hexilcinamico"</f>
        <v>Aldeido alfa-hexilcinamico</v>
      </c>
    </row>
    <row r="2243" spans="1:2">
      <c r="A2243" s="1" t="str">
        <f>"2912.29.90"</f>
        <v>2912.29.90</v>
      </c>
      <c r="B2243" s="2" t="str">
        <f>"Outros"</f>
        <v>Outros</v>
      </c>
    </row>
    <row r="2244" spans="1:2">
      <c r="A2244" s="1" t="str">
        <f>"2912.41.00"</f>
        <v>2912.41.00</v>
      </c>
      <c r="B2244" s="2" t="str">
        <f>"Vanilina (aldeido metilprotocatequi"</f>
        <v>Vanilina (aldeido metilprotocatequi</v>
      </c>
    </row>
    <row r="2245" spans="1:2">
      <c r="A2245" s="1" t="str">
        <f>"2912.42.00"</f>
        <v>2912.42.00</v>
      </c>
      <c r="B2245" s="2" t="str">
        <f>"Etilvanilina (aldeido etilprotocate"</f>
        <v>Etilvanilina (aldeido etilprotocate</v>
      </c>
    </row>
    <row r="2246" spans="1:2">
      <c r="A2246" s="1" t="str">
        <f>"2912.49.10"</f>
        <v>2912.49.10</v>
      </c>
      <c r="B2246" s="2" t="str">
        <f>"3-Fenoxibenzaldeido"</f>
        <v>3-Fenoxibenzaldeido</v>
      </c>
    </row>
    <row r="2247" spans="1:2">
      <c r="A2247" s="1" t="str">
        <f>"2912.49.20"</f>
        <v>2912.49.20</v>
      </c>
      <c r="B2247" s="2" t="str">
        <f>"3-Hidroxibenzaldeido"</f>
        <v>3-Hidroxibenzaldeido</v>
      </c>
    </row>
    <row r="2248" spans="1:2">
      <c r="A2248" s="1" t="str">
        <f>"2912.49.30"</f>
        <v>2912.49.30</v>
      </c>
      <c r="B2248" s="2" t="str">
        <f>"3,4,5-Trimetoxibenzaldeido"</f>
        <v>3,4,5-Trimetoxibenzaldeido</v>
      </c>
    </row>
    <row r="2249" spans="1:2">
      <c r="A2249" s="1" t="str">
        <f>"2912.49.41"</f>
        <v>2912.49.41</v>
      </c>
      <c r="B2249" s="2" t="str">
        <f>"4-(4-Hidroxi-4-metilpentil)-3-ciclo"</f>
        <v>4-(4-Hidroxi-4-metilpentil)-3-ciclo</v>
      </c>
    </row>
    <row r="2250" spans="1:2">
      <c r="A2250" s="1" t="str">
        <f>"2912.49.49"</f>
        <v>2912.49.49</v>
      </c>
      <c r="B2250" s="2" t="str">
        <f>"Outros"</f>
        <v>Outros</v>
      </c>
    </row>
    <row r="2251" spans="1:2">
      <c r="A2251" s="1" t="str">
        <f>"2912.49.90"</f>
        <v>2912.49.90</v>
      </c>
      <c r="B2251" s="2" t="str">
        <f>"Outros"</f>
        <v>Outros</v>
      </c>
    </row>
    <row r="2252" spans="1:2">
      <c r="A2252" s="1" t="str">
        <f>"2912.50.00"</f>
        <v>2912.50.00</v>
      </c>
      <c r="B2252" s="2" t="str">
        <f>"Polimeros ciclicos dos aldeidos"</f>
        <v>Polimeros ciclicos dos aldeidos</v>
      </c>
    </row>
    <row r="2253" spans="1:2">
      <c r="A2253" s="1" t="str">
        <f>"2912.60.00"</f>
        <v>2912.60.00</v>
      </c>
      <c r="B2253" s="2" t="str">
        <f>"Paraformaldeido"</f>
        <v>Paraformaldeido</v>
      </c>
    </row>
    <row r="2254" spans="1:2">
      <c r="A2254" s="1" t="str">
        <f>"2913.00.10"</f>
        <v>2913.00.10</v>
      </c>
      <c r="B2254" s="2" t="str">
        <f>"Tricloroacetaldeido"</f>
        <v>Tricloroacetaldeido</v>
      </c>
    </row>
    <row r="2255" spans="1:2">
      <c r="A2255" s="1" t="str">
        <f>"2913.00.90"</f>
        <v>2913.00.90</v>
      </c>
      <c r="B2255" s="2" t="str">
        <f>"Outros"</f>
        <v>Outros</v>
      </c>
    </row>
    <row r="2256" spans="1:2">
      <c r="A2256" s="1" t="str">
        <f>"2914.11.00"</f>
        <v>2914.11.00</v>
      </c>
      <c r="B2256" s="2" t="str">
        <f>"Acetona"</f>
        <v>Acetona</v>
      </c>
    </row>
    <row r="2257" spans="1:2">
      <c r="A2257" s="1" t="str">
        <f>"2914.12.00"</f>
        <v>2914.12.00</v>
      </c>
      <c r="B2257" s="2" t="str">
        <f>"BUTANONA -METILETILCETONA"</f>
        <v>BUTANONA -METILETILCETONA</v>
      </c>
    </row>
    <row r="2258" spans="1:2">
      <c r="A2258" s="1" t="str">
        <f>"2914.13.00"</f>
        <v>2914.13.00</v>
      </c>
      <c r="B2258" s="2" t="str">
        <f>"4-Metilpentan-2-ona (metilisobutilc"</f>
        <v>4-Metilpentan-2-ona (metilisobutilc</v>
      </c>
    </row>
    <row r="2259" spans="1:2">
      <c r="A2259" s="1" t="str">
        <f>"2914.19.10"</f>
        <v>2914.19.10</v>
      </c>
      <c r="B2259" s="2" t="str">
        <f>"Forona"</f>
        <v>Forona</v>
      </c>
    </row>
    <row r="2260" spans="1:2">
      <c r="A2260" s="1" t="str">
        <f>"2914.19.21"</f>
        <v>2914.19.21</v>
      </c>
      <c r="B2260" s="2" t="str">
        <f>"Acetilacetona"</f>
        <v>Acetilacetona</v>
      </c>
    </row>
    <row r="2261" spans="1:2">
      <c r="A2261" s="1" t="str">
        <f>"2914.19.22"</f>
        <v>2914.19.22</v>
      </c>
      <c r="B2261" s="2" t="str">
        <f>"Acetonilacetona"</f>
        <v>Acetonilacetona</v>
      </c>
    </row>
    <row r="2262" spans="1:2">
      <c r="A2262" s="1" t="str">
        <f>"2914.19.23"</f>
        <v>2914.19.23</v>
      </c>
      <c r="B2262" s="2" t="str">
        <f>"Diacetila"</f>
        <v>Diacetila</v>
      </c>
    </row>
    <row r="2263" spans="1:2">
      <c r="A2263" s="1" t="str">
        <f>"2914.19.29"</f>
        <v>2914.19.29</v>
      </c>
      <c r="B2263" s="2" t="str">
        <f>"Outras"</f>
        <v>Outras</v>
      </c>
    </row>
    <row r="2264" spans="1:2">
      <c r="A2264" s="1" t="str">
        <f>"2914.19.30"</f>
        <v>2914.19.30</v>
      </c>
      <c r="B2264" s="2" t="str">
        <f>"Metilexilcetona"</f>
        <v>Metilexilcetona</v>
      </c>
    </row>
    <row r="2265" spans="1:2">
      <c r="A2265" s="1" t="str">
        <f>"2914.19.40"</f>
        <v>2914.19.40</v>
      </c>
      <c r="B2265" s="2" t="str">
        <f>"Pseudoiononas"</f>
        <v>Pseudoiononas</v>
      </c>
    </row>
    <row r="2266" spans="1:2">
      <c r="A2266" s="1" t="str">
        <f>"2914.19.50"</f>
        <v>2914.19.50</v>
      </c>
      <c r="B2266" s="2" t="str">
        <f>"Metilisopropilcetona"</f>
        <v>Metilisopropilcetona</v>
      </c>
    </row>
    <row r="2267" spans="1:2">
      <c r="A2267" s="1" t="str">
        <f>"2914.19.90"</f>
        <v>2914.19.90</v>
      </c>
      <c r="B2267" s="2" t="str">
        <f>"Outras"</f>
        <v>Outras</v>
      </c>
    </row>
    <row r="2268" spans="1:2">
      <c r="A2268" s="1" t="str">
        <f>"2914.22.10"</f>
        <v>2914.22.10</v>
      </c>
      <c r="B2268" s="2" t="str">
        <f>"Cicloexanona"</f>
        <v>Cicloexanona</v>
      </c>
    </row>
    <row r="2269" spans="1:2">
      <c r="A2269" s="1" t="str">
        <f>"2914.22.20"</f>
        <v>2914.22.20</v>
      </c>
      <c r="B2269" s="2" t="str">
        <f>"Metilcicloexanonas"</f>
        <v>Metilcicloexanonas</v>
      </c>
    </row>
    <row r="2270" spans="1:2">
      <c r="A2270" s="1" t="str">
        <f>"2914.23.10"</f>
        <v>2914.23.10</v>
      </c>
      <c r="B2270" s="2" t="str">
        <f>"Iononas"</f>
        <v>Iononas</v>
      </c>
    </row>
    <row r="2271" spans="1:2">
      <c r="A2271" s="1" t="str">
        <f>"2914.23.20"</f>
        <v>2914.23.20</v>
      </c>
      <c r="B2271" s="2" t="str">
        <f>"Metiliononas"</f>
        <v>Metiliononas</v>
      </c>
    </row>
    <row r="2272" spans="1:2">
      <c r="A2272" s="1" t="str">
        <f>"2914.29.10"</f>
        <v>2914.29.10</v>
      </c>
      <c r="B2272" s="2" t="str">
        <f>"Carvona"</f>
        <v>Carvona</v>
      </c>
    </row>
    <row r="2273" spans="1:2">
      <c r="A2273" s="1" t="str">
        <f>"2914.29.20"</f>
        <v>2914.29.20</v>
      </c>
      <c r="B2273" s="2" t="str">
        <f>"l-Mentona"</f>
        <v>l-Mentona</v>
      </c>
    </row>
    <row r="2274" spans="1:2">
      <c r="A2274" s="1" t="str">
        <f>"2914.29.90"</f>
        <v>2914.29.90</v>
      </c>
      <c r="B2274" s="2" t="str">
        <f>"Outras"</f>
        <v>Outras</v>
      </c>
    </row>
    <row r="2275" spans="1:2">
      <c r="A2275" s="1" t="str">
        <f>"2914.31.00"</f>
        <v>2914.31.00</v>
      </c>
      <c r="B2275" s="2" t="str">
        <f>"Fenilacetona (fenilpropan-2-ona)"</f>
        <v>Fenilacetona (fenilpropan-2-ona)</v>
      </c>
    </row>
    <row r="2276" spans="1:2">
      <c r="A2276" s="1" t="str">
        <f>"2914.39.10"</f>
        <v>2914.39.10</v>
      </c>
      <c r="B2276" s="2" t="str">
        <f>"Acetofenona"</f>
        <v>Acetofenona</v>
      </c>
    </row>
    <row r="2277" spans="1:2">
      <c r="A2277" s="1" t="str">
        <f>"2914.39.90"</f>
        <v>2914.39.90</v>
      </c>
      <c r="B2277" s="2" t="str">
        <f>"OUTRAS - BENZOFENONA"</f>
        <v>OUTRAS - BENZOFENONA</v>
      </c>
    </row>
    <row r="2278" spans="1:2">
      <c r="A2278" s="1" t="str">
        <f>"2914.40.10"</f>
        <v>2914.40.10</v>
      </c>
      <c r="B2278" s="2" t="str">
        <f>"4-Hidroxi-4-metilpentan-2-ona (diac"</f>
        <v>4-Hidroxi-4-metilpentan-2-ona (diac</v>
      </c>
    </row>
    <row r="2279" spans="1:2">
      <c r="A2279" s="1" t="str">
        <f>"2914.40.91"</f>
        <v>2914.40.91</v>
      </c>
      <c r="B2279" s="2" t="str">
        <f>"Benzoina"</f>
        <v>Benzoina</v>
      </c>
    </row>
    <row r="2280" spans="1:2">
      <c r="A2280" s="1" t="str">
        <f>"2914.40.99"</f>
        <v>2914.40.99</v>
      </c>
      <c r="B2280" s="2" t="str">
        <f>"OUTRAS - ACETOCURE/CHIVACURE"</f>
        <v>OUTRAS - ACETOCURE/CHIVACURE</v>
      </c>
    </row>
    <row r="2281" spans="1:2">
      <c r="A2281" s="1" t="str">
        <f>"2914.50.10"</f>
        <v>2914.50.10</v>
      </c>
      <c r="B2281" s="2" t="str">
        <f>"Nabumetona"</f>
        <v>Nabumetona</v>
      </c>
    </row>
    <row r="2282" spans="1:2">
      <c r="A2282" s="1" t="str">
        <f>"2914.50.20"</f>
        <v>2914.50.20</v>
      </c>
      <c r="B2282" s="2" t="str">
        <f>"1,8-Diidroxi-3-metil-9-antrona e su"</f>
        <v>1,8-Diidroxi-3-metil-9-antrona e su</v>
      </c>
    </row>
    <row r="2283" spans="1:2">
      <c r="A2283" s="1" t="str">
        <f>"2914.50.90"</f>
        <v>2914.50.90</v>
      </c>
      <c r="B2283" s="2" t="str">
        <f>"OUTRAS - ESACURE KL 200"</f>
        <v>OUTRAS - ESACURE KL 200</v>
      </c>
    </row>
    <row r="2284" spans="1:2">
      <c r="A2284" s="1" t="str">
        <f>"2914.61.00"</f>
        <v>2914.61.00</v>
      </c>
      <c r="B2284" s="2" t="str">
        <f>"Antraquinona"</f>
        <v>Antraquinona</v>
      </c>
    </row>
    <row r="2285" spans="1:2">
      <c r="A2285" s="1" t="str">
        <f>"2914.62.00"</f>
        <v>2914.62.00</v>
      </c>
      <c r="B2285" s="2" t="str">
        <f>"Coenzima Q10 (ubidecarenona (DCI))"</f>
        <v>Coenzima Q10 (ubidecarenona (DCI))</v>
      </c>
    </row>
    <row r="2286" spans="1:2">
      <c r="A2286" s="1" t="str">
        <f>"2914.69.10"</f>
        <v>2914.69.10</v>
      </c>
      <c r="B2286" s="2" t="str">
        <f>"Lapachol"</f>
        <v>Lapachol</v>
      </c>
    </row>
    <row r="2287" spans="1:2">
      <c r="A2287" s="1" t="str">
        <f>"2914.69.20"</f>
        <v>2914.69.20</v>
      </c>
      <c r="B2287" s="2" t="str">
        <f>"Menadiona"</f>
        <v>Menadiona</v>
      </c>
    </row>
    <row r="2288" spans="1:2">
      <c r="A2288" s="1" t="str">
        <f>"2914.69.90"</f>
        <v>2914.69.90</v>
      </c>
      <c r="B2288" s="2" t="str">
        <f>"Outras"</f>
        <v>Outras</v>
      </c>
    </row>
    <row r="2289" spans="1:2">
      <c r="A2289" s="1" t="str">
        <f>"2914.71.00"</f>
        <v>2914.71.00</v>
      </c>
      <c r="B2289" s="2" t="str">
        <f>"Clordecona (ISO)"</f>
        <v>Clordecona (ISO)</v>
      </c>
    </row>
    <row r="2290" spans="1:2">
      <c r="A2290" s="1" t="str">
        <f>"2914.79.11"</f>
        <v>2914.79.11</v>
      </c>
      <c r="B2290" s="2" t="str">
        <f>"1-Cloro-5-hexanona"</f>
        <v>1-Cloro-5-hexanona</v>
      </c>
    </row>
    <row r="2291" spans="1:2">
      <c r="A2291" s="1" t="str">
        <f>"2914.79.19"</f>
        <v>2914.79.19</v>
      </c>
      <c r="B2291" s="2" t="str">
        <f>"Outros"</f>
        <v>Outros</v>
      </c>
    </row>
    <row r="2292" spans="1:2">
      <c r="A2292" s="1" t="str">
        <f>"2914.79.21"</f>
        <v>2914.79.21</v>
      </c>
      <c r="B2292" s="2" t="str">
        <f>"Bissulfito sodico de menadiona"</f>
        <v>Bissulfito sodico de menadiona</v>
      </c>
    </row>
    <row r="2293" spans="1:2">
      <c r="A2293" s="1" t="str">
        <f>"2914.79.22"</f>
        <v>2914.79.22</v>
      </c>
      <c r="B2293" s="2" t="str">
        <f>"Acido 2-hidroxi-4-metoxibenzofenona"</f>
        <v>Acido 2-hidroxi-4-metoxibenzofenona</v>
      </c>
    </row>
    <row r="2294" spans="1:2">
      <c r="A2294" s="1" t="str">
        <f>"2914.79.29"</f>
        <v>2914.79.29</v>
      </c>
      <c r="B2294" s="2" t="str">
        <f>"Outros"</f>
        <v>Outros</v>
      </c>
    </row>
    <row r="2295" spans="1:2">
      <c r="A2295" s="1" t="str">
        <f>"2914.79.90"</f>
        <v>2914.79.90</v>
      </c>
      <c r="B2295" s="2" t="str">
        <f>"Outros"</f>
        <v>Outros</v>
      </c>
    </row>
    <row r="2296" spans="1:2">
      <c r="A2296" s="1" t="str">
        <f>"2915.11.00"</f>
        <v>2915.11.00</v>
      </c>
      <c r="B2296" s="2" t="str">
        <f>"Acido formico"</f>
        <v>Acido formico</v>
      </c>
    </row>
    <row r="2297" spans="1:2">
      <c r="A2297" s="1" t="str">
        <f>"2915.12.10"</f>
        <v>2915.12.10</v>
      </c>
      <c r="B2297" s="2" t="str">
        <f>"De sodio"</f>
        <v>De sodio</v>
      </c>
    </row>
    <row r="2298" spans="1:2">
      <c r="A2298" s="1" t="str">
        <f>"2915.12.90"</f>
        <v>2915.12.90</v>
      </c>
      <c r="B2298" s="2" t="str">
        <f>"Outros"</f>
        <v>Outros</v>
      </c>
    </row>
    <row r="2299" spans="1:2">
      <c r="A2299" s="1" t="str">
        <f>"2915.13.10"</f>
        <v>2915.13.10</v>
      </c>
      <c r="B2299" s="2" t="str">
        <f>"De geranila"</f>
        <v>De geranila</v>
      </c>
    </row>
    <row r="2300" spans="1:2">
      <c r="A2300" s="1" t="str">
        <f>"2915.13.90"</f>
        <v>2915.13.90</v>
      </c>
      <c r="B2300" s="2" t="str">
        <f>"Outros"</f>
        <v>Outros</v>
      </c>
    </row>
    <row r="2301" spans="1:2">
      <c r="A2301" s="1" t="str">
        <f>"2915.21.00"</f>
        <v>2915.21.00</v>
      </c>
      <c r="B2301" s="2" t="str">
        <f>"ÁCIDO ACÉTICO"</f>
        <v>ÁCIDO ACÉTICO</v>
      </c>
    </row>
    <row r="2302" spans="1:2">
      <c r="A2302" s="1" t="str">
        <f>"2915.24.00"</f>
        <v>2915.24.00</v>
      </c>
      <c r="B2302" s="2" t="str">
        <f>"ANIDTIDO ACÉTICO"</f>
        <v>ANIDTIDO ACÉTICO</v>
      </c>
    </row>
    <row r="2303" spans="1:2">
      <c r="A2303" s="1" t="str">
        <f>"2915.29.10"</f>
        <v>2915.29.10</v>
      </c>
      <c r="B2303" s="2" t="str">
        <f>"Acetato de sodio"</f>
        <v>Acetato de sodio</v>
      </c>
    </row>
    <row r="2304" spans="1:2">
      <c r="A2304" s="1" t="str">
        <f>"2915.29.20"</f>
        <v>2915.29.20</v>
      </c>
      <c r="B2304" s="2" t="str">
        <f>"Acetatos de cobalto"</f>
        <v>Acetatos de cobalto</v>
      </c>
    </row>
    <row r="2305" spans="1:2">
      <c r="A2305" s="1" t="str">
        <f>"2915.29.90"</f>
        <v>2915.29.90</v>
      </c>
      <c r="B2305" s="2" t="str">
        <f>"Outros"</f>
        <v>Outros</v>
      </c>
    </row>
    <row r="2306" spans="1:2">
      <c r="A2306" s="1" t="str">
        <f>"2915.31.00"</f>
        <v>2915.31.00</v>
      </c>
      <c r="B2306" s="2" t="str">
        <f>"ACETATO DE ETILA"</f>
        <v>ACETATO DE ETILA</v>
      </c>
    </row>
    <row r="2307" spans="1:2">
      <c r="A2307" s="1" t="str">
        <f>"2915.32.00"</f>
        <v>2915.32.00</v>
      </c>
      <c r="B2307" s="2" t="str">
        <f>"Acetato de vinila"</f>
        <v>Acetato de vinila</v>
      </c>
    </row>
    <row r="2308" spans="1:2">
      <c r="A2308" s="1" t="str">
        <f>"2915.33.00"</f>
        <v>2915.33.00</v>
      </c>
      <c r="B2308" s="2" t="str">
        <f>"Acetato de n-butila"</f>
        <v>Acetato de n-butila</v>
      </c>
    </row>
    <row r="2309" spans="1:2">
      <c r="A2309" s="1" t="str">
        <f>"2915.35.00"</f>
        <v>2915.35.00</v>
      </c>
      <c r="B2309" s="2" t="str">
        <f>"INATIVA - ACETATO DE ETILGLICOL"</f>
        <v>INATIVA - ACETATO DE ETILGLICOL</v>
      </c>
    </row>
    <row r="2310" spans="1:2">
      <c r="A2310" s="1" t="str">
        <f>"2915.36.00"</f>
        <v>2915.36.00</v>
      </c>
      <c r="B2310" s="2" t="str">
        <f>"Acetato de dinoseb (ISO)"</f>
        <v>Acetato de dinoseb (ISO)</v>
      </c>
    </row>
    <row r="2311" spans="1:2">
      <c r="A2311" s="1" t="str">
        <f>"2915.39.10"</f>
        <v>2915.39.10</v>
      </c>
      <c r="B2311" s="2" t="str">
        <f>"Acetato de linalila"</f>
        <v>Acetato de linalila</v>
      </c>
    </row>
    <row r="2312" spans="1:2">
      <c r="A2312" s="1" t="str">
        <f>"2915.39.21"</f>
        <v>2915.39.21</v>
      </c>
      <c r="B2312" s="2" t="str">
        <f>"Triacetina"</f>
        <v>Triacetina</v>
      </c>
    </row>
    <row r="2313" spans="1:2">
      <c r="A2313" s="1" t="str">
        <f>"2915.39.29"</f>
        <v>2915.39.29</v>
      </c>
      <c r="B2313" s="2" t="str">
        <f>"Outros"</f>
        <v>Outros</v>
      </c>
    </row>
    <row r="2314" spans="1:2">
      <c r="A2314" s="1" t="str">
        <f>"2915.39.31"</f>
        <v>2915.39.31</v>
      </c>
      <c r="B2314" s="2" t="str">
        <f>"De n-propila"</f>
        <v>De n-propila</v>
      </c>
    </row>
    <row r="2315" spans="1:2">
      <c r="A2315" s="1" t="str">
        <f>"2915.39.32"</f>
        <v>2915.39.32</v>
      </c>
      <c r="B2315" s="2" t="str">
        <f>"ACETATO DE ETILGLICOL OXITENO"</f>
        <v>ACETATO DE ETILGLICOL OXITENO</v>
      </c>
    </row>
    <row r="2316" spans="1:2">
      <c r="A2316" s="1" t="str">
        <f>"2915.39.39"</f>
        <v>2915.39.39</v>
      </c>
      <c r="B2316" s="2" t="str">
        <f>"Outros"</f>
        <v>Outros</v>
      </c>
    </row>
    <row r="2317" spans="1:2">
      <c r="A2317" s="1" t="str">
        <f>"2915.39.41"</f>
        <v>2915.39.41</v>
      </c>
      <c r="B2317" s="2" t="str">
        <f>"De decila"</f>
        <v>De decila</v>
      </c>
    </row>
    <row r="2318" spans="1:2">
      <c r="A2318" s="1" t="str">
        <f>"2915.39.42"</f>
        <v>2915.39.42</v>
      </c>
      <c r="B2318" s="2" t="str">
        <f>"De hexenila"</f>
        <v>De hexenila</v>
      </c>
    </row>
    <row r="2319" spans="1:2">
      <c r="A2319" s="1" t="str">
        <f>"2915.39.51"</f>
        <v>2915.39.51</v>
      </c>
      <c r="B2319" s="2" t="str">
        <f>"De benzestrol"</f>
        <v>De benzestrol</v>
      </c>
    </row>
    <row r="2320" spans="1:2">
      <c r="A2320" s="1" t="str">
        <f>"2915.39.52"</f>
        <v>2915.39.52</v>
      </c>
      <c r="B2320" s="2" t="str">
        <f>"De dienoestrol"</f>
        <v>De dienoestrol</v>
      </c>
    </row>
    <row r="2321" spans="1:2">
      <c r="A2321" s="1" t="str">
        <f>"2915.39.53"</f>
        <v>2915.39.53</v>
      </c>
      <c r="B2321" s="2" t="str">
        <f>"De hexestrol"</f>
        <v>De hexestrol</v>
      </c>
    </row>
    <row r="2322" spans="1:2">
      <c r="A2322" s="1" t="str">
        <f>"2915.39.54"</f>
        <v>2915.39.54</v>
      </c>
      <c r="B2322" s="2" t="str">
        <f>"De mestilbol"</f>
        <v>De mestilbol</v>
      </c>
    </row>
    <row r="2323" spans="1:2">
      <c r="A2323" s="1" t="str">
        <f>"2915.39.55"</f>
        <v>2915.39.55</v>
      </c>
      <c r="B2323" s="2" t="str">
        <f>"De estilbestrol"</f>
        <v>De estilbestrol</v>
      </c>
    </row>
    <row r="2324" spans="1:2">
      <c r="A2324" s="1" t="str">
        <f>"2915.39.61"</f>
        <v>2915.39.61</v>
      </c>
      <c r="B2324" s="2" t="str">
        <f>"De tricloro-alfa-feniletila"</f>
        <v>De tricloro-alfa-feniletila</v>
      </c>
    </row>
    <row r="2325" spans="1:2">
      <c r="A2325" s="1" t="str">
        <f>"2915.39.62"</f>
        <v>2915.39.62</v>
      </c>
      <c r="B2325" s="2" t="str">
        <f>"De triclorometilfenilcarbinila"</f>
        <v>De triclorometilfenilcarbinila</v>
      </c>
    </row>
    <row r="2326" spans="1:2">
      <c r="A2326" s="1" t="str">
        <f>"2915.39.63"</f>
        <v>2915.39.63</v>
      </c>
      <c r="B2326" s="2" t="str">
        <f>"Diacetato de etilenoglicol (diaceta"</f>
        <v>Diacetato de etilenoglicol (diaceta</v>
      </c>
    </row>
    <row r="2327" spans="1:2">
      <c r="A2327" s="1" t="str">
        <f>"2915.39.91"</f>
        <v>2915.39.91</v>
      </c>
      <c r="B2327" s="2" t="str">
        <f>"De 2-ter-butilcicloexila"</f>
        <v>De 2-ter-butilcicloexila</v>
      </c>
    </row>
    <row r="2328" spans="1:2">
      <c r="A2328" s="1" t="str">
        <f>"2915.39.92"</f>
        <v>2915.39.92</v>
      </c>
      <c r="B2328" s="2" t="str">
        <f>"De bornila"</f>
        <v>De bornila</v>
      </c>
    </row>
    <row r="2329" spans="1:2">
      <c r="A2329" s="1" t="str">
        <f>"2915.39.93"</f>
        <v>2915.39.93</v>
      </c>
      <c r="B2329" s="2" t="str">
        <f>"De dimetilbenzilcarbinila"</f>
        <v>De dimetilbenzilcarbinila</v>
      </c>
    </row>
    <row r="2330" spans="1:2">
      <c r="A2330" s="1" t="str">
        <f>"2915.39.94"</f>
        <v>2915.39.94</v>
      </c>
      <c r="B2330" s="2" t="str">
        <f>"Bis(p-acetoxifenil)cicloexilidenome"</f>
        <v>Bis(p-acetoxifenil)cicloexilidenome</v>
      </c>
    </row>
    <row r="2331" spans="1:2">
      <c r="A2331" s="1" t="str">
        <f>"2915.39.99"</f>
        <v>2915.39.99</v>
      </c>
      <c r="B2331" s="2" t="str">
        <f>"Outros"</f>
        <v>Outros</v>
      </c>
    </row>
    <row r="2332" spans="1:2">
      <c r="A2332" s="1" t="str">
        <f>"2915.40.10"</f>
        <v>2915.40.10</v>
      </c>
      <c r="B2332" s="2" t="str">
        <f>"Acido monocloroacetico"</f>
        <v>Acido monocloroacetico</v>
      </c>
    </row>
    <row r="2333" spans="1:2">
      <c r="A2333" s="1" t="str">
        <f>"2915.40.20"</f>
        <v>2915.40.20</v>
      </c>
      <c r="B2333" s="2" t="str">
        <f>"Monocloroacetato de sodio"</f>
        <v>Monocloroacetato de sodio</v>
      </c>
    </row>
    <row r="2334" spans="1:2">
      <c r="A2334" s="1" t="str">
        <f>"2915.40.90"</f>
        <v>2915.40.90</v>
      </c>
      <c r="B2334" s="2" t="str">
        <f>"Outros"</f>
        <v>Outros</v>
      </c>
    </row>
    <row r="2335" spans="1:2">
      <c r="A2335" s="1" t="str">
        <f>"2915.50.10"</f>
        <v>2915.50.10</v>
      </c>
      <c r="B2335" s="2" t="str">
        <f>"Acido propionico"</f>
        <v>Acido propionico</v>
      </c>
    </row>
    <row r="2336" spans="1:2">
      <c r="A2336" s="1" t="str">
        <f>"2915.50.20"</f>
        <v>2915.50.20</v>
      </c>
      <c r="B2336" s="2" t="str">
        <f>"Sais"</f>
        <v>Sais</v>
      </c>
    </row>
    <row r="2337" spans="1:2">
      <c r="A2337" s="1" t="str">
        <f>"2915.50.30"</f>
        <v>2915.50.30</v>
      </c>
      <c r="B2337" s="2" t="str">
        <f>"Esteres"</f>
        <v>Esteres</v>
      </c>
    </row>
    <row r="2338" spans="1:2">
      <c r="A2338" s="1" t="str">
        <f>"2915.60.11"</f>
        <v>2915.60.11</v>
      </c>
      <c r="B2338" s="2" t="str">
        <f>"Acidos butanoicos e seus sais"</f>
        <v>Acidos butanoicos e seus sais</v>
      </c>
    </row>
    <row r="2339" spans="1:2">
      <c r="A2339" s="1" t="str">
        <f>"2915.60.12"</f>
        <v>2915.60.12</v>
      </c>
      <c r="B2339" s="2" t="str">
        <f>"Butanoato de etila"</f>
        <v>Butanoato de etila</v>
      </c>
    </row>
    <row r="2340" spans="1:2">
      <c r="A2340" s="1" t="str">
        <f>"2915.60.19"</f>
        <v>2915.60.19</v>
      </c>
      <c r="B2340" s="2" t="str">
        <f>"Outros"</f>
        <v>Outros</v>
      </c>
    </row>
    <row r="2341" spans="1:2">
      <c r="A2341" s="1" t="str">
        <f>"2915.60.21"</f>
        <v>2915.60.21</v>
      </c>
      <c r="B2341" s="2" t="str">
        <f>"Acido pivalico"</f>
        <v>Acido pivalico</v>
      </c>
    </row>
    <row r="2342" spans="1:2">
      <c r="A2342" s="1" t="str">
        <f>"2915.60.29"</f>
        <v>2915.60.29</v>
      </c>
      <c r="B2342" s="2" t="str">
        <f>"Outros"</f>
        <v>Outros</v>
      </c>
    </row>
    <row r="2343" spans="1:2">
      <c r="A2343" s="1" t="str">
        <f>"2915.70.11"</f>
        <v>2915.70.11</v>
      </c>
      <c r="B2343" s="2" t="str">
        <f>"Acido palmitico"</f>
        <v>Acido palmitico</v>
      </c>
    </row>
    <row r="2344" spans="1:2">
      <c r="A2344" s="1" t="str">
        <f>"2915.70.19"</f>
        <v>2915.70.19</v>
      </c>
      <c r="B2344" s="2" t="str">
        <f>"Outros"</f>
        <v>Outros</v>
      </c>
    </row>
    <row r="2345" spans="1:2">
      <c r="A2345" s="1" t="str">
        <f>"2915.70.20"</f>
        <v>2915.70.20</v>
      </c>
      <c r="B2345" s="2" t="str">
        <f>"Acido estearico"</f>
        <v>Acido estearico</v>
      </c>
    </row>
    <row r="2346" spans="1:2">
      <c r="A2346" s="1" t="str">
        <f>"2915.70.31"</f>
        <v>2915.70.31</v>
      </c>
      <c r="B2346" s="2" t="str">
        <f>"De zinco"</f>
        <v>De zinco</v>
      </c>
    </row>
    <row r="2347" spans="1:2">
      <c r="A2347" s="1" t="str">
        <f>"2915.70.39"</f>
        <v>2915.70.39</v>
      </c>
      <c r="B2347" s="2" t="str">
        <f>"Outros"</f>
        <v>Outros</v>
      </c>
    </row>
    <row r="2348" spans="1:2">
      <c r="A2348" s="1" t="str">
        <f>"2915.70.40"</f>
        <v>2915.70.40</v>
      </c>
      <c r="B2348" s="2" t="str">
        <f>"Esteres do acido estearico"</f>
        <v>Esteres do acido estearico</v>
      </c>
    </row>
    <row r="2349" spans="1:2">
      <c r="A2349" s="1" t="str">
        <f>"2915.90.10"</f>
        <v>2915.90.10</v>
      </c>
      <c r="B2349" s="2" t="str">
        <f>"Cloreto de cloroacetila"</f>
        <v>Cloreto de cloroacetila</v>
      </c>
    </row>
    <row r="2350" spans="1:2">
      <c r="A2350" s="1" t="str">
        <f>"2915.90.21"</f>
        <v>2915.90.21</v>
      </c>
      <c r="B2350" s="2" t="str">
        <f>"Acido 2-etilexanoico (acido 2-etile"</f>
        <v>Acido 2-etilexanoico (acido 2-etile</v>
      </c>
    </row>
    <row r="2351" spans="1:2">
      <c r="A2351" s="1" t="str">
        <f>"2915.90.22"</f>
        <v>2915.90.22</v>
      </c>
      <c r="B2351" s="2" t="str">
        <f>"2-Etilexanoato de estanho II"</f>
        <v>2-Etilexanoato de estanho II</v>
      </c>
    </row>
    <row r="2352" spans="1:2">
      <c r="A2352" s="1" t="str">
        <f>"2915.90.23"</f>
        <v>2915.90.23</v>
      </c>
      <c r="B2352" s="2" t="str">
        <f>"Di(2-etilexanoato) de trietilenogli"</f>
        <v>Di(2-etilexanoato) de trietilenogli</v>
      </c>
    </row>
    <row r="2353" spans="1:2">
      <c r="A2353" s="1" t="str">
        <f>"2915.90.24"</f>
        <v>2915.90.24</v>
      </c>
      <c r="B2353" s="2" t="str">
        <f>"Cloreto de 2-etilexanoila"</f>
        <v>Cloreto de 2-etilexanoila</v>
      </c>
    </row>
    <row r="2354" spans="1:2">
      <c r="A2354" s="1" t="str">
        <f>"2915.90.29"</f>
        <v>2915.90.29</v>
      </c>
      <c r="B2354" s="2" t="str">
        <f>"Outros"</f>
        <v>Outros</v>
      </c>
    </row>
    <row r="2355" spans="1:2">
      <c r="A2355" s="1" t="str">
        <f>"2915.90.31"</f>
        <v>2915.90.31</v>
      </c>
      <c r="B2355" s="2" t="str">
        <f>"Acido miristico"</f>
        <v>Acido miristico</v>
      </c>
    </row>
    <row r="2356" spans="1:2">
      <c r="A2356" s="1" t="str">
        <f>"2915.90.32"</f>
        <v>2915.90.32</v>
      </c>
      <c r="B2356" s="2" t="str">
        <f>"Acido caprilico"</f>
        <v>Acido caprilico</v>
      </c>
    </row>
    <row r="2357" spans="1:2">
      <c r="A2357" s="1" t="str">
        <f>"2915.90.33"</f>
        <v>2915.90.33</v>
      </c>
      <c r="B2357" s="2" t="str">
        <f>"Miristato de isopropila"</f>
        <v>Miristato de isopropila</v>
      </c>
    </row>
    <row r="2358" spans="1:2">
      <c r="A2358" s="1" t="str">
        <f>"2915.90.39"</f>
        <v>2915.90.39</v>
      </c>
      <c r="B2358" s="2" t="str">
        <f>"Outros"</f>
        <v>Outros</v>
      </c>
    </row>
    <row r="2359" spans="1:2">
      <c r="A2359" s="1" t="str">
        <f>"2915.90.41"</f>
        <v>2915.90.41</v>
      </c>
      <c r="B2359" s="2" t="str">
        <f>"Acido laurico"</f>
        <v>Acido laurico</v>
      </c>
    </row>
    <row r="2360" spans="1:2">
      <c r="A2360" s="1" t="str">
        <f>"2915.90.42"</f>
        <v>2915.90.42</v>
      </c>
      <c r="B2360" s="2" t="str">
        <f>"Sais e esteres"</f>
        <v>Sais e esteres</v>
      </c>
    </row>
    <row r="2361" spans="1:2">
      <c r="A2361" s="1" t="str">
        <f>"2915.90.50"</f>
        <v>2915.90.50</v>
      </c>
      <c r="B2361" s="2" t="str">
        <f>"Peroxidos de acidos"</f>
        <v>Peroxidos de acidos</v>
      </c>
    </row>
    <row r="2362" spans="1:2">
      <c r="A2362" s="1" t="str">
        <f>"2915.90.60"</f>
        <v>2915.90.60</v>
      </c>
      <c r="B2362" s="2" t="str">
        <f>"Peroxiacidos"</f>
        <v>Peroxiacidos</v>
      </c>
    </row>
    <row r="2363" spans="1:2">
      <c r="A2363" s="1" t="str">
        <f>"2915.90.90"</f>
        <v>2915.90.90</v>
      </c>
      <c r="B2363" s="2" t="str">
        <f>"Outros"</f>
        <v>Outros</v>
      </c>
    </row>
    <row r="2364" spans="1:2">
      <c r="A2364" s="1" t="str">
        <f>"2916.11.10"</f>
        <v>2916.11.10</v>
      </c>
      <c r="B2364" s="2" t="str">
        <f>"Acido acrilico"</f>
        <v>Acido acrilico</v>
      </c>
    </row>
    <row r="2365" spans="1:2">
      <c r="A2365" s="1" t="str">
        <f>"2916.11.20"</f>
        <v>2916.11.20</v>
      </c>
      <c r="B2365" s="2" t="str">
        <f>"Sais"</f>
        <v>Sais</v>
      </c>
    </row>
    <row r="2366" spans="1:2">
      <c r="A2366" s="1" t="str">
        <f>"2916.12.10"</f>
        <v>2916.12.10</v>
      </c>
      <c r="B2366" s="2" t="str">
        <f>"De metila"</f>
        <v>De metila</v>
      </c>
    </row>
    <row r="2367" spans="1:2">
      <c r="A2367" s="1" t="str">
        <f>"2916.12.20"</f>
        <v>2916.12.20</v>
      </c>
      <c r="B2367" s="2" t="str">
        <f>"De etila"</f>
        <v>De etila</v>
      </c>
    </row>
    <row r="2368" spans="1:2">
      <c r="A2368" s="1" t="str">
        <f>"2916.12.30"</f>
        <v>2916.12.30</v>
      </c>
      <c r="B2368" s="2" t="str">
        <f>"De butila"</f>
        <v>De butila</v>
      </c>
    </row>
    <row r="2369" spans="1:2">
      <c r="A2369" s="1" t="str">
        <f>"2916.12.40"</f>
        <v>2916.12.40</v>
      </c>
      <c r="B2369" s="2" t="str">
        <f>"DE 2 ETIL HEXILA -ACRILATO"</f>
        <v>DE 2 ETIL HEXILA -ACRILATO</v>
      </c>
    </row>
    <row r="2370" spans="1:2">
      <c r="A2370" s="1" t="str">
        <f>"2916.12.90"</f>
        <v>2916.12.90</v>
      </c>
      <c r="B2370" s="2" t="str">
        <f>"OUTROS - EBECRYL 3700-20T"</f>
        <v>OUTROS - EBECRYL 3700-20T</v>
      </c>
    </row>
    <row r="2371" spans="1:2">
      <c r="A2371" s="1" t="str">
        <f>"2916.13.10"</f>
        <v>2916.13.10</v>
      </c>
      <c r="B2371" s="2" t="str">
        <f>"Acido metacrilico"</f>
        <v>Acido metacrilico</v>
      </c>
    </row>
    <row r="2372" spans="1:2">
      <c r="A2372" s="1" t="str">
        <f>"2916.13.20"</f>
        <v>2916.13.20</v>
      </c>
      <c r="B2372" s="2" t="str">
        <f>"Sais"</f>
        <v>Sais</v>
      </c>
    </row>
    <row r="2373" spans="1:2">
      <c r="A2373" s="1" t="str">
        <f>"2916.14.10"</f>
        <v>2916.14.10</v>
      </c>
      <c r="B2373" s="2" t="str">
        <f>"De metila"</f>
        <v>De metila</v>
      </c>
    </row>
    <row r="2374" spans="1:2">
      <c r="A2374" s="1" t="str">
        <f>"2916.14.20"</f>
        <v>2916.14.20</v>
      </c>
      <c r="B2374" s="2" t="str">
        <f>"De etila"</f>
        <v>De etila</v>
      </c>
    </row>
    <row r="2375" spans="1:2">
      <c r="A2375" s="1" t="str">
        <f>"2916.14.30"</f>
        <v>2916.14.30</v>
      </c>
      <c r="B2375" s="2" t="str">
        <f>"De n-butila"</f>
        <v>De n-butila</v>
      </c>
    </row>
    <row r="2376" spans="1:2">
      <c r="A2376" s="1" t="str">
        <f>"2916.14.90"</f>
        <v>2916.14.90</v>
      </c>
      <c r="B2376" s="2" t="str">
        <f>"OUTROS - EBECRYL 168"</f>
        <v>OUTROS - EBECRYL 168</v>
      </c>
    </row>
    <row r="2377" spans="1:2">
      <c r="A2377" s="1" t="str">
        <f>"2916.15.11"</f>
        <v>2916.15.11</v>
      </c>
      <c r="B2377" s="2" t="str">
        <f>"Oleato de manitol"</f>
        <v>Oleato de manitol</v>
      </c>
    </row>
    <row r="2378" spans="1:2">
      <c r="A2378" s="1" t="str">
        <f>"2916.15.19"</f>
        <v>2916.15.19</v>
      </c>
      <c r="B2378" s="2" t="str">
        <f>"Outros"</f>
        <v>Outros</v>
      </c>
    </row>
    <row r="2379" spans="1:2">
      <c r="A2379" s="1" t="str">
        <f>"2916.15.20"</f>
        <v>2916.15.20</v>
      </c>
      <c r="B2379" s="2" t="str">
        <f>"Acido linoleico; acido linolenico;"</f>
        <v>Acido linoleico; acido linolenico;</v>
      </c>
    </row>
    <row r="2380" spans="1:2">
      <c r="A2380" s="1" t="str">
        <f>"2916.16.00"</f>
        <v>2916.16.00</v>
      </c>
      <c r="B2380" s="2" t="str">
        <f>"Binapacril (ISO)"</f>
        <v>Binapacril (ISO)</v>
      </c>
    </row>
    <row r="2381" spans="1:2">
      <c r="A2381" s="1" t="str">
        <f>"2916.19.11"</f>
        <v>2916.19.11</v>
      </c>
      <c r="B2381" s="2" t="str">
        <f>"Sorbato de potassio"</f>
        <v>Sorbato de potassio</v>
      </c>
    </row>
    <row r="2382" spans="1:2">
      <c r="A2382" s="1" t="str">
        <f>"2916.19.19"</f>
        <v>2916.19.19</v>
      </c>
      <c r="B2382" s="2" t="str">
        <f>"Outros"</f>
        <v>Outros</v>
      </c>
    </row>
    <row r="2383" spans="1:2">
      <c r="A2383" s="1" t="str">
        <f>"2916.19.21"</f>
        <v>2916.19.21</v>
      </c>
      <c r="B2383" s="2" t="str">
        <f>"Acido undecilenico"</f>
        <v>Acido undecilenico</v>
      </c>
    </row>
    <row r="2384" spans="1:2">
      <c r="A2384" s="1" t="str">
        <f>"2916.19.22"</f>
        <v>2916.19.22</v>
      </c>
      <c r="B2384" s="2" t="str">
        <f>"Undecilenato de metila"</f>
        <v>Undecilenato de metila</v>
      </c>
    </row>
    <row r="2385" spans="1:2">
      <c r="A2385" s="1" t="str">
        <f>"2916.19.23"</f>
        <v>2916.19.23</v>
      </c>
      <c r="B2385" s="2" t="str">
        <f>"Undecilenato de zinco"</f>
        <v>Undecilenato de zinco</v>
      </c>
    </row>
    <row r="2386" spans="1:2">
      <c r="A2386" s="1" t="str">
        <f>"2916.19.29"</f>
        <v>2916.19.29</v>
      </c>
      <c r="B2386" s="2" t="str">
        <f>"Outros"</f>
        <v>Outros</v>
      </c>
    </row>
    <row r="2387" spans="1:2">
      <c r="A2387" s="1" t="str">
        <f>"2916.19.90"</f>
        <v>2916.19.90</v>
      </c>
      <c r="B2387" s="2" t="str">
        <f>"Outros"</f>
        <v>Outros</v>
      </c>
    </row>
    <row r="2388" spans="1:2">
      <c r="A2388" s="1" t="str">
        <f>"2916.20.11"</f>
        <v>2916.20.11</v>
      </c>
      <c r="B2388" s="2" t="str">
        <f>"Acido 3-(2,2-dibromovinil)-2,2-dime"</f>
        <v>Acido 3-(2,2-dibromovinil)-2,2-dime</v>
      </c>
    </row>
    <row r="2389" spans="1:2">
      <c r="A2389" s="1" t="str">
        <f>"2916.20.12"</f>
        <v>2916.20.12</v>
      </c>
      <c r="B2389" s="2" t="str">
        <f>"Cloreto do acido 3-(2,2-diclorovini"</f>
        <v>Cloreto do acido 3-(2,2-diclorovini</v>
      </c>
    </row>
    <row r="2390" spans="1:2">
      <c r="A2390" s="1" t="str">
        <f>"2916.20.13"</f>
        <v>2916.20.13</v>
      </c>
      <c r="B2390" s="2" t="str">
        <f>"Aletrinas"</f>
        <v>Aletrinas</v>
      </c>
    </row>
    <row r="2391" spans="1:2">
      <c r="A2391" s="1" t="str">
        <f>"2916.20.14"</f>
        <v>2916.20.14</v>
      </c>
      <c r="B2391" s="2" t="str">
        <f>"Permetrina"</f>
        <v>Permetrina</v>
      </c>
    </row>
    <row r="2392" spans="1:2">
      <c r="A2392" s="1" t="str">
        <f>"2916.20.15"</f>
        <v>2916.20.15</v>
      </c>
      <c r="B2392" s="2" t="str">
        <f>"Bifentrin"</f>
        <v>Bifentrin</v>
      </c>
    </row>
    <row r="2393" spans="1:2">
      <c r="A2393" s="1" t="str">
        <f>"2916.20.19"</f>
        <v>2916.20.19</v>
      </c>
      <c r="B2393" s="2" t="str">
        <f>"Outros"</f>
        <v>Outros</v>
      </c>
    </row>
    <row r="2394" spans="1:2">
      <c r="A2394" s="1" t="str">
        <f>"2916.20.90"</f>
        <v>2916.20.90</v>
      </c>
      <c r="B2394" s="2" t="str">
        <f>"Outros"</f>
        <v>Outros</v>
      </c>
    </row>
    <row r="2395" spans="1:2">
      <c r="A2395" s="1" t="str">
        <f>"2916.31.10"</f>
        <v>2916.31.10</v>
      </c>
      <c r="B2395" s="2" t="str">
        <f>"Acido benzoico"</f>
        <v>Acido benzoico</v>
      </c>
    </row>
    <row r="2396" spans="1:2">
      <c r="A2396" s="1" t="str">
        <f>"2916.31.21"</f>
        <v>2916.31.21</v>
      </c>
      <c r="B2396" s="2" t="str">
        <f>"De sodio"</f>
        <v>De sodio</v>
      </c>
    </row>
    <row r="2397" spans="1:2">
      <c r="A2397" s="1" t="str">
        <f>"2916.31.22"</f>
        <v>2916.31.22</v>
      </c>
      <c r="B2397" s="2" t="str">
        <f>"De amonio"</f>
        <v>De amonio</v>
      </c>
    </row>
    <row r="2398" spans="1:2">
      <c r="A2398" s="1" t="str">
        <f>"2916.31.29"</f>
        <v>2916.31.29</v>
      </c>
      <c r="B2398" s="2" t="str">
        <f>"Outros"</f>
        <v>Outros</v>
      </c>
    </row>
    <row r="2399" spans="1:2">
      <c r="A2399" s="1" t="str">
        <f>"2916.31.31"</f>
        <v>2916.31.31</v>
      </c>
      <c r="B2399" s="2" t="str">
        <f>"De metila"</f>
        <v>De metila</v>
      </c>
    </row>
    <row r="2400" spans="1:2">
      <c r="A2400" s="1" t="str">
        <f>"2916.31.32"</f>
        <v>2916.31.32</v>
      </c>
      <c r="B2400" s="2" t="str">
        <f>"De benzila"</f>
        <v>De benzila</v>
      </c>
    </row>
    <row r="2401" spans="1:2">
      <c r="A2401" s="1" t="str">
        <f>"2916.31.39"</f>
        <v>2916.31.39</v>
      </c>
      <c r="B2401" s="2" t="str">
        <f>"Outros"</f>
        <v>Outros</v>
      </c>
    </row>
    <row r="2402" spans="1:2">
      <c r="A2402" s="1" t="str">
        <f>"2916.32.10"</f>
        <v>2916.32.10</v>
      </c>
      <c r="B2402" s="2" t="str">
        <f>"Peroxido de benzoila"</f>
        <v>Peroxido de benzoila</v>
      </c>
    </row>
    <row r="2403" spans="1:2">
      <c r="A2403" s="1" t="str">
        <f>"2916.32.20"</f>
        <v>2916.32.20</v>
      </c>
      <c r="B2403" s="2" t="str">
        <f>"Cloreto de benzoila"</f>
        <v>Cloreto de benzoila</v>
      </c>
    </row>
    <row r="2404" spans="1:2">
      <c r="A2404" s="1" t="str">
        <f>"2916.34.00"</f>
        <v>2916.34.00</v>
      </c>
      <c r="B2404" s="2" t="str">
        <f>"Acido fenilacetico e seus sais"</f>
        <v>Acido fenilacetico e seus sais</v>
      </c>
    </row>
    <row r="2405" spans="1:2">
      <c r="A2405" s="1" t="str">
        <f>"2916.39.10"</f>
        <v>2916.39.10</v>
      </c>
      <c r="B2405" s="2" t="str">
        <f>"Cloreto de 4-cloro-alfa-(1-metileti"</f>
        <v>Cloreto de 4-cloro-alfa-(1-metileti</v>
      </c>
    </row>
    <row r="2406" spans="1:2">
      <c r="A2406" s="1" t="str">
        <f>"2916.39.20"</f>
        <v>2916.39.20</v>
      </c>
      <c r="B2406" s="2" t="str">
        <f>"Ibuprofeno"</f>
        <v>Ibuprofeno</v>
      </c>
    </row>
    <row r="2407" spans="1:2">
      <c r="A2407" s="1" t="str">
        <f>"2916.39.30"</f>
        <v>2916.39.30</v>
      </c>
      <c r="B2407" s="2" t="str">
        <f>"Acido 4-cloro-3-nitrobenzoico"</f>
        <v>Acido 4-cloro-3-nitrobenzoico</v>
      </c>
    </row>
    <row r="2408" spans="1:2">
      <c r="A2408" s="1" t="str">
        <f>"2916.39.40"</f>
        <v>2916.39.40</v>
      </c>
      <c r="B2408" s="2" t="str">
        <f>"Perbenzoato de ter-butila"</f>
        <v>Perbenzoato de ter-butila</v>
      </c>
    </row>
    <row r="2409" spans="1:2">
      <c r="A2409" s="1" t="str">
        <f>"2916.39.90"</f>
        <v>2916.39.90</v>
      </c>
      <c r="B2409" s="2" t="str">
        <f>"Outros"</f>
        <v>Outros</v>
      </c>
    </row>
    <row r="2410" spans="1:2">
      <c r="A2410" s="1" t="str">
        <f>"2917.11.10"</f>
        <v>2917.11.10</v>
      </c>
      <c r="B2410" s="2" t="str">
        <f>"Acido oxalico e seus sais"</f>
        <v>Acido oxalico e seus sais</v>
      </c>
    </row>
    <row r="2411" spans="1:2">
      <c r="A2411" s="1" t="str">
        <f>"2917.11.20"</f>
        <v>2917.11.20</v>
      </c>
      <c r="B2411" s="2" t="str">
        <f>"Esteres"</f>
        <v>Esteres</v>
      </c>
    </row>
    <row r="2412" spans="1:2">
      <c r="A2412" s="1" t="str">
        <f>"2917.12.10"</f>
        <v>2917.12.10</v>
      </c>
      <c r="B2412" s="2" t="str">
        <f>"Acido adipico"</f>
        <v>Acido adipico</v>
      </c>
    </row>
    <row r="2413" spans="1:2">
      <c r="A2413" s="1" t="str">
        <f>"2917.12.20"</f>
        <v>2917.12.20</v>
      </c>
      <c r="B2413" s="2" t="str">
        <f>"Sais e esteres"</f>
        <v>Sais e esteres</v>
      </c>
    </row>
    <row r="2414" spans="1:2">
      <c r="A2414" s="1" t="str">
        <f>"2917.13.10"</f>
        <v>2917.13.10</v>
      </c>
      <c r="B2414" s="2" t="str">
        <f>"Acido azelaico, seus sais e seus es"</f>
        <v>Acido azelaico, seus sais e seus es</v>
      </c>
    </row>
    <row r="2415" spans="1:2">
      <c r="A2415" s="1" t="str">
        <f>"2917.13.21"</f>
        <v>2917.13.21</v>
      </c>
      <c r="B2415" s="2" t="str">
        <f>"Acido sebacico"</f>
        <v>Acido sebacico</v>
      </c>
    </row>
    <row r="2416" spans="1:2">
      <c r="A2416" s="1" t="str">
        <f>"2917.13.22"</f>
        <v>2917.13.22</v>
      </c>
      <c r="B2416" s="2" t="str">
        <f>"Sebacato de dibutila"</f>
        <v>Sebacato de dibutila</v>
      </c>
    </row>
    <row r="2417" spans="1:2">
      <c r="A2417" s="1" t="str">
        <f>"2917.13.23"</f>
        <v>2917.13.23</v>
      </c>
      <c r="B2417" s="2" t="str">
        <f>"Sebacato de dioctila"</f>
        <v>Sebacato de dioctila</v>
      </c>
    </row>
    <row r="2418" spans="1:2">
      <c r="A2418" s="1" t="str">
        <f>"2917.13.29"</f>
        <v>2917.13.29</v>
      </c>
      <c r="B2418" s="2" t="str">
        <f>"Outros"</f>
        <v>Outros</v>
      </c>
    </row>
    <row r="2419" spans="1:2">
      <c r="A2419" s="1" t="str">
        <f>"2917.14.00"</f>
        <v>2917.14.00</v>
      </c>
      <c r="B2419" s="2" t="str">
        <f>"Anidrido maleico"</f>
        <v>Anidrido maleico</v>
      </c>
    </row>
    <row r="2420" spans="1:2">
      <c r="A2420" s="1" t="str">
        <f>"2917.19.10"</f>
        <v>2917.19.10</v>
      </c>
      <c r="B2420" s="2" t="str">
        <f>"DIOCTILSULFOSSUCCINATO DE SODIO"</f>
        <v>DIOCTILSULFOSSUCCINATO DE SODIO</v>
      </c>
    </row>
    <row r="2421" spans="1:2">
      <c r="A2421" s="1" t="str">
        <f>"2917.19.21"</f>
        <v>2917.19.21</v>
      </c>
      <c r="B2421" s="2" t="str">
        <f>"Acido maleico"</f>
        <v>Acido maleico</v>
      </c>
    </row>
    <row r="2422" spans="1:2">
      <c r="A2422" s="1" t="str">
        <f>"2917.19.22"</f>
        <v>2917.19.22</v>
      </c>
      <c r="B2422" s="2" t="str">
        <f>"Sais e esteres"</f>
        <v>Sais e esteres</v>
      </c>
    </row>
    <row r="2423" spans="1:2">
      <c r="A2423" s="1" t="str">
        <f>"2917.19.30"</f>
        <v>2917.19.30</v>
      </c>
      <c r="B2423" s="2" t="str">
        <f>"Acido fumarico, seus sais e seus es"</f>
        <v>Acido fumarico, seus sais e seus es</v>
      </c>
    </row>
    <row r="2424" spans="1:2">
      <c r="A2424" s="1" t="str">
        <f>"2917.19.90"</f>
        <v>2917.19.90</v>
      </c>
      <c r="B2424" s="2" t="str">
        <f>"Outros"</f>
        <v>Outros</v>
      </c>
    </row>
    <row r="2425" spans="1:2">
      <c r="A2425" s="1" t="str">
        <f>"2917.20.00"</f>
        <v>2917.20.00</v>
      </c>
      <c r="B2425" s="2" t="str">
        <f>"Acidos policarboxilicos ciclanicos,"</f>
        <v>Acidos policarboxilicos ciclanicos,</v>
      </c>
    </row>
    <row r="2426" spans="1:2">
      <c r="A2426" s="1" t="str">
        <f>"2917.32.00"</f>
        <v>2917.32.00</v>
      </c>
      <c r="B2426" s="2" t="str">
        <f>"Ortoftalatos de dioctila"</f>
        <v>Ortoftalatos de dioctila</v>
      </c>
    </row>
    <row r="2427" spans="1:2">
      <c r="A2427" s="1" t="str">
        <f>"2917.33.00"</f>
        <v>2917.33.00</v>
      </c>
      <c r="B2427" s="2" t="str">
        <f>"Ortoftalatos de dinonila ou de dide"</f>
        <v>Ortoftalatos de dinonila ou de dide</v>
      </c>
    </row>
    <row r="2428" spans="1:2">
      <c r="A2428" s="1" t="str">
        <f>"2917.34.00"</f>
        <v>2917.34.00</v>
      </c>
      <c r="B2428" s="2" t="str">
        <f>"Outros esteres do acido ortoftalico"</f>
        <v>Outros esteres do acido ortoftalico</v>
      </c>
    </row>
    <row r="2429" spans="1:2">
      <c r="A2429" s="1" t="str">
        <f>"2917.35.00"</f>
        <v>2917.35.00</v>
      </c>
      <c r="B2429" s="2" t="str">
        <f>"Anidrido ftalico"</f>
        <v>Anidrido ftalico</v>
      </c>
    </row>
    <row r="2430" spans="1:2">
      <c r="A2430" s="1" t="str">
        <f>"2917.36.00"</f>
        <v>2917.36.00</v>
      </c>
      <c r="B2430" s="2" t="str">
        <f>"Acido tereftalico e seus sais"</f>
        <v>Acido tereftalico e seus sais</v>
      </c>
    </row>
    <row r="2431" spans="1:2">
      <c r="A2431" s="1" t="str">
        <f>"2917.37.00"</f>
        <v>2917.37.00</v>
      </c>
      <c r="B2431" s="2" t="str">
        <f>"Tereftalato de dimetila"</f>
        <v>Tereftalato de dimetila</v>
      </c>
    </row>
    <row r="2432" spans="1:2">
      <c r="A2432" s="1" t="str">
        <f>"2917.39.11"</f>
        <v>2917.39.11</v>
      </c>
      <c r="B2432" s="2" t="str">
        <f>"Esteres"</f>
        <v>Esteres</v>
      </c>
    </row>
    <row r="2433" spans="1:2">
      <c r="A2433" s="1" t="str">
        <f>"2917.39.19"</f>
        <v>2917.39.19</v>
      </c>
      <c r="B2433" s="2" t="str">
        <f>"Outros"</f>
        <v>Outros</v>
      </c>
    </row>
    <row r="2434" spans="1:2">
      <c r="A2434" s="1" t="str">
        <f>"2917.39.20"</f>
        <v>2917.39.20</v>
      </c>
      <c r="B2434" s="2" t="str">
        <f>"Acido ortoftalico e seus sais"</f>
        <v>Acido ortoftalico e seus sais</v>
      </c>
    </row>
    <row r="2435" spans="1:2">
      <c r="A2435" s="1" t="str">
        <f>"2917.39.31"</f>
        <v>2917.39.31</v>
      </c>
      <c r="B2435" s="2" t="str">
        <f>"De dioctila"</f>
        <v>De dioctila</v>
      </c>
    </row>
    <row r="2436" spans="1:2">
      <c r="A2436" s="1" t="str">
        <f>"2917.39.39"</f>
        <v>2917.39.39</v>
      </c>
      <c r="B2436" s="2" t="str">
        <f>"Outros"</f>
        <v>Outros</v>
      </c>
    </row>
    <row r="2437" spans="1:2">
      <c r="A2437" s="1" t="str">
        <f>"2917.39.40"</f>
        <v>2917.39.40</v>
      </c>
      <c r="B2437" s="2" t="str">
        <f>"Sais e esteres do acido trimelitico"</f>
        <v>Sais e esteres do acido trimelitico</v>
      </c>
    </row>
    <row r="2438" spans="1:2">
      <c r="A2438" s="1" t="str">
        <f>"2917.39.50"</f>
        <v>2917.39.50</v>
      </c>
      <c r="B2438" s="2" t="str">
        <f>"Anidrido trimelitico (acido 1,3-dio"</f>
        <v>Anidrido trimelitico (acido 1,3-dio</v>
      </c>
    </row>
    <row r="2439" spans="1:2">
      <c r="A2439" s="1" t="str">
        <f>"2917.39.90"</f>
        <v>2917.39.90</v>
      </c>
      <c r="B2439" s="2" t="str">
        <f>"Outros"</f>
        <v>Outros</v>
      </c>
    </row>
    <row r="2440" spans="1:2">
      <c r="A2440" s="1" t="str">
        <f>"2918.11.00"</f>
        <v>2918.11.00</v>
      </c>
      <c r="B2440" s="2" t="str">
        <f>"Acido lactico, seus sais e seus est"</f>
        <v>Acido lactico, seus sais e seus est</v>
      </c>
    </row>
    <row r="2441" spans="1:2">
      <c r="A2441" s="1" t="str">
        <f>"2918.12.00"</f>
        <v>2918.12.00</v>
      </c>
      <c r="B2441" s="2" t="str">
        <f>"Acido tartarico"</f>
        <v>Acido tartarico</v>
      </c>
    </row>
    <row r="2442" spans="1:2">
      <c r="A2442" s="1" t="str">
        <f>"2918.13.10"</f>
        <v>2918.13.10</v>
      </c>
      <c r="B2442" s="2" t="str">
        <f>"Sais"</f>
        <v>Sais</v>
      </c>
    </row>
    <row r="2443" spans="1:2">
      <c r="A2443" s="1" t="str">
        <f>"2918.13.20"</f>
        <v>2918.13.20</v>
      </c>
      <c r="B2443" s="2" t="str">
        <f>"Esteres"</f>
        <v>Esteres</v>
      </c>
    </row>
    <row r="2444" spans="1:2">
      <c r="A2444" s="1" t="str">
        <f>"2918.14.00"</f>
        <v>2918.14.00</v>
      </c>
      <c r="B2444" s="2" t="str">
        <f>"Acido citrico"</f>
        <v>Acido citrico</v>
      </c>
    </row>
    <row r="2445" spans="1:2">
      <c r="A2445" s="1" t="str">
        <f>"2918.15.00"</f>
        <v>2918.15.00</v>
      </c>
      <c r="B2445" s="2" t="str">
        <f>"Sais e esteres do acido citrico"</f>
        <v>Sais e esteres do acido citrico</v>
      </c>
    </row>
    <row r="2446" spans="1:2">
      <c r="A2446" s="1" t="str">
        <f>"2918.16.10"</f>
        <v>2918.16.10</v>
      </c>
      <c r="B2446" s="2" t="str">
        <f>"Gluconato de calcio"</f>
        <v>Gluconato de calcio</v>
      </c>
    </row>
    <row r="2447" spans="1:2">
      <c r="A2447" s="1" t="str">
        <f>"2918.16.90"</f>
        <v>2918.16.90</v>
      </c>
      <c r="B2447" s="2" t="str">
        <f>"Outros"</f>
        <v>Outros</v>
      </c>
    </row>
    <row r="2448" spans="1:2">
      <c r="A2448" s="1" t="str">
        <f>"2918.17.00"</f>
        <v>2918.17.00</v>
      </c>
      <c r="B2448" s="2" t="str">
        <f>"Acido 2,2-difenil-2-hidroxiacetico"</f>
        <v>Acido 2,2-difenil-2-hidroxiacetico</v>
      </c>
    </row>
    <row r="2449" spans="1:2">
      <c r="A2449" s="1" t="str">
        <f>"2918.18.00"</f>
        <v>2918.18.00</v>
      </c>
      <c r="B2449" s="2" t="str">
        <f>"Clorobenzilato (ISO)"</f>
        <v>Clorobenzilato (ISO)</v>
      </c>
    </row>
    <row r="2450" spans="1:2">
      <c r="A2450" s="1" t="str">
        <f>"2918.19.10"</f>
        <v>2918.19.10</v>
      </c>
      <c r="B2450" s="2" t="str">
        <f>"Bromopropilato"</f>
        <v>Bromopropilato</v>
      </c>
    </row>
    <row r="2451" spans="1:2">
      <c r="A2451" s="1" t="str">
        <f>"2918.19.21"</f>
        <v>2918.19.21</v>
      </c>
      <c r="B2451" s="2" t="str">
        <f>"Ursodiol (acido ursodeoxicolico)"</f>
        <v>Ursodiol (acido ursodeoxicolico)</v>
      </c>
    </row>
    <row r="2452" spans="1:2">
      <c r="A2452" s="1" t="str">
        <f>"2918.19.22"</f>
        <v>2918.19.22</v>
      </c>
      <c r="B2452" s="2" t="str">
        <f>"Acido quenodeoxicolico"</f>
        <v>Acido quenodeoxicolico</v>
      </c>
    </row>
    <row r="2453" spans="1:2">
      <c r="A2453" s="1" t="str">
        <f>"2918.19.29"</f>
        <v>2918.19.29</v>
      </c>
      <c r="B2453" s="2" t="str">
        <f>"Outros"</f>
        <v>Outros</v>
      </c>
    </row>
    <row r="2454" spans="1:2">
      <c r="A2454" s="1" t="str">
        <f>"2918.19.30"</f>
        <v>2918.19.30</v>
      </c>
      <c r="B2454" s="2" t="str">
        <f>"Acido 12-hidroxiestearico"</f>
        <v>Acido 12-hidroxiestearico</v>
      </c>
    </row>
    <row r="2455" spans="1:2">
      <c r="A2455" s="1" t="str">
        <f>"2918.19.42"</f>
        <v>2918.19.42</v>
      </c>
      <c r="B2455" s="2" t="str">
        <f>"Sais"</f>
        <v>Sais</v>
      </c>
    </row>
    <row r="2456" spans="1:2">
      <c r="A2456" s="1" t="str">
        <f>"2918.19.43"</f>
        <v>2918.19.43</v>
      </c>
      <c r="B2456" s="2" t="str">
        <f>"Esteres"</f>
        <v>Esteres</v>
      </c>
    </row>
    <row r="2457" spans="1:2">
      <c r="A2457" s="1" t="str">
        <f>"2918.19.90"</f>
        <v>2918.19.90</v>
      </c>
      <c r="B2457" s="2" t="str">
        <f>"Outros"</f>
        <v>Outros</v>
      </c>
    </row>
    <row r="2458" spans="1:2">
      <c r="A2458" s="1" t="str">
        <f>"2918.21.10"</f>
        <v>2918.21.10</v>
      </c>
      <c r="B2458" s="2" t="str">
        <f>"Acido salicilico"</f>
        <v>Acido salicilico</v>
      </c>
    </row>
    <row r="2459" spans="1:2">
      <c r="A2459" s="1" t="str">
        <f>"2918.21.20"</f>
        <v>2918.21.20</v>
      </c>
      <c r="B2459" s="2" t="str">
        <f>"Sais"</f>
        <v>Sais</v>
      </c>
    </row>
    <row r="2460" spans="1:2">
      <c r="A2460" s="1" t="str">
        <f>"2918.22.11"</f>
        <v>2918.22.11</v>
      </c>
      <c r="B2460" s="2" t="str">
        <f>"Acido O-acetilsalicilico"</f>
        <v>Acido O-acetilsalicilico</v>
      </c>
    </row>
    <row r="2461" spans="1:2">
      <c r="A2461" s="1" t="str">
        <f>"2918.22.12"</f>
        <v>2918.22.12</v>
      </c>
      <c r="B2461" s="2" t="str">
        <f>"O-Acetilsalicilato de aluminio"</f>
        <v>O-Acetilsalicilato de aluminio</v>
      </c>
    </row>
    <row r="2462" spans="1:2">
      <c r="A2462" s="1" t="str">
        <f>"2918.22.19"</f>
        <v>2918.22.19</v>
      </c>
      <c r="B2462" s="2" t="str">
        <f>"Outros"</f>
        <v>Outros</v>
      </c>
    </row>
    <row r="2463" spans="1:2">
      <c r="A2463" s="1" t="str">
        <f>"2918.22.20"</f>
        <v>2918.22.20</v>
      </c>
      <c r="B2463" s="2" t="str">
        <f>"Esteres"</f>
        <v>Esteres</v>
      </c>
    </row>
    <row r="2464" spans="1:2">
      <c r="A2464" s="1" t="str">
        <f>"2918.23.00"</f>
        <v>2918.23.00</v>
      </c>
      <c r="B2464" s="2" t="str">
        <f>"Outros esteres do acido salicilico"</f>
        <v>Outros esteres do acido salicilico</v>
      </c>
    </row>
    <row r="2465" spans="1:2">
      <c r="A2465" s="1" t="str">
        <f>"2918.29.10"</f>
        <v>2918.29.10</v>
      </c>
      <c r="B2465" s="2" t="str">
        <f>"Acidos hidroxinaftoicos"</f>
        <v>Acidos hidroxinaftoicos</v>
      </c>
    </row>
    <row r="2466" spans="1:2">
      <c r="A2466" s="1" t="str">
        <f>"2918.29.21"</f>
        <v>2918.29.21</v>
      </c>
      <c r="B2466" s="2" t="str">
        <f>"Acido p-hidroxibenzoico"</f>
        <v>Acido p-hidroxibenzoico</v>
      </c>
    </row>
    <row r="2467" spans="1:2">
      <c r="A2467" s="1" t="str">
        <f>"2918.29.22"</f>
        <v>2918.29.22</v>
      </c>
      <c r="B2467" s="2" t="str">
        <f>"Metilparabeno"</f>
        <v>Metilparabeno</v>
      </c>
    </row>
    <row r="2468" spans="1:2">
      <c r="A2468" s="1" t="str">
        <f>"2918.29.23"</f>
        <v>2918.29.23</v>
      </c>
      <c r="B2468" s="2" t="str">
        <f>"Propilparabeno"</f>
        <v>Propilparabeno</v>
      </c>
    </row>
    <row r="2469" spans="1:2">
      <c r="A2469" s="1" t="str">
        <f>"2918.29.29"</f>
        <v>2918.29.29</v>
      </c>
      <c r="B2469" s="2" t="str">
        <f>"Outros"</f>
        <v>Outros</v>
      </c>
    </row>
    <row r="2470" spans="1:2">
      <c r="A2470" s="1" t="str">
        <f>"2918.29.30"</f>
        <v>2918.29.30</v>
      </c>
      <c r="B2470" s="2" t="str">
        <f>"Acido galico, seus sais e seus este"</f>
        <v>Acido galico, seus sais e seus este</v>
      </c>
    </row>
    <row r="2471" spans="1:2">
      <c r="A2471" s="1" t="str">
        <f>"2918.29.40"</f>
        <v>2918.29.40</v>
      </c>
      <c r="B2471" s="2" t="str">
        <f>"Tetrakis(3-(3,5-di-ter-butil-4-hidr"</f>
        <v>Tetrakis(3-(3,5-di-ter-butil-4-hidr</v>
      </c>
    </row>
    <row r="2472" spans="1:2">
      <c r="A2472" s="1" t="str">
        <f>"2918.29.50"</f>
        <v>2918.29.50</v>
      </c>
      <c r="B2472" s="2" t="str">
        <f>"3-(3,5-Di-ter-butil-4-hidroxifenil)"</f>
        <v>3-(3,5-Di-ter-butil-4-hidroxifenil)</v>
      </c>
    </row>
    <row r="2473" spans="1:2">
      <c r="A2473" s="1" t="str">
        <f>"2918.29.90"</f>
        <v>2918.29.90</v>
      </c>
      <c r="B2473" s="2" t="str">
        <f>"Outros"</f>
        <v>Outros</v>
      </c>
    </row>
    <row r="2474" spans="1:2">
      <c r="A2474" s="1" t="str">
        <f>"2918.30.10"</f>
        <v>2918.30.10</v>
      </c>
      <c r="B2474" s="2" t="str">
        <f>"Cetoprofeno"</f>
        <v>Cetoprofeno</v>
      </c>
    </row>
    <row r="2475" spans="1:2">
      <c r="A2475" s="1" t="str">
        <f>"2918.30.20"</f>
        <v>2918.30.20</v>
      </c>
      <c r="B2475" s="2" t="str">
        <f>"Butirilacetato de metila"</f>
        <v>Butirilacetato de metila</v>
      </c>
    </row>
    <row r="2476" spans="1:2">
      <c r="A2476" s="1" t="str">
        <f>"2918.30.31"</f>
        <v>2918.30.31</v>
      </c>
      <c r="B2476" s="2" t="str">
        <f>"Acido deidrocolico"</f>
        <v>Acido deidrocolico</v>
      </c>
    </row>
    <row r="2477" spans="1:2">
      <c r="A2477" s="1" t="str">
        <f>"2918.30.32"</f>
        <v>2918.30.32</v>
      </c>
      <c r="B2477" s="2" t="str">
        <f>"Deidrocolato de sodio"</f>
        <v>Deidrocolato de sodio</v>
      </c>
    </row>
    <row r="2478" spans="1:2">
      <c r="A2478" s="1" t="str">
        <f>"2918.30.33"</f>
        <v>2918.30.33</v>
      </c>
      <c r="B2478" s="2" t="str">
        <f>"Deidrocolato de magnesio"</f>
        <v>Deidrocolato de magnesio</v>
      </c>
    </row>
    <row r="2479" spans="1:2">
      <c r="A2479" s="1" t="str">
        <f>"2918.30.39"</f>
        <v>2918.30.39</v>
      </c>
      <c r="B2479" s="2" t="str">
        <f>"Outros"</f>
        <v>Outros</v>
      </c>
    </row>
    <row r="2480" spans="1:2">
      <c r="A2480" s="1" t="str">
        <f>"2918.30.40"</f>
        <v>2918.30.40</v>
      </c>
      <c r="B2480" s="2" t="str">
        <f>"Acetilacetato de 2-nitrometilbenzil"</f>
        <v>Acetilacetato de 2-nitrometilbenzil</v>
      </c>
    </row>
    <row r="2481" spans="1:2">
      <c r="A2481" s="1" t="str">
        <f>"2918.30.90"</f>
        <v>2918.30.90</v>
      </c>
      <c r="B2481" s="2" t="str">
        <f>"Outros"</f>
        <v>Outros</v>
      </c>
    </row>
    <row r="2482" spans="1:2">
      <c r="A2482" s="1" t="str">
        <f>"2918.90.99"</f>
        <v>2918.90.99</v>
      </c>
      <c r="B2482" s="2" t="str">
        <f>"INATIVA - ACETOCURE"</f>
        <v>INATIVA - ACETOCURE</v>
      </c>
    </row>
    <row r="2483" spans="1:2">
      <c r="A2483" s="1" t="str">
        <f>"2918.91.00"</f>
        <v>2918.91.00</v>
      </c>
      <c r="B2483" s="2" t="str">
        <f>"2,4,5-T (ISO) (acido 2,4,5-tricloro"</f>
        <v>2,4,5-T (ISO) (acido 2,4,5-tricloro</v>
      </c>
    </row>
    <row r="2484" spans="1:2">
      <c r="A2484" s="1" t="str">
        <f>"2918.99.11"</f>
        <v>2918.99.11</v>
      </c>
      <c r="B2484" s="2" t="str">
        <f>"Acido fenoxiacetico, seus sais e se"</f>
        <v>Acido fenoxiacetico, seus sais e se</v>
      </c>
    </row>
    <row r="2485" spans="1:2">
      <c r="A2485" s="1" t="str">
        <f>"2918.99.12"</f>
        <v>2918.99.12</v>
      </c>
      <c r="B2485" s="2" t="str">
        <f>"Acido 2,4-diclorofenoxiacetico (2,4"</f>
        <v>Acido 2,4-diclorofenoxiacetico (2,4</v>
      </c>
    </row>
    <row r="2486" spans="1:2">
      <c r="A2486" s="1" t="str">
        <f>"2918.99.19"</f>
        <v>2918.99.19</v>
      </c>
      <c r="B2486" s="2" t="str">
        <f>"Outros"</f>
        <v>Outros</v>
      </c>
    </row>
    <row r="2487" spans="1:2">
      <c r="A2487" s="1" t="str">
        <f>"2918.99.21"</f>
        <v>2918.99.21</v>
      </c>
      <c r="B2487" s="2" t="str">
        <f>"Acidos diclorofenoxibutanoicos, seu"</f>
        <v>Acidos diclorofenoxibutanoicos, seu</v>
      </c>
    </row>
    <row r="2488" spans="1:2">
      <c r="A2488" s="1" t="str">
        <f>"2918.99.29"</f>
        <v>2918.99.29</v>
      </c>
      <c r="B2488" s="2" t="str">
        <f>"Outros"</f>
        <v>Outros</v>
      </c>
    </row>
    <row r="2489" spans="1:2">
      <c r="A2489" s="1" t="str">
        <f>"2918.99.30"</f>
        <v>2918.99.30</v>
      </c>
      <c r="B2489" s="2" t="str">
        <f>"Acifluorfen sodico"</f>
        <v>Acifluorfen sodico</v>
      </c>
    </row>
    <row r="2490" spans="1:2">
      <c r="A2490" s="1" t="str">
        <f>"2918.99.40"</f>
        <v>2918.99.40</v>
      </c>
      <c r="B2490" s="2" t="str">
        <f>"Naproxeno"</f>
        <v>Naproxeno</v>
      </c>
    </row>
    <row r="2491" spans="1:2">
      <c r="A2491" s="1" t="str">
        <f>"2918.99.50"</f>
        <v>2918.99.50</v>
      </c>
      <c r="B2491" s="2" t="str">
        <f>"Acido 3-(2-cloro-alfa, alfa, alfa-t"</f>
        <v>Acido 3-(2-cloro-alfa, alfa, alfa-t</v>
      </c>
    </row>
    <row r="2492" spans="1:2">
      <c r="A2492" s="1" t="str">
        <f>"2918.99.60"</f>
        <v>2918.99.60</v>
      </c>
      <c r="B2492" s="2" t="str">
        <f>"Diclofop-metila"</f>
        <v>Diclofop-metila</v>
      </c>
    </row>
    <row r="2493" spans="1:2">
      <c r="A2493" s="1" t="str">
        <f>"2918.99.91"</f>
        <v>2918.99.91</v>
      </c>
      <c r="B2493" s="2" t="str">
        <f>"Fenofibrato"</f>
        <v>Fenofibrato</v>
      </c>
    </row>
    <row r="2494" spans="1:2">
      <c r="A2494" s="1" t="str">
        <f>"2918.99.92"</f>
        <v>2918.99.92</v>
      </c>
      <c r="B2494" s="2" t="str">
        <f>"Acidos metilclorofenoxiaceticos, se"</f>
        <v>Acidos metilclorofenoxiaceticos, se</v>
      </c>
    </row>
    <row r="2495" spans="1:2">
      <c r="A2495" s="1" t="str">
        <f>"2918.99.93"</f>
        <v>2918.99.93</v>
      </c>
      <c r="B2495" s="2" t="str">
        <f>"5-(2-Cloro-4-trifluorometilfenoxi)-"</f>
        <v>5-(2-Cloro-4-trifluorometilfenoxi)-</v>
      </c>
    </row>
    <row r="2496" spans="1:2">
      <c r="A2496" s="1" t="str">
        <f>"2918.99.94"</f>
        <v>2918.99.94</v>
      </c>
      <c r="B2496" s="2" t="str">
        <f>"Acido 4-(4-hidroxifenoxi)-3,5-diiod"</f>
        <v>Acido 4-(4-hidroxifenoxi)-3,5-diiod</v>
      </c>
    </row>
    <row r="2497" spans="1:2">
      <c r="A2497" s="1" t="str">
        <f>"2918.99.99"</f>
        <v>2918.99.99</v>
      </c>
      <c r="B2497" s="2" t="str">
        <f>"OUTROS"</f>
        <v>OUTROS</v>
      </c>
    </row>
    <row r="2498" spans="1:2">
      <c r="A2498" s="1" t="str">
        <f>"2919.10.00"</f>
        <v>2919.10.00</v>
      </c>
      <c r="B2498" s="2" t="str">
        <f>"Fosfato de tris(2,3-dibromopropila)"</f>
        <v>Fosfato de tris(2,3-dibromopropila)</v>
      </c>
    </row>
    <row r="2499" spans="1:2">
      <c r="A2499" s="1" t="str">
        <f>"2919.90.10"</f>
        <v>2919.90.10</v>
      </c>
      <c r="B2499" s="2" t="str">
        <f>"De tributila"</f>
        <v>De tributila</v>
      </c>
    </row>
    <row r="2500" spans="1:2">
      <c r="A2500" s="1" t="str">
        <f>"2919.90.20"</f>
        <v>2919.90.20</v>
      </c>
      <c r="B2500" s="2" t="str">
        <f>"De tricresila"</f>
        <v>De tricresila</v>
      </c>
    </row>
    <row r="2501" spans="1:2">
      <c r="A2501" s="1" t="str">
        <f>"2919.90.30"</f>
        <v>2919.90.30</v>
      </c>
      <c r="B2501" s="2" t="str">
        <f>"De trifenila"</f>
        <v>De trifenila</v>
      </c>
    </row>
    <row r="2502" spans="1:2">
      <c r="A2502" s="1" t="str">
        <f>"2919.90.40"</f>
        <v>2919.90.40</v>
      </c>
      <c r="B2502" s="2" t="str">
        <f>"Diclorvos (DDVP)"</f>
        <v>Diclorvos (DDVP)</v>
      </c>
    </row>
    <row r="2503" spans="1:2">
      <c r="A2503" s="1" t="str">
        <f>"2919.90.50"</f>
        <v>2919.90.50</v>
      </c>
      <c r="B2503" s="2" t="str">
        <f>"Lactofosfato de calcio"</f>
        <v>Lactofosfato de calcio</v>
      </c>
    </row>
    <row r="2504" spans="1:2">
      <c r="A2504" s="1" t="str">
        <f>"2919.90.60"</f>
        <v>2919.90.60</v>
      </c>
      <c r="B2504" s="2" t="str">
        <f>"Clorfenvinfos"</f>
        <v>Clorfenvinfos</v>
      </c>
    </row>
    <row r="2505" spans="1:2">
      <c r="A2505" s="1" t="str">
        <f>"2919.90.90"</f>
        <v>2919.90.90</v>
      </c>
      <c r="B2505" s="2" t="str">
        <f>"Outros"</f>
        <v>Outros</v>
      </c>
    </row>
    <row r="2506" spans="1:2">
      <c r="A2506" s="1" t="str">
        <f>"2920.11.10"</f>
        <v>2920.11.10</v>
      </c>
      <c r="B2506" s="2" t="str">
        <f>"Paration (etil paration)"</f>
        <v>Paration (etil paration)</v>
      </c>
    </row>
    <row r="2507" spans="1:2">
      <c r="A2507" s="1" t="str">
        <f>"2920.11.20"</f>
        <v>2920.11.20</v>
      </c>
      <c r="B2507" s="2" t="str">
        <f>"Paration-metila (metil paration)"</f>
        <v>Paration-metila (metil paration)</v>
      </c>
    </row>
    <row r="2508" spans="1:2">
      <c r="A2508" s="1" t="str">
        <f>"2920.19.10"</f>
        <v>2920.19.10</v>
      </c>
      <c r="B2508" s="2" t="str">
        <f>"Fenitrotion"</f>
        <v>Fenitrotion</v>
      </c>
    </row>
    <row r="2509" spans="1:2">
      <c r="A2509" s="1" t="str">
        <f>"2920.19.20"</f>
        <v>2920.19.20</v>
      </c>
      <c r="B2509" s="2" t="str">
        <f>"Cloreto de fosforotioato de dimetil"</f>
        <v>Cloreto de fosforotioato de dimetil</v>
      </c>
    </row>
    <row r="2510" spans="1:2">
      <c r="A2510" s="1" t="str">
        <f>"2920.19.90"</f>
        <v>2920.19.90</v>
      </c>
      <c r="B2510" s="2" t="str">
        <f>"Outros"</f>
        <v>Outros</v>
      </c>
    </row>
    <row r="2511" spans="1:2">
      <c r="A2511" s="1" t="str">
        <f>"2920.21.00"</f>
        <v>2920.21.00</v>
      </c>
      <c r="B2511" s="2" t="str">
        <f>"Fosfito de dimetila"</f>
        <v>Fosfito de dimetila</v>
      </c>
    </row>
    <row r="2512" spans="1:2">
      <c r="A2512" s="1" t="str">
        <f>"2920.22.00"</f>
        <v>2920.22.00</v>
      </c>
      <c r="B2512" s="2" t="str">
        <f>"Fosfito de dietila"</f>
        <v>Fosfito de dietila</v>
      </c>
    </row>
    <row r="2513" spans="1:2">
      <c r="A2513" s="1" t="str">
        <f>"2920.23.00"</f>
        <v>2920.23.00</v>
      </c>
      <c r="B2513" s="2" t="str">
        <f>"Fosfito de trimetila"</f>
        <v>Fosfito de trimetila</v>
      </c>
    </row>
    <row r="2514" spans="1:2">
      <c r="A2514" s="1" t="str">
        <f>"2920.24.00"</f>
        <v>2920.24.00</v>
      </c>
      <c r="B2514" s="2" t="str">
        <f>"Fosfito de trietila"</f>
        <v>Fosfito de trietila</v>
      </c>
    </row>
    <row r="2515" spans="1:2">
      <c r="A2515" s="1" t="str">
        <f>"2920.29.10"</f>
        <v>2920.29.10</v>
      </c>
      <c r="B2515" s="2" t="str">
        <f>"Fosfito de alquila de C3 a C13 ou d"</f>
        <v>Fosfito de alquila de C3 a C13 ou d</v>
      </c>
    </row>
    <row r="2516" spans="1:2">
      <c r="A2516" s="1" t="str">
        <f>"2920.29.20"</f>
        <v>2920.29.20</v>
      </c>
      <c r="B2516" s="2" t="str">
        <f>"Fosfito de difenila"</f>
        <v>Fosfito de difenila</v>
      </c>
    </row>
    <row r="2517" spans="1:2">
      <c r="A2517" s="1" t="str">
        <f>"2920.29.30"</f>
        <v>2920.29.30</v>
      </c>
      <c r="B2517" s="2" t="str">
        <f>"Outros fosfitos, de arila"</f>
        <v>Outros fosfitos, de arila</v>
      </c>
    </row>
    <row r="2518" spans="1:2">
      <c r="A2518" s="1" t="str">
        <f>"2920.29.40"</f>
        <v>2920.29.40</v>
      </c>
      <c r="B2518" s="2" t="str">
        <f>"Fosetil Al"</f>
        <v>Fosetil Al</v>
      </c>
    </row>
    <row r="2519" spans="1:2">
      <c r="A2519" s="1" t="str">
        <f>"2920.29.50"</f>
        <v>2920.29.50</v>
      </c>
      <c r="B2519" s="2" t="str">
        <f>"Fosfito de tris(2,4-di-ter-butilfen"</f>
        <v>Fosfito de tris(2,4-di-ter-butilfen</v>
      </c>
    </row>
    <row r="2520" spans="1:2">
      <c r="A2520" s="1" t="str">
        <f>"2920.29.90"</f>
        <v>2920.29.90</v>
      </c>
      <c r="B2520" s="2" t="str">
        <f>"Outros"</f>
        <v>Outros</v>
      </c>
    </row>
    <row r="2521" spans="1:2">
      <c r="A2521" s="1" t="str">
        <f>"2920.30.00"</f>
        <v>2920.30.00</v>
      </c>
      <c r="B2521" s="2" t="str">
        <f>"Endossulfan (ISO)"</f>
        <v>Endossulfan (ISO)</v>
      </c>
    </row>
    <row r="2522" spans="1:2">
      <c r="A2522" s="1" t="str">
        <f>"2920.90.22"</f>
        <v>2920.90.22</v>
      </c>
      <c r="B2522" s="2" t="str">
        <f>"Propargite"</f>
        <v>Propargite</v>
      </c>
    </row>
    <row r="2523" spans="1:2">
      <c r="A2523" s="1" t="str">
        <f>"2920.90.29"</f>
        <v>2920.90.29</v>
      </c>
      <c r="B2523" s="2" t="str">
        <f>"Outros"</f>
        <v>Outros</v>
      </c>
    </row>
    <row r="2524" spans="1:2">
      <c r="A2524" s="1" t="str">
        <f>"2920.90.31"</f>
        <v>2920.90.31</v>
      </c>
      <c r="B2524" s="2" t="str">
        <f>"De propatila"</f>
        <v>De propatila</v>
      </c>
    </row>
    <row r="2525" spans="1:2">
      <c r="A2525" s="1" t="str">
        <f>"2920.90.32"</f>
        <v>2920.90.32</v>
      </c>
      <c r="B2525" s="2" t="str">
        <f>"Nitroglicerina"</f>
        <v>Nitroglicerina</v>
      </c>
    </row>
    <row r="2526" spans="1:2">
      <c r="A2526" s="1" t="str">
        <f>"2920.90.33"</f>
        <v>2920.90.33</v>
      </c>
      <c r="B2526" s="2" t="str">
        <f>"Tetranitrato de pentaeritritol (PET"</f>
        <v>Tetranitrato de pentaeritritol (PET</v>
      </c>
    </row>
    <row r="2527" spans="1:2">
      <c r="A2527" s="1" t="str">
        <f>"2920.90.39"</f>
        <v>2920.90.39</v>
      </c>
      <c r="B2527" s="2" t="str">
        <f>"Outros"</f>
        <v>Outros</v>
      </c>
    </row>
    <row r="2528" spans="1:2">
      <c r="A2528" s="1" t="str">
        <f>"2920.90.41"</f>
        <v>2920.90.41</v>
      </c>
      <c r="B2528" s="2" t="str">
        <f>"De alquila de C6 a C22"</f>
        <v>De alquila de C6 a C22</v>
      </c>
    </row>
    <row r="2529" spans="1:2">
      <c r="A2529" s="1" t="str">
        <f>"2920.90.42"</f>
        <v>2920.90.42</v>
      </c>
      <c r="B2529" s="2" t="str">
        <f>"De monoalquildietilenoglicol ou de"</f>
        <v>De monoalquildietilenoglicol ou de</v>
      </c>
    </row>
    <row r="2530" spans="1:2">
      <c r="A2530" s="1" t="str">
        <f>"2920.90.49"</f>
        <v>2920.90.49</v>
      </c>
      <c r="B2530" s="2" t="str">
        <f>"Outros"</f>
        <v>Outros</v>
      </c>
    </row>
    <row r="2531" spans="1:2">
      <c r="A2531" s="1" t="str">
        <f>"2920.90.51"</f>
        <v>2920.90.51</v>
      </c>
      <c r="B2531" s="2" t="str">
        <f>"De etila"</f>
        <v>De etila</v>
      </c>
    </row>
    <row r="2532" spans="1:2">
      <c r="A2532" s="1" t="str">
        <f>"2920.90.59"</f>
        <v>2920.90.59</v>
      </c>
      <c r="B2532" s="2" t="str">
        <f>"OUTROS - SILICA"</f>
        <v>OUTROS - SILICA</v>
      </c>
    </row>
    <row r="2533" spans="1:2">
      <c r="A2533" s="1" t="str">
        <f>"2920.90.90"</f>
        <v>2920.90.90</v>
      </c>
      <c r="B2533" s="2" t="str">
        <f>"Outros"</f>
        <v>Outros</v>
      </c>
    </row>
    <row r="2534" spans="1:2">
      <c r="A2534" s="1" t="str">
        <f>"2921.11.11"</f>
        <v>2921.11.11</v>
      </c>
      <c r="B2534" s="2" t="str">
        <f>"Monometilamina"</f>
        <v>Monometilamina</v>
      </c>
    </row>
    <row r="2535" spans="1:2">
      <c r="A2535" s="1" t="str">
        <f>"2921.11.12"</f>
        <v>2921.11.12</v>
      </c>
      <c r="B2535" s="2" t="str">
        <f>"Sais"</f>
        <v>Sais</v>
      </c>
    </row>
    <row r="2536" spans="1:2">
      <c r="A2536" s="1" t="str">
        <f>"2921.11.21"</f>
        <v>2921.11.21</v>
      </c>
      <c r="B2536" s="2" t="str">
        <f>"Dimetilamina"</f>
        <v>Dimetilamina</v>
      </c>
    </row>
    <row r="2537" spans="1:2">
      <c r="A2537" s="1" t="str">
        <f>"2921.11.22"</f>
        <v>2921.11.22</v>
      </c>
      <c r="B2537" s="2" t="str">
        <f>"2,4-Diclorofenoxiacetato de dimetil"</f>
        <v>2,4-Diclorofenoxiacetato de dimetil</v>
      </c>
    </row>
    <row r="2538" spans="1:2">
      <c r="A2538" s="1" t="str">
        <f>"2921.11.23"</f>
        <v>2921.11.23</v>
      </c>
      <c r="B2538" s="2" t="str">
        <f>"Metilclorofenoxiacetato de dimetila"</f>
        <v>Metilclorofenoxiacetato de dimetila</v>
      </c>
    </row>
    <row r="2539" spans="1:2">
      <c r="A2539" s="1" t="str">
        <f>"2921.11.29"</f>
        <v>2921.11.29</v>
      </c>
      <c r="B2539" s="2" t="str">
        <f>"Outros"</f>
        <v>Outros</v>
      </c>
    </row>
    <row r="2540" spans="1:2">
      <c r="A2540" s="1" t="str">
        <f>"2921.11.31"</f>
        <v>2921.11.31</v>
      </c>
      <c r="B2540" s="2" t="str">
        <f>"Trimetilamina"</f>
        <v>Trimetilamina</v>
      </c>
    </row>
    <row r="2541" spans="1:2">
      <c r="A2541" s="1" t="str">
        <f>"2921.11.32"</f>
        <v>2921.11.32</v>
      </c>
      <c r="B2541" s="2" t="str">
        <f>"Cloridrato de trimetilamina"</f>
        <v>Cloridrato de trimetilamina</v>
      </c>
    </row>
    <row r="2542" spans="1:2">
      <c r="A2542" s="1" t="str">
        <f>"2921.11.39"</f>
        <v>2921.11.39</v>
      </c>
      <c r="B2542" s="2" t="str">
        <f>"Outros"</f>
        <v>Outros</v>
      </c>
    </row>
    <row r="2543" spans="1:2">
      <c r="A2543" s="1" t="str">
        <f>"2921.12.00"</f>
        <v>2921.12.00</v>
      </c>
      <c r="B2543" s="2" t="str">
        <f>"Cloridrato de 2-cloroetil(N,N-dimet"</f>
        <v>Cloridrato de 2-cloroetil(N,N-dimet</v>
      </c>
    </row>
    <row r="2544" spans="1:2">
      <c r="A2544" s="1" t="str">
        <f>"2921.13.00"</f>
        <v>2921.13.00</v>
      </c>
      <c r="B2544" s="2" t="str">
        <f>"Cloridrato de 2-cloroetil(N,N-dieti"</f>
        <v>Cloridrato de 2-cloroetil(N,N-dieti</v>
      </c>
    </row>
    <row r="2545" spans="1:2">
      <c r="A2545" s="1" t="str">
        <f>"2921.14.00"</f>
        <v>2921.14.00</v>
      </c>
      <c r="B2545" s="2" t="str">
        <f>"Cloridrato de 2-cloroetil(N,N-diiso"</f>
        <v>Cloridrato de 2-cloroetil(N,N-diiso</v>
      </c>
    </row>
    <row r="2546" spans="1:2">
      <c r="A2546" s="1" t="str">
        <f>"2921.19.11"</f>
        <v>2921.19.11</v>
      </c>
      <c r="B2546" s="2" t="str">
        <f>"Monoetilamina e seus sais"</f>
        <v>Monoetilamina e seus sais</v>
      </c>
    </row>
    <row r="2547" spans="1:2">
      <c r="A2547" s="1" t="str">
        <f>"2921.19.12"</f>
        <v>2921.19.12</v>
      </c>
      <c r="B2547" s="2" t="str">
        <f>"Trietilamina"</f>
        <v>Trietilamina</v>
      </c>
    </row>
    <row r="2548" spans="1:2">
      <c r="A2548" s="1" t="str">
        <f>"2921.19.13"</f>
        <v>2921.19.13</v>
      </c>
      <c r="B2548" s="2" t="str">
        <f>"Bis(2-cloroetil)etilamina"</f>
        <v>Bis(2-cloroetil)etilamina</v>
      </c>
    </row>
    <row r="2549" spans="1:2">
      <c r="A2549" s="1" t="str">
        <f>"2921.19.14"</f>
        <v>2921.19.14</v>
      </c>
      <c r="B2549" s="2" t="str">
        <f>"Triclormetina (DCI) (tris(2-cloroet"</f>
        <v>Triclormetina (DCI) (tris(2-cloroet</v>
      </c>
    </row>
    <row r="2550" spans="1:2">
      <c r="A2550" s="1" t="str">
        <f>"2921.19.15"</f>
        <v>2921.19.15</v>
      </c>
      <c r="B2550" s="2" t="str">
        <f>"Dietilamina e seus sais, exceto eta"</f>
        <v>Dietilamina e seus sais, exceto eta</v>
      </c>
    </row>
    <row r="2551" spans="1:2">
      <c r="A2551" s="1" t="str">
        <f>"2921.19.19"</f>
        <v>2921.19.19</v>
      </c>
      <c r="B2551" s="2" t="str">
        <f>"Outros"</f>
        <v>Outros</v>
      </c>
    </row>
    <row r="2552" spans="1:2">
      <c r="A2552" s="1" t="str">
        <f>"2921.19.21"</f>
        <v>2921.19.21</v>
      </c>
      <c r="B2552" s="2" t="str">
        <f>"Mono-n-propilamina e seus sais"</f>
        <v>Mono-n-propilamina e seus sais</v>
      </c>
    </row>
    <row r="2553" spans="1:2">
      <c r="A2553" s="1" t="str">
        <f>"2921.19.22"</f>
        <v>2921.19.22</v>
      </c>
      <c r="B2553" s="2" t="str">
        <f>"Di-n-propilamina e seus sais"</f>
        <v>Di-n-propilamina e seus sais</v>
      </c>
    </row>
    <row r="2554" spans="1:2">
      <c r="A2554" s="1" t="str">
        <f>"2921.19.23"</f>
        <v>2921.19.23</v>
      </c>
      <c r="B2554" s="2" t="str">
        <f>"Monoisopropilamina e seus sais"</f>
        <v>Monoisopropilamina e seus sais</v>
      </c>
    </row>
    <row r="2555" spans="1:2">
      <c r="A2555" s="1" t="str">
        <f>"2921.19.24"</f>
        <v>2921.19.24</v>
      </c>
      <c r="B2555" s="2" t="str">
        <f>"Diisopropilamina e seus sais"</f>
        <v>Diisopropilamina e seus sais</v>
      </c>
    </row>
    <row r="2556" spans="1:2">
      <c r="A2556" s="1" t="str">
        <f>"2921.19.29"</f>
        <v>2921.19.29</v>
      </c>
      <c r="B2556" s="2" t="str">
        <f>"Outros"</f>
        <v>Outros</v>
      </c>
    </row>
    <row r="2557" spans="1:2">
      <c r="A2557" s="1" t="str">
        <f>"2921.19.31"</f>
        <v>2921.19.31</v>
      </c>
      <c r="B2557" s="2" t="str">
        <f>"Diisobutilamina e seus sais"</f>
        <v>Diisobutilamina e seus sais</v>
      </c>
    </row>
    <row r="2558" spans="1:2">
      <c r="A2558" s="1" t="str">
        <f>"2921.19.39"</f>
        <v>2921.19.39</v>
      </c>
      <c r="B2558" s="2" t="str">
        <f>"Outros"</f>
        <v>Outros</v>
      </c>
    </row>
    <row r="2559" spans="1:2">
      <c r="A2559" s="1" t="str">
        <f>"2921.19.41"</f>
        <v>2921.19.41</v>
      </c>
      <c r="B2559" s="2" t="str">
        <f>"Metildialquilaminas"</f>
        <v>Metildialquilaminas</v>
      </c>
    </row>
    <row r="2560" spans="1:2">
      <c r="A2560" s="1" t="str">
        <f>"2921.19.49"</f>
        <v>2921.19.49</v>
      </c>
      <c r="B2560" s="2" t="str">
        <f>"Outras"</f>
        <v>Outras</v>
      </c>
    </row>
    <row r="2561" spans="1:2">
      <c r="A2561" s="1" t="str">
        <f>"2921.19.91"</f>
        <v>2921.19.91</v>
      </c>
      <c r="B2561" s="2" t="str">
        <f>"Clormetina (DCI) (bis(2-cloroetil)m"</f>
        <v>Clormetina (DCI) (bis(2-cloroetil)m</v>
      </c>
    </row>
    <row r="2562" spans="1:2">
      <c r="A2562" s="1" t="str">
        <f>"2921.19.92"</f>
        <v>2921.19.92</v>
      </c>
      <c r="B2562" s="2" t="str">
        <f>"N,N-Dialquil-2-cloroetilamina, com"</f>
        <v>N,N-Dialquil-2-cloroetilamina, com</v>
      </c>
    </row>
    <row r="2563" spans="1:2">
      <c r="A2563" s="1" t="str">
        <f>"2921.19.93"</f>
        <v>2921.19.93</v>
      </c>
      <c r="B2563" s="2" t="str">
        <f>"Mucato de isometepteno"</f>
        <v>Mucato de isometepteno</v>
      </c>
    </row>
    <row r="2564" spans="1:2">
      <c r="A2564" s="1" t="str">
        <f>"2921.19.99"</f>
        <v>2921.19.99</v>
      </c>
      <c r="B2564" s="2" t="str">
        <f>"Outros"</f>
        <v>Outros</v>
      </c>
    </row>
    <row r="2565" spans="1:2">
      <c r="A2565" s="1" t="str">
        <f>"2921.21.00"</f>
        <v>2921.21.00</v>
      </c>
      <c r="B2565" s="2" t="str">
        <f>"Etilenodiamina e seus sais"</f>
        <v>Etilenodiamina e seus sais</v>
      </c>
    </row>
    <row r="2566" spans="1:2">
      <c r="A2566" s="1" t="str">
        <f>"2921.22.00"</f>
        <v>2921.22.00</v>
      </c>
      <c r="B2566" s="2" t="str">
        <f>"Hexametilenodiamina e seus sais"</f>
        <v>Hexametilenodiamina e seus sais</v>
      </c>
    </row>
    <row r="2567" spans="1:2">
      <c r="A2567" s="1" t="str">
        <f>"2921.29.10"</f>
        <v>2921.29.10</v>
      </c>
      <c r="B2567" s="2" t="str">
        <f>"Dietilenotriamina e seus sais"</f>
        <v>Dietilenotriamina e seus sais</v>
      </c>
    </row>
    <row r="2568" spans="1:2">
      <c r="A2568" s="1" t="str">
        <f>"2921.29.20"</f>
        <v>2921.29.20</v>
      </c>
      <c r="B2568" s="2" t="str">
        <f>"Trietilenotetramina e seus sais"</f>
        <v>Trietilenotetramina e seus sais</v>
      </c>
    </row>
    <row r="2569" spans="1:2">
      <c r="A2569" s="1" t="str">
        <f>"2921.29.90"</f>
        <v>2921.29.90</v>
      </c>
      <c r="B2569" s="2" t="str">
        <f>"Outros"</f>
        <v>Outros</v>
      </c>
    </row>
    <row r="2570" spans="1:2">
      <c r="A2570" s="1" t="str">
        <f>"2921.30.11"</f>
        <v>2921.30.11</v>
      </c>
      <c r="B2570" s="2" t="str">
        <f>"Monocicloexilamina e seus sais"</f>
        <v>Monocicloexilamina e seus sais</v>
      </c>
    </row>
    <row r="2571" spans="1:2">
      <c r="A2571" s="1" t="str">
        <f>"2921.30.12"</f>
        <v>2921.30.12</v>
      </c>
      <c r="B2571" s="2" t="str">
        <f>"Dicicloexilamina"</f>
        <v>Dicicloexilamina</v>
      </c>
    </row>
    <row r="2572" spans="1:2">
      <c r="A2572" s="1" t="str">
        <f>"2921.30.19"</f>
        <v>2921.30.19</v>
      </c>
      <c r="B2572" s="2" t="str">
        <f>"OUTROS - KERASIL ENDURECEDOR"</f>
        <v>OUTROS - KERASIL ENDURECEDOR</v>
      </c>
    </row>
    <row r="2573" spans="1:2">
      <c r="A2573" s="1" t="str">
        <f>"2921.30.20"</f>
        <v>2921.30.20</v>
      </c>
      <c r="B2573" s="2" t="str">
        <f>"Propilexedrina"</f>
        <v>Propilexedrina</v>
      </c>
    </row>
    <row r="2574" spans="1:2">
      <c r="A2574" s="1" t="str">
        <f>"2921.30.90"</f>
        <v>2921.30.90</v>
      </c>
      <c r="B2574" s="2" t="str">
        <f>"Outros"</f>
        <v>Outros</v>
      </c>
    </row>
    <row r="2575" spans="1:2">
      <c r="A2575" s="1" t="str">
        <f>"2921.41.00"</f>
        <v>2921.41.00</v>
      </c>
      <c r="B2575" s="2" t="str">
        <f>"Anilina e seus sais"</f>
        <v>Anilina e seus sais</v>
      </c>
    </row>
    <row r="2576" spans="1:2">
      <c r="A2576" s="1" t="str">
        <f>"2921.42.11"</f>
        <v>2921.42.11</v>
      </c>
      <c r="B2576" s="2" t="str">
        <f>"Acido sulfanilico e seus sais"</f>
        <v>Acido sulfanilico e seus sais</v>
      </c>
    </row>
    <row r="2577" spans="1:2">
      <c r="A2577" s="1" t="str">
        <f>"2921.42.19"</f>
        <v>2921.42.19</v>
      </c>
      <c r="B2577" s="2" t="str">
        <f>"Outros"</f>
        <v>Outros</v>
      </c>
    </row>
    <row r="2578" spans="1:2">
      <c r="A2578" s="1" t="str">
        <f>"2921.42.21"</f>
        <v>2921.42.21</v>
      </c>
      <c r="B2578" s="2" t="str">
        <f>"3,4-Dicloroanilina e seus sais"</f>
        <v>3,4-Dicloroanilina e seus sais</v>
      </c>
    </row>
    <row r="2579" spans="1:2">
      <c r="A2579" s="1" t="str">
        <f>"2921.42.29"</f>
        <v>2921.42.29</v>
      </c>
      <c r="B2579" s="2" t="str">
        <f>"Outros"</f>
        <v>Outros</v>
      </c>
    </row>
    <row r="2580" spans="1:2">
      <c r="A2580" s="1" t="str">
        <f>"2921.42.31"</f>
        <v>2921.42.31</v>
      </c>
      <c r="B2580" s="2" t="str">
        <f>"4-Nitroanilina"</f>
        <v>4-Nitroanilina</v>
      </c>
    </row>
    <row r="2581" spans="1:2">
      <c r="A2581" s="1" t="str">
        <f>"2921.42.39"</f>
        <v>2921.42.39</v>
      </c>
      <c r="B2581" s="2" t="str">
        <f>"Outros"</f>
        <v>Outros</v>
      </c>
    </row>
    <row r="2582" spans="1:2">
      <c r="A2582" s="1" t="str">
        <f>"2921.42.41"</f>
        <v>2921.42.41</v>
      </c>
      <c r="B2582" s="2" t="str">
        <f>"5-Cloro-2-nitroanilina"</f>
        <v>5-Cloro-2-nitroanilina</v>
      </c>
    </row>
    <row r="2583" spans="1:2">
      <c r="A2583" s="1" t="str">
        <f>"2921.42.49"</f>
        <v>2921.42.49</v>
      </c>
      <c r="B2583" s="2" t="str">
        <f>"Outros"</f>
        <v>Outros</v>
      </c>
    </row>
    <row r="2584" spans="1:2">
      <c r="A2584" s="1" t="str">
        <f>"2921.42.90"</f>
        <v>2921.42.90</v>
      </c>
      <c r="B2584" s="2" t="str">
        <f>"Outros"</f>
        <v>Outros</v>
      </c>
    </row>
    <row r="2585" spans="1:2">
      <c r="A2585" s="1" t="str">
        <f>"2921.43.11"</f>
        <v>2921.43.11</v>
      </c>
      <c r="B2585" s="2" t="str">
        <f>"o-Toluidina"</f>
        <v>o-Toluidina</v>
      </c>
    </row>
    <row r="2586" spans="1:2">
      <c r="A2586" s="1" t="str">
        <f>"2921.43.19"</f>
        <v>2921.43.19</v>
      </c>
      <c r="B2586" s="2" t="str">
        <f>"Outros"</f>
        <v>Outros</v>
      </c>
    </row>
    <row r="2587" spans="1:2">
      <c r="A2587" s="1" t="str">
        <f>"2921.43.21"</f>
        <v>2921.43.21</v>
      </c>
      <c r="B2587" s="2" t="str">
        <f>"3-Nitro-4-toluidina e seus sais"</f>
        <v>3-Nitro-4-toluidina e seus sais</v>
      </c>
    </row>
    <row r="2588" spans="1:2">
      <c r="A2588" s="1" t="str">
        <f>"2921.43.22"</f>
        <v>2921.43.22</v>
      </c>
      <c r="B2588" s="2" t="str">
        <f>"Trifluralina"</f>
        <v>Trifluralina</v>
      </c>
    </row>
    <row r="2589" spans="1:2">
      <c r="A2589" s="1" t="str">
        <f>"2921.43.23"</f>
        <v>2921.43.23</v>
      </c>
      <c r="B2589" s="2" t="str">
        <f>"4-Cloro-2-toluidina"</f>
        <v>4-Cloro-2-toluidina</v>
      </c>
    </row>
    <row r="2590" spans="1:2">
      <c r="A2590" s="1" t="str">
        <f>"2921.43.29"</f>
        <v>2921.43.29</v>
      </c>
      <c r="B2590" s="2" t="str">
        <f>"Outros"</f>
        <v>Outros</v>
      </c>
    </row>
    <row r="2591" spans="1:2">
      <c r="A2591" s="1" t="str">
        <f>"2921.44.10"</f>
        <v>2921.44.10</v>
      </c>
      <c r="B2591" s="2" t="str">
        <f>"Difenilamina e seus sais"</f>
        <v>Difenilamina e seus sais</v>
      </c>
    </row>
    <row r="2592" spans="1:2">
      <c r="A2592" s="1" t="str">
        <f>"2921.44.21"</f>
        <v>2921.44.21</v>
      </c>
      <c r="B2592" s="2" t="str">
        <f>"n-Octildifenilamina"</f>
        <v>n-Octildifenilamina</v>
      </c>
    </row>
    <row r="2593" spans="1:2">
      <c r="A2593" s="1" t="str">
        <f>"2921.44.22"</f>
        <v>2921.44.22</v>
      </c>
      <c r="B2593" s="2" t="str">
        <f>"n-Nonildifenilamina"</f>
        <v>n-Nonildifenilamina</v>
      </c>
    </row>
    <row r="2594" spans="1:2">
      <c r="A2594" s="1" t="str">
        <f>"2921.44.29"</f>
        <v>2921.44.29</v>
      </c>
      <c r="B2594" s="2" t="str">
        <f>"Outros"</f>
        <v>Outros</v>
      </c>
    </row>
    <row r="2595" spans="1:2">
      <c r="A2595" s="1" t="str">
        <f>"2921.45.00"</f>
        <v>2921.45.00</v>
      </c>
      <c r="B2595" s="2" t="str">
        <f>"1-Naftilamina (alfa-naftilamina), 2"</f>
        <v>1-Naftilamina (alfa-naftilamina), 2</v>
      </c>
    </row>
    <row r="2596" spans="1:2">
      <c r="A2596" s="1" t="str">
        <f>"2921.46.10"</f>
        <v>2921.46.10</v>
      </c>
      <c r="B2596" s="2" t="str">
        <f>"Anfetamina e seus sais"</f>
        <v>Anfetamina e seus sais</v>
      </c>
    </row>
    <row r="2597" spans="1:2">
      <c r="A2597" s="1" t="str">
        <f>"2921.46.20"</f>
        <v>2921.46.20</v>
      </c>
      <c r="B2597" s="2" t="str">
        <f>"Benzofetamina e seus sais"</f>
        <v>Benzofetamina e seus sais</v>
      </c>
    </row>
    <row r="2598" spans="1:2">
      <c r="A2598" s="1" t="str">
        <f>"2921.46.30"</f>
        <v>2921.46.30</v>
      </c>
      <c r="B2598" s="2" t="str">
        <f>"Dexanfetamina e seus sais"</f>
        <v>Dexanfetamina e seus sais</v>
      </c>
    </row>
    <row r="2599" spans="1:2">
      <c r="A2599" s="1" t="str">
        <f>"2921.46.40"</f>
        <v>2921.46.40</v>
      </c>
      <c r="B2599" s="2" t="str">
        <f>"Etilanfetamina e seus sais"</f>
        <v>Etilanfetamina e seus sais</v>
      </c>
    </row>
    <row r="2600" spans="1:2">
      <c r="A2600" s="1" t="str">
        <f>"2921.46.50"</f>
        <v>2921.46.50</v>
      </c>
      <c r="B2600" s="2" t="str">
        <f>"Fencanfamina e seus sais"</f>
        <v>Fencanfamina e seus sais</v>
      </c>
    </row>
    <row r="2601" spans="1:2">
      <c r="A2601" s="1" t="str">
        <f>"2921.46.60"</f>
        <v>2921.46.60</v>
      </c>
      <c r="B2601" s="2" t="str">
        <f>"Fentermina e seus sais"</f>
        <v>Fentermina e seus sais</v>
      </c>
    </row>
    <row r="2602" spans="1:2">
      <c r="A2602" s="1" t="str">
        <f>"2921.46.70"</f>
        <v>2921.46.70</v>
      </c>
      <c r="B2602" s="2" t="str">
        <f>"Lefetamina e seus sais"</f>
        <v>Lefetamina e seus sais</v>
      </c>
    </row>
    <row r="2603" spans="1:2">
      <c r="A2603" s="1" t="str">
        <f>"2921.46.80"</f>
        <v>2921.46.80</v>
      </c>
      <c r="B2603" s="2" t="str">
        <f>"Levanfetamina e seus sais"</f>
        <v>Levanfetamina e seus sais</v>
      </c>
    </row>
    <row r="2604" spans="1:2">
      <c r="A2604" s="1" t="str">
        <f>"2921.46.90"</f>
        <v>2921.46.90</v>
      </c>
      <c r="B2604" s="2" t="str">
        <f>"Mefenorex e seus sais"</f>
        <v>Mefenorex e seus sais</v>
      </c>
    </row>
    <row r="2605" spans="1:2">
      <c r="A2605" s="1" t="str">
        <f>"2921.49.10"</f>
        <v>2921.49.10</v>
      </c>
      <c r="B2605" s="2" t="str">
        <f>"Cloridrato de fenfluramina"</f>
        <v>Cloridrato de fenfluramina</v>
      </c>
    </row>
    <row r="2606" spans="1:2">
      <c r="A2606" s="1" t="str">
        <f>"2921.49.21"</f>
        <v>2921.49.21</v>
      </c>
      <c r="B2606" s="2" t="str">
        <f>"2,4-Xilidina e seus sais"</f>
        <v>2,4-Xilidina e seus sais</v>
      </c>
    </row>
    <row r="2607" spans="1:2">
      <c r="A2607" s="1" t="str">
        <f>"2921.49.22"</f>
        <v>2921.49.22</v>
      </c>
      <c r="B2607" s="2" t="str">
        <f>"Pendimetalina"</f>
        <v>Pendimetalina</v>
      </c>
    </row>
    <row r="2608" spans="1:2">
      <c r="A2608" s="1" t="str">
        <f>"2921.49.29"</f>
        <v>2921.49.29</v>
      </c>
      <c r="B2608" s="2" t="str">
        <f>"Outros"</f>
        <v>Outros</v>
      </c>
    </row>
    <row r="2609" spans="1:2">
      <c r="A2609" s="1" t="str">
        <f>"2921.49.31"</f>
        <v>2921.49.31</v>
      </c>
      <c r="B2609" s="2" t="str">
        <f>"Sulfato de tranilcipromina"</f>
        <v>Sulfato de tranilcipromina</v>
      </c>
    </row>
    <row r="2610" spans="1:2">
      <c r="A2610" s="1" t="str">
        <f>"2921.49.39"</f>
        <v>2921.49.39</v>
      </c>
      <c r="B2610" s="2" t="str">
        <f>"Outros"</f>
        <v>Outros</v>
      </c>
    </row>
    <row r="2611" spans="1:2">
      <c r="A2611" s="1" t="str">
        <f>"2921.49.90"</f>
        <v>2921.49.90</v>
      </c>
      <c r="B2611" s="2" t="str">
        <f>"Outros"</f>
        <v>Outros</v>
      </c>
    </row>
    <row r="2612" spans="1:2">
      <c r="A2612" s="1" t="str">
        <f>"2921.51.11"</f>
        <v>2921.51.11</v>
      </c>
      <c r="B2612" s="2" t="str">
        <f>"m-Fenilenodiamina e seus sais"</f>
        <v>m-Fenilenodiamina e seus sais</v>
      </c>
    </row>
    <row r="2613" spans="1:2">
      <c r="A2613" s="1" t="str">
        <f>"2921.51.12"</f>
        <v>2921.51.12</v>
      </c>
      <c r="B2613" s="2" t="str">
        <f>"Diaminotoluenos (toluilenodiaminas)"</f>
        <v>Diaminotoluenos (toluilenodiaminas)</v>
      </c>
    </row>
    <row r="2614" spans="1:2">
      <c r="A2614" s="1" t="str">
        <f>"2921.51.19"</f>
        <v>2921.51.19</v>
      </c>
      <c r="B2614" s="2" t="str">
        <f>"Outros"</f>
        <v>Outros</v>
      </c>
    </row>
    <row r="2615" spans="1:2">
      <c r="A2615" s="1" t="str">
        <f>"2921.51.20"</f>
        <v>2921.51.20</v>
      </c>
      <c r="B2615" s="2" t="str">
        <f>"Derivados sulfonados das fenilenodi"</f>
        <v>Derivados sulfonados das fenilenodi</v>
      </c>
    </row>
    <row r="2616" spans="1:2">
      <c r="A2616" s="1" t="str">
        <f>"2921.51.31"</f>
        <v>2921.51.31</v>
      </c>
      <c r="B2616" s="2" t="str">
        <f>"N,N'-Di-sec-butil-p-fenilenodiamina"</f>
        <v>N,N'-Di-sec-butil-p-fenilenodiamina</v>
      </c>
    </row>
    <row r="2617" spans="1:2">
      <c r="A2617" s="1" t="str">
        <f>"2921.51.32"</f>
        <v>2921.51.32</v>
      </c>
      <c r="B2617" s="2" t="str">
        <f>"N-Isopropil-N'-fenil-p-fenilenodiam"</f>
        <v>N-Isopropil-N'-fenil-p-fenilenodiam</v>
      </c>
    </row>
    <row r="2618" spans="1:2">
      <c r="A2618" s="1" t="str">
        <f>"2921.51.33"</f>
        <v>2921.51.33</v>
      </c>
      <c r="B2618" s="2" t="str">
        <f>"N-(1,3-Dimetilbutil)-N'-fenil-p-fen"</f>
        <v>N-(1,3-Dimetilbutil)-N'-fenil-p-fen</v>
      </c>
    </row>
    <row r="2619" spans="1:2">
      <c r="A2619" s="1" t="str">
        <f>"2921.51.34"</f>
        <v>2921.51.34</v>
      </c>
      <c r="B2619" s="2" t="str">
        <f>"N-(1,4-Dimetilpentil)-N'-fenil-p-fe"</f>
        <v>N-(1,4-Dimetilpentil)-N'-fenil-p-fe</v>
      </c>
    </row>
    <row r="2620" spans="1:2">
      <c r="A2620" s="1" t="str">
        <f>"2921.51.35"</f>
        <v>2921.51.35</v>
      </c>
      <c r="B2620" s="2" t="str">
        <f>"N-Fenil-p-fenilenodiamina (4-aminod"</f>
        <v>N-Fenil-p-fenilenodiamina (4-aminod</v>
      </c>
    </row>
    <row r="2621" spans="1:2">
      <c r="A2621" s="1" t="str">
        <f>"2921.51.39"</f>
        <v>2921.51.39</v>
      </c>
      <c r="B2621" s="2" t="str">
        <f>"Outros"</f>
        <v>Outros</v>
      </c>
    </row>
    <row r="2622" spans="1:2">
      <c r="A2622" s="1" t="str">
        <f>"2921.51.90"</f>
        <v>2921.51.90</v>
      </c>
      <c r="B2622" s="2" t="str">
        <f>"Outros"</f>
        <v>Outros</v>
      </c>
    </row>
    <row r="2623" spans="1:2">
      <c r="A2623" s="1" t="str">
        <f>"2921.59.11"</f>
        <v>2921.59.11</v>
      </c>
      <c r="B2623" s="2" t="str">
        <f>"3,3'-Diclorobenzidina"</f>
        <v>3,3'-Diclorobenzidina</v>
      </c>
    </row>
    <row r="2624" spans="1:2">
      <c r="A2624" s="1" t="str">
        <f>"2921.59.19"</f>
        <v>2921.59.19</v>
      </c>
      <c r="B2624" s="2" t="str">
        <f>"Outros"</f>
        <v>Outros</v>
      </c>
    </row>
    <row r="2625" spans="1:2">
      <c r="A2625" s="1" t="str">
        <f>"2921.59.21"</f>
        <v>2921.59.21</v>
      </c>
      <c r="B2625" s="2" t="str">
        <f>"4,4'-Diaminodifenilmetano"</f>
        <v>4,4'-Diaminodifenilmetano</v>
      </c>
    </row>
    <row r="2626" spans="1:2">
      <c r="A2626" s="1" t="str">
        <f>"2921.59.29"</f>
        <v>2921.59.29</v>
      </c>
      <c r="B2626" s="2" t="str">
        <f>"Outros"</f>
        <v>Outros</v>
      </c>
    </row>
    <row r="2627" spans="1:2">
      <c r="A2627" s="1" t="str">
        <f>"2921.59.31"</f>
        <v>2921.59.31</v>
      </c>
      <c r="B2627" s="2" t="str">
        <f>"4,4'-Diaminodifenilamina e seus sai"</f>
        <v>4,4'-Diaminodifenilamina e seus sai</v>
      </c>
    </row>
    <row r="2628" spans="1:2">
      <c r="A2628" s="1" t="str">
        <f>"2921.59.32"</f>
        <v>2921.59.32</v>
      </c>
      <c r="B2628" s="2" t="str">
        <f>"Acido 4,4'-diaminodifenilamino-2-su"</f>
        <v>Acido 4,4'-diaminodifenilamino-2-su</v>
      </c>
    </row>
    <row r="2629" spans="1:2">
      <c r="A2629" s="1" t="str">
        <f>"2921.59.39"</f>
        <v>2921.59.39</v>
      </c>
      <c r="B2629" s="2" t="str">
        <f>"Outros"</f>
        <v>Outros</v>
      </c>
    </row>
    <row r="2630" spans="1:2">
      <c r="A2630" s="1" t="str">
        <f>"2921.59.90"</f>
        <v>2921.59.90</v>
      </c>
      <c r="B2630" s="2" t="str">
        <f>"Outros"</f>
        <v>Outros</v>
      </c>
    </row>
    <row r="2631" spans="1:2">
      <c r="A2631" s="1" t="str">
        <f>"2922.11.00"</f>
        <v>2922.11.00</v>
      </c>
      <c r="B2631" s="2" t="str">
        <f>"Monoetanolamina e seus sais"</f>
        <v>Monoetanolamina e seus sais</v>
      </c>
    </row>
    <row r="2632" spans="1:2">
      <c r="A2632" s="1" t="str">
        <f>"2922.12.00"</f>
        <v>2922.12.00</v>
      </c>
      <c r="B2632" s="2" t="str">
        <f>"DIETANOLAMINA E SEUS SAIS"</f>
        <v>DIETANOLAMINA E SEUS SAIS</v>
      </c>
    </row>
    <row r="2633" spans="1:2">
      <c r="A2633" s="1" t="str">
        <f>"2922.13.10"</f>
        <v>2922.13.10</v>
      </c>
      <c r="B2633" s="2" t="str">
        <f>"INATIVO"</f>
        <v>INATIVO</v>
      </c>
    </row>
    <row r="2634" spans="1:2">
      <c r="A2634" s="1" t="str">
        <f>"2922.14.00"</f>
        <v>2922.14.00</v>
      </c>
      <c r="B2634" s="2" t="str">
        <f>"Dextropropoxifeno (DCI) e seus sais"</f>
        <v>Dextropropoxifeno (DCI) e seus sais</v>
      </c>
    </row>
    <row r="2635" spans="1:2">
      <c r="A2635" s="1" t="str">
        <f>"2922.15.00"</f>
        <v>2922.15.00</v>
      </c>
      <c r="B2635" s="2" t="str">
        <f>"Trietanolamina"</f>
        <v>Trietanolamina</v>
      </c>
    </row>
    <row r="2636" spans="1:2">
      <c r="A2636" s="1" t="str">
        <f>"2922.16.00"</f>
        <v>2922.16.00</v>
      </c>
      <c r="B2636" s="2" t="str">
        <f>"Perfluoroctanossulfonato de dietano"</f>
        <v>Perfluoroctanossulfonato de dietano</v>
      </c>
    </row>
    <row r="2637" spans="1:2">
      <c r="A2637" s="1" t="str">
        <f>"2922.17.00"</f>
        <v>2922.17.00</v>
      </c>
      <c r="B2637" s="2" t="str">
        <f>"Metildietanolamina e etildietanolam"</f>
        <v>Metildietanolamina e etildietanolam</v>
      </c>
    </row>
    <row r="2638" spans="1:2">
      <c r="A2638" s="1" t="str">
        <f>"2922.18.00"</f>
        <v>2922.18.00</v>
      </c>
      <c r="B2638" s="2" t="str">
        <f>"2-(N,N-diisopropilamino)etanol"</f>
        <v>2-(N,N-diisopropilamino)etanol</v>
      </c>
    </row>
    <row r="2639" spans="1:2">
      <c r="A2639" s="1" t="str">
        <f>"2922.19.11"</f>
        <v>2922.19.11</v>
      </c>
      <c r="B2639" s="2" t="str">
        <f>"Monoisopropanolamina"</f>
        <v>Monoisopropanolamina</v>
      </c>
    </row>
    <row r="2640" spans="1:2">
      <c r="A2640" s="1" t="str">
        <f>"2922.19.12"</f>
        <v>2922.19.12</v>
      </c>
      <c r="B2640" s="2" t="str">
        <f>"2,4-Diclorofenoxiacetato de triisop"</f>
        <v>2,4-Diclorofenoxiacetato de triisop</v>
      </c>
    </row>
    <row r="2641" spans="1:2">
      <c r="A2641" s="1" t="str">
        <f>"2922.19.13"</f>
        <v>2922.19.13</v>
      </c>
      <c r="B2641" s="2" t="str">
        <f>"2,4-Diclorofenoxiacetato de dimetil"</f>
        <v>2,4-Diclorofenoxiacetato de dimetil</v>
      </c>
    </row>
    <row r="2642" spans="1:2">
      <c r="A2642" s="1" t="str">
        <f>"2922.19.19"</f>
        <v>2922.19.19</v>
      </c>
      <c r="B2642" s="2" t="str">
        <f>"Outros"</f>
        <v>Outros</v>
      </c>
    </row>
    <row r="2643" spans="1:2">
      <c r="A2643" s="1" t="str">
        <f>"2922.19.21"</f>
        <v>2922.19.21</v>
      </c>
      <c r="B2643" s="2" t="str">
        <f>"Citrato"</f>
        <v>Citrato</v>
      </c>
    </row>
    <row r="2644" spans="1:2">
      <c r="A2644" s="1" t="str">
        <f>"2922.19.29"</f>
        <v>2922.19.29</v>
      </c>
      <c r="B2644" s="2" t="str">
        <f>"Outros"</f>
        <v>Outros</v>
      </c>
    </row>
    <row r="2645" spans="1:2">
      <c r="A2645" s="1" t="str">
        <f>"2922.19.31"</f>
        <v>2922.19.31</v>
      </c>
      <c r="B2645" s="2" t="str">
        <f>"Cloridrato"</f>
        <v>Cloridrato</v>
      </c>
    </row>
    <row r="2646" spans="1:2">
      <c r="A2646" s="1" t="str">
        <f>"2922.19.39"</f>
        <v>2922.19.39</v>
      </c>
      <c r="B2646" s="2" t="str">
        <f>"Outros"</f>
        <v>Outros</v>
      </c>
    </row>
    <row r="2647" spans="1:2">
      <c r="A2647" s="1" t="str">
        <f>"2922.19.41"</f>
        <v>2922.19.41</v>
      </c>
      <c r="B2647" s="2" t="str">
        <f>"Cloridrato"</f>
        <v>Cloridrato</v>
      </c>
    </row>
    <row r="2648" spans="1:2">
      <c r="A2648" s="1" t="str">
        <f>"2922.19.49"</f>
        <v>2922.19.49</v>
      </c>
      <c r="B2648" s="2" t="str">
        <f>"Outros"</f>
        <v>Outros</v>
      </c>
    </row>
    <row r="2649" spans="1:2">
      <c r="A2649" s="1" t="str">
        <f>"2922.19.51"</f>
        <v>2922.19.51</v>
      </c>
      <c r="B2649" s="2" t="str">
        <f>"N,N-Dimetil-2-aminoetanol e seus sa"</f>
        <v>N,N-Dimetil-2-aminoetanol e seus sa</v>
      </c>
    </row>
    <row r="2650" spans="1:2">
      <c r="A2650" s="1" t="str">
        <f>"2922.19.52"</f>
        <v>2922.19.52</v>
      </c>
      <c r="B2650" s="2" t="str">
        <f>"N,N-Dietil-2-aminoetanol e seus sai"</f>
        <v>N,N-Dietil-2-aminoetanol e seus sai</v>
      </c>
    </row>
    <row r="2651" spans="1:2">
      <c r="A2651" s="1" t="str">
        <f>"2922.19.59"</f>
        <v>2922.19.59</v>
      </c>
      <c r="B2651" s="2" t="str">
        <f>"Outros"</f>
        <v>Outros</v>
      </c>
    </row>
    <row r="2652" spans="1:2">
      <c r="A2652" s="1" t="str">
        <f>"2922.19.71"</f>
        <v>2922.19.71</v>
      </c>
      <c r="B2652" s="2" t="str">
        <f>"Cloridrato"</f>
        <v>Cloridrato</v>
      </c>
    </row>
    <row r="2653" spans="1:2">
      <c r="A2653" s="1" t="str">
        <f>"2922.19.79"</f>
        <v>2922.19.79</v>
      </c>
      <c r="B2653" s="2" t="str">
        <f>"Outros"</f>
        <v>Outros</v>
      </c>
    </row>
    <row r="2654" spans="1:2">
      <c r="A2654" s="1" t="str">
        <f>"2922.19.81"</f>
        <v>2922.19.81</v>
      </c>
      <c r="B2654" s="2" t="str">
        <f>"Tartarato"</f>
        <v>Tartarato</v>
      </c>
    </row>
    <row r="2655" spans="1:2">
      <c r="A2655" s="1" t="str">
        <f>"2922.19.89"</f>
        <v>2922.19.89</v>
      </c>
      <c r="B2655" s="2" t="str">
        <f>"Outros"</f>
        <v>Outros</v>
      </c>
    </row>
    <row r="2656" spans="1:2">
      <c r="A2656" s="1" t="str">
        <f>"2922.19.91"</f>
        <v>2922.19.91</v>
      </c>
      <c r="B2656" s="2" t="str">
        <f>"1-p-Nitrofenil-2-amino-1,3-propanod"</f>
        <v>1-p-Nitrofenil-2-amino-1,3-propanod</v>
      </c>
    </row>
    <row r="2657" spans="1:2">
      <c r="A2657" s="1" t="str">
        <f>"2922.19.92"</f>
        <v>2922.19.92</v>
      </c>
      <c r="B2657" s="2" t="str">
        <f>"Fumarato de benciclano"</f>
        <v>Fumarato de benciclano</v>
      </c>
    </row>
    <row r="2658" spans="1:2">
      <c r="A2658" s="1" t="str">
        <f>"2922.19.93"</f>
        <v>2922.19.93</v>
      </c>
      <c r="B2658" s="2" t="str">
        <f>"Clembuterol (clenbuterol) e seu clo"</f>
        <v>Clembuterol (clenbuterol) e seu clo</v>
      </c>
    </row>
    <row r="2659" spans="1:2">
      <c r="A2659" s="1" t="str">
        <f>"2922.19.94"</f>
        <v>2922.19.94</v>
      </c>
      <c r="B2659" s="2" t="str">
        <f>"Mirtecaina"</f>
        <v>Mirtecaina</v>
      </c>
    </row>
    <row r="2660" spans="1:2">
      <c r="A2660" s="1" t="str">
        <f>"2922.19.95"</f>
        <v>2922.19.95</v>
      </c>
      <c r="B2660" s="2" t="str">
        <f>"Tamoxifen e seu citrato"</f>
        <v>Tamoxifen e seu citrato</v>
      </c>
    </row>
    <row r="2661" spans="1:2">
      <c r="A2661" s="1" t="str">
        <f>"2922.19.96"</f>
        <v>2922.19.96</v>
      </c>
      <c r="B2661" s="2" t="str">
        <f>"Propranolol e seus sais"</f>
        <v>Propranolol e seus sais</v>
      </c>
    </row>
    <row r="2662" spans="1:2">
      <c r="A2662" s="1" t="str">
        <f>"2922.19.99"</f>
        <v>2922.19.99</v>
      </c>
      <c r="B2662" s="2" t="str">
        <f>"OUTROS"</f>
        <v>OUTROS</v>
      </c>
    </row>
    <row r="2663" spans="1:2">
      <c r="A2663" s="1" t="str">
        <f>"2922.21.00"</f>
        <v>2922.21.00</v>
      </c>
      <c r="B2663" s="2" t="str">
        <f>"Acidos aminohidroxinaftalenossulfon"</f>
        <v>Acidos aminohidroxinaftalenossulfon</v>
      </c>
    </row>
    <row r="2664" spans="1:2">
      <c r="A2664" s="1" t="str">
        <f>"2922.29.11"</f>
        <v>2922.29.11</v>
      </c>
      <c r="B2664" s="2" t="str">
        <f>"p-Aminofenol"</f>
        <v>p-Aminofenol</v>
      </c>
    </row>
    <row r="2665" spans="1:2">
      <c r="A2665" s="1" t="str">
        <f>"2922.29.19"</f>
        <v>2922.29.19</v>
      </c>
      <c r="B2665" s="2" t="str">
        <f>"OUTROS - KERASIL ACELERADOR"</f>
        <v>OUTROS - KERASIL ACELERADOR</v>
      </c>
    </row>
    <row r="2666" spans="1:2">
      <c r="A2666" s="1" t="str">
        <f>"2922.29.20"</f>
        <v>2922.29.20</v>
      </c>
      <c r="B2666" s="2" t="str">
        <f>"Nitroanisidinas e seus sais"</f>
        <v>Nitroanisidinas e seus sais</v>
      </c>
    </row>
    <row r="2667" spans="1:2">
      <c r="A2667" s="1" t="str">
        <f>"2922.29.90"</f>
        <v>2922.29.90</v>
      </c>
      <c r="B2667" s="2" t="str">
        <f>"Outros"</f>
        <v>Outros</v>
      </c>
    </row>
    <row r="2668" spans="1:2">
      <c r="A2668" s="1" t="str">
        <f>"2922.31.11"</f>
        <v>2922.31.11</v>
      </c>
      <c r="B2668" s="2" t="str">
        <f>"Anfepramona"</f>
        <v>Anfepramona</v>
      </c>
    </row>
    <row r="2669" spans="1:2">
      <c r="A2669" s="1" t="str">
        <f>"2922.31.12"</f>
        <v>2922.31.12</v>
      </c>
      <c r="B2669" s="2" t="str">
        <f>"Sais"</f>
        <v>Sais</v>
      </c>
    </row>
    <row r="2670" spans="1:2">
      <c r="A2670" s="1" t="str">
        <f>"2922.31.20"</f>
        <v>2922.31.20</v>
      </c>
      <c r="B2670" s="2" t="str">
        <f>"Metadona e seus sais"</f>
        <v>Metadona e seus sais</v>
      </c>
    </row>
    <row r="2671" spans="1:2">
      <c r="A2671" s="1" t="str">
        <f>"2922.31.30"</f>
        <v>2922.31.30</v>
      </c>
      <c r="B2671" s="2" t="str">
        <f>"Normetadona e seus sais"</f>
        <v>Normetadona e seus sais</v>
      </c>
    </row>
    <row r="2672" spans="1:2">
      <c r="A2672" s="1" t="str">
        <f>"2922.39.10"</f>
        <v>2922.39.10</v>
      </c>
      <c r="B2672" s="2" t="str">
        <f>"Aminoantraquinonas e seus sais"</f>
        <v>Aminoantraquinonas e seus sais</v>
      </c>
    </row>
    <row r="2673" spans="1:2">
      <c r="A2673" s="1" t="str">
        <f>"2922.39.21"</f>
        <v>2922.39.21</v>
      </c>
      <c r="B2673" s="2" t="str">
        <f>"Cloridrato"</f>
        <v>Cloridrato</v>
      </c>
    </row>
    <row r="2674" spans="1:2">
      <c r="A2674" s="1" t="str">
        <f>"2922.39.29"</f>
        <v>2922.39.29</v>
      </c>
      <c r="B2674" s="2" t="str">
        <f>"Outros"</f>
        <v>Outros</v>
      </c>
    </row>
    <row r="2675" spans="1:2">
      <c r="A2675" s="1" t="str">
        <f>"2922.39.90"</f>
        <v>2922.39.90</v>
      </c>
      <c r="B2675" s="2" t="str">
        <f>"Outros"</f>
        <v>Outros</v>
      </c>
    </row>
    <row r="2676" spans="1:2">
      <c r="A2676" s="1" t="str">
        <f>"2922.41.10"</f>
        <v>2922.41.10</v>
      </c>
      <c r="B2676" s="2" t="str">
        <f>"Lisina"</f>
        <v>Lisina</v>
      </c>
    </row>
    <row r="2677" spans="1:2">
      <c r="A2677" s="1" t="str">
        <f>"2922.41.90"</f>
        <v>2922.41.90</v>
      </c>
      <c r="B2677" s="2" t="str">
        <f>"Outros"</f>
        <v>Outros</v>
      </c>
    </row>
    <row r="2678" spans="1:2">
      <c r="A2678" s="1" t="str">
        <f>"2922.42.10"</f>
        <v>2922.42.10</v>
      </c>
      <c r="B2678" s="2" t="str">
        <f>"Acido glutamico"</f>
        <v>Acido glutamico</v>
      </c>
    </row>
    <row r="2679" spans="1:2">
      <c r="A2679" s="1" t="str">
        <f>"2922.42.20"</f>
        <v>2922.42.20</v>
      </c>
      <c r="B2679" s="2" t="str">
        <f>"Sais"</f>
        <v>Sais</v>
      </c>
    </row>
    <row r="2680" spans="1:2">
      <c r="A2680" s="1" t="str">
        <f>"2922.43.00"</f>
        <v>2922.43.00</v>
      </c>
      <c r="B2680" s="2" t="str">
        <f>"Acido antranilico e seus sais"</f>
        <v>Acido antranilico e seus sais</v>
      </c>
    </row>
    <row r="2681" spans="1:2">
      <c r="A2681" s="1" t="str">
        <f>"2922.44.10"</f>
        <v>2922.44.10</v>
      </c>
      <c r="B2681" s="2" t="str">
        <f>"Tilidina"</f>
        <v>Tilidina</v>
      </c>
    </row>
    <row r="2682" spans="1:2">
      <c r="A2682" s="1" t="str">
        <f>"2922.44.20"</f>
        <v>2922.44.20</v>
      </c>
      <c r="B2682" s="2" t="str">
        <f>"Sais"</f>
        <v>Sais</v>
      </c>
    </row>
    <row r="2683" spans="1:2">
      <c r="A2683" s="1" t="str">
        <f>"2922.49.10"</f>
        <v>2922.49.10</v>
      </c>
      <c r="B2683" s="2" t="str">
        <f>"Glicina e seus sais"</f>
        <v>Glicina e seus sais</v>
      </c>
    </row>
    <row r="2684" spans="1:2">
      <c r="A2684" s="1" t="str">
        <f>"2922.49.20"</f>
        <v>2922.49.20</v>
      </c>
      <c r="B2684" s="2" t="str">
        <f>"Acido etilenodiaminotetracetico (ED"</f>
        <v>Acido etilenodiaminotetracetico (ED</v>
      </c>
    </row>
    <row r="2685" spans="1:2">
      <c r="A2685" s="1" t="str">
        <f>"2922.49.31"</f>
        <v>2922.49.31</v>
      </c>
      <c r="B2685" s="2" t="str">
        <f>"Acido iminodiacetico"</f>
        <v>Acido iminodiacetico</v>
      </c>
    </row>
    <row r="2686" spans="1:2">
      <c r="A2686" s="1" t="str">
        <f>"2922.49.32"</f>
        <v>2922.49.32</v>
      </c>
      <c r="B2686" s="2" t="str">
        <f>"Sais"</f>
        <v>Sais</v>
      </c>
    </row>
    <row r="2687" spans="1:2">
      <c r="A2687" s="1" t="str">
        <f>"2922.49.40"</f>
        <v>2922.49.40</v>
      </c>
      <c r="B2687" s="2" t="str">
        <f>"Acido dietilenotriaminopentacetico"</f>
        <v>Acido dietilenotriaminopentacetico</v>
      </c>
    </row>
    <row r="2688" spans="1:2">
      <c r="A2688" s="1" t="str">
        <f>"2922.49.51"</f>
        <v>2922.49.51</v>
      </c>
      <c r="B2688" s="2" t="str">
        <f>"alfa-Fenilglicina"</f>
        <v>alfa-Fenilglicina</v>
      </c>
    </row>
    <row r="2689" spans="1:2">
      <c r="A2689" s="1" t="str">
        <f>"2922.49.52"</f>
        <v>2922.49.52</v>
      </c>
      <c r="B2689" s="2" t="str">
        <f>"Cloridrato de cloreto de D(-)alfa-a"</f>
        <v>Cloridrato de cloreto de D(-)alfa-a</v>
      </c>
    </row>
    <row r="2690" spans="1:2">
      <c r="A2690" s="1" t="str">
        <f>"2922.49.59"</f>
        <v>2922.49.59</v>
      </c>
      <c r="B2690" s="2" t="str">
        <f>"Outros"</f>
        <v>Outros</v>
      </c>
    </row>
    <row r="2691" spans="1:2">
      <c r="A2691" s="1" t="str">
        <f>"2922.49.61"</f>
        <v>2922.49.61</v>
      </c>
      <c r="B2691" s="2" t="str">
        <f>"Diclofenaco de sodio"</f>
        <v>Diclofenaco de sodio</v>
      </c>
    </row>
    <row r="2692" spans="1:2">
      <c r="A2692" s="1" t="str">
        <f>"2922.49.62"</f>
        <v>2922.49.62</v>
      </c>
      <c r="B2692" s="2" t="str">
        <f>"Diclofenaco de potassio"</f>
        <v>Diclofenaco de potassio</v>
      </c>
    </row>
    <row r="2693" spans="1:2">
      <c r="A2693" s="1" t="str">
        <f>"2922.49.63"</f>
        <v>2922.49.63</v>
      </c>
      <c r="B2693" s="2" t="str">
        <f>"Diclofenaco de dietilamonio"</f>
        <v>Diclofenaco de dietilamonio</v>
      </c>
    </row>
    <row r="2694" spans="1:2">
      <c r="A2694" s="1" t="str">
        <f>"2922.49.64"</f>
        <v>2922.49.64</v>
      </c>
      <c r="B2694" s="2" t="str">
        <f>"Diclofenaco"</f>
        <v>Diclofenaco</v>
      </c>
    </row>
    <row r="2695" spans="1:2">
      <c r="A2695" s="1" t="str">
        <f>"2922.49.69"</f>
        <v>2922.49.69</v>
      </c>
      <c r="B2695" s="2" t="str">
        <f>"Outros"</f>
        <v>Outros</v>
      </c>
    </row>
    <row r="2696" spans="1:2">
      <c r="A2696" s="1" t="str">
        <f>"2922.49.90"</f>
        <v>2922.49.90</v>
      </c>
      <c r="B2696" s="2" t="str">
        <f>"Outros"</f>
        <v>Outros</v>
      </c>
    </row>
    <row r="2697" spans="1:2">
      <c r="A2697" s="1" t="str">
        <f>"2922.50.11"</f>
        <v>2922.50.11</v>
      </c>
      <c r="B2697" s="2" t="str">
        <f>"Cloridrato"</f>
        <v>Cloridrato</v>
      </c>
    </row>
    <row r="2698" spans="1:2">
      <c r="A2698" s="1" t="str">
        <f>"2922.50.19"</f>
        <v>2922.50.19</v>
      </c>
      <c r="B2698" s="2" t="str">
        <f>"Outros"</f>
        <v>Outros</v>
      </c>
    </row>
    <row r="2699" spans="1:2">
      <c r="A2699" s="1" t="str">
        <f>"2922.50.31"</f>
        <v>2922.50.31</v>
      </c>
      <c r="B2699" s="2" t="str">
        <f>"Levodopa"</f>
        <v>Levodopa</v>
      </c>
    </row>
    <row r="2700" spans="1:2">
      <c r="A2700" s="1" t="str">
        <f>"2922.50.32"</f>
        <v>2922.50.32</v>
      </c>
      <c r="B2700" s="2" t="str">
        <f>"Metildopa"</f>
        <v>Metildopa</v>
      </c>
    </row>
    <row r="2701" spans="1:2">
      <c r="A2701" s="1" t="str">
        <f>"2922.50.39"</f>
        <v>2922.50.39</v>
      </c>
      <c r="B2701" s="2" t="str">
        <f>"Outros"</f>
        <v>Outros</v>
      </c>
    </row>
    <row r="2702" spans="1:2">
      <c r="A2702" s="1" t="str">
        <f>"2922.50.91"</f>
        <v>2922.50.91</v>
      </c>
      <c r="B2702" s="2" t="str">
        <f>"N-(1-(Metoxicarbonil)propen-2-il)-a"</f>
        <v>N-(1-(Metoxicarbonil)propen-2-il)-a</v>
      </c>
    </row>
    <row r="2703" spans="1:2">
      <c r="A2703" s="1" t="str">
        <f>"2922.50.99"</f>
        <v>2922.50.99</v>
      </c>
      <c r="B2703" s="2" t="str">
        <f>"OUTROS - EBECRYL 7100"</f>
        <v>OUTROS - EBECRYL 7100</v>
      </c>
    </row>
    <row r="2704" spans="1:2">
      <c r="A2704" s="1" t="str">
        <f>"2923.10.00"</f>
        <v>2923.10.00</v>
      </c>
      <c r="B2704" s="2" t="str">
        <f>"Colina e seus sais"</f>
        <v>Colina e seus sais</v>
      </c>
    </row>
    <row r="2705" spans="1:2">
      <c r="A2705" s="1" t="str">
        <f>"2923.20.00"</f>
        <v>2923.20.00</v>
      </c>
      <c r="B2705" s="2" t="str">
        <f>"Lecitinas e outros fosfoaminolipidi"</f>
        <v>Lecitinas e outros fosfoaminolipidi</v>
      </c>
    </row>
    <row r="2706" spans="1:2">
      <c r="A2706" s="1" t="str">
        <f>"2923.30.00"</f>
        <v>2923.30.00</v>
      </c>
      <c r="B2706" s="2" t="str">
        <f>"Perfluoroctanossulfonato de tetraet"</f>
        <v>Perfluoroctanossulfonato de tetraet</v>
      </c>
    </row>
    <row r="2707" spans="1:2">
      <c r="A2707" s="1" t="str">
        <f>"2923.40.00"</f>
        <v>2923.40.00</v>
      </c>
      <c r="B2707" s="2" t="str">
        <f>"Perfluoroctanossulfonato de didecil"</f>
        <v>Perfluoroctanossulfonato de didecil</v>
      </c>
    </row>
    <row r="2708" spans="1:2">
      <c r="A2708" s="1" t="str">
        <f>"2923.90.10"</f>
        <v>2923.90.10</v>
      </c>
      <c r="B2708" s="2" t="str">
        <f>"Betaina e seus sais"</f>
        <v>Betaina e seus sais</v>
      </c>
    </row>
    <row r="2709" spans="1:2">
      <c r="A2709" s="1" t="str">
        <f>"2923.90.20"</f>
        <v>2923.90.20</v>
      </c>
      <c r="B2709" s="2" t="str">
        <f>"Derivados da colina"</f>
        <v>Derivados da colina</v>
      </c>
    </row>
    <row r="2710" spans="1:2">
      <c r="A2710" s="1" t="str">
        <f>"2923.90.30"</f>
        <v>2923.90.30</v>
      </c>
      <c r="B2710" s="2" t="str">
        <f>"Cloreto de 3-cloro-2-hidroxipropilt"</f>
        <v>Cloreto de 3-cloro-2-hidroxipropilt</v>
      </c>
    </row>
    <row r="2711" spans="1:2">
      <c r="A2711" s="1" t="str">
        <f>"2923.90.40"</f>
        <v>2923.90.40</v>
      </c>
      <c r="B2711" s="2" t="str">
        <f>"Halogenetos de alquil-trimetilamoni"</f>
        <v>Halogenetos de alquil-trimetilamoni</v>
      </c>
    </row>
    <row r="2712" spans="1:2">
      <c r="A2712" s="1" t="str">
        <f>"2923.90.50"</f>
        <v>2923.90.50</v>
      </c>
      <c r="B2712" s="2" t="str">
        <f>"Halogenetos de dialquil-dimetilamon"</f>
        <v>Halogenetos de dialquil-dimetilamon</v>
      </c>
    </row>
    <row r="2713" spans="1:2">
      <c r="A2713" s="1" t="str">
        <f>"2923.90.60"</f>
        <v>2923.90.60</v>
      </c>
      <c r="B2713" s="2" t="str">
        <f>"Halogenetos de pentametil-alquil-pr"</f>
        <v>Halogenetos de pentametil-alquil-pr</v>
      </c>
    </row>
    <row r="2714" spans="1:2">
      <c r="A2714" s="1" t="str">
        <f>"2923.90.90"</f>
        <v>2923.90.90</v>
      </c>
      <c r="B2714" s="2" t="str">
        <f>"Outros"</f>
        <v>Outros</v>
      </c>
    </row>
    <row r="2715" spans="1:2">
      <c r="A2715" s="1" t="str">
        <f>"2924.11.00"</f>
        <v>2924.11.00</v>
      </c>
      <c r="B2715" s="2" t="str">
        <f>"Meprobamato (DCI)"</f>
        <v>Meprobamato (DCI)</v>
      </c>
    </row>
    <row r="2716" spans="1:2">
      <c r="A2716" s="1" t="str">
        <f>"2924.12.10"</f>
        <v>2924.12.10</v>
      </c>
      <c r="B2716" s="2" t="str">
        <f>"Fluoracetamida"</f>
        <v>Fluoracetamida</v>
      </c>
    </row>
    <row r="2717" spans="1:2">
      <c r="A2717" s="1" t="str">
        <f>"2924.12.20"</f>
        <v>2924.12.20</v>
      </c>
      <c r="B2717" s="2" t="str">
        <f>"Fosfamidona"</f>
        <v>Fosfamidona</v>
      </c>
    </row>
    <row r="2718" spans="1:2">
      <c r="A2718" s="1" t="str">
        <f>"2924.12.30"</f>
        <v>2924.12.30</v>
      </c>
      <c r="B2718" s="2" t="str">
        <f>"Monocrotofos"</f>
        <v>Monocrotofos</v>
      </c>
    </row>
    <row r="2719" spans="1:2">
      <c r="A2719" s="1" t="str">
        <f>"2924.19.11"</f>
        <v>2924.19.11</v>
      </c>
      <c r="B2719" s="2" t="str">
        <f>"2-Cloro-N-metilacetoacetamida"</f>
        <v>2-Cloro-N-metilacetoacetamida</v>
      </c>
    </row>
    <row r="2720" spans="1:2">
      <c r="A2720" s="1" t="str">
        <f>"2924.19.19"</f>
        <v>2924.19.19</v>
      </c>
      <c r="B2720" s="2" t="str">
        <f>"Outros"</f>
        <v>Outros</v>
      </c>
    </row>
    <row r="2721" spans="1:2">
      <c r="A2721" s="1" t="str">
        <f>"2924.19.21"</f>
        <v>2924.19.21</v>
      </c>
      <c r="B2721" s="2" t="str">
        <f>"N-Metilformamida"</f>
        <v>N-Metilformamida</v>
      </c>
    </row>
    <row r="2722" spans="1:2">
      <c r="A2722" s="1" t="str">
        <f>"2924.19.22"</f>
        <v>2924.19.22</v>
      </c>
      <c r="B2722" s="2" t="str">
        <f>"N,N-Dimetilformamida"</f>
        <v>N,N-Dimetilformamida</v>
      </c>
    </row>
    <row r="2723" spans="1:2">
      <c r="A2723" s="1" t="str">
        <f>"2924.19.29"</f>
        <v>2924.19.29</v>
      </c>
      <c r="B2723" s="2" t="str">
        <f>"Outras"</f>
        <v>Outras</v>
      </c>
    </row>
    <row r="2724" spans="1:2">
      <c r="A2724" s="1" t="str">
        <f>"2924.19.31"</f>
        <v>2924.19.31</v>
      </c>
      <c r="B2724" s="2" t="str">
        <f>"Acrilamida"</f>
        <v>Acrilamida</v>
      </c>
    </row>
    <row r="2725" spans="1:2">
      <c r="A2725" s="1" t="str">
        <f>"2924.19.32"</f>
        <v>2924.19.32</v>
      </c>
      <c r="B2725" s="2" t="str">
        <f>"Metacrilamidas"</f>
        <v>Metacrilamidas</v>
      </c>
    </row>
    <row r="2726" spans="1:2">
      <c r="A2726" s="1" t="str">
        <f>"2924.19.39"</f>
        <v>2924.19.39</v>
      </c>
      <c r="B2726" s="2" t="str">
        <f>"Outros"</f>
        <v>Outros</v>
      </c>
    </row>
    <row r="2727" spans="1:2">
      <c r="A2727" s="1" t="str">
        <f>"2924.19.42"</f>
        <v>2924.19.42</v>
      </c>
      <c r="B2727" s="2" t="str">
        <f>"Dicrotofos"</f>
        <v>Dicrotofos</v>
      </c>
    </row>
    <row r="2728" spans="1:2">
      <c r="A2728" s="1" t="str">
        <f>"2924.19.49"</f>
        <v>2924.19.49</v>
      </c>
      <c r="B2728" s="2" t="str">
        <f>"Outros"</f>
        <v>Outros</v>
      </c>
    </row>
    <row r="2729" spans="1:2">
      <c r="A2729" s="1" t="str">
        <f>"2924.19.91"</f>
        <v>2924.19.91</v>
      </c>
      <c r="B2729" s="2" t="str">
        <f>"N,N'-Dimetilureia"</f>
        <v>N,N'-Dimetilureia</v>
      </c>
    </row>
    <row r="2730" spans="1:2">
      <c r="A2730" s="1" t="str">
        <f>"2924.19.92"</f>
        <v>2924.19.92</v>
      </c>
      <c r="B2730" s="2" t="str">
        <f>"Carisoprodol"</f>
        <v>Carisoprodol</v>
      </c>
    </row>
    <row r="2731" spans="1:2">
      <c r="A2731" s="1" t="str">
        <f>"2924.19.93"</f>
        <v>2924.19.93</v>
      </c>
      <c r="B2731" s="2" t="str">
        <f>"N,N'-(Diestearoil)etilenodiamina (N"</f>
        <v>N,N'-(Diestearoil)etilenodiamina (N</v>
      </c>
    </row>
    <row r="2732" spans="1:2">
      <c r="A2732" s="1" t="str">
        <f>"2924.19.94"</f>
        <v>2924.19.94</v>
      </c>
      <c r="B2732" s="2" t="str">
        <f>"Dietanolamidas de acidos graxos de"</f>
        <v>Dietanolamidas de acidos graxos de</v>
      </c>
    </row>
    <row r="2733" spans="1:2">
      <c r="A2733" s="1" t="str">
        <f>"2924.19.99"</f>
        <v>2924.19.99</v>
      </c>
      <c r="B2733" s="2" t="str">
        <f>"Outros"</f>
        <v>Outros</v>
      </c>
    </row>
    <row r="2734" spans="1:2">
      <c r="A2734" s="1" t="str">
        <f>"2924.21.11"</f>
        <v>2924.21.11</v>
      </c>
      <c r="B2734" s="2" t="str">
        <f>"Hexanitrocarbanilidas"</f>
        <v>Hexanitrocarbanilidas</v>
      </c>
    </row>
    <row r="2735" spans="1:2">
      <c r="A2735" s="1" t="str">
        <f>"2924.21.19"</f>
        <v>2924.21.19</v>
      </c>
      <c r="B2735" s="2" t="str">
        <f>"Outros"</f>
        <v>Outros</v>
      </c>
    </row>
    <row r="2736" spans="1:2">
      <c r="A2736" s="1" t="str">
        <f>"2924.21.20"</f>
        <v>2924.21.20</v>
      </c>
      <c r="B2736" s="2" t="str">
        <f>"Diuron"</f>
        <v>Diuron</v>
      </c>
    </row>
    <row r="2737" spans="1:2">
      <c r="A2737" s="1" t="str">
        <f>"2924.21.90"</f>
        <v>2924.21.90</v>
      </c>
      <c r="B2737" s="2" t="str">
        <f>"Outros"</f>
        <v>Outros</v>
      </c>
    </row>
    <row r="2738" spans="1:2">
      <c r="A2738" s="1" t="str">
        <f>"2924.23.00"</f>
        <v>2924.23.00</v>
      </c>
      <c r="B2738" s="2" t="str">
        <f>"Acido 2-acetamidobenzoico (acido N-"</f>
        <v>Acido 2-acetamidobenzoico (acido N-</v>
      </c>
    </row>
    <row r="2739" spans="1:2">
      <c r="A2739" s="1" t="str">
        <f>"2924.24.00"</f>
        <v>2924.24.00</v>
      </c>
      <c r="B2739" s="2" t="str">
        <f>"Etinamato (DCI)"</f>
        <v>Etinamato (DCI)</v>
      </c>
    </row>
    <row r="2740" spans="1:2">
      <c r="A2740" s="1" t="str">
        <f>"2924.25.00"</f>
        <v>2924.25.00</v>
      </c>
      <c r="B2740" s="2" t="str">
        <f>"Alaclor (ISO)"</f>
        <v>Alaclor (ISO)</v>
      </c>
    </row>
    <row r="2741" spans="1:2">
      <c r="A2741" s="1" t="str">
        <f>"2924.29.11"</f>
        <v>2924.29.11</v>
      </c>
      <c r="B2741" s="2" t="str">
        <f>"Acetanilida"</f>
        <v>Acetanilida</v>
      </c>
    </row>
    <row r="2742" spans="1:2">
      <c r="A2742" s="1" t="str">
        <f>"2924.29.12"</f>
        <v>2924.29.12</v>
      </c>
      <c r="B2742" s="2" t="str">
        <f>"4-Aminoacetanilida"</f>
        <v>4-Aminoacetanilida</v>
      </c>
    </row>
    <row r="2743" spans="1:2">
      <c r="A2743" s="1" t="str">
        <f>"2924.29.13"</f>
        <v>2924.29.13</v>
      </c>
      <c r="B2743" s="2" t="str">
        <f>"Acetaminofen (paracetamol)"</f>
        <v>Acetaminofen (paracetamol)</v>
      </c>
    </row>
    <row r="2744" spans="1:2">
      <c r="A2744" s="1" t="str">
        <f>"2924.29.14"</f>
        <v>2924.29.14</v>
      </c>
      <c r="B2744" s="2" t="str">
        <f>"Lidocaina e seu cloridrato"</f>
        <v>Lidocaina e seu cloridrato</v>
      </c>
    </row>
    <row r="2745" spans="1:2">
      <c r="A2745" s="1" t="str">
        <f>"2924.29.15"</f>
        <v>2924.29.15</v>
      </c>
      <c r="B2745" s="2" t="str">
        <f>"2,5-Dimetoxiacetanilida"</f>
        <v>2,5-Dimetoxiacetanilida</v>
      </c>
    </row>
    <row r="2746" spans="1:2">
      <c r="A2746" s="1" t="str">
        <f>"2924.29.19"</f>
        <v>2924.29.19</v>
      </c>
      <c r="B2746" s="2" t="str">
        <f>"Outros"</f>
        <v>Outros</v>
      </c>
    </row>
    <row r="2747" spans="1:2">
      <c r="A2747" s="1" t="str">
        <f>"2924.29.20"</f>
        <v>2924.29.20</v>
      </c>
      <c r="B2747" s="2" t="str">
        <f>"Anilidas dos acidos hidroxinaftoico"</f>
        <v>Anilidas dos acidos hidroxinaftoico</v>
      </c>
    </row>
    <row r="2748" spans="1:2">
      <c r="A2748" s="1" t="str">
        <f>"2924.29.31"</f>
        <v>2924.29.31</v>
      </c>
      <c r="B2748" s="2" t="str">
        <f>"Carbaril"</f>
        <v>Carbaril</v>
      </c>
    </row>
    <row r="2749" spans="1:2">
      <c r="A2749" s="1" t="str">
        <f>"2924.29.32"</f>
        <v>2924.29.32</v>
      </c>
      <c r="B2749" s="2" t="str">
        <f>"Propoxur"</f>
        <v>Propoxur</v>
      </c>
    </row>
    <row r="2750" spans="1:2">
      <c r="A2750" s="1" t="str">
        <f>"2924.29.39"</f>
        <v>2924.29.39</v>
      </c>
      <c r="B2750" s="2" t="str">
        <f>"Outros"</f>
        <v>Outros</v>
      </c>
    </row>
    <row r="2751" spans="1:2">
      <c r="A2751" s="1" t="str">
        <f>"2924.29.41"</f>
        <v>2924.29.41</v>
      </c>
      <c r="B2751" s="2" t="str">
        <f>"Teclozam"</f>
        <v>Teclozam</v>
      </c>
    </row>
    <row r="2752" spans="1:2">
      <c r="A2752" s="1" t="str">
        <f>"2924.29.43"</f>
        <v>2924.29.43</v>
      </c>
      <c r="B2752" s="2" t="str">
        <f>"Atenolol; metolaclor"</f>
        <v>Atenolol; metolaclor</v>
      </c>
    </row>
    <row r="2753" spans="1:2">
      <c r="A2753" s="1" t="str">
        <f>"2924.29.44"</f>
        <v>2924.29.44</v>
      </c>
      <c r="B2753" s="2" t="str">
        <f>"Acido ioxaglico"</f>
        <v>Acido ioxaglico</v>
      </c>
    </row>
    <row r="2754" spans="1:2">
      <c r="A2754" s="1" t="str">
        <f>"2924.29.45"</f>
        <v>2924.29.45</v>
      </c>
      <c r="B2754" s="2" t="str">
        <f>"Iodamida"</f>
        <v>Iodamida</v>
      </c>
    </row>
    <row r="2755" spans="1:2">
      <c r="A2755" s="1" t="str">
        <f>"2924.29.46"</f>
        <v>2924.29.46</v>
      </c>
      <c r="B2755" s="2" t="str">
        <f>"Cloreto do acido p-acetamidobenzeno"</f>
        <v>Cloreto do acido p-acetamidobenzeno</v>
      </c>
    </row>
    <row r="2756" spans="1:2">
      <c r="A2756" s="1" t="str">
        <f>"2924.29.47"</f>
        <v>2924.29.47</v>
      </c>
      <c r="B2756" s="2" t="str">
        <f>"Acido ioxitalamico"</f>
        <v>Acido ioxitalamico</v>
      </c>
    </row>
    <row r="2757" spans="1:2">
      <c r="A2757" s="1" t="str">
        <f>"2924.29.49"</f>
        <v>2924.29.49</v>
      </c>
      <c r="B2757" s="2" t="str">
        <f>"Outros"</f>
        <v>Outros</v>
      </c>
    </row>
    <row r="2758" spans="1:2">
      <c r="A2758" s="1" t="str">
        <f>"2924.29.51"</f>
        <v>2924.29.51</v>
      </c>
      <c r="B2758" s="2" t="str">
        <f>"Bromoprida"</f>
        <v>Bromoprida</v>
      </c>
    </row>
    <row r="2759" spans="1:2">
      <c r="A2759" s="1" t="str">
        <f>"2924.29.52"</f>
        <v>2924.29.52</v>
      </c>
      <c r="B2759" s="2" t="str">
        <f>"Metoclopramida e seu cloridrato"</f>
        <v>Metoclopramida e seu cloridrato</v>
      </c>
    </row>
    <row r="2760" spans="1:2">
      <c r="A2760" s="1" t="str">
        <f>"2924.29.59"</f>
        <v>2924.29.59</v>
      </c>
      <c r="B2760" s="2" t="str">
        <f>"Outros"</f>
        <v>Outros</v>
      </c>
    </row>
    <row r="2761" spans="1:2">
      <c r="A2761" s="1" t="str">
        <f>"2924.29.61"</f>
        <v>2924.29.61</v>
      </c>
      <c r="B2761" s="2" t="str">
        <f>"Propanil"</f>
        <v>Propanil</v>
      </c>
    </row>
    <row r="2762" spans="1:2">
      <c r="A2762" s="1" t="str">
        <f>"2924.29.62"</f>
        <v>2924.29.62</v>
      </c>
      <c r="B2762" s="2" t="str">
        <f>"Flutamida"</f>
        <v>Flutamida</v>
      </c>
    </row>
    <row r="2763" spans="1:2">
      <c r="A2763" s="1" t="str">
        <f>"2924.29.63"</f>
        <v>2924.29.63</v>
      </c>
      <c r="B2763" s="2" t="str">
        <f>"Prilocaina e seu cloridrato"</f>
        <v>Prilocaina e seu cloridrato</v>
      </c>
    </row>
    <row r="2764" spans="1:2">
      <c r="A2764" s="1" t="str">
        <f>"2924.29.64"</f>
        <v>2924.29.64</v>
      </c>
      <c r="B2764" s="2" t="str">
        <f>"Iobitridol"</f>
        <v>Iobitridol</v>
      </c>
    </row>
    <row r="2765" spans="1:2">
      <c r="A2765" s="1" t="str">
        <f>"2924.29.69"</f>
        <v>2924.29.69</v>
      </c>
      <c r="B2765" s="2" t="str">
        <f>"Outros"</f>
        <v>Outros</v>
      </c>
    </row>
    <row r="2766" spans="1:2">
      <c r="A2766" s="1" t="str">
        <f>"2924.29.91"</f>
        <v>2924.29.91</v>
      </c>
      <c r="B2766" s="2" t="str">
        <f>"Aspartame"</f>
        <v>Aspartame</v>
      </c>
    </row>
    <row r="2767" spans="1:2">
      <c r="A2767" s="1" t="str">
        <f>"2924.29.92"</f>
        <v>2924.29.92</v>
      </c>
      <c r="B2767" s="2" t="str">
        <f>"Diflubenzuron"</f>
        <v>Diflubenzuron</v>
      </c>
    </row>
    <row r="2768" spans="1:2">
      <c r="A2768" s="1" t="str">
        <f>"2924.29.93"</f>
        <v>2924.29.93</v>
      </c>
      <c r="B2768" s="2" t="str">
        <f>"Metalaxil"</f>
        <v>Metalaxil</v>
      </c>
    </row>
    <row r="2769" spans="1:2">
      <c r="A2769" s="1" t="str">
        <f>"2924.29.94"</f>
        <v>2924.29.94</v>
      </c>
      <c r="B2769" s="2" t="str">
        <f>"Triflumuron"</f>
        <v>Triflumuron</v>
      </c>
    </row>
    <row r="2770" spans="1:2">
      <c r="A2770" s="1" t="str">
        <f>"2924.29.95"</f>
        <v>2924.29.95</v>
      </c>
      <c r="B2770" s="2" t="str">
        <f>"Buclosamida"</f>
        <v>Buclosamida</v>
      </c>
    </row>
    <row r="2771" spans="1:2">
      <c r="A2771" s="1" t="str">
        <f>"2924.29.96"</f>
        <v>2924.29.96</v>
      </c>
      <c r="B2771" s="2" t="str">
        <f>"Benzoato de denatonio"</f>
        <v>Benzoato de denatonio</v>
      </c>
    </row>
    <row r="2772" spans="1:2">
      <c r="A2772" s="1" t="str">
        <f>"2924.29.99"</f>
        <v>2924.29.99</v>
      </c>
      <c r="B2772" s="2" t="str">
        <f>"Outros"</f>
        <v>Outros</v>
      </c>
    </row>
    <row r="2773" spans="1:2">
      <c r="A2773" s="1" t="str">
        <f>"2925.11.00"</f>
        <v>2925.11.00</v>
      </c>
      <c r="B2773" s="2" t="str">
        <f>"Sacarina e seus sais"</f>
        <v>Sacarina e seus sais</v>
      </c>
    </row>
    <row r="2774" spans="1:2">
      <c r="A2774" s="1" t="str">
        <f>"2925.12.00"</f>
        <v>2925.12.00</v>
      </c>
      <c r="B2774" s="2" t="str">
        <f>"Glutetimida (DCI)"</f>
        <v>Glutetimida (DCI)</v>
      </c>
    </row>
    <row r="2775" spans="1:2">
      <c r="A2775" s="1" t="str">
        <f>"2925.19.10"</f>
        <v>2925.19.10</v>
      </c>
      <c r="B2775" s="2" t="str">
        <f>"Talidomida"</f>
        <v>Talidomida</v>
      </c>
    </row>
    <row r="2776" spans="1:2">
      <c r="A2776" s="1" t="str">
        <f>"2925.19.90"</f>
        <v>2925.19.90</v>
      </c>
      <c r="B2776" s="2" t="str">
        <f>"Outros"</f>
        <v>Outros</v>
      </c>
    </row>
    <row r="2777" spans="1:2">
      <c r="A2777" s="1" t="str">
        <f>"2925.21.00"</f>
        <v>2925.21.00</v>
      </c>
      <c r="B2777" s="2" t="str">
        <f>"Clordimeforme (ISO)"</f>
        <v>Clordimeforme (ISO)</v>
      </c>
    </row>
    <row r="2778" spans="1:2">
      <c r="A2778" s="1" t="str">
        <f>"2925.29.11"</f>
        <v>2925.29.11</v>
      </c>
      <c r="B2778" s="2" t="str">
        <f>"Aspartato de L-arginina"</f>
        <v>Aspartato de L-arginina</v>
      </c>
    </row>
    <row r="2779" spans="1:2">
      <c r="A2779" s="1" t="str">
        <f>"2925.29.19"</f>
        <v>2925.29.19</v>
      </c>
      <c r="B2779" s="2" t="str">
        <f>"Outros"</f>
        <v>Outros</v>
      </c>
    </row>
    <row r="2780" spans="1:2">
      <c r="A2780" s="1" t="str">
        <f>"2925.29.21"</f>
        <v>2925.29.21</v>
      </c>
      <c r="B2780" s="2" t="str">
        <f>"Guanidina"</f>
        <v>Guanidina</v>
      </c>
    </row>
    <row r="2781" spans="1:2">
      <c r="A2781" s="1" t="str">
        <f>"2925.29.22"</f>
        <v>2925.29.22</v>
      </c>
      <c r="B2781" s="2" t="str">
        <f>"N,N'-Difenilguanidina"</f>
        <v>N,N'-Difenilguanidina</v>
      </c>
    </row>
    <row r="2782" spans="1:2">
      <c r="A2782" s="1" t="str">
        <f>"2925.29.23"</f>
        <v>2925.29.23</v>
      </c>
      <c r="B2782" s="2" t="str">
        <f>"Clorexidina e seus sais"</f>
        <v>Clorexidina e seus sais</v>
      </c>
    </row>
    <row r="2783" spans="1:2">
      <c r="A2783" s="1" t="str">
        <f>"2925.29.29"</f>
        <v>2925.29.29</v>
      </c>
      <c r="B2783" s="2" t="str">
        <f>"Outros"</f>
        <v>Outros</v>
      </c>
    </row>
    <row r="2784" spans="1:2">
      <c r="A2784" s="1" t="str">
        <f>"2925.29.30"</f>
        <v>2925.29.30</v>
      </c>
      <c r="B2784" s="2" t="str">
        <f>"Amitraz"</f>
        <v>Amitraz</v>
      </c>
    </row>
    <row r="2785" spans="1:2">
      <c r="A2785" s="1" t="str">
        <f>"2925.29.40"</f>
        <v>2925.29.40</v>
      </c>
      <c r="B2785" s="2" t="str">
        <f>"Isetionato de pentamidina"</f>
        <v>Isetionato de pentamidina</v>
      </c>
    </row>
    <row r="2786" spans="1:2">
      <c r="A2786" s="1" t="str">
        <f>"2925.29.50"</f>
        <v>2925.29.50</v>
      </c>
      <c r="B2786" s="2" t="str">
        <f>"N-(3,7-Dimetil-7-hidroxioctilideno)"</f>
        <v>N-(3,7-Dimetil-7-hidroxioctilideno)</v>
      </c>
    </row>
    <row r="2787" spans="1:2">
      <c r="A2787" s="1" t="str">
        <f>"2925.29.90"</f>
        <v>2925.29.90</v>
      </c>
      <c r="B2787" s="2" t="str">
        <f>"Outros"</f>
        <v>Outros</v>
      </c>
    </row>
    <row r="2788" spans="1:2">
      <c r="A2788" s="1" t="str">
        <f>"2926.10.00"</f>
        <v>2926.10.00</v>
      </c>
      <c r="B2788" s="2" t="str">
        <f>"Acrilonitrila"</f>
        <v>Acrilonitrila</v>
      </c>
    </row>
    <row r="2789" spans="1:2">
      <c r="A2789" s="1" t="str">
        <f>"2926.20.00"</f>
        <v>2926.20.00</v>
      </c>
      <c r="B2789" s="2" t="str">
        <f>"1-Cianoguanidina (diciandiamida)"</f>
        <v>1-Cianoguanidina (diciandiamida)</v>
      </c>
    </row>
    <row r="2790" spans="1:2">
      <c r="A2790" s="1" t="str">
        <f>"2926.30.11"</f>
        <v>2926.30.11</v>
      </c>
      <c r="B2790" s="2" t="str">
        <f>"Fenproporex"</f>
        <v>Fenproporex</v>
      </c>
    </row>
    <row r="2791" spans="1:2">
      <c r="A2791" s="1" t="str">
        <f>"2926.30.12"</f>
        <v>2926.30.12</v>
      </c>
      <c r="B2791" s="2" t="str">
        <f>"Sais"</f>
        <v>Sais</v>
      </c>
    </row>
    <row r="2792" spans="1:2">
      <c r="A2792" s="1" t="str">
        <f>"2926.30.20"</f>
        <v>2926.30.20</v>
      </c>
      <c r="B2792" s="2" t="str">
        <f>"Intermediario da metadona"</f>
        <v>Intermediario da metadona</v>
      </c>
    </row>
    <row r="2793" spans="1:2">
      <c r="A2793" s="1" t="str">
        <f>"2926.40.00"</f>
        <v>2926.40.00</v>
      </c>
      <c r="B2793" s="2" t="str">
        <f>"alfa-Fenilacetoacetonitrila"</f>
        <v>alfa-Fenilacetoacetonitrila</v>
      </c>
    </row>
    <row r="2794" spans="1:2">
      <c r="A2794" s="1" t="str">
        <f>"2926.90.11"</f>
        <v>2926.90.11</v>
      </c>
      <c r="B2794" s="2" t="str">
        <f>"Verapamil"</f>
        <v>Verapamil</v>
      </c>
    </row>
    <row r="2795" spans="1:2">
      <c r="A2795" s="1" t="str">
        <f>"2926.90.12"</f>
        <v>2926.90.12</v>
      </c>
      <c r="B2795" s="2" t="str">
        <f>"Cloridrato"</f>
        <v>Cloridrato</v>
      </c>
    </row>
    <row r="2796" spans="1:2">
      <c r="A2796" s="1" t="str">
        <f>"2926.90.19"</f>
        <v>2926.90.19</v>
      </c>
      <c r="B2796" s="2" t="str">
        <f>"Outros"</f>
        <v>Outros</v>
      </c>
    </row>
    <row r="2797" spans="1:2">
      <c r="A2797" s="1" t="str">
        <f>"2926.90.21"</f>
        <v>2926.90.21</v>
      </c>
      <c r="B2797" s="2" t="str">
        <f>"Alcool alfa-ciano-3-fenoxibenzilico"</f>
        <v>Alcool alfa-ciano-3-fenoxibenzilico</v>
      </c>
    </row>
    <row r="2798" spans="1:2">
      <c r="A2798" s="1" t="str">
        <f>"2926.90.22"</f>
        <v>2926.90.22</v>
      </c>
      <c r="B2798" s="2" t="str">
        <f>"Ciflutrin"</f>
        <v>Ciflutrin</v>
      </c>
    </row>
    <row r="2799" spans="1:2">
      <c r="A2799" s="1" t="str">
        <f>"2926.90.23"</f>
        <v>2926.90.23</v>
      </c>
      <c r="B2799" s="2" t="str">
        <f>"Cipermetrina"</f>
        <v>Cipermetrina</v>
      </c>
    </row>
    <row r="2800" spans="1:2">
      <c r="A2800" s="1" t="str">
        <f>"2926.90.24"</f>
        <v>2926.90.24</v>
      </c>
      <c r="B2800" s="2" t="str">
        <f>"Deltametrina"</f>
        <v>Deltametrina</v>
      </c>
    </row>
    <row r="2801" spans="1:2">
      <c r="A2801" s="1" t="str">
        <f>"2926.90.25"</f>
        <v>2926.90.25</v>
      </c>
      <c r="B2801" s="2" t="str">
        <f>"Fenvalerato"</f>
        <v>Fenvalerato</v>
      </c>
    </row>
    <row r="2802" spans="1:2">
      <c r="A2802" s="1" t="str">
        <f>"2926.90.26"</f>
        <v>2926.90.26</v>
      </c>
      <c r="B2802" s="2" t="str">
        <f>"Cialotrin (cyhalothrin)"</f>
        <v>Cialotrin (cyhalothrin)</v>
      </c>
    </row>
    <row r="2803" spans="1:2">
      <c r="A2803" s="1" t="str">
        <f>"2926.90.29"</f>
        <v>2926.90.29</v>
      </c>
      <c r="B2803" s="2" t="str">
        <f>"Outros"</f>
        <v>Outros</v>
      </c>
    </row>
    <row r="2804" spans="1:2">
      <c r="A2804" s="1" t="str">
        <f>"2926.90.30"</f>
        <v>2926.90.30</v>
      </c>
      <c r="B2804" s="2" t="str">
        <f>"Sais de intermediario da metadona"</f>
        <v>Sais de intermediario da metadona</v>
      </c>
    </row>
    <row r="2805" spans="1:2">
      <c r="A2805" s="1" t="str">
        <f>"2926.90.91"</f>
        <v>2926.90.91</v>
      </c>
      <c r="B2805" s="2" t="str">
        <f>"Adiponitrila (1,4-dicianobutano)"</f>
        <v>Adiponitrila (1,4-dicianobutano)</v>
      </c>
    </row>
    <row r="2806" spans="1:2">
      <c r="A2806" s="1" t="str">
        <f>"2926.90.92"</f>
        <v>2926.90.92</v>
      </c>
      <c r="B2806" s="2" t="str">
        <f>"Cianidrina de acetona (acetona cian"</f>
        <v>Cianidrina de acetona (acetona cian</v>
      </c>
    </row>
    <row r="2807" spans="1:2">
      <c r="A2807" s="1" t="str">
        <f>"2926.90.93"</f>
        <v>2926.90.93</v>
      </c>
      <c r="B2807" s="2" t="str">
        <f>"Closantel"</f>
        <v>Closantel</v>
      </c>
    </row>
    <row r="2808" spans="1:2">
      <c r="A2808" s="1" t="str">
        <f>"2926.90.95"</f>
        <v>2926.90.95</v>
      </c>
      <c r="B2808" s="2" t="str">
        <f>"Clorotalonil"</f>
        <v>Clorotalonil</v>
      </c>
    </row>
    <row r="2809" spans="1:2">
      <c r="A2809" s="1" t="str">
        <f>"2926.90.96"</f>
        <v>2926.90.96</v>
      </c>
      <c r="B2809" s="2" t="str">
        <f>"Cianoacrilatos de etila"</f>
        <v>Cianoacrilatos de etila</v>
      </c>
    </row>
    <row r="2810" spans="1:2">
      <c r="A2810" s="1" t="str">
        <f>"2926.90.99"</f>
        <v>2926.90.99</v>
      </c>
      <c r="B2810" s="2" t="str">
        <f>"Outros"</f>
        <v>Outros</v>
      </c>
    </row>
    <row r="2811" spans="1:2">
      <c r="A2811" s="1" t="str">
        <f>"2927.00.10"</f>
        <v>2927.00.10</v>
      </c>
      <c r="B2811" s="2" t="str">
        <f>"Compostos diazoicos"</f>
        <v>Compostos diazoicos</v>
      </c>
    </row>
    <row r="2812" spans="1:2">
      <c r="A2812" s="1" t="str">
        <f>"2927.00.21"</f>
        <v>2927.00.21</v>
      </c>
      <c r="B2812" s="2" t="str">
        <f>"Azodicarbonamida"</f>
        <v>Azodicarbonamida</v>
      </c>
    </row>
    <row r="2813" spans="1:2">
      <c r="A2813" s="1" t="str">
        <f>"2927.00.29"</f>
        <v>2927.00.29</v>
      </c>
      <c r="B2813" s="2" t="str">
        <f>"Outros"</f>
        <v>Outros</v>
      </c>
    </row>
    <row r="2814" spans="1:2">
      <c r="A2814" s="1" t="str">
        <f>"2927.00.30"</f>
        <v>2927.00.30</v>
      </c>
      <c r="B2814" s="2" t="str">
        <f>"Compostos azoxicos"</f>
        <v>Compostos azoxicos</v>
      </c>
    </row>
    <row r="2815" spans="1:2">
      <c r="A2815" s="1" t="str">
        <f>"2928.00.11"</f>
        <v>2928.00.11</v>
      </c>
      <c r="B2815" s="2" t="str">
        <f>"Metiletilacetoxima"</f>
        <v>Metiletilacetoxima</v>
      </c>
    </row>
    <row r="2816" spans="1:2">
      <c r="A2816" s="1" t="str">
        <f>"2928.00.19"</f>
        <v>2928.00.19</v>
      </c>
      <c r="B2816" s="2" t="str">
        <f>"Outros"</f>
        <v>Outros</v>
      </c>
    </row>
    <row r="2817" spans="1:2">
      <c r="A2817" s="1" t="str">
        <f>"2928.00.20"</f>
        <v>2928.00.20</v>
      </c>
      <c r="B2817" s="2" t="str">
        <f>"Carbidopa"</f>
        <v>Carbidopa</v>
      </c>
    </row>
    <row r="2818" spans="1:2">
      <c r="A2818" s="1" t="str">
        <f>"2928.00.30"</f>
        <v>2928.00.30</v>
      </c>
      <c r="B2818" s="2" t="str">
        <f>"2-Hidrazinoetanol"</f>
        <v>2-Hidrazinoetanol</v>
      </c>
    </row>
    <row r="2819" spans="1:2">
      <c r="A2819" s="1" t="str">
        <f>"2928.00.41"</f>
        <v>2928.00.41</v>
      </c>
      <c r="B2819" s="2" t="str">
        <f>"Fenilidrazina"</f>
        <v>Fenilidrazina</v>
      </c>
    </row>
    <row r="2820" spans="1:2">
      <c r="A2820" s="1" t="str">
        <f>"2928.00.42"</f>
        <v>2928.00.42</v>
      </c>
      <c r="B2820" s="2" t="str">
        <f>"Derivados"</f>
        <v>Derivados</v>
      </c>
    </row>
    <row r="2821" spans="1:2">
      <c r="A2821" s="1" t="str">
        <f>"2928.00.90"</f>
        <v>2928.00.90</v>
      </c>
      <c r="B2821" s="2" t="str">
        <f>"Outros"</f>
        <v>Outros</v>
      </c>
    </row>
    <row r="2822" spans="1:2">
      <c r="A2822" s="1" t="str">
        <f>"2929.10.10"</f>
        <v>2929.10.10</v>
      </c>
      <c r="B2822" s="2" t="str">
        <f>"Diisocianato de difenilmetano"</f>
        <v>Diisocianato de difenilmetano</v>
      </c>
    </row>
    <row r="2823" spans="1:2">
      <c r="A2823" s="1" t="str">
        <f>"2929.10.21"</f>
        <v>2929.10.21</v>
      </c>
      <c r="B2823" s="2" t="str">
        <f>"Mistura de isomeros"</f>
        <v>Mistura de isomeros</v>
      </c>
    </row>
    <row r="2824" spans="1:2">
      <c r="A2824" s="1" t="str">
        <f>"2929.10.29"</f>
        <v>2929.10.29</v>
      </c>
      <c r="B2824" s="2" t="str">
        <f>"Outros"</f>
        <v>Outros</v>
      </c>
    </row>
    <row r="2825" spans="1:2">
      <c r="A2825" s="1" t="str">
        <f>"2929.10.30"</f>
        <v>2929.10.30</v>
      </c>
      <c r="B2825" s="2" t="str">
        <f>"Isocianato de 3,4-diclorofenila"</f>
        <v>Isocianato de 3,4-diclorofenila</v>
      </c>
    </row>
    <row r="2826" spans="1:2">
      <c r="A2826" s="1" t="str">
        <f>"2929.10.90"</f>
        <v>2929.10.90</v>
      </c>
      <c r="B2826" s="2" t="str">
        <f>"Outros"</f>
        <v>Outros</v>
      </c>
    </row>
    <row r="2827" spans="1:2">
      <c r="A2827" s="1" t="str">
        <f>"2929.90.11"</f>
        <v>2929.90.11</v>
      </c>
      <c r="B2827" s="2" t="str">
        <f>"De sodio"</f>
        <v>De sodio</v>
      </c>
    </row>
    <row r="2828" spans="1:2">
      <c r="A2828" s="1" t="str">
        <f>"2929.90.12"</f>
        <v>2929.90.12</v>
      </c>
      <c r="B2828" s="2" t="str">
        <f>"De calcio"</f>
        <v>De calcio</v>
      </c>
    </row>
    <row r="2829" spans="1:2">
      <c r="A2829" s="1" t="str">
        <f>"2929.90.19"</f>
        <v>2929.90.19</v>
      </c>
      <c r="B2829" s="2" t="str">
        <f>"Outros"</f>
        <v>Outros</v>
      </c>
    </row>
    <row r="2830" spans="1:2">
      <c r="A2830" s="1" t="str">
        <f>"2929.90.21"</f>
        <v>2929.90.21</v>
      </c>
      <c r="B2830" s="2" t="str">
        <f>"Dialogenetos de N,N-dialquilfosforo"</f>
        <v>Dialogenetos de N,N-dialquilfosforo</v>
      </c>
    </row>
    <row r="2831" spans="1:2">
      <c r="A2831" s="1" t="str">
        <f>"2929.90.22"</f>
        <v>2929.90.22</v>
      </c>
      <c r="B2831" s="2" t="str">
        <f>"N,N-Dialquilfosforoamidatos de dial"</f>
        <v>N,N-Dialquilfosforoamidatos de dial</v>
      </c>
    </row>
    <row r="2832" spans="1:2">
      <c r="A2832" s="1" t="str">
        <f>"2929.90.29"</f>
        <v>2929.90.29</v>
      </c>
      <c r="B2832" s="2" t="str">
        <f>"Outros"</f>
        <v>Outros</v>
      </c>
    </row>
    <row r="2833" spans="1:2">
      <c r="A2833" s="1" t="str">
        <f>"2929.90.90"</f>
        <v>2929.90.90</v>
      </c>
      <c r="B2833" s="2" t="str">
        <f>"Outros"</f>
        <v>Outros</v>
      </c>
    </row>
    <row r="2834" spans="1:2">
      <c r="A2834" s="1" t="str">
        <f>"2930.20.11"</f>
        <v>2930.20.11</v>
      </c>
      <c r="B2834" s="2" t="str">
        <f>"EPTC"</f>
        <v>EPTC</v>
      </c>
    </row>
    <row r="2835" spans="1:2">
      <c r="A2835" s="1" t="str">
        <f>"2930.20.12"</f>
        <v>2930.20.12</v>
      </c>
      <c r="B2835" s="2" t="str">
        <f>"Cartap"</f>
        <v>Cartap</v>
      </c>
    </row>
    <row r="2836" spans="1:2">
      <c r="A2836" s="1" t="str">
        <f>"2930.20.13"</f>
        <v>2930.20.13</v>
      </c>
      <c r="B2836" s="2" t="str">
        <f>"Tiobencarb (dietiltiocarbamato de S"</f>
        <v>Tiobencarb (dietiltiocarbamato de S</v>
      </c>
    </row>
    <row r="2837" spans="1:2">
      <c r="A2837" s="1" t="str">
        <f>"2930.20.19"</f>
        <v>2930.20.19</v>
      </c>
      <c r="B2837" s="2" t="str">
        <f>"Outros"</f>
        <v>Outros</v>
      </c>
    </row>
    <row r="2838" spans="1:2">
      <c r="A2838" s="1" t="str">
        <f>"2930.20.21"</f>
        <v>2930.20.21</v>
      </c>
      <c r="B2838" s="2" t="str">
        <f>"Ziram; dimetilditiocarbamato de sod"</f>
        <v>Ziram; dimetilditiocarbamato de sod</v>
      </c>
    </row>
    <row r="2839" spans="1:2">
      <c r="A2839" s="1" t="str">
        <f>"2930.20.22"</f>
        <v>2930.20.22</v>
      </c>
      <c r="B2839" s="2" t="str">
        <f>"Dietilditiocarbamato de zinco"</f>
        <v>Dietilditiocarbamato de zinco</v>
      </c>
    </row>
    <row r="2840" spans="1:2">
      <c r="A2840" s="1" t="str">
        <f>"2930.20.23"</f>
        <v>2930.20.23</v>
      </c>
      <c r="B2840" s="2" t="str">
        <f>"Dibutilditiocarbamato de zinco"</f>
        <v>Dibutilditiocarbamato de zinco</v>
      </c>
    </row>
    <row r="2841" spans="1:2">
      <c r="A2841" s="1" t="str">
        <f>"2930.20.24"</f>
        <v>2930.20.24</v>
      </c>
      <c r="B2841" s="2" t="str">
        <f>"Metam sodio"</f>
        <v>Metam sodio</v>
      </c>
    </row>
    <row r="2842" spans="1:2">
      <c r="A2842" s="1" t="str">
        <f>"2930.20.29"</f>
        <v>2930.20.29</v>
      </c>
      <c r="B2842" s="2" t="str">
        <f>"Outros"</f>
        <v>Outros</v>
      </c>
    </row>
    <row r="2843" spans="1:2">
      <c r="A2843" s="1" t="str">
        <f>"2930.30.11"</f>
        <v>2930.30.11</v>
      </c>
      <c r="B2843" s="2" t="str">
        <f>"De tetrametiltiourama"</f>
        <v>De tetrametiltiourama</v>
      </c>
    </row>
    <row r="2844" spans="1:2">
      <c r="A2844" s="1" t="str">
        <f>"2930.30.12"</f>
        <v>2930.30.12</v>
      </c>
      <c r="B2844" s="2" t="str">
        <f>"Sulfiram"</f>
        <v>Sulfiram</v>
      </c>
    </row>
    <row r="2845" spans="1:2">
      <c r="A2845" s="1" t="str">
        <f>"2930.30.19"</f>
        <v>2930.30.19</v>
      </c>
      <c r="B2845" s="2" t="str">
        <f>"Outros"</f>
        <v>Outros</v>
      </c>
    </row>
    <row r="2846" spans="1:2">
      <c r="A2846" s="1" t="str">
        <f>"2930.30.21"</f>
        <v>2930.30.21</v>
      </c>
      <c r="B2846" s="2" t="str">
        <f>"Thiram"</f>
        <v>Thiram</v>
      </c>
    </row>
    <row r="2847" spans="1:2">
      <c r="A2847" s="1" t="str">
        <f>"2930.30.22"</f>
        <v>2930.30.22</v>
      </c>
      <c r="B2847" s="2" t="str">
        <f>"Dissulfiram"</f>
        <v>Dissulfiram</v>
      </c>
    </row>
    <row r="2848" spans="1:2">
      <c r="A2848" s="1" t="str">
        <f>"2930.30.29"</f>
        <v>2930.30.29</v>
      </c>
      <c r="B2848" s="2" t="str">
        <f>"Outros"</f>
        <v>Outros</v>
      </c>
    </row>
    <row r="2849" spans="1:2">
      <c r="A2849" s="1" t="str">
        <f>"2930.30.90"</f>
        <v>2930.30.90</v>
      </c>
      <c r="B2849" s="2" t="str">
        <f>"Outros"</f>
        <v>Outros</v>
      </c>
    </row>
    <row r="2850" spans="1:2">
      <c r="A2850" s="1" t="str">
        <f>"2930.40.10"</f>
        <v>2930.40.10</v>
      </c>
      <c r="B2850" s="2" t="str">
        <f>"DL-Metionina, com um teor de cinzas"</f>
        <v>DL-Metionina, com um teor de cinzas</v>
      </c>
    </row>
    <row r="2851" spans="1:2">
      <c r="A2851" s="1" t="str">
        <f>"2930.40.90"</f>
        <v>2930.40.90</v>
      </c>
      <c r="B2851" s="2" t="str">
        <f>"Outra"</f>
        <v>Outra</v>
      </c>
    </row>
    <row r="2852" spans="1:2">
      <c r="A2852" s="1" t="str">
        <f>"2930.60.00"</f>
        <v>2930.60.00</v>
      </c>
      <c r="B2852" s="2" t="str">
        <f>"2-(N,N-Dietilamino)etanotiol"</f>
        <v>2-(N,N-Dietilamino)etanotiol</v>
      </c>
    </row>
    <row r="2853" spans="1:2">
      <c r="A2853" s="1" t="str">
        <f>"2930.70.00"</f>
        <v>2930.70.00</v>
      </c>
      <c r="B2853" s="2" t="str">
        <f>"Sulfeto de bis(2-hidroxietila) (tio"</f>
        <v>Sulfeto de bis(2-hidroxietila) (tio</v>
      </c>
    </row>
    <row r="2854" spans="1:2">
      <c r="A2854" s="1" t="str">
        <f>"2930.80.10"</f>
        <v>2930.80.10</v>
      </c>
      <c r="B2854" s="2" t="str">
        <f>"Aldicarb"</f>
        <v>Aldicarb</v>
      </c>
    </row>
    <row r="2855" spans="1:2">
      <c r="A2855" s="1" t="str">
        <f>"2930.80.20"</f>
        <v>2930.80.20</v>
      </c>
      <c r="B2855" s="2" t="str">
        <f>"Captafol"</f>
        <v>Captafol</v>
      </c>
    </row>
    <row r="2856" spans="1:2">
      <c r="A2856" s="1" t="str">
        <f>"2930.80.30"</f>
        <v>2930.80.30</v>
      </c>
      <c r="B2856" s="2" t="str">
        <f>"Metamidofos"</f>
        <v>Metamidofos</v>
      </c>
    </row>
    <row r="2857" spans="1:2">
      <c r="A2857" s="1" t="str">
        <f>"2930.90.11"</f>
        <v>2930.90.11</v>
      </c>
      <c r="B2857" s="2" t="str">
        <f>"Acido tioglicolico e seus sais"</f>
        <v>Acido tioglicolico e seus sais</v>
      </c>
    </row>
    <row r="2858" spans="1:2">
      <c r="A2858" s="1" t="str">
        <f>"2930.90.12"</f>
        <v>2930.90.12</v>
      </c>
      <c r="B2858" s="2" t="str">
        <f>"Cisteina"</f>
        <v>Cisteina</v>
      </c>
    </row>
    <row r="2859" spans="1:2">
      <c r="A2859" s="1" t="str">
        <f>"2930.90.13"</f>
        <v>2930.90.13</v>
      </c>
      <c r="B2859" s="2" t="str">
        <f>"N,N-Dialquil-2-aminoetanotiol, com"</f>
        <v>N,N-Dialquil-2-aminoetanotiol, com</v>
      </c>
    </row>
    <row r="2860" spans="1:2">
      <c r="A2860" s="1" t="str">
        <f>"2930.90.19"</f>
        <v>2930.90.19</v>
      </c>
      <c r="B2860" s="2" t="str">
        <f>"Outros"</f>
        <v>Outros</v>
      </c>
    </row>
    <row r="2861" spans="1:2">
      <c r="A2861" s="1" t="str">
        <f>"2930.90.21"</f>
        <v>2930.90.21</v>
      </c>
      <c r="B2861" s="2" t="str">
        <f>"Tioureia"</f>
        <v>Tioureia</v>
      </c>
    </row>
    <row r="2862" spans="1:2">
      <c r="A2862" s="1" t="str">
        <f>"2930.90.22"</f>
        <v>2930.90.22</v>
      </c>
      <c r="B2862" s="2" t="str">
        <f>"Tiofanato-Metila"</f>
        <v>Tiofanato-Metila</v>
      </c>
    </row>
    <row r="2863" spans="1:2">
      <c r="A2863" s="1" t="str">
        <f>"2930.90.23"</f>
        <v>2930.90.23</v>
      </c>
      <c r="B2863" s="2" t="str">
        <f>"4-Metil-3-tiosemicarbazida"</f>
        <v>4-Metil-3-tiosemicarbazida</v>
      </c>
    </row>
    <row r="2864" spans="1:2">
      <c r="A2864" s="1" t="str">
        <f>"2930.90.29"</f>
        <v>2930.90.29</v>
      </c>
      <c r="B2864" s="2" t="str">
        <f>"Outros"</f>
        <v>Outros</v>
      </c>
    </row>
    <row r="2865" spans="1:2">
      <c r="A2865" s="1" t="str">
        <f>"2930.90.31"</f>
        <v>2930.90.31</v>
      </c>
      <c r="B2865" s="2" t="str">
        <f>"2-(Etiltio)etanol, com uma concentr"</f>
        <v>2-(Etiltio)etanol, com uma concentr</v>
      </c>
    </row>
    <row r="2866" spans="1:2">
      <c r="A2866" s="1" t="str">
        <f>"2930.90.32"</f>
        <v>2930.90.32</v>
      </c>
      <c r="B2866" s="2" t="str">
        <f>"3-(Metiltio)propanal"</f>
        <v>3-(Metiltio)propanal</v>
      </c>
    </row>
    <row r="2867" spans="1:2">
      <c r="A2867" s="1" t="str">
        <f>"2930.90.33"</f>
        <v>2930.90.33</v>
      </c>
      <c r="B2867" s="2" t="str">
        <f>"Clorotioformiato de S-etila"</f>
        <v>Clorotioformiato de S-etila</v>
      </c>
    </row>
    <row r="2868" spans="1:2">
      <c r="A2868" s="1" t="str">
        <f>"2930.90.34"</f>
        <v>2930.90.34</v>
      </c>
      <c r="B2868" s="2" t="str">
        <f>"Acido 2-hidroxi-4-(metiltio)butanoi"</f>
        <v>Acido 2-hidroxi-4-(metiltio)butanoi</v>
      </c>
    </row>
    <row r="2869" spans="1:2">
      <c r="A2869" s="1" t="str">
        <f>"2930.90.35"</f>
        <v>2930.90.35</v>
      </c>
      <c r="B2869" s="2" t="str">
        <f>"Metomil"</f>
        <v>Metomil</v>
      </c>
    </row>
    <row r="2870" spans="1:2">
      <c r="A2870" s="1" t="str">
        <f>"2930.90.36"</f>
        <v>2930.90.36</v>
      </c>
      <c r="B2870" s="2" t="str">
        <f>"Carbocisteina"</f>
        <v>Carbocisteina</v>
      </c>
    </row>
    <row r="2871" spans="1:2">
      <c r="A2871" s="1" t="str">
        <f>"2930.90.37"</f>
        <v>2930.90.37</v>
      </c>
      <c r="B2871" s="2" t="str">
        <f>"4-Sulfatoetilsulfonil-2,5-dimetoxia"</f>
        <v>4-Sulfatoetilsulfonil-2,5-dimetoxia</v>
      </c>
    </row>
    <row r="2872" spans="1:2">
      <c r="A2872" s="1" t="str">
        <f>"2930.90.39"</f>
        <v>2930.90.39</v>
      </c>
      <c r="B2872" s="2" t="str">
        <f>"Outros"</f>
        <v>Outros</v>
      </c>
    </row>
    <row r="2873" spans="1:2">
      <c r="A2873" s="1" t="str">
        <f>"2930.90.41"</f>
        <v>2930.90.41</v>
      </c>
      <c r="B2873" s="2" t="str">
        <f>"Fosforotioato de O,O-dietila e de S"</f>
        <v>Fosforotioato de O,O-dietila e de S</v>
      </c>
    </row>
    <row r="2874" spans="1:2">
      <c r="A2874" s="1" t="str">
        <f>"2930.90.42"</f>
        <v>2930.90.42</v>
      </c>
      <c r="B2874" s="2" t="str">
        <f>"Fosforotioato de O,O-dimetila e de"</f>
        <v>Fosforotioato de O,O-dimetila e de</v>
      </c>
    </row>
    <row r="2875" spans="1:2">
      <c r="A2875" s="1" t="str">
        <f>"2930.90.43"</f>
        <v>2930.90.43</v>
      </c>
      <c r="B2875" s="2" t="str">
        <f>"Fosforotioato de O-(4-bromo-2-cloro"</f>
        <v>Fosforotioato de O-(4-bromo-2-cloro</v>
      </c>
    </row>
    <row r="2876" spans="1:2">
      <c r="A2876" s="1" t="str">
        <f>"2930.90.49"</f>
        <v>2930.90.49</v>
      </c>
      <c r="B2876" s="2" t="str">
        <f>"Outros"</f>
        <v>Outros</v>
      </c>
    </row>
    <row r="2877" spans="1:2">
      <c r="A2877" s="1" t="str">
        <f>"2930.90.51"</f>
        <v>2930.90.51</v>
      </c>
      <c r="B2877" s="2" t="str">
        <f>"Forato"</f>
        <v>Forato</v>
      </c>
    </row>
    <row r="2878" spans="1:2">
      <c r="A2878" s="1" t="str">
        <f>"2930.90.52"</f>
        <v>2930.90.52</v>
      </c>
      <c r="B2878" s="2" t="str">
        <f>"Dissulfoton"</f>
        <v>Dissulfoton</v>
      </c>
    </row>
    <row r="2879" spans="1:2">
      <c r="A2879" s="1" t="str">
        <f>"2930.90.53"</f>
        <v>2930.90.53</v>
      </c>
      <c r="B2879" s="2" t="str">
        <f>"Etion"</f>
        <v>Etion</v>
      </c>
    </row>
    <row r="2880" spans="1:2">
      <c r="A2880" s="1" t="str">
        <f>"2930.90.54"</f>
        <v>2930.90.54</v>
      </c>
      <c r="B2880" s="2" t="str">
        <f>"Dimetoato"</f>
        <v>Dimetoato</v>
      </c>
    </row>
    <row r="2881" spans="1:2">
      <c r="A2881" s="1" t="str">
        <f>"2930.90.57"</f>
        <v>2930.90.57</v>
      </c>
      <c r="B2881" s="2" t="str">
        <f>"Fosforoditioato de O,O-dimetila e d"</f>
        <v>Fosforoditioato de O,O-dimetila e d</v>
      </c>
    </row>
    <row r="2882" spans="1:2">
      <c r="A2882" s="1" t="str">
        <f>"2930.90.59"</f>
        <v>2930.90.59</v>
      </c>
      <c r="B2882" s="2" t="str">
        <f>"Outros"</f>
        <v>Outros</v>
      </c>
    </row>
    <row r="2883" spans="1:2">
      <c r="A2883" s="1" t="str">
        <f>"2930.90.61"</f>
        <v>2930.90.61</v>
      </c>
      <c r="B2883" s="2" t="str">
        <f>"Acefato"</f>
        <v>Acefato</v>
      </c>
    </row>
    <row r="2884" spans="1:2">
      <c r="A2884" s="1" t="str">
        <f>"2930.90.69"</f>
        <v>2930.90.69</v>
      </c>
      <c r="B2884" s="2" t="str">
        <f>"Outros"</f>
        <v>Outros</v>
      </c>
    </row>
    <row r="2885" spans="1:2">
      <c r="A2885" s="1" t="str">
        <f>"2930.90.71"</f>
        <v>2930.90.71</v>
      </c>
      <c r="B2885" s="2" t="str">
        <f>"Tiaprida"</f>
        <v>Tiaprida</v>
      </c>
    </row>
    <row r="2886" spans="1:2">
      <c r="A2886" s="1" t="str">
        <f>"2930.90.72"</f>
        <v>2930.90.72</v>
      </c>
      <c r="B2886" s="2" t="str">
        <f>"Bicalutamida"</f>
        <v>Bicalutamida</v>
      </c>
    </row>
    <row r="2887" spans="1:2">
      <c r="A2887" s="1" t="str">
        <f>"2930.90.79"</f>
        <v>2930.90.79</v>
      </c>
      <c r="B2887" s="2" t="str">
        <f>"Outras"</f>
        <v>Outras</v>
      </c>
    </row>
    <row r="2888" spans="1:2">
      <c r="A2888" s="1" t="str">
        <f>"2930.90.81"</f>
        <v>2930.90.81</v>
      </c>
      <c r="B2888" s="2" t="str">
        <f>"Sulfeto de 2-cloroetila e de clorom"</f>
        <v>Sulfeto de 2-cloroetila e de clorom</v>
      </c>
    </row>
    <row r="2889" spans="1:2">
      <c r="A2889" s="1" t="str">
        <f>"2930.90.82"</f>
        <v>2930.90.82</v>
      </c>
      <c r="B2889" s="2" t="str">
        <f>"Sulfeto de bis(2-cloroetila)"</f>
        <v>Sulfeto de bis(2-cloroetila)</v>
      </c>
    </row>
    <row r="2890" spans="1:2">
      <c r="A2890" s="1" t="str">
        <f>"2930.90.83"</f>
        <v>2930.90.83</v>
      </c>
      <c r="B2890" s="2" t="str">
        <f>"Bis(2-cloroetiltio)metano"</f>
        <v>Bis(2-cloroetiltio)metano</v>
      </c>
    </row>
    <row r="2891" spans="1:2">
      <c r="A2891" s="1" t="str">
        <f>"2930.90.84"</f>
        <v>2930.90.84</v>
      </c>
      <c r="B2891" s="2" t="str">
        <f>"1,2-Bis(2-cloroetiltio)etano"</f>
        <v>1,2-Bis(2-cloroetiltio)etano</v>
      </c>
    </row>
    <row r="2892" spans="1:2">
      <c r="A2892" s="1" t="str">
        <f>"2930.90.85"</f>
        <v>2930.90.85</v>
      </c>
      <c r="B2892" s="2" t="str">
        <f>"1,3-Bis(2-cloroetiltio)-n-propano"</f>
        <v>1,3-Bis(2-cloroetiltio)-n-propano</v>
      </c>
    </row>
    <row r="2893" spans="1:2">
      <c r="A2893" s="1" t="str">
        <f>"2930.90.86"</f>
        <v>2930.90.86</v>
      </c>
      <c r="B2893" s="2" t="str">
        <f>"1,4-Bis(2-cloroetiltio)-n-butano"</f>
        <v>1,4-Bis(2-cloroetiltio)-n-butano</v>
      </c>
    </row>
    <row r="2894" spans="1:2">
      <c r="A2894" s="1" t="str">
        <f>"2930.90.87"</f>
        <v>2930.90.87</v>
      </c>
      <c r="B2894" s="2" t="str">
        <f>"1,5-Bis(2-cloroetiltio)-n-pentano"</f>
        <v>1,5-Bis(2-cloroetiltio)-n-pentano</v>
      </c>
    </row>
    <row r="2895" spans="1:2">
      <c r="A2895" s="1" t="str">
        <f>"2930.90.88"</f>
        <v>2930.90.88</v>
      </c>
      <c r="B2895" s="2" t="str">
        <f>"Oxido de bis(2-cloroetiltiometila)"</f>
        <v>Oxido de bis(2-cloroetiltiometila)</v>
      </c>
    </row>
    <row r="2896" spans="1:2">
      <c r="A2896" s="1" t="str">
        <f>"2930.90.89"</f>
        <v>2930.90.89</v>
      </c>
      <c r="B2896" s="2" t="str">
        <f>"Oxido de bis(2-cloroetiltioetila)"</f>
        <v>Oxido de bis(2-cloroetiltioetila)</v>
      </c>
    </row>
    <row r="2897" spans="1:2">
      <c r="A2897" s="1" t="str">
        <f>"2930.90.91"</f>
        <v>2930.90.91</v>
      </c>
      <c r="B2897" s="2" t="str">
        <f>"Captan"</f>
        <v>Captan</v>
      </c>
    </row>
    <row r="2898" spans="1:2">
      <c r="A2898" s="1" t="str">
        <f>"2930.90.93"</f>
        <v>2930.90.93</v>
      </c>
      <c r="B2898" s="2" t="str">
        <f>"Metileno-bis-tiocianato"</f>
        <v>Metileno-bis-tiocianato</v>
      </c>
    </row>
    <row r="2899" spans="1:2">
      <c r="A2899" s="1" t="str">
        <f>"2930.90.94"</f>
        <v>2930.90.94</v>
      </c>
      <c r="B2899" s="2" t="str">
        <f>"Dimetiltiofosforamida"</f>
        <v>Dimetiltiofosforamida</v>
      </c>
    </row>
    <row r="2900" spans="1:2">
      <c r="A2900" s="1" t="str">
        <f>"2930.90.95"</f>
        <v>2930.90.95</v>
      </c>
      <c r="B2900" s="2" t="str">
        <f>"Etilditiofosfonato de O-etila e de"</f>
        <v>Etilditiofosfonato de O-etila e de</v>
      </c>
    </row>
    <row r="2901" spans="1:2">
      <c r="A2901" s="1" t="str">
        <f>"2930.90.96"</f>
        <v>2930.90.96</v>
      </c>
      <c r="B2901" s="2" t="str">
        <f>"Hidrogenio alquil(de C1 a C3)fosfon"</f>
        <v>Hidrogenio alquil(de C1 a C3)fosfon</v>
      </c>
    </row>
    <row r="2902" spans="1:2">
      <c r="A2902" s="1" t="str">
        <f>"2930.90.97"</f>
        <v>2930.90.97</v>
      </c>
      <c r="B2902" s="2" t="str">
        <f>"Outros compostos que contenham um a"</f>
        <v>Outros compostos que contenham um a</v>
      </c>
    </row>
    <row r="2903" spans="1:2">
      <c r="A2903" s="1" t="str">
        <f>"2930.90.98"</f>
        <v>2930.90.98</v>
      </c>
      <c r="B2903" s="2" t="str">
        <f>"Ditiocarbonatos (xantatos e xantoge"</f>
        <v>Ditiocarbonatos (xantatos e xantoge</v>
      </c>
    </row>
    <row r="2904" spans="1:2">
      <c r="A2904" s="1" t="str">
        <f>"2930.90.99"</f>
        <v>2930.90.99</v>
      </c>
      <c r="B2904" s="2" t="str">
        <f>"Outros"</f>
        <v>Outros</v>
      </c>
    </row>
    <row r="2905" spans="1:2">
      <c r="A2905" s="1" t="str">
        <f>"2931.00.39"</f>
        <v>2931.00.39</v>
      </c>
      <c r="B2905" s="2" t="str">
        <f>"INATIVA - DAROCUR"</f>
        <v>INATIVA - DAROCUR</v>
      </c>
    </row>
    <row r="2906" spans="1:2">
      <c r="A2906" s="1" t="str">
        <f>"2931.00.79"</f>
        <v>2931.00.79</v>
      </c>
      <c r="B2906" s="2" t="str">
        <f>"INATIVO"</f>
        <v>INATIVO</v>
      </c>
    </row>
    <row r="2907" spans="1:2">
      <c r="A2907" s="1" t="str">
        <f>"2931.10.00"</f>
        <v>2931.10.00</v>
      </c>
      <c r="B2907" s="2" t="str">
        <f>"Chumbo tetrametila e chumbo tetraet"</f>
        <v>Chumbo tetrametila e chumbo tetraet</v>
      </c>
    </row>
    <row r="2908" spans="1:2">
      <c r="A2908" s="1" t="str">
        <f>"2931.20.00"</f>
        <v>2931.20.00</v>
      </c>
      <c r="B2908" s="2" t="str">
        <f>"Compostos de tributilestanho"</f>
        <v>Compostos de tributilestanho</v>
      </c>
    </row>
    <row r="2909" spans="1:2">
      <c r="A2909" s="1" t="str">
        <f>"2931.31.00"</f>
        <v>2931.31.00</v>
      </c>
      <c r="B2909" s="2" t="str">
        <f>"Metilfosfonato de dimetila"</f>
        <v>Metilfosfonato de dimetila</v>
      </c>
    </row>
    <row r="2910" spans="1:2">
      <c r="A2910" s="1" t="str">
        <f>"2931.32.00"</f>
        <v>2931.32.00</v>
      </c>
      <c r="B2910" s="2" t="str">
        <f>"Propilfosfonato de dimetila"</f>
        <v>Propilfosfonato de dimetila</v>
      </c>
    </row>
    <row r="2911" spans="1:2">
      <c r="A2911" s="1" t="str">
        <f>"2931.33.00"</f>
        <v>2931.33.00</v>
      </c>
      <c r="B2911" s="2" t="str">
        <f>"Etilfosfonato de dietila"</f>
        <v>Etilfosfonato de dietila</v>
      </c>
    </row>
    <row r="2912" spans="1:2">
      <c r="A2912" s="1" t="str">
        <f>"2931.34.00"</f>
        <v>2931.34.00</v>
      </c>
      <c r="B2912" s="2" t="str">
        <f>"Metilfosfonato de sodio 3-(triidrox"</f>
        <v>Metilfosfonato de sodio 3-(triidrox</v>
      </c>
    </row>
    <row r="2913" spans="1:2">
      <c r="A2913" s="1" t="str">
        <f>"2931.35.00"</f>
        <v>2931.35.00</v>
      </c>
      <c r="B2913" s="2" t="str">
        <f>"2,4,6-trioxido de 2,4,6-tripropil-1"</f>
        <v>2,4,6-trioxido de 2,4,6-tripropil-1</v>
      </c>
    </row>
    <row r="2914" spans="1:2">
      <c r="A2914" s="1" t="str">
        <f>"2931.36.00"</f>
        <v>2931.36.00</v>
      </c>
      <c r="B2914" s="2" t="str">
        <f>"Metilfosfonato de (5-etil-2-metil-2"</f>
        <v>Metilfosfonato de (5-etil-2-metil-2</v>
      </c>
    </row>
    <row r="2915" spans="1:2">
      <c r="A2915" s="1" t="str">
        <f>"2931.37.00"</f>
        <v>2931.37.00</v>
      </c>
      <c r="B2915" s="2" t="str">
        <f>"Metilfosfonato de bis[(5-etil-2-met"</f>
        <v>Metilfosfonato de bis[(5-etil-2-met</v>
      </c>
    </row>
    <row r="2916" spans="1:2">
      <c r="A2916" s="1" t="str">
        <f>"2931.38.00"</f>
        <v>2931.38.00</v>
      </c>
      <c r="B2916" s="2" t="str">
        <f>"Sal do acido metilfosfonico e de (a"</f>
        <v>Sal do acido metilfosfonico e de (a</v>
      </c>
    </row>
    <row r="2917" spans="1:2">
      <c r="A2917" s="1" t="str">
        <f>"2931.39.11"</f>
        <v>2931.39.11</v>
      </c>
      <c r="B2917" s="2" t="str">
        <f>"Etefon; difenilfosfonato(4,4'-bis(("</f>
        <v>Etefon; difenilfosfonato(4,4'-bis((</v>
      </c>
    </row>
    <row r="2918" spans="1:2">
      <c r="A2918" s="1" t="str">
        <f>"2931.39.12"</f>
        <v>2931.39.12</v>
      </c>
      <c r="B2918" s="2" t="str">
        <f>"Glifosato e seu sal de monoisopropi"</f>
        <v>Glifosato e seu sal de monoisopropi</v>
      </c>
    </row>
    <row r="2919" spans="1:2">
      <c r="A2919" s="1" t="str">
        <f>"2931.39.13"</f>
        <v>2931.39.13</v>
      </c>
      <c r="B2919" s="2" t="str">
        <f>"Etidronato dissodico"</f>
        <v>Etidronato dissodico</v>
      </c>
    </row>
    <row r="2920" spans="1:2">
      <c r="A2920" s="1" t="str">
        <f>"2931.39.14"</f>
        <v>2931.39.14</v>
      </c>
      <c r="B2920" s="2" t="str">
        <f>"Triclorfon"</f>
        <v>Triclorfon</v>
      </c>
    </row>
    <row r="2921" spans="1:2">
      <c r="A2921" s="1" t="str">
        <f>"2931.39.15"</f>
        <v>2931.39.15</v>
      </c>
      <c r="B2921" s="2" t="str">
        <f>"Glufosinato de amonio"</f>
        <v>Glufosinato de amonio</v>
      </c>
    </row>
    <row r="2922" spans="1:2">
      <c r="A2922" s="1" t="str">
        <f>"2931.39.16"</f>
        <v>2931.39.16</v>
      </c>
      <c r="B2922" s="2" t="str">
        <f>"Hidrogenofosfonato de bis(2-etilexi"</f>
        <v>Hidrogenofosfonato de bis(2-etilexi</v>
      </c>
    </row>
    <row r="2923" spans="1:2">
      <c r="A2923" s="1" t="str">
        <f>"2931.39.17"</f>
        <v>2931.39.17</v>
      </c>
      <c r="B2923" s="2" t="str">
        <f>"Acido fosfonometiliminodiacetico; a"</f>
        <v>Acido fosfonometiliminodiacetico; a</v>
      </c>
    </row>
    <row r="2924" spans="1:2">
      <c r="A2924" s="1" t="str">
        <f>"2931.39.18"</f>
        <v>2931.39.18</v>
      </c>
      <c r="B2924" s="2" t="str">
        <f>"Acido clodronico e seu sal dissodic"</f>
        <v>Acido clodronico e seu sal dissodic</v>
      </c>
    </row>
    <row r="2925" spans="1:2">
      <c r="A2925" s="1" t="str">
        <f>"2931.39.91"</f>
        <v>2931.39.91</v>
      </c>
      <c r="B2925" s="2" t="str">
        <f>"Alquil(de C1 a C3)fosfonofluoridato"</f>
        <v>Alquil(de C1 a C3)fosfonofluoridato</v>
      </c>
    </row>
    <row r="2926" spans="1:2">
      <c r="A2926" s="1" t="str">
        <f>"2931.39.92"</f>
        <v>2931.39.92</v>
      </c>
      <c r="B2926" s="2" t="str">
        <f>"Metilfosfonocloridato de O-isopropi"</f>
        <v>Metilfosfonocloridato de O-isopropi</v>
      </c>
    </row>
    <row r="2927" spans="1:2">
      <c r="A2927" s="1" t="str">
        <f>"2931.39.93"</f>
        <v>2931.39.93</v>
      </c>
      <c r="B2927" s="2" t="str">
        <f>"Metilfosfonocloridato de O-pinacoli"</f>
        <v>Metilfosfonocloridato de O-pinacoli</v>
      </c>
    </row>
    <row r="2928" spans="1:2">
      <c r="A2928" s="1" t="str">
        <f>"2931.39.94"</f>
        <v>2931.39.94</v>
      </c>
      <c r="B2928" s="2" t="str">
        <f>"Difluoreto de alquilfosfonila, com"</f>
        <v>Difluoreto de alquilfosfonila, com</v>
      </c>
    </row>
    <row r="2929" spans="1:2">
      <c r="A2929" s="1" t="str">
        <f>"2931.39.95"</f>
        <v>2931.39.95</v>
      </c>
      <c r="B2929" s="2" t="str">
        <f>"Hidrogenio alquil(de C1 a C3)fosfon"</f>
        <v>Hidrogenio alquil(de C1 a C3)fosfon</v>
      </c>
    </row>
    <row r="2930" spans="1:2">
      <c r="A2930" s="1" t="str">
        <f>"2931.39.96"</f>
        <v>2931.39.96</v>
      </c>
      <c r="B2930" s="2" t="str">
        <f>"Outros compostos que contenham um a"</f>
        <v>Outros compostos que contenham um a</v>
      </c>
    </row>
    <row r="2931" spans="1:2">
      <c r="A2931" s="1" t="str">
        <f>"2931.39.97"</f>
        <v>2931.39.97</v>
      </c>
      <c r="B2931" s="2" t="str">
        <f>"N,N-Dialquil(de C1 a C3)fosforoamid"</f>
        <v>N,N-Dialquil(de C1 a C3)fosforoamid</v>
      </c>
    </row>
    <row r="2932" spans="1:2">
      <c r="A2932" s="1" t="str">
        <f>"2931.39.99"</f>
        <v>2931.39.99</v>
      </c>
      <c r="B2932" s="2" t="str">
        <f>"OUTROS"</f>
        <v>OUTROS</v>
      </c>
    </row>
    <row r="2933" spans="1:2">
      <c r="A2933" s="1" t="str">
        <f>"2931.90.21"</f>
        <v>2931.90.21</v>
      </c>
      <c r="B2933" s="2" t="str">
        <f>"Bis(trimetilsilil)ureia"</f>
        <v>Bis(trimetilsilil)ureia</v>
      </c>
    </row>
    <row r="2934" spans="1:2">
      <c r="A2934" s="1" t="str">
        <f>"2931.90.29"</f>
        <v>2931.90.29</v>
      </c>
      <c r="B2934" s="2" t="str">
        <f>"Outros"</f>
        <v>Outros</v>
      </c>
    </row>
    <row r="2935" spans="1:2">
      <c r="A2935" s="1" t="str">
        <f>"2931.90.41"</f>
        <v>2931.90.41</v>
      </c>
      <c r="B2935" s="2" t="str">
        <f>"Acetato de trifenilestanho"</f>
        <v>Acetato de trifenilestanho</v>
      </c>
    </row>
    <row r="2936" spans="1:2">
      <c r="A2936" s="1" t="str">
        <f>"2931.90.42"</f>
        <v>2931.90.42</v>
      </c>
      <c r="B2936" s="2" t="str">
        <f>"Tetraoctilestanho"</f>
        <v>Tetraoctilestanho</v>
      </c>
    </row>
    <row r="2937" spans="1:2">
      <c r="A2937" s="1" t="str">
        <f>"2931.90.43"</f>
        <v>2931.90.43</v>
      </c>
      <c r="B2937" s="2" t="str">
        <f>"Ciexatin"</f>
        <v>Ciexatin</v>
      </c>
    </row>
    <row r="2938" spans="1:2">
      <c r="A2938" s="1" t="str">
        <f>"2931.90.44"</f>
        <v>2931.90.44</v>
      </c>
      <c r="B2938" s="2" t="str">
        <f>"Hidroxido de trifenilestanho"</f>
        <v>Hidroxido de trifenilestanho</v>
      </c>
    </row>
    <row r="2939" spans="1:2">
      <c r="A2939" s="1" t="str">
        <f>"2931.90.45"</f>
        <v>2931.90.45</v>
      </c>
      <c r="B2939" s="2" t="str">
        <f>"Oxido de fembutatin (oxido de fenbu"</f>
        <v>Oxido de fembutatin (oxido de fenbu</v>
      </c>
    </row>
    <row r="2940" spans="1:2">
      <c r="A2940" s="1" t="str">
        <f>"2931.90.46"</f>
        <v>2931.90.46</v>
      </c>
      <c r="B2940" s="2" t="str">
        <f>"Sais de dimetil-estanho, de dibutil"</f>
        <v>Sais de dimetil-estanho, de dibutil</v>
      </c>
    </row>
    <row r="2941" spans="1:2">
      <c r="A2941" s="1" t="str">
        <f>"2931.90.49"</f>
        <v>2931.90.49</v>
      </c>
      <c r="B2941" s="2" t="str">
        <f>"Outros"</f>
        <v>Outros</v>
      </c>
    </row>
    <row r="2942" spans="1:2">
      <c r="A2942" s="1" t="str">
        <f>"2931.90.51"</f>
        <v>2931.90.51</v>
      </c>
      <c r="B2942" s="2" t="str">
        <f>"Acido metilarsinico e seus sais"</f>
        <v>Acido metilarsinico e seus sais</v>
      </c>
    </row>
    <row r="2943" spans="1:2">
      <c r="A2943" s="1" t="str">
        <f>"2931.90.52"</f>
        <v>2931.90.52</v>
      </c>
      <c r="B2943" s="2" t="str">
        <f>"2-Clorovinil-dicloroarsina"</f>
        <v>2-Clorovinil-dicloroarsina</v>
      </c>
    </row>
    <row r="2944" spans="1:2">
      <c r="A2944" s="1" t="str">
        <f>"2931.90.53"</f>
        <v>2931.90.53</v>
      </c>
      <c r="B2944" s="2" t="str">
        <f>"Bis(2-clorovinil)cloroarsina"</f>
        <v>Bis(2-clorovinil)cloroarsina</v>
      </c>
    </row>
    <row r="2945" spans="1:2">
      <c r="A2945" s="1" t="str">
        <f>"2931.90.54"</f>
        <v>2931.90.54</v>
      </c>
      <c r="B2945" s="2" t="str">
        <f>"Tris(2-clorovinil)arsina"</f>
        <v>Tris(2-clorovinil)arsina</v>
      </c>
    </row>
    <row r="2946" spans="1:2">
      <c r="A2946" s="1" t="str">
        <f>"2931.90.59"</f>
        <v>2931.90.59</v>
      </c>
      <c r="B2946" s="2" t="str">
        <f>"Outros"</f>
        <v>Outros</v>
      </c>
    </row>
    <row r="2947" spans="1:2">
      <c r="A2947" s="1" t="str">
        <f>"2931.90.61"</f>
        <v>2931.90.61</v>
      </c>
      <c r="B2947" s="2" t="str">
        <f>"Tricloreto de etilaluminio (sesquic"</f>
        <v>Tricloreto de etilaluminio (sesquic</v>
      </c>
    </row>
    <row r="2948" spans="1:2">
      <c r="A2948" s="1" t="str">
        <f>"2931.90.62"</f>
        <v>2931.90.62</v>
      </c>
      <c r="B2948" s="2" t="str">
        <f>"Cloreto de dietilaluminio"</f>
        <v>Cloreto de dietilaluminio</v>
      </c>
    </row>
    <row r="2949" spans="1:2">
      <c r="A2949" s="1" t="str">
        <f>"2931.90.69"</f>
        <v>2931.90.69</v>
      </c>
      <c r="B2949" s="2" t="str">
        <f>"Outros"</f>
        <v>Outros</v>
      </c>
    </row>
    <row r="2950" spans="1:2">
      <c r="A2950" s="1" t="str">
        <f>"2931.90.90"</f>
        <v>2931.90.90</v>
      </c>
      <c r="B2950" s="2" t="str">
        <f>"Outros"</f>
        <v>Outros</v>
      </c>
    </row>
    <row r="2951" spans="1:2">
      <c r="A2951" s="1" t="str">
        <f>"2932.11.00"</f>
        <v>2932.11.00</v>
      </c>
      <c r="B2951" s="2" t="str">
        <f>"Tetraidrofurano"</f>
        <v>Tetraidrofurano</v>
      </c>
    </row>
    <row r="2952" spans="1:2">
      <c r="A2952" s="1" t="str">
        <f>"2932.12.00"</f>
        <v>2932.12.00</v>
      </c>
      <c r="B2952" s="2" t="str">
        <f>"2-Furaldeido (furfural)"</f>
        <v>2-Furaldeido (furfural)</v>
      </c>
    </row>
    <row r="2953" spans="1:2">
      <c r="A2953" s="1" t="str">
        <f>"2932.13.10"</f>
        <v>2932.13.10</v>
      </c>
      <c r="B2953" s="2" t="str">
        <f>"Alcool furfurilico"</f>
        <v>Alcool furfurilico</v>
      </c>
    </row>
    <row r="2954" spans="1:2">
      <c r="A2954" s="1" t="str">
        <f>"2932.13.20"</f>
        <v>2932.13.20</v>
      </c>
      <c r="B2954" s="2" t="str">
        <f>"Alcool tetraidrofurfurilico"</f>
        <v>Alcool tetraidrofurfurilico</v>
      </c>
    </row>
    <row r="2955" spans="1:2">
      <c r="A2955" s="1" t="str">
        <f>"2932.14.00"</f>
        <v>2932.14.00</v>
      </c>
      <c r="B2955" s="2" t="str">
        <f>"Sucralose"</f>
        <v>Sucralose</v>
      </c>
    </row>
    <row r="2956" spans="1:2">
      <c r="A2956" s="1" t="str">
        <f>"2932.19.10"</f>
        <v>2932.19.10</v>
      </c>
      <c r="B2956" s="2" t="str">
        <f>"Ranitidina e seus sais"</f>
        <v>Ranitidina e seus sais</v>
      </c>
    </row>
    <row r="2957" spans="1:2">
      <c r="A2957" s="1" t="str">
        <f>"2932.19.20"</f>
        <v>2932.19.20</v>
      </c>
      <c r="B2957" s="2" t="str">
        <f>"Nafronil"</f>
        <v>Nafronil</v>
      </c>
    </row>
    <row r="2958" spans="1:2">
      <c r="A2958" s="1" t="str">
        <f>"2932.19.30"</f>
        <v>2932.19.30</v>
      </c>
      <c r="B2958" s="2" t="str">
        <f>"Nitrovin"</f>
        <v>Nitrovin</v>
      </c>
    </row>
    <row r="2959" spans="1:2">
      <c r="A2959" s="1" t="str">
        <f>"2932.19.40"</f>
        <v>2932.19.40</v>
      </c>
      <c r="B2959" s="2" t="str">
        <f>"Bioresmetrina"</f>
        <v>Bioresmetrina</v>
      </c>
    </row>
    <row r="2960" spans="1:2">
      <c r="A2960" s="1" t="str">
        <f>"2932.19.50"</f>
        <v>2932.19.50</v>
      </c>
      <c r="B2960" s="2" t="str">
        <f>"Diacetato de 5-nitrofurfurilideno ("</f>
        <v>Diacetato de 5-nitrofurfurilideno (</v>
      </c>
    </row>
    <row r="2961" spans="1:2">
      <c r="A2961" s="1" t="str">
        <f>"2932.19.90"</f>
        <v>2932.19.90</v>
      </c>
      <c r="B2961" s="2" t="str">
        <f>"Outros"</f>
        <v>Outros</v>
      </c>
    </row>
    <row r="2962" spans="1:2">
      <c r="A2962" s="1" t="str">
        <f>"2932.20.00"</f>
        <v>2932.20.00</v>
      </c>
      <c r="B2962" s="2" t="str">
        <f>"LACTONAS"</f>
        <v>LACTONAS</v>
      </c>
    </row>
    <row r="2963" spans="1:2">
      <c r="A2963" s="1" t="str">
        <f>"2932.91.00"</f>
        <v>2932.91.00</v>
      </c>
      <c r="B2963" s="2" t="str">
        <f>"Isosafrol"</f>
        <v>Isosafrol</v>
      </c>
    </row>
    <row r="2964" spans="1:2">
      <c r="A2964" s="1" t="str">
        <f>"2932.92.00"</f>
        <v>2932.92.00</v>
      </c>
      <c r="B2964" s="2" t="str">
        <f>"1-(1,3-Benzodioxol-5-il)propan-2-on"</f>
        <v>1-(1,3-Benzodioxol-5-il)propan-2-on</v>
      </c>
    </row>
    <row r="2965" spans="1:2">
      <c r="A2965" s="1" t="str">
        <f>"2932.93.00"</f>
        <v>2932.93.00</v>
      </c>
      <c r="B2965" s="2" t="str">
        <f>"Piperonal"</f>
        <v>Piperonal</v>
      </c>
    </row>
    <row r="2966" spans="1:2">
      <c r="A2966" s="1" t="str">
        <f>"2932.94.00"</f>
        <v>2932.94.00</v>
      </c>
      <c r="B2966" s="2" t="str">
        <f>"Safrol"</f>
        <v>Safrol</v>
      </c>
    </row>
    <row r="2967" spans="1:2">
      <c r="A2967" s="1" t="str">
        <f>"2932.95.00"</f>
        <v>2932.95.00</v>
      </c>
      <c r="B2967" s="2" t="str">
        <f>"Tetraidrocanabinois (todos os isome"</f>
        <v>Tetraidrocanabinois (todos os isome</v>
      </c>
    </row>
    <row r="2968" spans="1:2">
      <c r="A2968" s="1" t="str">
        <f>"2932.99.11"</f>
        <v>2932.99.11</v>
      </c>
      <c r="B2968" s="2" t="str">
        <f>"Eucaliptol"</f>
        <v>Eucaliptol</v>
      </c>
    </row>
    <row r="2969" spans="1:2">
      <c r="A2969" s="1" t="str">
        <f>"2932.99.12"</f>
        <v>2932.99.12</v>
      </c>
      <c r="B2969" s="2" t="str">
        <f>"Quercetina"</f>
        <v>Quercetina</v>
      </c>
    </row>
    <row r="2970" spans="1:2">
      <c r="A2970" s="1" t="str">
        <f>"2932.99.13"</f>
        <v>2932.99.13</v>
      </c>
      <c r="B2970" s="2" t="str">
        <f>"Dinitrato de isossorbida"</f>
        <v>Dinitrato de isossorbida</v>
      </c>
    </row>
    <row r="2971" spans="1:2">
      <c r="A2971" s="1" t="str">
        <f>"2932.99.14"</f>
        <v>2932.99.14</v>
      </c>
      <c r="B2971" s="2" t="str">
        <f>"Carbofurano"</f>
        <v>Carbofurano</v>
      </c>
    </row>
    <row r="2972" spans="1:2">
      <c r="A2972" s="1" t="str">
        <f>"2932.99.91"</f>
        <v>2932.99.91</v>
      </c>
      <c r="B2972" s="2" t="str">
        <f>"Cloridrato de amiodarona"</f>
        <v>Cloridrato de amiodarona</v>
      </c>
    </row>
    <row r="2973" spans="1:2">
      <c r="A2973" s="1" t="str">
        <f>"2932.99.92"</f>
        <v>2932.99.92</v>
      </c>
      <c r="B2973" s="2" t="str">
        <f>"1,3,4,6,7,8-Hexaidro-4,6,6,7,8,8-he"</f>
        <v>1,3,4,6,7,8-Hexaidro-4,6,6,7,8,8-he</v>
      </c>
    </row>
    <row r="2974" spans="1:2">
      <c r="A2974" s="1" t="str">
        <f>"2932.99.93"</f>
        <v>2932.99.93</v>
      </c>
      <c r="B2974" s="2" t="str">
        <f>"Dibenzilideno-sorbitol"</f>
        <v>Dibenzilideno-sorbitol</v>
      </c>
    </row>
    <row r="2975" spans="1:2">
      <c r="A2975" s="1" t="str">
        <f>"2932.99.94"</f>
        <v>2932.99.94</v>
      </c>
      <c r="B2975" s="2" t="str">
        <f>"Carbosulfan ((dibutilaminotio)metil"</f>
        <v>Carbosulfan ((dibutilaminotio)metil</v>
      </c>
    </row>
    <row r="2976" spans="1:2">
      <c r="A2976" s="1" t="str">
        <f>"2932.99.99"</f>
        <v>2932.99.99</v>
      </c>
      <c r="B2976" s="2" t="str">
        <f>"Outros"</f>
        <v>Outros</v>
      </c>
    </row>
    <row r="2977" spans="1:2">
      <c r="A2977" s="1" t="str">
        <f>"2933.11.11"</f>
        <v>2933.11.11</v>
      </c>
      <c r="B2977" s="2" t="str">
        <f>"Dipirona"</f>
        <v>Dipirona</v>
      </c>
    </row>
    <row r="2978" spans="1:2">
      <c r="A2978" s="1" t="str">
        <f>"2933.11.12"</f>
        <v>2933.11.12</v>
      </c>
      <c r="B2978" s="2" t="str">
        <f>"Magnopirol (dipirona magnesica)"</f>
        <v>Magnopirol (dipirona magnesica)</v>
      </c>
    </row>
    <row r="2979" spans="1:2">
      <c r="A2979" s="1" t="str">
        <f>"2933.11.19"</f>
        <v>2933.11.19</v>
      </c>
      <c r="B2979" s="2" t="str">
        <f>"Outros"</f>
        <v>Outros</v>
      </c>
    </row>
    <row r="2980" spans="1:2">
      <c r="A2980" s="1" t="str">
        <f>"2933.11.20"</f>
        <v>2933.11.20</v>
      </c>
      <c r="B2980" s="2" t="str">
        <f>"Metileno-bis(4-metilamino-1-fenil-2"</f>
        <v>Metileno-bis(4-metilamino-1-fenil-2</v>
      </c>
    </row>
    <row r="2981" spans="1:2">
      <c r="A2981" s="1" t="str">
        <f>"2933.11.90"</f>
        <v>2933.11.90</v>
      </c>
      <c r="B2981" s="2" t="str">
        <f>"Outros"</f>
        <v>Outros</v>
      </c>
    </row>
    <row r="2982" spans="1:2">
      <c r="A2982" s="1" t="str">
        <f>"2933.19.11"</f>
        <v>2933.19.11</v>
      </c>
      <c r="B2982" s="2" t="str">
        <f>"Fenilbutazona calcica"</f>
        <v>Fenilbutazona calcica</v>
      </c>
    </row>
    <row r="2983" spans="1:2">
      <c r="A2983" s="1" t="str">
        <f>"2933.19.19"</f>
        <v>2933.19.19</v>
      </c>
      <c r="B2983" s="2" t="str">
        <f>"Outros"</f>
        <v>Outros</v>
      </c>
    </row>
    <row r="2984" spans="1:2">
      <c r="A2984" s="1" t="str">
        <f>"2933.19.90"</f>
        <v>2933.19.90</v>
      </c>
      <c r="B2984" s="2" t="str">
        <f>"Outros"</f>
        <v>Outros</v>
      </c>
    </row>
    <row r="2985" spans="1:2">
      <c r="A2985" s="1" t="str">
        <f>"2933.21.10"</f>
        <v>2933.21.10</v>
      </c>
      <c r="B2985" s="2" t="str">
        <f>"Iprodiona"</f>
        <v>Iprodiona</v>
      </c>
    </row>
    <row r="2986" spans="1:2">
      <c r="A2986" s="1" t="str">
        <f>"2933.21.21"</f>
        <v>2933.21.21</v>
      </c>
      <c r="B2986" s="2" t="str">
        <f>"Fenitoina e seu sal sodico"</f>
        <v>Fenitoina e seu sal sodico</v>
      </c>
    </row>
    <row r="2987" spans="1:2">
      <c r="A2987" s="1" t="str">
        <f>"2933.21.29"</f>
        <v>2933.21.29</v>
      </c>
      <c r="B2987" s="2" t="str">
        <f>"Outros"</f>
        <v>Outros</v>
      </c>
    </row>
    <row r="2988" spans="1:2">
      <c r="A2988" s="1" t="str">
        <f>"2933.21.90"</f>
        <v>2933.21.90</v>
      </c>
      <c r="B2988" s="2" t="str">
        <f>"Outros"</f>
        <v>Outros</v>
      </c>
    </row>
    <row r="2989" spans="1:2">
      <c r="A2989" s="1" t="str">
        <f>"2933.29.11"</f>
        <v>2933.29.11</v>
      </c>
      <c r="B2989" s="2" t="str">
        <f>"2-Metil-5-nitroimidazol"</f>
        <v>2-Metil-5-nitroimidazol</v>
      </c>
    </row>
    <row r="2990" spans="1:2">
      <c r="A2990" s="1" t="str">
        <f>"2933.29.12"</f>
        <v>2933.29.12</v>
      </c>
      <c r="B2990" s="2" t="str">
        <f>"Metronidazol e seus sais"</f>
        <v>Metronidazol e seus sais</v>
      </c>
    </row>
    <row r="2991" spans="1:2">
      <c r="A2991" s="1" t="str">
        <f>"2933.29.13"</f>
        <v>2933.29.13</v>
      </c>
      <c r="B2991" s="2" t="str">
        <f>"Tinidazol"</f>
        <v>Tinidazol</v>
      </c>
    </row>
    <row r="2992" spans="1:2">
      <c r="A2992" s="1" t="str">
        <f>"2933.29.19"</f>
        <v>2933.29.19</v>
      </c>
      <c r="B2992" s="2" t="str">
        <f>"Outros"</f>
        <v>Outros</v>
      </c>
    </row>
    <row r="2993" spans="1:2">
      <c r="A2993" s="1" t="str">
        <f>"2933.29.21"</f>
        <v>2933.29.21</v>
      </c>
      <c r="B2993" s="2" t="str">
        <f>"Econazol e seu nitrato"</f>
        <v>Econazol e seu nitrato</v>
      </c>
    </row>
    <row r="2994" spans="1:2">
      <c r="A2994" s="1" t="str">
        <f>"2933.29.22"</f>
        <v>2933.29.22</v>
      </c>
      <c r="B2994" s="2" t="str">
        <f>"Nitrato de miconazol"</f>
        <v>Nitrato de miconazol</v>
      </c>
    </row>
    <row r="2995" spans="1:2">
      <c r="A2995" s="1" t="str">
        <f>"2933.29.23"</f>
        <v>2933.29.23</v>
      </c>
      <c r="B2995" s="2" t="str">
        <f>"Cloridrato de clonidina"</f>
        <v>Cloridrato de clonidina</v>
      </c>
    </row>
    <row r="2996" spans="1:2">
      <c r="A2996" s="1" t="str">
        <f>"2933.29.24"</f>
        <v>2933.29.24</v>
      </c>
      <c r="B2996" s="2" t="str">
        <f>"Nitrato de isoconazol"</f>
        <v>Nitrato de isoconazol</v>
      </c>
    </row>
    <row r="2997" spans="1:2">
      <c r="A2997" s="1" t="str">
        <f>"2933.29.25"</f>
        <v>2933.29.25</v>
      </c>
      <c r="B2997" s="2" t="str">
        <f>"Clotrimazol"</f>
        <v>Clotrimazol</v>
      </c>
    </row>
    <row r="2998" spans="1:2">
      <c r="A2998" s="1" t="str">
        <f>"2933.29.29"</f>
        <v>2933.29.29</v>
      </c>
      <c r="B2998" s="2" t="str">
        <f>"Outros"</f>
        <v>Outros</v>
      </c>
    </row>
    <row r="2999" spans="1:2">
      <c r="A2999" s="1" t="str">
        <f>"2933.29.30"</f>
        <v>2933.29.30</v>
      </c>
      <c r="B2999" s="2" t="str">
        <f>"Cimetidina e seus sais"</f>
        <v>Cimetidina e seus sais</v>
      </c>
    </row>
    <row r="3000" spans="1:2">
      <c r="A3000" s="1" t="str">
        <f>"2933.29.40"</f>
        <v>2933.29.40</v>
      </c>
      <c r="B3000" s="2" t="str">
        <f>"4-Metil-5-hidroximetilimidazol e se"</f>
        <v>4-Metil-5-hidroximetilimidazol e se</v>
      </c>
    </row>
    <row r="3001" spans="1:2">
      <c r="A3001" s="1" t="str">
        <f>"2933.29.91"</f>
        <v>2933.29.91</v>
      </c>
      <c r="B3001" s="2" t="str">
        <f>"Imidazol"</f>
        <v>Imidazol</v>
      </c>
    </row>
    <row r="3002" spans="1:2">
      <c r="A3002" s="1" t="str">
        <f>"2933.29.92"</f>
        <v>2933.29.92</v>
      </c>
      <c r="B3002" s="2" t="str">
        <f>"Histidina e seus sais"</f>
        <v>Histidina e seus sais</v>
      </c>
    </row>
    <row r="3003" spans="1:2">
      <c r="A3003" s="1" t="str">
        <f>"2933.29.93"</f>
        <v>2933.29.93</v>
      </c>
      <c r="B3003" s="2" t="str">
        <f>"Ondansetron e seus sais"</f>
        <v>Ondansetron e seus sais</v>
      </c>
    </row>
    <row r="3004" spans="1:2">
      <c r="A3004" s="1" t="str">
        <f>"2933.29.94"</f>
        <v>2933.29.94</v>
      </c>
      <c r="B3004" s="2" t="str">
        <f>"1-Hidroxietil-2-undecanoilimidazoli"</f>
        <v>1-Hidroxietil-2-undecanoilimidazoli</v>
      </c>
    </row>
    <row r="3005" spans="1:2">
      <c r="A3005" s="1" t="str">
        <f>"2933.29.95"</f>
        <v>2933.29.95</v>
      </c>
      <c r="B3005" s="2" t="str">
        <f>"1-Hidroxietil-2-(8-heptadecenoil)im"</f>
        <v>1-Hidroxietil-2-(8-heptadecenoil)im</v>
      </c>
    </row>
    <row r="3006" spans="1:2">
      <c r="A3006" s="1" t="str">
        <f>"2933.29.99"</f>
        <v>2933.29.99</v>
      </c>
      <c r="B3006" s="2" t="str">
        <f>"Outros"</f>
        <v>Outros</v>
      </c>
    </row>
    <row r="3007" spans="1:2">
      <c r="A3007" s="1" t="str">
        <f>"2933.31.10"</f>
        <v>2933.31.10</v>
      </c>
      <c r="B3007" s="2" t="str">
        <f>"Piridina"</f>
        <v>Piridina</v>
      </c>
    </row>
    <row r="3008" spans="1:2">
      <c r="A3008" s="1" t="str">
        <f>"2933.31.20"</f>
        <v>2933.31.20</v>
      </c>
      <c r="B3008" s="2" t="str">
        <f>"Sais"</f>
        <v>Sais</v>
      </c>
    </row>
    <row r="3009" spans="1:2">
      <c r="A3009" s="1" t="str">
        <f>"2933.32.00"</f>
        <v>2933.32.00</v>
      </c>
      <c r="B3009" s="2" t="str">
        <f>"Piperidina e seus sais"</f>
        <v>Piperidina e seus sais</v>
      </c>
    </row>
    <row r="3010" spans="1:2">
      <c r="A3010" s="1" t="str">
        <f>"2933.33.11"</f>
        <v>2933.33.11</v>
      </c>
      <c r="B3010" s="2" t="str">
        <f>"Alfentanilo"</f>
        <v>Alfentanilo</v>
      </c>
    </row>
    <row r="3011" spans="1:2">
      <c r="A3011" s="1" t="str">
        <f>"2933.33.12"</f>
        <v>2933.33.12</v>
      </c>
      <c r="B3011" s="2" t="str">
        <f>"Anileridina"</f>
        <v>Anileridina</v>
      </c>
    </row>
    <row r="3012" spans="1:2">
      <c r="A3012" s="1" t="str">
        <f>"2933.33.19"</f>
        <v>2933.33.19</v>
      </c>
      <c r="B3012" s="2" t="str">
        <f>"Outros"</f>
        <v>Outros</v>
      </c>
    </row>
    <row r="3013" spans="1:2">
      <c r="A3013" s="1" t="str">
        <f>"2933.33.21"</f>
        <v>2933.33.21</v>
      </c>
      <c r="B3013" s="2" t="str">
        <f>"Bezitramida"</f>
        <v>Bezitramida</v>
      </c>
    </row>
    <row r="3014" spans="1:2">
      <c r="A3014" s="1" t="str">
        <f>"2933.33.22"</f>
        <v>2933.33.22</v>
      </c>
      <c r="B3014" s="2" t="str">
        <f>"BROMAZEPAM"</f>
        <v>BROMAZEPAM</v>
      </c>
    </row>
    <row r="3015" spans="1:2">
      <c r="A3015" s="1" t="str">
        <f>"2933.33.29"</f>
        <v>2933.33.29</v>
      </c>
      <c r="B3015" s="2" t="str">
        <f>"Outros"</f>
        <v>Outros</v>
      </c>
    </row>
    <row r="3016" spans="1:2">
      <c r="A3016" s="1" t="str">
        <f>"2933.33.30"</f>
        <v>2933.33.30</v>
      </c>
      <c r="B3016" s="2" t="str">
        <f>"Cetobemidona e seus sais"</f>
        <v>Cetobemidona e seus sais</v>
      </c>
    </row>
    <row r="3017" spans="1:2">
      <c r="A3017" s="1" t="str">
        <f>"2933.33.41"</f>
        <v>2933.33.41</v>
      </c>
      <c r="B3017" s="2" t="str">
        <f>"Difenoxilato"</f>
        <v>Difenoxilato</v>
      </c>
    </row>
    <row r="3018" spans="1:2">
      <c r="A3018" s="1" t="str">
        <f>"2933.33.42"</f>
        <v>2933.33.42</v>
      </c>
      <c r="B3018" s="2" t="str">
        <f>"Cloridrato de difenoxilato"</f>
        <v>Cloridrato de difenoxilato</v>
      </c>
    </row>
    <row r="3019" spans="1:2">
      <c r="A3019" s="1" t="str">
        <f>"2933.33.49"</f>
        <v>2933.33.49</v>
      </c>
      <c r="B3019" s="2" t="str">
        <f>"Outros"</f>
        <v>Outros</v>
      </c>
    </row>
    <row r="3020" spans="1:2">
      <c r="A3020" s="1" t="str">
        <f>"2933.33.51"</f>
        <v>2933.33.51</v>
      </c>
      <c r="B3020" s="2" t="str">
        <f>"Difenoxina"</f>
        <v>Difenoxina</v>
      </c>
    </row>
    <row r="3021" spans="1:2">
      <c r="A3021" s="1" t="str">
        <f>"2933.33.52"</f>
        <v>2933.33.52</v>
      </c>
      <c r="B3021" s="2" t="str">
        <f>"Dipipanona"</f>
        <v>Dipipanona</v>
      </c>
    </row>
    <row r="3022" spans="1:2">
      <c r="A3022" s="1" t="str">
        <f>"2933.33.59"</f>
        <v>2933.33.59</v>
      </c>
      <c r="B3022" s="2" t="str">
        <f>"Outros"</f>
        <v>Outros</v>
      </c>
    </row>
    <row r="3023" spans="1:2">
      <c r="A3023" s="1" t="str">
        <f>"2933.33.61"</f>
        <v>2933.33.61</v>
      </c>
      <c r="B3023" s="2" t="str">
        <f>"Fenciclidina"</f>
        <v>Fenciclidina</v>
      </c>
    </row>
    <row r="3024" spans="1:2">
      <c r="A3024" s="1" t="str">
        <f>"2933.33.62"</f>
        <v>2933.33.62</v>
      </c>
      <c r="B3024" s="2" t="str">
        <f>"Fenoperidina"</f>
        <v>Fenoperidina</v>
      </c>
    </row>
    <row r="3025" spans="1:2">
      <c r="A3025" s="1" t="str">
        <f>"2933.33.63"</f>
        <v>2933.33.63</v>
      </c>
      <c r="B3025" s="2" t="str">
        <f>"Fentanilo"</f>
        <v>Fentanilo</v>
      </c>
    </row>
    <row r="3026" spans="1:2">
      <c r="A3026" s="1" t="str">
        <f>"2933.33.69"</f>
        <v>2933.33.69</v>
      </c>
      <c r="B3026" s="2" t="str">
        <f>"Outros"</f>
        <v>Outros</v>
      </c>
    </row>
    <row r="3027" spans="1:2">
      <c r="A3027" s="1" t="str">
        <f>"2933.33.71"</f>
        <v>2933.33.71</v>
      </c>
      <c r="B3027" s="2" t="str">
        <f>"Metilfenidato"</f>
        <v>Metilfenidato</v>
      </c>
    </row>
    <row r="3028" spans="1:2">
      <c r="A3028" s="1" t="str">
        <f>"2933.33.72"</f>
        <v>2933.33.72</v>
      </c>
      <c r="B3028" s="2" t="str">
        <f>"Pentazocina"</f>
        <v>Pentazocina</v>
      </c>
    </row>
    <row r="3029" spans="1:2">
      <c r="A3029" s="1" t="str">
        <f>"2933.33.79"</f>
        <v>2933.33.79</v>
      </c>
      <c r="B3029" s="2" t="str">
        <f>"Outros"</f>
        <v>Outros</v>
      </c>
    </row>
    <row r="3030" spans="1:2">
      <c r="A3030" s="1" t="str">
        <f>"2933.33.81"</f>
        <v>2933.33.81</v>
      </c>
      <c r="B3030" s="2" t="str">
        <f>"Petidina"</f>
        <v>Petidina</v>
      </c>
    </row>
    <row r="3031" spans="1:2">
      <c r="A3031" s="1" t="str">
        <f>"2933.33.82"</f>
        <v>2933.33.82</v>
      </c>
      <c r="B3031" s="2" t="str">
        <f>"Intermediario A da petidina"</f>
        <v>Intermediario A da petidina</v>
      </c>
    </row>
    <row r="3032" spans="1:2">
      <c r="A3032" s="1" t="str">
        <f>"2933.33.83"</f>
        <v>2933.33.83</v>
      </c>
      <c r="B3032" s="2" t="str">
        <f>"Pipradrol"</f>
        <v>Pipradrol</v>
      </c>
    </row>
    <row r="3033" spans="1:2">
      <c r="A3033" s="1" t="str">
        <f>"2933.33.84"</f>
        <v>2933.33.84</v>
      </c>
      <c r="B3033" s="2" t="str">
        <f>"Cloridrato de petidina"</f>
        <v>Cloridrato de petidina</v>
      </c>
    </row>
    <row r="3034" spans="1:2">
      <c r="A3034" s="1" t="str">
        <f>"2933.33.89"</f>
        <v>2933.33.89</v>
      </c>
      <c r="B3034" s="2" t="str">
        <f>"Outros"</f>
        <v>Outros</v>
      </c>
    </row>
    <row r="3035" spans="1:2">
      <c r="A3035" s="1" t="str">
        <f>"2933.33.91"</f>
        <v>2933.33.91</v>
      </c>
      <c r="B3035" s="2" t="str">
        <f>"Piritramida"</f>
        <v>Piritramida</v>
      </c>
    </row>
    <row r="3036" spans="1:2">
      <c r="A3036" s="1" t="str">
        <f>"2933.33.92"</f>
        <v>2933.33.92</v>
      </c>
      <c r="B3036" s="2" t="str">
        <f>"Propiram"</f>
        <v>Propiram</v>
      </c>
    </row>
    <row r="3037" spans="1:2">
      <c r="A3037" s="1" t="str">
        <f>"2933.33.93"</f>
        <v>2933.33.93</v>
      </c>
      <c r="B3037" s="2" t="str">
        <f>"Trimeperidina"</f>
        <v>Trimeperidina</v>
      </c>
    </row>
    <row r="3038" spans="1:2">
      <c r="A3038" s="1" t="str">
        <f>"2933.33.99"</f>
        <v>2933.33.99</v>
      </c>
      <c r="B3038" s="2" t="str">
        <f>"Outros"</f>
        <v>Outros</v>
      </c>
    </row>
    <row r="3039" spans="1:2">
      <c r="A3039" s="1" t="str">
        <f>"2933.39.12"</f>
        <v>2933.39.12</v>
      </c>
      <c r="B3039" s="2" t="str">
        <f>"Droperidol"</f>
        <v>Droperidol</v>
      </c>
    </row>
    <row r="3040" spans="1:2">
      <c r="A3040" s="1" t="str">
        <f>"2933.39.13"</f>
        <v>2933.39.13</v>
      </c>
      <c r="B3040" s="2" t="str">
        <f>"Acido niflumico"</f>
        <v>Acido niflumico</v>
      </c>
    </row>
    <row r="3041" spans="1:2">
      <c r="A3041" s="1" t="str">
        <f>"2933.39.14"</f>
        <v>2933.39.14</v>
      </c>
      <c r="B3041" s="2" t="str">
        <f>"Haloxifop (acido (RS)-2-(4-(3-cloro"</f>
        <v>Haloxifop (acido (RS)-2-(4-(3-cloro</v>
      </c>
    </row>
    <row r="3042" spans="1:2">
      <c r="A3042" s="1" t="str">
        <f>"2933.39.15"</f>
        <v>2933.39.15</v>
      </c>
      <c r="B3042" s="2" t="str">
        <f>"Haloperidol"</f>
        <v>Haloperidol</v>
      </c>
    </row>
    <row r="3043" spans="1:2">
      <c r="A3043" s="1" t="str">
        <f>"2933.39.19"</f>
        <v>2933.39.19</v>
      </c>
      <c r="B3043" s="2" t="str">
        <f>"Outros"</f>
        <v>Outros</v>
      </c>
    </row>
    <row r="3044" spans="1:2">
      <c r="A3044" s="1" t="str">
        <f>"2933.39.21"</f>
        <v>2933.39.21</v>
      </c>
      <c r="B3044" s="2" t="str">
        <f>"Picloram"</f>
        <v>Picloram</v>
      </c>
    </row>
    <row r="3045" spans="1:2">
      <c r="A3045" s="1" t="str">
        <f>"2933.39.22"</f>
        <v>2933.39.22</v>
      </c>
      <c r="B3045" s="2" t="str">
        <f>"Clorpirifos"</f>
        <v>Clorpirifos</v>
      </c>
    </row>
    <row r="3046" spans="1:2">
      <c r="A3046" s="1" t="str">
        <f>"2933.39.23"</f>
        <v>2933.39.23</v>
      </c>
      <c r="B3046" s="2" t="str">
        <f>"Malato acido de cleboprida (malato"</f>
        <v>Malato acido de cleboprida (malato</v>
      </c>
    </row>
    <row r="3047" spans="1:2">
      <c r="A3047" s="1" t="str">
        <f>"2933.39.24"</f>
        <v>2933.39.24</v>
      </c>
      <c r="B3047" s="2" t="str">
        <f>"Cloridrato de loperamida"</f>
        <v>Cloridrato de loperamida</v>
      </c>
    </row>
    <row r="3048" spans="1:2">
      <c r="A3048" s="1" t="str">
        <f>"2933.39.25"</f>
        <v>2933.39.25</v>
      </c>
      <c r="B3048" s="2" t="str">
        <f>"Acido 2-(2-metil-3-cloroanilino)nic"</f>
        <v>Acido 2-(2-metil-3-cloroanilino)nic</v>
      </c>
    </row>
    <row r="3049" spans="1:2">
      <c r="A3049" s="1" t="str">
        <f>"2933.39.29"</f>
        <v>2933.39.29</v>
      </c>
      <c r="B3049" s="2" t="str">
        <f>"Outros"</f>
        <v>Outros</v>
      </c>
    </row>
    <row r="3050" spans="1:2">
      <c r="A3050" s="1" t="str">
        <f>"2933.39.31"</f>
        <v>2933.39.31</v>
      </c>
      <c r="B3050" s="2" t="str">
        <f>"Terfenadina"</f>
        <v>Terfenadina</v>
      </c>
    </row>
    <row r="3051" spans="1:2">
      <c r="A3051" s="1" t="str">
        <f>"2933.39.32"</f>
        <v>2933.39.32</v>
      </c>
      <c r="B3051" s="2" t="str">
        <f>"Biperideno e seus sais"</f>
        <v>Biperideno e seus sais</v>
      </c>
    </row>
    <row r="3052" spans="1:2">
      <c r="A3052" s="1" t="str">
        <f>"2933.39.33"</f>
        <v>2933.39.33</v>
      </c>
      <c r="B3052" s="2" t="str">
        <f>"Acido isonicotinico"</f>
        <v>Acido isonicotinico</v>
      </c>
    </row>
    <row r="3053" spans="1:2">
      <c r="A3053" s="1" t="str">
        <f>"2933.39.34"</f>
        <v>2933.39.34</v>
      </c>
      <c r="B3053" s="2" t="str">
        <f>"5-Etil-2,3-dicarboxipiridina (5-EPD"</f>
        <v>5-Etil-2,3-dicarboxipiridina (5-EPD</v>
      </c>
    </row>
    <row r="3054" spans="1:2">
      <c r="A3054" s="1" t="str">
        <f>"2933.39.35"</f>
        <v>2933.39.35</v>
      </c>
      <c r="B3054" s="2" t="str">
        <f>"Imazetapir (acido (RS)-5-etil-2-(4-"</f>
        <v>Imazetapir (acido (RS)-5-etil-2-(4-</v>
      </c>
    </row>
    <row r="3055" spans="1:2">
      <c r="A3055" s="1" t="str">
        <f>"2933.39.36"</f>
        <v>2933.39.36</v>
      </c>
      <c r="B3055" s="2" t="str">
        <f>"Quinuclidin-3-ol"</f>
        <v>Quinuclidin-3-ol</v>
      </c>
    </row>
    <row r="3056" spans="1:2">
      <c r="A3056" s="1" t="str">
        <f>"2933.39.39"</f>
        <v>2933.39.39</v>
      </c>
      <c r="B3056" s="2" t="str">
        <f>"Outros"</f>
        <v>Outros</v>
      </c>
    </row>
    <row r="3057" spans="1:2">
      <c r="A3057" s="1" t="str">
        <f>"2933.39.43"</f>
        <v>2933.39.43</v>
      </c>
      <c r="B3057" s="2" t="str">
        <f>"Nifedipina"</f>
        <v>Nifedipina</v>
      </c>
    </row>
    <row r="3058" spans="1:2">
      <c r="A3058" s="1" t="str">
        <f>"2933.39.44"</f>
        <v>2933.39.44</v>
      </c>
      <c r="B3058" s="2" t="str">
        <f>"Nitrendipina"</f>
        <v>Nitrendipina</v>
      </c>
    </row>
    <row r="3059" spans="1:2">
      <c r="A3059" s="1" t="str">
        <f>"2933.39.45"</f>
        <v>2933.39.45</v>
      </c>
      <c r="B3059" s="2" t="str">
        <f>"Maleato de pirilamina"</f>
        <v>Maleato de pirilamina</v>
      </c>
    </row>
    <row r="3060" spans="1:2">
      <c r="A3060" s="1" t="str">
        <f>"2933.39.46"</f>
        <v>2933.39.46</v>
      </c>
      <c r="B3060" s="2" t="str">
        <f>"Omeprazol"</f>
        <v>Omeprazol</v>
      </c>
    </row>
    <row r="3061" spans="1:2">
      <c r="A3061" s="1" t="str">
        <f>"2933.39.47"</f>
        <v>2933.39.47</v>
      </c>
      <c r="B3061" s="2" t="str">
        <f>"Benzilato de 3-quinuclidinila"</f>
        <v>Benzilato de 3-quinuclidinila</v>
      </c>
    </row>
    <row r="3062" spans="1:2">
      <c r="A3062" s="1" t="str">
        <f>"2933.39.48"</f>
        <v>2933.39.48</v>
      </c>
      <c r="B3062" s="2" t="str">
        <f>"Nimodipina"</f>
        <v>Nimodipina</v>
      </c>
    </row>
    <row r="3063" spans="1:2">
      <c r="A3063" s="1" t="str">
        <f>"2933.39.49"</f>
        <v>2933.39.49</v>
      </c>
      <c r="B3063" s="2" t="str">
        <f>"Outros"</f>
        <v>Outros</v>
      </c>
    </row>
    <row r="3064" spans="1:2">
      <c r="A3064" s="1" t="str">
        <f>"2933.39.81"</f>
        <v>2933.39.81</v>
      </c>
      <c r="B3064" s="2" t="str">
        <f>"Cloridrato de benzetimida"</f>
        <v>Cloridrato de benzetimida</v>
      </c>
    </row>
    <row r="3065" spans="1:2">
      <c r="A3065" s="1" t="str">
        <f>"2933.39.82"</f>
        <v>2933.39.82</v>
      </c>
      <c r="B3065" s="2" t="str">
        <f>"Cloridrato de mepivacaina"</f>
        <v>Cloridrato de mepivacaina</v>
      </c>
    </row>
    <row r="3066" spans="1:2">
      <c r="A3066" s="1" t="str">
        <f>"2933.39.83"</f>
        <v>2933.39.83</v>
      </c>
      <c r="B3066" s="2" t="str">
        <f>"Cloridrato de bupivacaina"</f>
        <v>Cloridrato de bupivacaina</v>
      </c>
    </row>
    <row r="3067" spans="1:2">
      <c r="A3067" s="1" t="str">
        <f>"2933.39.84"</f>
        <v>2933.39.84</v>
      </c>
      <c r="B3067" s="2" t="str">
        <f>"Dicloreto de paraquat"</f>
        <v>Dicloreto de paraquat</v>
      </c>
    </row>
    <row r="3068" spans="1:2">
      <c r="A3068" s="1" t="str">
        <f>"2933.39.89"</f>
        <v>2933.39.89</v>
      </c>
      <c r="B3068" s="2" t="str">
        <f>"Outros"</f>
        <v>Outros</v>
      </c>
    </row>
    <row r="3069" spans="1:2">
      <c r="A3069" s="1" t="str">
        <f>"2933.39.91"</f>
        <v>2933.39.91</v>
      </c>
      <c r="B3069" s="2" t="str">
        <f>"Cloridrato de fenazopiridina"</f>
        <v>Cloridrato de fenazopiridina</v>
      </c>
    </row>
    <row r="3070" spans="1:2">
      <c r="A3070" s="1" t="str">
        <f>"2933.39.92"</f>
        <v>2933.39.92</v>
      </c>
      <c r="B3070" s="2" t="str">
        <f>"Isoniazida"</f>
        <v>Isoniazida</v>
      </c>
    </row>
    <row r="3071" spans="1:2">
      <c r="A3071" s="1" t="str">
        <f>"2933.39.93"</f>
        <v>2933.39.93</v>
      </c>
      <c r="B3071" s="2" t="str">
        <f>"3-Cianopiridina"</f>
        <v>3-Cianopiridina</v>
      </c>
    </row>
    <row r="3072" spans="1:2">
      <c r="A3072" s="1" t="str">
        <f>"2933.39.94"</f>
        <v>2933.39.94</v>
      </c>
      <c r="B3072" s="2" t="str">
        <f>"4,4'-Bipiridina"</f>
        <v>4,4'-Bipiridina</v>
      </c>
    </row>
    <row r="3073" spans="1:2">
      <c r="A3073" s="1" t="str">
        <f>"2933.39.99"</f>
        <v>2933.39.99</v>
      </c>
      <c r="B3073" s="2" t="str">
        <f>"Outros"</f>
        <v>Outros</v>
      </c>
    </row>
    <row r="3074" spans="1:2">
      <c r="A3074" s="1" t="str">
        <f>"2933.41.10"</f>
        <v>2933.41.10</v>
      </c>
      <c r="B3074" s="2" t="str">
        <f>"Levorfanol"</f>
        <v>Levorfanol</v>
      </c>
    </row>
    <row r="3075" spans="1:2">
      <c r="A3075" s="1" t="str">
        <f>"2933.41.20"</f>
        <v>2933.41.20</v>
      </c>
      <c r="B3075" s="2" t="str">
        <f>"Sais"</f>
        <v>Sais</v>
      </c>
    </row>
    <row r="3076" spans="1:2">
      <c r="A3076" s="1" t="str">
        <f>"2933.49.11"</f>
        <v>2933.49.11</v>
      </c>
      <c r="B3076" s="2" t="str">
        <f>"Acido 2,3-quinolinodicarboxilico"</f>
        <v>Acido 2,3-quinolinodicarboxilico</v>
      </c>
    </row>
    <row r="3077" spans="1:2">
      <c r="A3077" s="1" t="str">
        <f>"2933.49.12"</f>
        <v>2933.49.12</v>
      </c>
      <c r="B3077" s="2" t="str">
        <f>"Rosoxacina"</f>
        <v>Rosoxacina</v>
      </c>
    </row>
    <row r="3078" spans="1:2">
      <c r="A3078" s="1" t="str">
        <f>"2933.49.13"</f>
        <v>2933.49.13</v>
      </c>
      <c r="B3078" s="2" t="str">
        <f>"Imazaquin"</f>
        <v>Imazaquin</v>
      </c>
    </row>
    <row r="3079" spans="1:2">
      <c r="A3079" s="1" t="str">
        <f>"2933.49.19"</f>
        <v>2933.49.19</v>
      </c>
      <c r="B3079" s="2" t="str">
        <f>"Outros"</f>
        <v>Outros</v>
      </c>
    </row>
    <row r="3080" spans="1:2">
      <c r="A3080" s="1" t="str">
        <f>"2933.49.20"</f>
        <v>2933.49.20</v>
      </c>
      <c r="B3080" s="2" t="str">
        <f>"Oxaminiquina"</f>
        <v>Oxaminiquina</v>
      </c>
    </row>
    <row r="3081" spans="1:2">
      <c r="A3081" s="1" t="str">
        <f>"2933.49.30"</f>
        <v>2933.49.30</v>
      </c>
      <c r="B3081" s="2" t="str">
        <f>"Broxiquinolina"</f>
        <v>Broxiquinolina</v>
      </c>
    </row>
    <row r="3082" spans="1:2">
      <c r="A3082" s="1" t="str">
        <f>"2933.49.40"</f>
        <v>2933.49.40</v>
      </c>
      <c r="B3082" s="2" t="str">
        <f>"Esteres do levorfanol"</f>
        <v>Esteres do levorfanol</v>
      </c>
    </row>
    <row r="3083" spans="1:2">
      <c r="A3083" s="1" t="str">
        <f>"2933.49.90"</f>
        <v>2933.49.90</v>
      </c>
      <c r="B3083" s="2" t="str">
        <f>"Outros"</f>
        <v>Outros</v>
      </c>
    </row>
    <row r="3084" spans="1:2">
      <c r="A3084" s="1" t="str">
        <f>"2933.52.00"</f>
        <v>2933.52.00</v>
      </c>
      <c r="B3084" s="2" t="str">
        <f>"Malonilureia (acido barbiturico) e"</f>
        <v>Malonilureia (acido barbiturico) e</v>
      </c>
    </row>
    <row r="3085" spans="1:2">
      <c r="A3085" s="1" t="str">
        <f>"2933.53.11"</f>
        <v>2933.53.11</v>
      </c>
      <c r="B3085" s="2" t="str">
        <f>"Alobarbital e seus sais"</f>
        <v>Alobarbital e seus sais</v>
      </c>
    </row>
    <row r="3086" spans="1:2">
      <c r="A3086" s="1" t="str">
        <f>"2933.53.12"</f>
        <v>2933.53.12</v>
      </c>
      <c r="B3086" s="2" t="str">
        <f>"Amobarbital e seus sais"</f>
        <v>Amobarbital e seus sais</v>
      </c>
    </row>
    <row r="3087" spans="1:2">
      <c r="A3087" s="1" t="str">
        <f>"2933.53.21"</f>
        <v>2933.53.21</v>
      </c>
      <c r="B3087" s="2" t="str">
        <f>"Barbital e seus sais"</f>
        <v>Barbital e seus sais</v>
      </c>
    </row>
    <row r="3088" spans="1:2">
      <c r="A3088" s="1" t="str">
        <f>"2933.53.22"</f>
        <v>2933.53.22</v>
      </c>
      <c r="B3088" s="2" t="str">
        <f>"Butalbital e seus sais"</f>
        <v>Butalbital e seus sais</v>
      </c>
    </row>
    <row r="3089" spans="1:2">
      <c r="A3089" s="1" t="str">
        <f>"2933.53.23"</f>
        <v>2933.53.23</v>
      </c>
      <c r="B3089" s="2" t="str">
        <f>"Butobarbital e seus sais"</f>
        <v>Butobarbital e seus sais</v>
      </c>
    </row>
    <row r="3090" spans="1:2">
      <c r="A3090" s="1" t="str">
        <f>"2933.53.30"</f>
        <v>2933.53.30</v>
      </c>
      <c r="B3090" s="2" t="str">
        <f>"Ciclobarbital e seus sais"</f>
        <v>Ciclobarbital e seus sais</v>
      </c>
    </row>
    <row r="3091" spans="1:2">
      <c r="A3091" s="1" t="str">
        <f>"2933.53.40"</f>
        <v>2933.53.40</v>
      </c>
      <c r="B3091" s="2" t="str">
        <f>"Fenobarbital e seus sais"</f>
        <v>Fenobarbital e seus sais</v>
      </c>
    </row>
    <row r="3092" spans="1:2">
      <c r="A3092" s="1" t="str">
        <f>"2933.53.50"</f>
        <v>2933.53.50</v>
      </c>
      <c r="B3092" s="2" t="str">
        <f>"Metilfenobarbital e seus sais"</f>
        <v>Metilfenobarbital e seus sais</v>
      </c>
    </row>
    <row r="3093" spans="1:2">
      <c r="A3093" s="1" t="str">
        <f>"2933.53.60"</f>
        <v>2933.53.60</v>
      </c>
      <c r="B3093" s="2" t="str">
        <f>"Pentobarbital e seus sais"</f>
        <v>Pentobarbital e seus sais</v>
      </c>
    </row>
    <row r="3094" spans="1:2">
      <c r="A3094" s="1" t="str">
        <f>"2933.53.71"</f>
        <v>2933.53.71</v>
      </c>
      <c r="B3094" s="2" t="str">
        <f>"Secbutabarbital e seus sais"</f>
        <v>Secbutabarbital e seus sais</v>
      </c>
    </row>
    <row r="3095" spans="1:2">
      <c r="A3095" s="1" t="str">
        <f>"2933.53.72"</f>
        <v>2933.53.72</v>
      </c>
      <c r="B3095" s="2" t="str">
        <f>"Secobarbital e seus sais"</f>
        <v>Secobarbital e seus sais</v>
      </c>
    </row>
    <row r="3096" spans="1:2">
      <c r="A3096" s="1" t="str">
        <f>"2933.53.80"</f>
        <v>2933.53.80</v>
      </c>
      <c r="B3096" s="2" t="str">
        <f>"Venilbital e seus sais"</f>
        <v>Venilbital e seus sais</v>
      </c>
    </row>
    <row r="3097" spans="1:2">
      <c r="A3097" s="1" t="str">
        <f>"2933.54.00"</f>
        <v>2933.54.00</v>
      </c>
      <c r="B3097" s="2" t="str">
        <f>"Outros derivados de malonilureia (a"</f>
        <v>Outros derivados de malonilureia (a</v>
      </c>
    </row>
    <row r="3098" spans="1:2">
      <c r="A3098" s="1" t="str">
        <f>"2933.55.10"</f>
        <v>2933.55.10</v>
      </c>
      <c r="B3098" s="2" t="str">
        <f>"Loprazolam e seus sais"</f>
        <v>Loprazolam e seus sais</v>
      </c>
    </row>
    <row r="3099" spans="1:2">
      <c r="A3099" s="1" t="str">
        <f>"2933.55.20"</f>
        <v>2933.55.20</v>
      </c>
      <c r="B3099" s="2" t="str">
        <f>"Mecloqualona e seus sais"</f>
        <v>Mecloqualona e seus sais</v>
      </c>
    </row>
    <row r="3100" spans="1:2">
      <c r="A3100" s="1" t="str">
        <f>"2933.55.30"</f>
        <v>2933.55.30</v>
      </c>
      <c r="B3100" s="2" t="str">
        <f>"Metaqualona e seus sais"</f>
        <v>Metaqualona e seus sais</v>
      </c>
    </row>
    <row r="3101" spans="1:2">
      <c r="A3101" s="1" t="str">
        <f>"2933.55.40"</f>
        <v>2933.55.40</v>
      </c>
      <c r="B3101" s="2" t="str">
        <f>"Zipeprol e seus sais"</f>
        <v>Zipeprol e seus sais</v>
      </c>
    </row>
    <row r="3102" spans="1:2">
      <c r="A3102" s="1" t="str">
        <f>"2933.59.11"</f>
        <v>2933.59.11</v>
      </c>
      <c r="B3102" s="2" t="str">
        <f>"Oxatomida"</f>
        <v>Oxatomida</v>
      </c>
    </row>
    <row r="3103" spans="1:2">
      <c r="A3103" s="1" t="str">
        <f>"2933.59.12"</f>
        <v>2933.59.12</v>
      </c>
      <c r="B3103" s="2" t="str">
        <f>"Praziquantel"</f>
        <v>Praziquantel</v>
      </c>
    </row>
    <row r="3104" spans="1:2">
      <c r="A3104" s="1" t="str">
        <f>"2933.59.13"</f>
        <v>2933.59.13</v>
      </c>
      <c r="B3104" s="2" t="str">
        <f>"Norfloxacina e seu nicotinato"</f>
        <v>Norfloxacina e seu nicotinato</v>
      </c>
    </row>
    <row r="3105" spans="1:2">
      <c r="A3105" s="1" t="str">
        <f>"2933.59.14"</f>
        <v>2933.59.14</v>
      </c>
      <c r="B3105" s="2" t="str">
        <f>"Flunarizina e seu dicloridrato"</f>
        <v>Flunarizina e seu dicloridrato</v>
      </c>
    </row>
    <row r="3106" spans="1:2">
      <c r="A3106" s="1" t="str">
        <f>"2933.59.15"</f>
        <v>2933.59.15</v>
      </c>
      <c r="B3106" s="2" t="str">
        <f>"Enrofloxacina; sais de piperazina"</f>
        <v>Enrofloxacina; sais de piperazina</v>
      </c>
    </row>
    <row r="3107" spans="1:2">
      <c r="A3107" s="1" t="str">
        <f>"2933.59.16"</f>
        <v>2933.59.16</v>
      </c>
      <c r="B3107" s="2" t="str">
        <f>"Cloridrato de buspirona"</f>
        <v>Cloridrato de buspirona</v>
      </c>
    </row>
    <row r="3108" spans="1:2">
      <c r="A3108" s="1" t="str">
        <f>"2933.59.19"</f>
        <v>2933.59.19</v>
      </c>
      <c r="B3108" s="2" t="str">
        <f>"Outros"</f>
        <v>Outros</v>
      </c>
    </row>
    <row r="3109" spans="1:2">
      <c r="A3109" s="1" t="str">
        <f>"2933.59.21"</f>
        <v>2933.59.21</v>
      </c>
      <c r="B3109" s="2" t="str">
        <f>"Bromacil"</f>
        <v>Bromacil</v>
      </c>
    </row>
    <row r="3110" spans="1:2">
      <c r="A3110" s="1" t="str">
        <f>"2933.59.22"</f>
        <v>2933.59.22</v>
      </c>
      <c r="B3110" s="2" t="str">
        <f>"Terbacil"</f>
        <v>Terbacil</v>
      </c>
    </row>
    <row r="3111" spans="1:2">
      <c r="A3111" s="1" t="str">
        <f>"2933.59.23"</f>
        <v>2933.59.23</v>
      </c>
      <c r="B3111" s="2" t="str">
        <f>"Fluorouracil"</f>
        <v>Fluorouracil</v>
      </c>
    </row>
    <row r="3112" spans="1:2">
      <c r="A3112" s="1" t="str">
        <f>"2933.59.29"</f>
        <v>2933.59.29</v>
      </c>
      <c r="B3112" s="2" t="str">
        <f>"Outros"</f>
        <v>Outros</v>
      </c>
    </row>
    <row r="3113" spans="1:2">
      <c r="A3113" s="1" t="str">
        <f>"2933.59.31"</f>
        <v>2933.59.31</v>
      </c>
      <c r="B3113" s="2" t="str">
        <f>"Propiltiouracil"</f>
        <v>Propiltiouracil</v>
      </c>
    </row>
    <row r="3114" spans="1:2">
      <c r="A3114" s="1" t="str">
        <f>"2933.59.32"</f>
        <v>2933.59.32</v>
      </c>
      <c r="B3114" s="2" t="str">
        <f>"Diazinon"</f>
        <v>Diazinon</v>
      </c>
    </row>
    <row r="3115" spans="1:2">
      <c r="A3115" s="1" t="str">
        <f>"2933.59.33"</f>
        <v>2933.59.33</v>
      </c>
      <c r="B3115" s="2" t="str">
        <f>"Pirazofos"</f>
        <v>Pirazofos</v>
      </c>
    </row>
    <row r="3116" spans="1:2">
      <c r="A3116" s="1" t="str">
        <f>"2933.59.34"</f>
        <v>2933.59.34</v>
      </c>
      <c r="B3116" s="2" t="str">
        <f>"Azatioprina"</f>
        <v>Azatioprina</v>
      </c>
    </row>
    <row r="3117" spans="1:2">
      <c r="A3117" s="1" t="str">
        <f>"2933.59.35"</f>
        <v>2933.59.35</v>
      </c>
      <c r="B3117" s="2" t="str">
        <f>"6-Mercaptopurina"</f>
        <v>6-Mercaptopurina</v>
      </c>
    </row>
    <row r="3118" spans="1:2">
      <c r="A3118" s="1" t="str">
        <f>"2933.59.39"</f>
        <v>2933.59.39</v>
      </c>
      <c r="B3118" s="2" t="str">
        <f>"Outros"</f>
        <v>Outros</v>
      </c>
    </row>
    <row r="3119" spans="1:2">
      <c r="A3119" s="1" t="str">
        <f>"2933.59.41"</f>
        <v>2933.59.41</v>
      </c>
      <c r="B3119" s="2" t="str">
        <f>"Trimetoprima"</f>
        <v>Trimetoprima</v>
      </c>
    </row>
    <row r="3120" spans="1:2">
      <c r="A3120" s="1" t="str">
        <f>"2933.59.42"</f>
        <v>2933.59.42</v>
      </c>
      <c r="B3120" s="2" t="str">
        <f>"Aciclovir"</f>
        <v>Aciclovir</v>
      </c>
    </row>
    <row r="3121" spans="1:2">
      <c r="A3121" s="1" t="str">
        <f>"2933.59.43"</f>
        <v>2933.59.43</v>
      </c>
      <c r="B3121" s="2" t="str">
        <f>"Tosilatos de dipiridamol"</f>
        <v>Tosilatos de dipiridamol</v>
      </c>
    </row>
    <row r="3122" spans="1:2">
      <c r="A3122" s="1" t="str">
        <f>"2933.59.44"</f>
        <v>2933.59.44</v>
      </c>
      <c r="B3122" s="2" t="str">
        <f>"Nicarbazina"</f>
        <v>Nicarbazina</v>
      </c>
    </row>
    <row r="3123" spans="1:2">
      <c r="A3123" s="1" t="str">
        <f>"2933.59.45"</f>
        <v>2933.59.45</v>
      </c>
      <c r="B3123" s="2" t="str">
        <f>"Bissulfito de menadiona dimetilpiri"</f>
        <v>Bissulfito de menadiona dimetilpiri</v>
      </c>
    </row>
    <row r="3124" spans="1:2">
      <c r="A3124" s="1" t="str">
        <f>"2933.59.49"</f>
        <v>2933.59.49</v>
      </c>
      <c r="B3124" s="2" t="str">
        <f>"Outros"</f>
        <v>Outros</v>
      </c>
    </row>
    <row r="3125" spans="1:2">
      <c r="A3125" s="1" t="str">
        <f>"2933.59.91"</f>
        <v>2933.59.91</v>
      </c>
      <c r="B3125" s="2" t="str">
        <f>"Minoxidil"</f>
        <v>Minoxidil</v>
      </c>
    </row>
    <row r="3126" spans="1:2">
      <c r="A3126" s="1" t="str">
        <f>"2933.59.92"</f>
        <v>2933.59.92</v>
      </c>
      <c r="B3126" s="2" t="str">
        <f>"2-Aminopirimidina"</f>
        <v>2-Aminopirimidina</v>
      </c>
    </row>
    <row r="3127" spans="1:2">
      <c r="A3127" s="1" t="str">
        <f>"2933.59.99"</f>
        <v>2933.59.99</v>
      </c>
      <c r="B3127" s="2" t="str">
        <f>"Outros"</f>
        <v>Outros</v>
      </c>
    </row>
    <row r="3128" spans="1:2">
      <c r="A3128" s="1" t="str">
        <f>"2933.61.00"</f>
        <v>2933.61.00</v>
      </c>
      <c r="B3128" s="2" t="str">
        <f>"MELAMINA"</f>
        <v>MELAMINA</v>
      </c>
    </row>
    <row r="3129" spans="1:2">
      <c r="A3129" s="1" t="str">
        <f>"2933.69.11"</f>
        <v>2933.69.11</v>
      </c>
      <c r="B3129" s="2" t="str">
        <f>"2,4,6-Triclorotriazina (cloreto cia"</f>
        <v>2,4,6-Triclorotriazina (cloreto cia</v>
      </c>
    </row>
    <row r="3130" spans="1:2">
      <c r="A3130" s="1" t="str">
        <f>"2933.69.12"</f>
        <v>2933.69.12</v>
      </c>
      <c r="B3130" s="2" t="str">
        <f>"Mercaptodiclorotriazina"</f>
        <v>Mercaptodiclorotriazina</v>
      </c>
    </row>
    <row r="3131" spans="1:2">
      <c r="A3131" s="1" t="str">
        <f>"2933.69.13"</f>
        <v>2933.69.13</v>
      </c>
      <c r="B3131" s="2" t="str">
        <f>"Atrazina"</f>
        <v>Atrazina</v>
      </c>
    </row>
    <row r="3132" spans="1:2">
      <c r="A3132" s="1" t="str">
        <f>"2933.69.14"</f>
        <v>2933.69.14</v>
      </c>
      <c r="B3132" s="2" t="str">
        <f>"Simazina"</f>
        <v>Simazina</v>
      </c>
    </row>
    <row r="3133" spans="1:2">
      <c r="A3133" s="1" t="str">
        <f>"2933.69.15"</f>
        <v>2933.69.15</v>
      </c>
      <c r="B3133" s="2" t="str">
        <f>"Cianazina"</f>
        <v>Cianazina</v>
      </c>
    </row>
    <row r="3134" spans="1:2">
      <c r="A3134" s="1" t="str">
        <f>"2933.69.16"</f>
        <v>2933.69.16</v>
      </c>
      <c r="B3134" s="2" t="str">
        <f>"Anilazina"</f>
        <v>Anilazina</v>
      </c>
    </row>
    <row r="3135" spans="1:2">
      <c r="A3135" s="1" t="str">
        <f>"2933.69.19"</f>
        <v>2933.69.19</v>
      </c>
      <c r="B3135" s="2" t="str">
        <f>"Outros"</f>
        <v>Outros</v>
      </c>
    </row>
    <row r="3136" spans="1:2">
      <c r="A3136" s="1" t="str">
        <f>"2933.69.21"</f>
        <v>2933.69.21</v>
      </c>
      <c r="B3136" s="2" t="str">
        <f>"N,N,N-Triidroxietilexaidrotriazina"</f>
        <v>N,N,N-Triidroxietilexaidrotriazina</v>
      </c>
    </row>
    <row r="3137" spans="1:2">
      <c r="A3137" s="1" t="str">
        <f>"2933.69.22"</f>
        <v>2933.69.22</v>
      </c>
      <c r="B3137" s="2" t="str">
        <f>"Hexazinona"</f>
        <v>Hexazinona</v>
      </c>
    </row>
    <row r="3138" spans="1:2">
      <c r="A3138" s="1" t="str">
        <f>"2933.69.23"</f>
        <v>2933.69.23</v>
      </c>
      <c r="B3138" s="2" t="str">
        <f>"Metribuzim"</f>
        <v>Metribuzim</v>
      </c>
    </row>
    <row r="3139" spans="1:2">
      <c r="A3139" s="1" t="str">
        <f>"2933.69.29"</f>
        <v>2933.69.29</v>
      </c>
      <c r="B3139" s="2" t="str">
        <f>"Outros"</f>
        <v>Outros</v>
      </c>
    </row>
    <row r="3140" spans="1:2">
      <c r="A3140" s="1" t="str">
        <f>"2933.69.91"</f>
        <v>2933.69.91</v>
      </c>
      <c r="B3140" s="2" t="str">
        <f>"Ametrina"</f>
        <v>Ametrina</v>
      </c>
    </row>
    <row r="3141" spans="1:2">
      <c r="A3141" s="1" t="str">
        <f>"2933.69.92"</f>
        <v>2933.69.92</v>
      </c>
      <c r="B3141" s="2" t="str">
        <f>"Metenamina e seus sais"</f>
        <v>Metenamina e seus sais</v>
      </c>
    </row>
    <row r="3142" spans="1:2">
      <c r="A3142" s="1" t="str">
        <f>"2933.69.99"</f>
        <v>2933.69.99</v>
      </c>
      <c r="B3142" s="2" t="str">
        <f>"Outros"</f>
        <v>Outros</v>
      </c>
    </row>
    <row r="3143" spans="1:2">
      <c r="A3143" s="1" t="str">
        <f>"2933.71.00"</f>
        <v>2933.71.00</v>
      </c>
      <c r="B3143" s="2" t="str">
        <f>"HEXANOLACTAMA CAPROLACTAMA"</f>
        <v>HEXANOLACTAMA CAPROLACTAMA</v>
      </c>
    </row>
    <row r="3144" spans="1:2">
      <c r="A3144" s="1" t="str">
        <f>"2933.72.10"</f>
        <v>2933.72.10</v>
      </c>
      <c r="B3144" s="2" t="str">
        <f>"Clobazam"</f>
        <v>Clobazam</v>
      </c>
    </row>
    <row r="3145" spans="1:2">
      <c r="A3145" s="1" t="str">
        <f>"2933.72.20"</f>
        <v>2933.72.20</v>
      </c>
      <c r="B3145" s="2" t="str">
        <f>"Metiprilona"</f>
        <v>Metiprilona</v>
      </c>
    </row>
    <row r="3146" spans="1:2">
      <c r="A3146" s="1" t="str">
        <f>"2933.79.10"</f>
        <v>2933.79.10</v>
      </c>
      <c r="B3146" s="2" t="str">
        <f>"Piracetam"</f>
        <v>Piracetam</v>
      </c>
    </row>
    <row r="3147" spans="1:2">
      <c r="A3147" s="1" t="str">
        <f>"2933.79.90"</f>
        <v>2933.79.90</v>
      </c>
      <c r="B3147" s="2" t="str">
        <f>"Outras"</f>
        <v>Outras</v>
      </c>
    </row>
    <row r="3148" spans="1:2">
      <c r="A3148" s="1" t="str">
        <f>"2933.91.11"</f>
        <v>2933.91.11</v>
      </c>
      <c r="B3148" s="2" t="str">
        <f>"Alprazolam"</f>
        <v>Alprazolam</v>
      </c>
    </row>
    <row r="3149" spans="1:2">
      <c r="A3149" s="1" t="str">
        <f>"2933.91.12"</f>
        <v>2933.91.12</v>
      </c>
      <c r="B3149" s="2" t="str">
        <f>"Camazepam"</f>
        <v>Camazepam</v>
      </c>
    </row>
    <row r="3150" spans="1:2">
      <c r="A3150" s="1" t="str">
        <f>"2933.91.13"</f>
        <v>2933.91.13</v>
      </c>
      <c r="B3150" s="2" t="str">
        <f>"Clonazepam"</f>
        <v>Clonazepam</v>
      </c>
    </row>
    <row r="3151" spans="1:2">
      <c r="A3151" s="1" t="str">
        <f>"2933.91.14"</f>
        <v>2933.91.14</v>
      </c>
      <c r="B3151" s="2" t="str">
        <f>"Clorazepato"</f>
        <v>Clorazepato</v>
      </c>
    </row>
    <row r="3152" spans="1:2">
      <c r="A3152" s="1" t="str">
        <f>"2933.91.15"</f>
        <v>2933.91.15</v>
      </c>
      <c r="B3152" s="2" t="str">
        <f>"Clordiazepoxido"</f>
        <v>Clordiazepoxido</v>
      </c>
    </row>
    <row r="3153" spans="1:2">
      <c r="A3153" s="1" t="str">
        <f>"2933.91.19"</f>
        <v>2933.91.19</v>
      </c>
      <c r="B3153" s="2" t="str">
        <f>"Outros"</f>
        <v>Outros</v>
      </c>
    </row>
    <row r="3154" spans="1:2">
      <c r="A3154" s="1" t="str">
        <f>"2933.91.21"</f>
        <v>2933.91.21</v>
      </c>
      <c r="B3154" s="2" t="str">
        <f>"Delorazepam"</f>
        <v>Delorazepam</v>
      </c>
    </row>
    <row r="3155" spans="1:2">
      <c r="A3155" s="1" t="str">
        <f>"2933.91.22"</f>
        <v>2933.91.22</v>
      </c>
      <c r="B3155" s="2" t="str">
        <f>"Diazepam"</f>
        <v>Diazepam</v>
      </c>
    </row>
    <row r="3156" spans="1:2">
      <c r="A3156" s="1" t="str">
        <f>"2933.91.23"</f>
        <v>2933.91.23</v>
      </c>
      <c r="B3156" s="2" t="str">
        <f>"Estazolam"</f>
        <v>Estazolam</v>
      </c>
    </row>
    <row r="3157" spans="1:2">
      <c r="A3157" s="1" t="str">
        <f>"2933.91.29"</f>
        <v>2933.91.29</v>
      </c>
      <c r="B3157" s="2" t="str">
        <f>"Outros"</f>
        <v>Outros</v>
      </c>
    </row>
    <row r="3158" spans="1:2">
      <c r="A3158" s="1" t="str">
        <f>"2933.91.31"</f>
        <v>2933.91.31</v>
      </c>
      <c r="B3158" s="2" t="str">
        <f>"Fludiazepam"</f>
        <v>Fludiazepam</v>
      </c>
    </row>
    <row r="3159" spans="1:2">
      <c r="A3159" s="1" t="str">
        <f>"2933.91.32"</f>
        <v>2933.91.32</v>
      </c>
      <c r="B3159" s="2" t="str">
        <f>"Flunitrazepam"</f>
        <v>Flunitrazepam</v>
      </c>
    </row>
    <row r="3160" spans="1:2">
      <c r="A3160" s="1" t="str">
        <f>"2933.91.33"</f>
        <v>2933.91.33</v>
      </c>
      <c r="B3160" s="2" t="str">
        <f>"Flurazepam"</f>
        <v>Flurazepam</v>
      </c>
    </row>
    <row r="3161" spans="1:2">
      <c r="A3161" s="1" t="str">
        <f>"2933.91.34"</f>
        <v>2933.91.34</v>
      </c>
      <c r="B3161" s="2" t="str">
        <f>"Halazepam"</f>
        <v>Halazepam</v>
      </c>
    </row>
    <row r="3162" spans="1:2">
      <c r="A3162" s="1" t="str">
        <f>"2933.91.39"</f>
        <v>2933.91.39</v>
      </c>
      <c r="B3162" s="2" t="str">
        <f>"Outros"</f>
        <v>Outros</v>
      </c>
    </row>
    <row r="3163" spans="1:2">
      <c r="A3163" s="1" t="str">
        <f>"2933.91.41"</f>
        <v>2933.91.41</v>
      </c>
      <c r="B3163" s="2" t="str">
        <f>"Loflazepato de etila"</f>
        <v>Loflazepato de etila</v>
      </c>
    </row>
    <row r="3164" spans="1:2">
      <c r="A3164" s="1" t="str">
        <f>"2933.91.42"</f>
        <v>2933.91.42</v>
      </c>
      <c r="B3164" s="2" t="str">
        <f>"Lorazepam"</f>
        <v>Lorazepam</v>
      </c>
    </row>
    <row r="3165" spans="1:2">
      <c r="A3165" s="1" t="str">
        <f>"2933.91.43"</f>
        <v>2933.91.43</v>
      </c>
      <c r="B3165" s="2" t="str">
        <f>"Lormetazepam"</f>
        <v>Lormetazepam</v>
      </c>
    </row>
    <row r="3166" spans="1:2">
      <c r="A3166" s="1" t="str">
        <f>"2933.91.49"</f>
        <v>2933.91.49</v>
      </c>
      <c r="B3166" s="2" t="str">
        <f>"Outros"</f>
        <v>Outros</v>
      </c>
    </row>
    <row r="3167" spans="1:2">
      <c r="A3167" s="1" t="str">
        <f>"2933.91.51"</f>
        <v>2933.91.51</v>
      </c>
      <c r="B3167" s="2" t="str">
        <f>"Mazindol"</f>
        <v>Mazindol</v>
      </c>
    </row>
    <row r="3168" spans="1:2">
      <c r="A3168" s="1" t="str">
        <f>"2933.91.52"</f>
        <v>2933.91.52</v>
      </c>
      <c r="B3168" s="2" t="str">
        <f>"Medazepam"</f>
        <v>Medazepam</v>
      </c>
    </row>
    <row r="3169" spans="1:2">
      <c r="A3169" s="1" t="str">
        <f>"2933.91.53"</f>
        <v>2933.91.53</v>
      </c>
      <c r="B3169" s="2" t="str">
        <f>"Midazolam e seus sais"</f>
        <v>Midazolam e seus sais</v>
      </c>
    </row>
    <row r="3170" spans="1:2">
      <c r="A3170" s="1" t="str">
        <f>"2933.91.59"</f>
        <v>2933.91.59</v>
      </c>
      <c r="B3170" s="2" t="str">
        <f>"Outros"</f>
        <v>Outros</v>
      </c>
    </row>
    <row r="3171" spans="1:2">
      <c r="A3171" s="1" t="str">
        <f>"2933.91.61"</f>
        <v>2933.91.61</v>
      </c>
      <c r="B3171" s="2" t="str">
        <f>"Nimetazepam"</f>
        <v>Nimetazepam</v>
      </c>
    </row>
    <row r="3172" spans="1:2">
      <c r="A3172" s="1" t="str">
        <f>"2933.91.62"</f>
        <v>2933.91.62</v>
      </c>
      <c r="B3172" s="2" t="str">
        <f>"Nitrazepam"</f>
        <v>Nitrazepam</v>
      </c>
    </row>
    <row r="3173" spans="1:2">
      <c r="A3173" s="1" t="str">
        <f>"2933.91.63"</f>
        <v>2933.91.63</v>
      </c>
      <c r="B3173" s="2" t="str">
        <f>"Nordazepam"</f>
        <v>Nordazepam</v>
      </c>
    </row>
    <row r="3174" spans="1:2">
      <c r="A3174" s="1" t="str">
        <f>"2933.91.64"</f>
        <v>2933.91.64</v>
      </c>
      <c r="B3174" s="2" t="str">
        <f>"Oxazepam"</f>
        <v>Oxazepam</v>
      </c>
    </row>
    <row r="3175" spans="1:2">
      <c r="A3175" s="1" t="str">
        <f>"2933.91.69"</f>
        <v>2933.91.69</v>
      </c>
      <c r="B3175" s="2" t="str">
        <f>"Outros"</f>
        <v>Outros</v>
      </c>
    </row>
    <row r="3176" spans="1:2">
      <c r="A3176" s="1" t="str">
        <f>"2933.91.71"</f>
        <v>2933.91.71</v>
      </c>
      <c r="B3176" s="2" t="str">
        <f>"Pinazepam"</f>
        <v>Pinazepam</v>
      </c>
    </row>
    <row r="3177" spans="1:2">
      <c r="A3177" s="1" t="str">
        <f>"2933.91.72"</f>
        <v>2933.91.72</v>
      </c>
      <c r="B3177" s="2" t="str">
        <f>"Pirovalerona"</f>
        <v>Pirovalerona</v>
      </c>
    </row>
    <row r="3178" spans="1:2">
      <c r="A3178" s="1" t="str">
        <f>"2933.91.73"</f>
        <v>2933.91.73</v>
      </c>
      <c r="B3178" s="2" t="str">
        <f>"Prazepam"</f>
        <v>Prazepam</v>
      </c>
    </row>
    <row r="3179" spans="1:2">
      <c r="A3179" s="1" t="str">
        <f>"2933.91.79"</f>
        <v>2933.91.79</v>
      </c>
      <c r="B3179" s="2" t="str">
        <f>"Outros"</f>
        <v>Outros</v>
      </c>
    </row>
    <row r="3180" spans="1:2">
      <c r="A3180" s="1" t="str">
        <f>"2933.91.81"</f>
        <v>2933.91.81</v>
      </c>
      <c r="B3180" s="2" t="str">
        <f>"Temazepam"</f>
        <v>Temazepam</v>
      </c>
    </row>
    <row r="3181" spans="1:2">
      <c r="A3181" s="1" t="str">
        <f>"2933.91.82"</f>
        <v>2933.91.82</v>
      </c>
      <c r="B3181" s="2" t="str">
        <f>"Tetrazepam"</f>
        <v>Tetrazepam</v>
      </c>
    </row>
    <row r="3182" spans="1:2">
      <c r="A3182" s="1" t="str">
        <f>"2933.91.83"</f>
        <v>2933.91.83</v>
      </c>
      <c r="B3182" s="2" t="str">
        <f>"Triazolam"</f>
        <v>Triazolam</v>
      </c>
    </row>
    <row r="3183" spans="1:2">
      <c r="A3183" s="1" t="str">
        <f>"2933.91.89"</f>
        <v>2933.91.89</v>
      </c>
      <c r="B3183" s="2" t="str">
        <f>"Outros"</f>
        <v>Outros</v>
      </c>
    </row>
    <row r="3184" spans="1:2">
      <c r="A3184" s="1" t="str">
        <f>"2933.92.00"</f>
        <v>2933.92.00</v>
      </c>
      <c r="B3184" s="2" t="str">
        <f>"Azinfos metil (ISO)"</f>
        <v>Azinfos metil (ISO)</v>
      </c>
    </row>
    <row r="3185" spans="1:2">
      <c r="A3185" s="1" t="str">
        <f>"2933.99.11"</f>
        <v>2933.99.11</v>
      </c>
      <c r="B3185" s="2" t="str">
        <f>"Pirazinamida"</f>
        <v>Pirazinamida</v>
      </c>
    </row>
    <row r="3186" spans="1:2">
      <c r="A3186" s="1" t="str">
        <f>"2933.99.12"</f>
        <v>2933.99.12</v>
      </c>
      <c r="B3186" s="2" t="str">
        <f>"Cloridrato de amilorida"</f>
        <v>Cloridrato de amilorida</v>
      </c>
    </row>
    <row r="3187" spans="1:2">
      <c r="A3187" s="1" t="str">
        <f>"2933.99.13"</f>
        <v>2933.99.13</v>
      </c>
      <c r="B3187" s="2" t="str">
        <f>"Pindolol"</f>
        <v>Pindolol</v>
      </c>
    </row>
    <row r="3188" spans="1:2">
      <c r="A3188" s="1" t="str">
        <f>"2933.99.19"</f>
        <v>2933.99.19</v>
      </c>
      <c r="B3188" s="2" t="str">
        <f>"Outros"</f>
        <v>Outros</v>
      </c>
    </row>
    <row r="3189" spans="1:2">
      <c r="A3189" s="1" t="str">
        <f>"2933.99.20"</f>
        <v>2933.99.20</v>
      </c>
      <c r="B3189" s="2" t="str">
        <f>"Cuja estrutura contem um ciclo diaz"</f>
        <v>Cuja estrutura contem um ciclo diaz</v>
      </c>
    </row>
    <row r="3190" spans="1:2">
      <c r="A3190" s="1" t="str">
        <f>"2933.99.31"</f>
        <v>2933.99.31</v>
      </c>
      <c r="B3190" s="2" t="str">
        <f>"Dibenzoazepina (iminoestilbeno)"</f>
        <v>Dibenzoazepina (iminoestilbeno)</v>
      </c>
    </row>
    <row r="3191" spans="1:2">
      <c r="A3191" s="1" t="str">
        <f>"2933.99.32"</f>
        <v>2933.99.32</v>
      </c>
      <c r="B3191" s="2" t="str">
        <f>"Carbamazepina"</f>
        <v>Carbamazepina</v>
      </c>
    </row>
    <row r="3192" spans="1:2">
      <c r="A3192" s="1" t="str">
        <f>"2933.99.33"</f>
        <v>2933.99.33</v>
      </c>
      <c r="B3192" s="2" t="str">
        <f>"Cloridrato de clomipramina"</f>
        <v>Cloridrato de clomipramina</v>
      </c>
    </row>
    <row r="3193" spans="1:2">
      <c r="A3193" s="1" t="str">
        <f>"2933.99.34"</f>
        <v>2933.99.34</v>
      </c>
      <c r="B3193" s="2" t="str">
        <f>"Molinate (hexaidroazepin-1-carbotio"</f>
        <v>Molinate (hexaidroazepin-1-carbotio</v>
      </c>
    </row>
    <row r="3194" spans="1:2">
      <c r="A3194" s="1" t="str">
        <f>"2933.99.35"</f>
        <v>2933.99.35</v>
      </c>
      <c r="B3194" s="2" t="str">
        <f>"Hexametilenoimina"</f>
        <v>Hexametilenoimina</v>
      </c>
    </row>
    <row r="3195" spans="1:2">
      <c r="A3195" s="1" t="str">
        <f>"2933.99.39"</f>
        <v>2933.99.39</v>
      </c>
      <c r="B3195" s="2" t="str">
        <f>"Outros"</f>
        <v>Outros</v>
      </c>
    </row>
    <row r="3196" spans="1:2">
      <c r="A3196" s="1" t="str">
        <f>"2933.99.41"</f>
        <v>2933.99.41</v>
      </c>
      <c r="B3196" s="2" t="str">
        <f>"Clemastina e seus derivados; sais d"</f>
        <v>Clemastina e seus derivados; sais d</v>
      </c>
    </row>
    <row r="3197" spans="1:2">
      <c r="A3197" s="1" t="str">
        <f>"2933.99.42"</f>
        <v>2933.99.42</v>
      </c>
      <c r="B3197" s="2" t="str">
        <f>"Amisulprida"</f>
        <v>Amisulprida</v>
      </c>
    </row>
    <row r="3198" spans="1:2">
      <c r="A3198" s="1" t="str">
        <f>"2933.99.43"</f>
        <v>2933.99.43</v>
      </c>
      <c r="B3198" s="2" t="str">
        <f>"Sultoprida"</f>
        <v>Sultoprida</v>
      </c>
    </row>
    <row r="3199" spans="1:2">
      <c r="A3199" s="1" t="str">
        <f>"2933.99.44"</f>
        <v>2933.99.44</v>
      </c>
      <c r="B3199" s="2" t="str">
        <f>"Alizaprida"</f>
        <v>Alizaprida</v>
      </c>
    </row>
    <row r="3200" spans="1:2">
      <c r="A3200" s="1" t="str">
        <f>"2933.99.45"</f>
        <v>2933.99.45</v>
      </c>
      <c r="B3200" s="2" t="str">
        <f>"Buflomedil e seus derivados; sais d"</f>
        <v>Buflomedil e seus derivados; sais d</v>
      </c>
    </row>
    <row r="3201" spans="1:2">
      <c r="A3201" s="1" t="str">
        <f>"2933.99.46"</f>
        <v>2933.99.46</v>
      </c>
      <c r="B3201" s="2" t="str">
        <f>"Maleato de enalapril"</f>
        <v>Maleato de enalapril</v>
      </c>
    </row>
    <row r="3202" spans="1:2">
      <c r="A3202" s="1" t="str">
        <f>"2933.99.47"</f>
        <v>2933.99.47</v>
      </c>
      <c r="B3202" s="2" t="str">
        <f>"Ketorolac trometamina"</f>
        <v>Ketorolac trometamina</v>
      </c>
    </row>
    <row r="3203" spans="1:2">
      <c r="A3203" s="1" t="str">
        <f>"2933.99.49"</f>
        <v>2933.99.49</v>
      </c>
      <c r="B3203" s="2" t="str">
        <f>"Outros"</f>
        <v>Outros</v>
      </c>
    </row>
    <row r="3204" spans="1:2">
      <c r="A3204" s="1" t="str">
        <f>"2933.99.51"</f>
        <v>2933.99.51</v>
      </c>
      <c r="B3204" s="2" t="str">
        <f>"Benomil"</f>
        <v>Benomil</v>
      </c>
    </row>
    <row r="3205" spans="1:2">
      <c r="A3205" s="1" t="str">
        <f>"2933.99.52"</f>
        <v>2933.99.52</v>
      </c>
      <c r="B3205" s="2" t="str">
        <f>"Oxifendazol"</f>
        <v>Oxifendazol</v>
      </c>
    </row>
    <row r="3206" spans="1:2">
      <c r="A3206" s="1" t="str">
        <f>"2933.99.53"</f>
        <v>2933.99.53</v>
      </c>
      <c r="B3206" s="2" t="str">
        <f>"Albendazol e seu sulfoxido"</f>
        <v>Albendazol e seu sulfoxido</v>
      </c>
    </row>
    <row r="3207" spans="1:2">
      <c r="A3207" s="1" t="str">
        <f>"2933.99.54"</f>
        <v>2933.99.54</v>
      </c>
      <c r="B3207" s="2" t="str">
        <f>"Mebendazol"</f>
        <v>Mebendazol</v>
      </c>
    </row>
    <row r="3208" spans="1:2">
      <c r="A3208" s="1" t="str">
        <f>"2933.99.55"</f>
        <v>2933.99.55</v>
      </c>
      <c r="B3208" s="2" t="str">
        <f>"Flubendazol"</f>
        <v>Flubendazol</v>
      </c>
    </row>
    <row r="3209" spans="1:2">
      <c r="A3209" s="1" t="str">
        <f>"2933.99.56"</f>
        <v>2933.99.56</v>
      </c>
      <c r="B3209" s="2" t="str">
        <f>"Fembendazol"</f>
        <v>Fembendazol</v>
      </c>
    </row>
    <row r="3210" spans="1:2">
      <c r="A3210" s="1" t="str">
        <f>"2933.99.59"</f>
        <v>2933.99.59</v>
      </c>
      <c r="B3210" s="2" t="str">
        <f>"Outros"</f>
        <v>Outros</v>
      </c>
    </row>
    <row r="3211" spans="1:2">
      <c r="A3211" s="1" t="str">
        <f>"2933.99.61"</f>
        <v>2933.99.61</v>
      </c>
      <c r="B3211" s="2" t="str">
        <f>"Triadimenol"</f>
        <v>Triadimenol</v>
      </c>
    </row>
    <row r="3212" spans="1:2">
      <c r="A3212" s="1" t="str">
        <f>"2933.99.62"</f>
        <v>2933.99.62</v>
      </c>
      <c r="B3212" s="2" t="str">
        <f>"Triadimefon"</f>
        <v>Triadimefon</v>
      </c>
    </row>
    <row r="3213" spans="1:2">
      <c r="A3213" s="1" t="str">
        <f>"2933.99.63"</f>
        <v>2933.99.63</v>
      </c>
      <c r="B3213" s="2" t="str">
        <f>"Triazofos (fosforotioato de O,O-die"</f>
        <v>Triazofos (fosforotioato de O,O-die</v>
      </c>
    </row>
    <row r="3214" spans="1:2">
      <c r="A3214" s="1" t="str">
        <f>"2933.99.69"</f>
        <v>2933.99.69</v>
      </c>
      <c r="B3214" s="2" t="str">
        <f>"Outros"</f>
        <v>Outros</v>
      </c>
    </row>
    <row r="3215" spans="1:2">
      <c r="A3215" s="1" t="str">
        <f>"2933.99.91"</f>
        <v>2933.99.91</v>
      </c>
      <c r="B3215" s="2" t="str">
        <f>"Azinfos etilico"</f>
        <v>Azinfos etilico</v>
      </c>
    </row>
    <row r="3216" spans="1:2">
      <c r="A3216" s="1" t="str">
        <f>"2933.99.92"</f>
        <v>2933.99.92</v>
      </c>
      <c r="B3216" s="2" t="str">
        <f>"Acido nalidixico"</f>
        <v>Acido nalidixico</v>
      </c>
    </row>
    <row r="3217" spans="1:2">
      <c r="A3217" s="1" t="str">
        <f>"2933.99.93"</f>
        <v>2933.99.93</v>
      </c>
      <c r="B3217" s="2" t="str">
        <f>"Clofazimina"</f>
        <v>Clofazimina</v>
      </c>
    </row>
    <row r="3218" spans="1:2">
      <c r="A3218" s="1" t="str">
        <f>"2933.99.95"</f>
        <v>2933.99.95</v>
      </c>
      <c r="B3218" s="2" t="str">
        <f>"Metilssulfato de amezinio"</f>
        <v>Metilssulfato de amezinio</v>
      </c>
    </row>
    <row r="3219" spans="1:2">
      <c r="A3219" s="1" t="str">
        <f>"2933.99.96"</f>
        <v>2933.99.96</v>
      </c>
      <c r="B3219" s="2" t="str">
        <f>"Hidrazida maleica e seus sais"</f>
        <v>Hidrazida maleica e seus sais</v>
      </c>
    </row>
    <row r="3220" spans="1:2">
      <c r="A3220" s="1" t="str">
        <f>"2933.99.99"</f>
        <v>2933.99.99</v>
      </c>
      <c r="B3220" s="2" t="str">
        <f>"Outros"</f>
        <v>Outros</v>
      </c>
    </row>
    <row r="3221" spans="1:2">
      <c r="A3221" s="1" t="str">
        <f>"2934.10.10"</f>
        <v>2934.10.10</v>
      </c>
      <c r="B3221" s="2" t="str">
        <f>"Fentiazac"</f>
        <v>Fentiazac</v>
      </c>
    </row>
    <row r="3222" spans="1:2">
      <c r="A3222" s="1" t="str">
        <f>"2934.10.20"</f>
        <v>2934.10.20</v>
      </c>
      <c r="B3222" s="2" t="str">
        <f>"Cloridrato de tiazolidina"</f>
        <v>Cloridrato de tiazolidina</v>
      </c>
    </row>
    <row r="3223" spans="1:2">
      <c r="A3223" s="1" t="str">
        <f>"2934.10.30"</f>
        <v>2934.10.30</v>
      </c>
      <c r="B3223" s="2" t="str">
        <f>"Tiabendazol"</f>
        <v>Tiabendazol</v>
      </c>
    </row>
    <row r="3224" spans="1:2">
      <c r="A3224" s="1" t="str">
        <f>"2934.10.90"</f>
        <v>2934.10.90</v>
      </c>
      <c r="B3224" s="2" t="str">
        <f>"Outros"</f>
        <v>Outros</v>
      </c>
    </row>
    <row r="3225" spans="1:2">
      <c r="A3225" s="1" t="str">
        <f>"2934.20.10"</f>
        <v>2934.20.10</v>
      </c>
      <c r="B3225" s="2" t="str">
        <f>"2-Mercaptobenzotiazol e seus sais"</f>
        <v>2-Mercaptobenzotiazol e seus sais</v>
      </c>
    </row>
    <row r="3226" spans="1:2">
      <c r="A3226" s="1" t="str">
        <f>"2934.20.20"</f>
        <v>2934.20.20</v>
      </c>
      <c r="B3226" s="2" t="str">
        <f>"2,2'-Ditio-bis(benzotiazol) (dissul"</f>
        <v>2,2'-Ditio-bis(benzotiazol) (dissul</v>
      </c>
    </row>
    <row r="3227" spans="1:2">
      <c r="A3227" s="1" t="str">
        <f>"2934.20.31"</f>
        <v>2934.20.31</v>
      </c>
      <c r="B3227" s="2" t="str">
        <f>"2-(Terbutilaminotio)benzotiazol (N-"</f>
        <v>2-(Terbutilaminotio)benzotiazol (N-</v>
      </c>
    </row>
    <row r="3228" spans="1:2">
      <c r="A3228" s="1" t="str">
        <f>"2934.20.32"</f>
        <v>2934.20.32</v>
      </c>
      <c r="B3228" s="2" t="str">
        <f>"2-(Cicloexilaminotio)benzotiazol (N"</f>
        <v>2-(Cicloexilaminotio)benzotiazol (N</v>
      </c>
    </row>
    <row r="3229" spans="1:2">
      <c r="A3229" s="1" t="str">
        <f>"2934.20.33"</f>
        <v>2934.20.33</v>
      </c>
      <c r="B3229" s="2" t="str">
        <f>"2-(Dicicloexilaminotio)benzotiazol"</f>
        <v>2-(Dicicloexilaminotio)benzotiazol</v>
      </c>
    </row>
    <row r="3230" spans="1:2">
      <c r="A3230" s="1" t="str">
        <f>"2934.20.34"</f>
        <v>2934.20.34</v>
      </c>
      <c r="B3230" s="2" t="str">
        <f>"2-(4-Morfoliniltio)benzotiazol (N-o"</f>
        <v>2-(4-Morfoliniltio)benzotiazol (N-o</v>
      </c>
    </row>
    <row r="3231" spans="1:2">
      <c r="A3231" s="1" t="str">
        <f>"2934.20.39"</f>
        <v>2934.20.39</v>
      </c>
      <c r="B3231" s="2" t="str">
        <f>"Outras"</f>
        <v>Outras</v>
      </c>
    </row>
    <row r="3232" spans="1:2">
      <c r="A3232" s="1" t="str">
        <f>"2934.20.40"</f>
        <v>2934.20.40</v>
      </c>
      <c r="B3232" s="2" t="str">
        <f>"2-(Tiocianometiltio)benzotiazol (TC"</f>
        <v>2-(Tiocianometiltio)benzotiazol (TC</v>
      </c>
    </row>
    <row r="3233" spans="1:2">
      <c r="A3233" s="1" t="str">
        <f>"2934.20.90"</f>
        <v>2934.20.90</v>
      </c>
      <c r="B3233" s="2" t="str">
        <f>"Outros"</f>
        <v>Outros</v>
      </c>
    </row>
    <row r="3234" spans="1:2">
      <c r="A3234" s="1" t="str">
        <f>"2934.30.10"</f>
        <v>2934.30.10</v>
      </c>
      <c r="B3234" s="2" t="str">
        <f>"Maleato de metotrimeprazina (maleat"</f>
        <v>Maleato de metotrimeprazina (maleat</v>
      </c>
    </row>
    <row r="3235" spans="1:2">
      <c r="A3235" s="1" t="str">
        <f>"2934.30.20"</f>
        <v>2934.30.20</v>
      </c>
      <c r="B3235" s="2" t="str">
        <f>"Enantato de flufenazina"</f>
        <v>Enantato de flufenazina</v>
      </c>
    </row>
    <row r="3236" spans="1:2">
      <c r="A3236" s="1" t="str">
        <f>"2934.30.30"</f>
        <v>2934.30.30</v>
      </c>
      <c r="B3236" s="2" t="str">
        <f>"Prometazina"</f>
        <v>Prometazina</v>
      </c>
    </row>
    <row r="3237" spans="1:2">
      <c r="A3237" s="1" t="str">
        <f>"2934.30.90"</f>
        <v>2934.30.90</v>
      </c>
      <c r="B3237" s="2" t="str">
        <f>"Outros"</f>
        <v>Outros</v>
      </c>
    </row>
    <row r="3238" spans="1:2">
      <c r="A3238" s="1" t="str">
        <f>"2934.90.11"</f>
        <v>2934.90.11</v>
      </c>
      <c r="B3238" s="2" t="str">
        <f>"INATIVA - MORFOLINA"</f>
        <v>INATIVA - MORFOLINA</v>
      </c>
    </row>
    <row r="3239" spans="1:2">
      <c r="A3239" s="1" t="str">
        <f>"2934.91.11"</f>
        <v>2934.91.11</v>
      </c>
      <c r="B3239" s="2" t="str">
        <f>"Aminorex e seus sais"</f>
        <v>Aminorex e seus sais</v>
      </c>
    </row>
    <row r="3240" spans="1:2">
      <c r="A3240" s="1" t="str">
        <f>"2934.91.12"</f>
        <v>2934.91.12</v>
      </c>
      <c r="B3240" s="2" t="str">
        <f>"Brotizolam e seus sais"</f>
        <v>Brotizolam e seus sais</v>
      </c>
    </row>
    <row r="3241" spans="1:2">
      <c r="A3241" s="1" t="str">
        <f>"2934.91.21"</f>
        <v>2934.91.21</v>
      </c>
      <c r="B3241" s="2" t="str">
        <f>"Clotiazepam"</f>
        <v>Clotiazepam</v>
      </c>
    </row>
    <row r="3242" spans="1:2">
      <c r="A3242" s="1" t="str">
        <f>"2934.91.22"</f>
        <v>2934.91.22</v>
      </c>
      <c r="B3242" s="2" t="str">
        <f>"Cloxazolam"</f>
        <v>Cloxazolam</v>
      </c>
    </row>
    <row r="3243" spans="1:2">
      <c r="A3243" s="1" t="str">
        <f>"2934.91.23"</f>
        <v>2934.91.23</v>
      </c>
      <c r="B3243" s="2" t="str">
        <f>"Dextromoramida"</f>
        <v>Dextromoramida</v>
      </c>
    </row>
    <row r="3244" spans="1:2">
      <c r="A3244" s="1" t="str">
        <f>"2934.91.29"</f>
        <v>2934.91.29</v>
      </c>
      <c r="B3244" s="2" t="str">
        <f>"Outros"</f>
        <v>Outros</v>
      </c>
    </row>
    <row r="3245" spans="1:2">
      <c r="A3245" s="1" t="str">
        <f>"2934.91.31"</f>
        <v>2934.91.31</v>
      </c>
      <c r="B3245" s="2" t="str">
        <f>"Fendimetrazina e seus sais"</f>
        <v>Fendimetrazina e seus sais</v>
      </c>
    </row>
    <row r="3246" spans="1:2">
      <c r="A3246" s="1" t="str">
        <f>"2934.91.32"</f>
        <v>2934.91.32</v>
      </c>
      <c r="B3246" s="2" t="str">
        <f>"Fenmetrazina e seus sais"</f>
        <v>Fenmetrazina e seus sais</v>
      </c>
    </row>
    <row r="3247" spans="1:2">
      <c r="A3247" s="1" t="str">
        <f>"2934.91.33"</f>
        <v>2934.91.33</v>
      </c>
      <c r="B3247" s="2" t="str">
        <f>"Haloxazolam e seus sais"</f>
        <v>Haloxazolam e seus sais</v>
      </c>
    </row>
    <row r="3248" spans="1:2">
      <c r="A3248" s="1" t="str">
        <f>"2934.91.41"</f>
        <v>2934.91.41</v>
      </c>
      <c r="B3248" s="2" t="str">
        <f>"Ketazolam"</f>
        <v>Ketazolam</v>
      </c>
    </row>
    <row r="3249" spans="1:2">
      <c r="A3249" s="1" t="str">
        <f>"2934.91.42"</f>
        <v>2934.91.42</v>
      </c>
      <c r="B3249" s="2" t="str">
        <f>"Mesocarbo"</f>
        <v>Mesocarbo</v>
      </c>
    </row>
    <row r="3250" spans="1:2">
      <c r="A3250" s="1" t="str">
        <f>"2934.91.49"</f>
        <v>2934.91.49</v>
      </c>
      <c r="B3250" s="2" t="str">
        <f>"Outros"</f>
        <v>Outros</v>
      </c>
    </row>
    <row r="3251" spans="1:2">
      <c r="A3251" s="1" t="str">
        <f>"2934.91.50"</f>
        <v>2934.91.50</v>
      </c>
      <c r="B3251" s="2" t="str">
        <f>"Oxazolam e seus sais"</f>
        <v>Oxazolam e seus sais</v>
      </c>
    </row>
    <row r="3252" spans="1:2">
      <c r="A3252" s="1" t="str">
        <f>"2934.91.60"</f>
        <v>2934.91.60</v>
      </c>
      <c r="B3252" s="2" t="str">
        <f>"Pemolina e seus sais"</f>
        <v>Pemolina e seus sais</v>
      </c>
    </row>
    <row r="3253" spans="1:2">
      <c r="A3253" s="1" t="str">
        <f>"2934.91.70"</f>
        <v>2934.91.70</v>
      </c>
      <c r="B3253" s="2" t="str">
        <f>"Sufentanila e seus sais"</f>
        <v>Sufentanila e seus sais</v>
      </c>
    </row>
    <row r="3254" spans="1:2">
      <c r="A3254" s="1" t="str">
        <f>"2934.99.11"</f>
        <v>2934.99.11</v>
      </c>
      <c r="B3254" s="2" t="str">
        <f>"MORFOLINA E SEUS SAIS"</f>
        <v>MORFOLINA E SEUS SAIS</v>
      </c>
    </row>
    <row r="3255" spans="1:2">
      <c r="A3255" s="1" t="str">
        <f>"2934.99.12"</f>
        <v>2934.99.12</v>
      </c>
      <c r="B3255" s="2" t="str">
        <f>"Pirenoxina sodica (catalino sodico)"</f>
        <v>Pirenoxina sodica (catalino sodico)</v>
      </c>
    </row>
    <row r="3256" spans="1:2">
      <c r="A3256" s="1" t="str">
        <f>"2934.99.13"</f>
        <v>2934.99.13</v>
      </c>
      <c r="B3256" s="2" t="str">
        <f>"Nimorazol"</f>
        <v>Nimorazol</v>
      </c>
    </row>
    <row r="3257" spans="1:2">
      <c r="A3257" s="1" t="str">
        <f>"2934.99.14"</f>
        <v>2934.99.14</v>
      </c>
      <c r="B3257" s="2" t="str">
        <f>"Anidrido isatoico (2H-3,1-benzoxazi"</f>
        <v>Anidrido isatoico (2H-3,1-benzoxazi</v>
      </c>
    </row>
    <row r="3258" spans="1:2">
      <c r="A3258" s="1" t="str">
        <f>"2934.99.15"</f>
        <v>2934.99.15</v>
      </c>
      <c r="B3258" s="2" t="str">
        <f>"4,4'-Ditiodimorfolina"</f>
        <v>4,4'-Ditiodimorfolina</v>
      </c>
    </row>
    <row r="3259" spans="1:2">
      <c r="A3259" s="1" t="str">
        <f>"2934.99.19"</f>
        <v>2934.99.19</v>
      </c>
      <c r="B3259" s="2" t="str">
        <f>"Outros"</f>
        <v>Outros</v>
      </c>
    </row>
    <row r="3260" spans="1:2">
      <c r="A3260" s="1" t="str">
        <f>"2934.99.22"</f>
        <v>2934.99.22</v>
      </c>
      <c r="B3260" s="2" t="str">
        <f>"Zidovudina (AZT)"</f>
        <v>Zidovudina (AZT)</v>
      </c>
    </row>
    <row r="3261" spans="1:2">
      <c r="A3261" s="1" t="str">
        <f>"2934.99.23"</f>
        <v>2934.99.23</v>
      </c>
      <c r="B3261" s="2" t="str">
        <f>"Timidina"</f>
        <v>Timidina</v>
      </c>
    </row>
    <row r="3262" spans="1:2">
      <c r="A3262" s="1" t="str">
        <f>"2934.99.24"</f>
        <v>2934.99.24</v>
      </c>
      <c r="B3262" s="2" t="str">
        <f>"Furazolidona"</f>
        <v>Furazolidona</v>
      </c>
    </row>
    <row r="3263" spans="1:2">
      <c r="A3263" s="1" t="str">
        <f>"2934.99.25"</f>
        <v>2934.99.25</v>
      </c>
      <c r="B3263" s="2" t="str">
        <f>"Citarabina"</f>
        <v>Citarabina</v>
      </c>
    </row>
    <row r="3264" spans="1:2">
      <c r="A3264" s="1" t="str">
        <f>"2934.99.26"</f>
        <v>2934.99.26</v>
      </c>
      <c r="B3264" s="2" t="str">
        <f>"Oxadiazona"</f>
        <v>Oxadiazona</v>
      </c>
    </row>
    <row r="3265" spans="1:2">
      <c r="A3265" s="1" t="str">
        <f>"2934.99.27"</f>
        <v>2934.99.27</v>
      </c>
      <c r="B3265" s="2" t="str">
        <f>"Estavudina"</f>
        <v>Estavudina</v>
      </c>
    </row>
    <row r="3266" spans="1:2">
      <c r="A3266" s="1" t="str">
        <f>"2934.99.29"</f>
        <v>2934.99.29</v>
      </c>
      <c r="B3266" s="2" t="str">
        <f>"Outros"</f>
        <v>Outros</v>
      </c>
    </row>
    <row r="3267" spans="1:2">
      <c r="A3267" s="1" t="str">
        <f>"2934.99.31"</f>
        <v>2934.99.31</v>
      </c>
      <c r="B3267" s="2" t="str">
        <f>"Cetoconazol"</f>
        <v>Cetoconazol</v>
      </c>
    </row>
    <row r="3268" spans="1:2">
      <c r="A3268" s="1" t="str">
        <f>"2934.99.32"</f>
        <v>2934.99.32</v>
      </c>
      <c r="B3268" s="2" t="str">
        <f>"Cloridrato de prazosina"</f>
        <v>Cloridrato de prazosina</v>
      </c>
    </row>
    <row r="3269" spans="1:2">
      <c r="A3269" s="1" t="str">
        <f>"2934.99.33"</f>
        <v>2934.99.33</v>
      </c>
      <c r="B3269" s="2" t="str">
        <f>"Talniflumato"</f>
        <v>Talniflumato</v>
      </c>
    </row>
    <row r="3270" spans="1:2">
      <c r="A3270" s="1" t="str">
        <f>"2934.99.34"</f>
        <v>2934.99.34</v>
      </c>
      <c r="B3270" s="2" t="str">
        <f>"Acidos nucleicos e seus sais"</f>
        <v>Acidos nucleicos e seus sais</v>
      </c>
    </row>
    <row r="3271" spans="1:2">
      <c r="A3271" s="1" t="str">
        <f>"2934.99.35"</f>
        <v>2934.99.35</v>
      </c>
      <c r="B3271" s="2" t="str">
        <f>"Propiconazol"</f>
        <v>Propiconazol</v>
      </c>
    </row>
    <row r="3272" spans="1:2">
      <c r="A3272" s="1" t="str">
        <f>"2934.99.39"</f>
        <v>2934.99.39</v>
      </c>
      <c r="B3272" s="2" t="str">
        <f>"Outros"</f>
        <v>Outros</v>
      </c>
    </row>
    <row r="3273" spans="1:2">
      <c r="A3273" s="1" t="str">
        <f>"2934.99.41"</f>
        <v>2934.99.41</v>
      </c>
      <c r="B3273" s="2" t="str">
        <f>"Tiofeno"</f>
        <v>Tiofeno</v>
      </c>
    </row>
    <row r="3274" spans="1:2">
      <c r="A3274" s="1" t="str">
        <f>"2934.99.42"</f>
        <v>2934.99.42</v>
      </c>
      <c r="B3274" s="2" t="str">
        <f>"Acido 6-aminopenicilanico"</f>
        <v>Acido 6-aminopenicilanico</v>
      </c>
    </row>
    <row r="3275" spans="1:2">
      <c r="A3275" s="1" t="str">
        <f>"2934.99.43"</f>
        <v>2934.99.43</v>
      </c>
      <c r="B3275" s="2" t="str">
        <f>"Acido 7-aminocefalosporanico"</f>
        <v>Acido 7-aminocefalosporanico</v>
      </c>
    </row>
    <row r="3276" spans="1:2">
      <c r="A3276" s="1" t="str">
        <f>"2934.99.44"</f>
        <v>2934.99.44</v>
      </c>
      <c r="B3276" s="2" t="str">
        <f>"Acido 7-aminodesacetoxicefalosporan"</f>
        <v>Acido 7-aminodesacetoxicefalosporan</v>
      </c>
    </row>
    <row r="3277" spans="1:2">
      <c r="A3277" s="1" t="str">
        <f>"2934.99.45"</f>
        <v>2934.99.45</v>
      </c>
      <c r="B3277" s="2" t="str">
        <f>"Clormezanona"</f>
        <v>Clormezanona</v>
      </c>
    </row>
    <row r="3278" spans="1:2">
      <c r="A3278" s="1" t="str">
        <f>"2934.99.46"</f>
        <v>2934.99.46</v>
      </c>
      <c r="B3278" s="2" t="str">
        <f>"9-(N-Metil-4-piperidinilideno)tioxa"</f>
        <v>9-(N-Metil-4-piperidinilideno)tioxa</v>
      </c>
    </row>
    <row r="3279" spans="1:2">
      <c r="A3279" s="1" t="str">
        <f>"2934.99.49"</f>
        <v>2934.99.49</v>
      </c>
      <c r="B3279" s="2" t="str">
        <f>"Outros"</f>
        <v>Outros</v>
      </c>
    </row>
    <row r="3280" spans="1:2">
      <c r="A3280" s="1" t="str">
        <f>"2934.99.51"</f>
        <v>2934.99.51</v>
      </c>
      <c r="B3280" s="2" t="str">
        <f>"Tebutiuron"</f>
        <v>Tebutiuron</v>
      </c>
    </row>
    <row r="3281" spans="1:2">
      <c r="A3281" s="1" t="str">
        <f>"2934.99.52"</f>
        <v>2934.99.52</v>
      </c>
      <c r="B3281" s="2" t="str">
        <f>"Tetramisol"</f>
        <v>Tetramisol</v>
      </c>
    </row>
    <row r="3282" spans="1:2">
      <c r="A3282" s="1" t="str">
        <f>"2934.99.53"</f>
        <v>2934.99.53</v>
      </c>
      <c r="B3282" s="2" t="str">
        <f>"Levamisol e seus sais"</f>
        <v>Levamisol e seus sais</v>
      </c>
    </row>
    <row r="3283" spans="1:2">
      <c r="A3283" s="1" t="str">
        <f>"2934.99.54"</f>
        <v>2934.99.54</v>
      </c>
      <c r="B3283" s="2" t="str">
        <f>"Tioconazol"</f>
        <v>Tioconazol</v>
      </c>
    </row>
    <row r="3284" spans="1:2">
      <c r="A3284" s="1" t="str">
        <f>"2934.99.59"</f>
        <v>2934.99.59</v>
      </c>
      <c r="B3284" s="2" t="str">
        <f>"Outros"</f>
        <v>Outros</v>
      </c>
    </row>
    <row r="3285" spans="1:2">
      <c r="A3285" s="1" t="str">
        <f>"2934.99.61"</f>
        <v>2934.99.61</v>
      </c>
      <c r="B3285" s="2" t="str">
        <f>"Cloridrato de tizanidina"</f>
        <v>Cloridrato de tizanidina</v>
      </c>
    </row>
    <row r="3286" spans="1:2">
      <c r="A3286" s="1" t="str">
        <f>"2934.99.69"</f>
        <v>2934.99.69</v>
      </c>
      <c r="B3286" s="2" t="str">
        <f>"Outros"</f>
        <v>Outros</v>
      </c>
    </row>
    <row r="3287" spans="1:2">
      <c r="A3287" s="1" t="str">
        <f>"2934.99.91"</f>
        <v>2934.99.91</v>
      </c>
      <c r="B3287" s="2" t="str">
        <f>"Timolol"</f>
        <v>Timolol</v>
      </c>
    </row>
    <row r="3288" spans="1:2">
      <c r="A3288" s="1" t="str">
        <f>"2934.99.92"</f>
        <v>2934.99.92</v>
      </c>
      <c r="B3288" s="2" t="str">
        <f>"MALEATO ÁCIDO DE TIMOLOL"</f>
        <v>MALEATO ÁCIDO DE TIMOLOL</v>
      </c>
    </row>
    <row r="3289" spans="1:2">
      <c r="A3289" s="1" t="str">
        <f>"2934.99.93"</f>
        <v>2934.99.93</v>
      </c>
      <c r="B3289" s="2" t="str">
        <f>"Lamivudina"</f>
        <v>Lamivudina</v>
      </c>
    </row>
    <row r="3290" spans="1:2">
      <c r="A3290" s="1" t="str">
        <f>"2934.99.99"</f>
        <v>2934.99.99</v>
      </c>
      <c r="B3290" s="2" t="str">
        <f>"Outros"</f>
        <v>Outros</v>
      </c>
    </row>
    <row r="3291" spans="1:2">
      <c r="A3291" s="1" t="str">
        <f>"2935.10.00"</f>
        <v>2935.10.00</v>
      </c>
      <c r="B3291" s="2" t="str">
        <f>"N-Metilperfluoroctano sulfonamida"</f>
        <v>N-Metilperfluoroctano sulfonamida</v>
      </c>
    </row>
    <row r="3292" spans="1:2">
      <c r="A3292" s="1" t="str">
        <f>"2935.20.00"</f>
        <v>2935.20.00</v>
      </c>
      <c r="B3292" s="2" t="str">
        <f>"N-Etilperfluoroctano sulfonamida"</f>
        <v>N-Etilperfluoroctano sulfonamida</v>
      </c>
    </row>
    <row r="3293" spans="1:2">
      <c r="A3293" s="1" t="str">
        <f>"2935.30.00"</f>
        <v>2935.30.00</v>
      </c>
      <c r="B3293" s="2" t="str">
        <f>"N-Etil-N-(2-hidroxietil)perfluoroct"</f>
        <v>N-Etil-N-(2-hidroxietil)perfluoroct</v>
      </c>
    </row>
    <row r="3294" spans="1:2">
      <c r="A3294" s="1" t="str">
        <f>"2935.40.00"</f>
        <v>2935.40.00</v>
      </c>
      <c r="B3294" s="2" t="str">
        <f>"N-(2-Hidroxietil)-N-metilperfluoroc"</f>
        <v>N-(2-Hidroxietil)-N-metilperfluoroc</v>
      </c>
    </row>
    <row r="3295" spans="1:2">
      <c r="A3295" s="1" t="str">
        <f>"2935.50.00"</f>
        <v>2935.50.00</v>
      </c>
      <c r="B3295" s="2" t="str">
        <f>"Outras perfluoroctanossulfonamidas"</f>
        <v>Outras perfluoroctanossulfonamidas</v>
      </c>
    </row>
    <row r="3296" spans="1:2">
      <c r="A3296" s="1" t="str">
        <f>"2935.90.11"</f>
        <v>2935.90.11</v>
      </c>
      <c r="B3296" s="2" t="str">
        <f>"Sulfadiazina e seu sal sodico"</f>
        <v>Sulfadiazina e seu sal sodico</v>
      </c>
    </row>
    <row r="3297" spans="1:2">
      <c r="A3297" s="1" t="str">
        <f>"2935.90.12"</f>
        <v>2935.90.12</v>
      </c>
      <c r="B3297" s="2" t="str">
        <f>"Clortalidona"</f>
        <v>Clortalidona</v>
      </c>
    </row>
    <row r="3298" spans="1:2">
      <c r="A3298" s="1" t="str">
        <f>"2935.90.13"</f>
        <v>2935.90.13</v>
      </c>
      <c r="B3298" s="2" t="str">
        <f>"Sulpirida"</f>
        <v>Sulpirida</v>
      </c>
    </row>
    <row r="3299" spans="1:2">
      <c r="A3299" s="1" t="str">
        <f>"2935.90.14"</f>
        <v>2935.90.14</v>
      </c>
      <c r="B3299" s="2" t="str">
        <f>"Veraliprida"</f>
        <v>Veraliprida</v>
      </c>
    </row>
    <row r="3300" spans="1:2">
      <c r="A3300" s="1" t="str">
        <f>"2935.90.15"</f>
        <v>2935.90.15</v>
      </c>
      <c r="B3300" s="2" t="str">
        <f>"Sulfametazina (4,6-dimetil-2-sulfan"</f>
        <v>Sulfametazina (4,6-dimetil-2-sulfan</v>
      </c>
    </row>
    <row r="3301" spans="1:2">
      <c r="A3301" s="1" t="str">
        <f>"2935.90.19"</f>
        <v>2935.90.19</v>
      </c>
      <c r="B3301" s="2" t="str">
        <f>"Outras"</f>
        <v>Outras</v>
      </c>
    </row>
    <row r="3302" spans="1:2">
      <c r="A3302" s="1" t="str">
        <f>"2935.90.21"</f>
        <v>2935.90.21</v>
      </c>
      <c r="B3302" s="2" t="str">
        <f>"Furosemida"</f>
        <v>Furosemida</v>
      </c>
    </row>
    <row r="3303" spans="1:2">
      <c r="A3303" s="1" t="str">
        <f>"2935.90.22"</f>
        <v>2935.90.22</v>
      </c>
      <c r="B3303" s="2" t="str">
        <f>"Ftalilsulfatiazol"</f>
        <v>Ftalilsulfatiazol</v>
      </c>
    </row>
    <row r="3304" spans="1:2">
      <c r="A3304" s="1" t="str">
        <f>"2935.90.23"</f>
        <v>2935.90.23</v>
      </c>
      <c r="B3304" s="2" t="str">
        <f>"Piroxicam"</f>
        <v>Piroxicam</v>
      </c>
    </row>
    <row r="3305" spans="1:2">
      <c r="A3305" s="1" t="str">
        <f>"2935.90.24"</f>
        <v>2935.90.24</v>
      </c>
      <c r="B3305" s="2" t="str">
        <f>"Tenoxicam"</f>
        <v>Tenoxicam</v>
      </c>
    </row>
    <row r="3306" spans="1:2">
      <c r="A3306" s="1" t="str">
        <f>"2935.90.25"</f>
        <v>2935.90.25</v>
      </c>
      <c r="B3306" s="2" t="str">
        <f>"Sulfametoxazol"</f>
        <v>Sulfametoxazol</v>
      </c>
    </row>
    <row r="3307" spans="1:2">
      <c r="A3307" s="1" t="str">
        <f>"2935.90.29"</f>
        <v>2935.90.29</v>
      </c>
      <c r="B3307" s="2" t="str">
        <f>"Outras"</f>
        <v>Outras</v>
      </c>
    </row>
    <row r="3308" spans="1:2">
      <c r="A3308" s="1" t="str">
        <f>"2935.90.91"</f>
        <v>2935.90.91</v>
      </c>
      <c r="B3308" s="2" t="str">
        <f>"Cloramina-B e cloramina-T"</f>
        <v>Cloramina-B e cloramina-T</v>
      </c>
    </row>
    <row r="3309" spans="1:2">
      <c r="A3309" s="1" t="str">
        <f>"2935.90.92"</f>
        <v>2935.90.92</v>
      </c>
      <c r="B3309" s="2" t="str">
        <f>"Gliburida"</f>
        <v>Gliburida</v>
      </c>
    </row>
    <row r="3310" spans="1:2">
      <c r="A3310" s="1" t="str">
        <f>"2935.90.93"</f>
        <v>2935.90.93</v>
      </c>
      <c r="B3310" s="2" t="str">
        <f>"Toluenossulfonamidas"</f>
        <v>Toluenossulfonamidas</v>
      </c>
    </row>
    <row r="3311" spans="1:2">
      <c r="A3311" s="1" t="str">
        <f>"2935.90.94"</f>
        <v>2935.90.94</v>
      </c>
      <c r="B3311" s="2" t="str">
        <f>"Nimesulida"</f>
        <v>Nimesulida</v>
      </c>
    </row>
    <row r="3312" spans="1:2">
      <c r="A3312" s="1" t="str">
        <f>"2935.90.95"</f>
        <v>2935.90.95</v>
      </c>
      <c r="B3312" s="2" t="str">
        <f>"Bumetanida"</f>
        <v>Bumetanida</v>
      </c>
    </row>
    <row r="3313" spans="1:2">
      <c r="A3313" s="1" t="str">
        <f>"2935.90.96"</f>
        <v>2935.90.96</v>
      </c>
      <c r="B3313" s="2" t="str">
        <f>"Sulfaguanidina"</f>
        <v>Sulfaguanidina</v>
      </c>
    </row>
    <row r="3314" spans="1:2">
      <c r="A3314" s="1" t="str">
        <f>"2935.90.97"</f>
        <v>2935.90.97</v>
      </c>
      <c r="B3314" s="2" t="str">
        <f>"Sulfluramida"</f>
        <v>Sulfluramida</v>
      </c>
    </row>
    <row r="3315" spans="1:2">
      <c r="A3315" s="1" t="str">
        <f>"2935.90.99"</f>
        <v>2935.90.99</v>
      </c>
      <c r="B3315" s="2" t="str">
        <f>"Outras"</f>
        <v>Outras</v>
      </c>
    </row>
    <row r="3316" spans="1:2">
      <c r="A3316" s="1" t="str">
        <f>"2936.21.11"</f>
        <v>2936.21.11</v>
      </c>
      <c r="B3316" s="2" t="str">
        <f>"Vitamina A1 alcool (retinol)"</f>
        <v>Vitamina A1 alcool (retinol)</v>
      </c>
    </row>
    <row r="3317" spans="1:2">
      <c r="A3317" s="1" t="str">
        <f>"2936.21.12"</f>
        <v>2936.21.12</v>
      </c>
      <c r="B3317" s="2" t="str">
        <f>"Acetato"</f>
        <v>Acetato</v>
      </c>
    </row>
    <row r="3318" spans="1:2">
      <c r="A3318" s="1" t="str">
        <f>"2936.21.13"</f>
        <v>2936.21.13</v>
      </c>
      <c r="B3318" s="2" t="str">
        <f>"Palmitato"</f>
        <v>Palmitato</v>
      </c>
    </row>
    <row r="3319" spans="1:2">
      <c r="A3319" s="1" t="str">
        <f>"2936.21.19"</f>
        <v>2936.21.19</v>
      </c>
      <c r="B3319" s="2" t="str">
        <f>"Outros"</f>
        <v>Outros</v>
      </c>
    </row>
    <row r="3320" spans="1:2">
      <c r="A3320" s="1" t="str">
        <f>"2936.21.90"</f>
        <v>2936.21.90</v>
      </c>
      <c r="B3320" s="2" t="str">
        <f>"Outros"</f>
        <v>Outros</v>
      </c>
    </row>
    <row r="3321" spans="1:2">
      <c r="A3321" s="1" t="str">
        <f>"2936.22.10"</f>
        <v>2936.22.10</v>
      </c>
      <c r="B3321" s="2" t="str">
        <f>"Cloridrato de vitamina B1 (cloridra"</f>
        <v>Cloridrato de vitamina B1 (cloridra</v>
      </c>
    </row>
    <row r="3322" spans="1:2">
      <c r="A3322" s="1" t="str">
        <f>"2936.22.20"</f>
        <v>2936.22.20</v>
      </c>
      <c r="B3322" s="2" t="str">
        <f>"Mononitrato de vitamina B1 (mononit"</f>
        <v>Mononitrato de vitamina B1 (mononit</v>
      </c>
    </row>
    <row r="3323" spans="1:2">
      <c r="A3323" s="1" t="str">
        <f>"2936.22.90"</f>
        <v>2936.22.90</v>
      </c>
      <c r="B3323" s="2" t="str">
        <f>"Outros"</f>
        <v>Outros</v>
      </c>
    </row>
    <row r="3324" spans="1:2">
      <c r="A3324" s="1" t="str">
        <f>"2936.23.10"</f>
        <v>2936.23.10</v>
      </c>
      <c r="B3324" s="2" t="str">
        <f>"Vitamina B2 (riboflavina)"</f>
        <v>Vitamina B2 (riboflavina)</v>
      </c>
    </row>
    <row r="3325" spans="1:2">
      <c r="A3325" s="1" t="str">
        <f>"2936.23.20"</f>
        <v>2936.23.20</v>
      </c>
      <c r="B3325" s="2" t="str">
        <f>"5'-Fosfato sodico de vitamina B2 (5"</f>
        <v>5'-Fosfato sodico de vitamina B2 (5</v>
      </c>
    </row>
    <row r="3326" spans="1:2">
      <c r="A3326" s="1" t="str">
        <f>"2936.23.90"</f>
        <v>2936.23.90</v>
      </c>
      <c r="B3326" s="2" t="str">
        <f>"Outros"</f>
        <v>Outros</v>
      </c>
    </row>
    <row r="3327" spans="1:2">
      <c r="A3327" s="1" t="str">
        <f>"2936.24.10"</f>
        <v>2936.24.10</v>
      </c>
      <c r="B3327" s="2" t="str">
        <f>"D-Pantotenato de calcio"</f>
        <v>D-Pantotenato de calcio</v>
      </c>
    </row>
    <row r="3328" spans="1:2">
      <c r="A3328" s="1" t="str">
        <f>"2936.24.90"</f>
        <v>2936.24.90</v>
      </c>
      <c r="B3328" s="2" t="str">
        <f>"Outros"</f>
        <v>Outros</v>
      </c>
    </row>
    <row r="3329" spans="1:2">
      <c r="A3329" s="1" t="str">
        <f>"2936.25.10"</f>
        <v>2936.25.10</v>
      </c>
      <c r="B3329" s="2" t="str">
        <f>"Vitamina B6"</f>
        <v>Vitamina B6</v>
      </c>
    </row>
    <row r="3330" spans="1:2">
      <c r="A3330" s="1" t="str">
        <f>"2936.25.20"</f>
        <v>2936.25.20</v>
      </c>
      <c r="B3330" s="2" t="str">
        <f>"Cloridrato de piridoxina"</f>
        <v>Cloridrato de piridoxina</v>
      </c>
    </row>
    <row r="3331" spans="1:2">
      <c r="A3331" s="1" t="str">
        <f>"2936.25.90"</f>
        <v>2936.25.90</v>
      </c>
      <c r="B3331" s="2" t="str">
        <f>"Outros"</f>
        <v>Outros</v>
      </c>
    </row>
    <row r="3332" spans="1:2">
      <c r="A3332" s="1" t="str">
        <f>"2936.26.10"</f>
        <v>2936.26.10</v>
      </c>
      <c r="B3332" s="2" t="str">
        <f>"Vitamina B12 (cianocobalamina)"</f>
        <v>Vitamina B12 (cianocobalamina)</v>
      </c>
    </row>
    <row r="3333" spans="1:2">
      <c r="A3333" s="1" t="str">
        <f>"2936.26.20"</f>
        <v>2936.26.20</v>
      </c>
      <c r="B3333" s="2" t="str">
        <f>"Cobamamida"</f>
        <v>Cobamamida</v>
      </c>
    </row>
    <row r="3334" spans="1:2">
      <c r="A3334" s="1" t="str">
        <f>"2936.26.30"</f>
        <v>2936.26.30</v>
      </c>
      <c r="B3334" s="2" t="str">
        <f>"Hidroxocobalamina e seus sais"</f>
        <v>Hidroxocobalamina e seus sais</v>
      </c>
    </row>
    <row r="3335" spans="1:2">
      <c r="A3335" s="1" t="str">
        <f>"2936.26.90"</f>
        <v>2936.26.90</v>
      </c>
      <c r="B3335" s="2" t="str">
        <f>"Outros"</f>
        <v>Outros</v>
      </c>
    </row>
    <row r="3336" spans="1:2">
      <c r="A3336" s="1" t="str">
        <f>"2936.27.10"</f>
        <v>2936.27.10</v>
      </c>
      <c r="B3336" s="2" t="str">
        <f>"Vitamina C (acido L- ou DL-ascorbic"</f>
        <v>Vitamina C (acido L- ou DL-ascorbic</v>
      </c>
    </row>
    <row r="3337" spans="1:2">
      <c r="A3337" s="1" t="str">
        <f>"2936.27.20"</f>
        <v>2936.27.20</v>
      </c>
      <c r="B3337" s="2" t="str">
        <f>"Ascorbato de sodio"</f>
        <v>Ascorbato de sodio</v>
      </c>
    </row>
    <row r="3338" spans="1:2">
      <c r="A3338" s="1" t="str">
        <f>"2936.27.90"</f>
        <v>2936.27.90</v>
      </c>
      <c r="B3338" s="2" t="str">
        <f>"Outros"</f>
        <v>Outros</v>
      </c>
    </row>
    <row r="3339" spans="1:2">
      <c r="A3339" s="1" t="str">
        <f>"2936.28.11"</f>
        <v>2936.28.11</v>
      </c>
      <c r="B3339" s="2" t="str">
        <f>"D- ou DL-alfa-Tocoferol"</f>
        <v>D- ou DL-alfa-Tocoferol</v>
      </c>
    </row>
    <row r="3340" spans="1:2">
      <c r="A3340" s="1" t="str">
        <f>"2936.28.12"</f>
        <v>2936.28.12</v>
      </c>
      <c r="B3340" s="2" t="str">
        <f>"Acetato de D- ou DL-alfa-tocoferol"</f>
        <v>Acetato de D- ou DL-alfa-tocoferol</v>
      </c>
    </row>
    <row r="3341" spans="1:2">
      <c r="A3341" s="1" t="str">
        <f>"2936.28.19"</f>
        <v>2936.28.19</v>
      </c>
      <c r="B3341" s="2" t="str">
        <f>"Outros"</f>
        <v>Outros</v>
      </c>
    </row>
    <row r="3342" spans="1:2">
      <c r="A3342" s="1" t="str">
        <f>"2936.28.90"</f>
        <v>2936.28.90</v>
      </c>
      <c r="B3342" s="2" t="str">
        <f>"Outros"</f>
        <v>Outros</v>
      </c>
    </row>
    <row r="3343" spans="1:2">
      <c r="A3343" s="1" t="str">
        <f>"2936.29.11"</f>
        <v>2936.29.11</v>
      </c>
      <c r="B3343" s="2" t="str">
        <f>"Vitamina B9 (acido folico) e seus s"</f>
        <v>Vitamina B9 (acido folico) e seus s</v>
      </c>
    </row>
    <row r="3344" spans="1:2">
      <c r="A3344" s="1" t="str">
        <f>"2936.29.19"</f>
        <v>2936.29.19</v>
      </c>
      <c r="B3344" s="2" t="str">
        <f>"Outros"</f>
        <v>Outros</v>
      </c>
    </row>
    <row r="3345" spans="1:2">
      <c r="A3345" s="1" t="str">
        <f>"2936.29.21"</f>
        <v>2936.29.21</v>
      </c>
      <c r="B3345" s="2" t="str">
        <f>"Vitamina D3 (colecalciferol)"</f>
        <v>Vitamina D3 (colecalciferol)</v>
      </c>
    </row>
    <row r="3346" spans="1:2">
      <c r="A3346" s="1" t="str">
        <f>"2936.29.29"</f>
        <v>2936.29.29</v>
      </c>
      <c r="B3346" s="2" t="str">
        <f>"Outros"</f>
        <v>Outros</v>
      </c>
    </row>
    <row r="3347" spans="1:2">
      <c r="A3347" s="1" t="str">
        <f>"2936.29.31"</f>
        <v>2936.29.31</v>
      </c>
      <c r="B3347" s="2" t="str">
        <f>"Vitamina H (biotina)"</f>
        <v>Vitamina H (biotina)</v>
      </c>
    </row>
    <row r="3348" spans="1:2">
      <c r="A3348" s="1" t="str">
        <f>"2936.29.39"</f>
        <v>2936.29.39</v>
      </c>
      <c r="B3348" s="2" t="str">
        <f>"Outros"</f>
        <v>Outros</v>
      </c>
    </row>
    <row r="3349" spans="1:2">
      <c r="A3349" s="1" t="str">
        <f>"2936.29.40"</f>
        <v>2936.29.40</v>
      </c>
      <c r="B3349" s="2" t="str">
        <f>"Vitaminas K e seus derivados"</f>
        <v>Vitaminas K e seus derivados</v>
      </c>
    </row>
    <row r="3350" spans="1:2">
      <c r="A3350" s="1" t="str">
        <f>"2936.29.51"</f>
        <v>2936.29.51</v>
      </c>
      <c r="B3350" s="2" t="str">
        <f>"Acido nicotinico"</f>
        <v>Acido nicotinico</v>
      </c>
    </row>
    <row r="3351" spans="1:2">
      <c r="A3351" s="1" t="str">
        <f>"2936.29.52"</f>
        <v>2936.29.52</v>
      </c>
      <c r="B3351" s="2" t="str">
        <f>"Nicotinamida"</f>
        <v>Nicotinamida</v>
      </c>
    </row>
    <row r="3352" spans="1:2">
      <c r="A3352" s="1" t="str">
        <f>"2936.29.53"</f>
        <v>2936.29.53</v>
      </c>
      <c r="B3352" s="2" t="str">
        <f>"Nicotinato de sodio"</f>
        <v>Nicotinato de sodio</v>
      </c>
    </row>
    <row r="3353" spans="1:2">
      <c r="A3353" s="1" t="str">
        <f>"2936.29.59"</f>
        <v>2936.29.59</v>
      </c>
      <c r="B3353" s="2" t="str">
        <f>"Outros"</f>
        <v>Outros</v>
      </c>
    </row>
    <row r="3354" spans="1:2">
      <c r="A3354" s="1" t="str">
        <f>"2936.29.90"</f>
        <v>2936.29.90</v>
      </c>
      <c r="B3354" s="2" t="str">
        <f>"Outros"</f>
        <v>Outros</v>
      </c>
    </row>
    <row r="3355" spans="1:2">
      <c r="A3355" s="1" t="str">
        <f>"2936.90.00"</f>
        <v>2936.90.00</v>
      </c>
      <c r="B3355" s="2" t="str">
        <f>"Outras, incluindo os concentrados n"</f>
        <v>Outras, incluindo os concentrados n</v>
      </c>
    </row>
    <row r="3356" spans="1:2">
      <c r="A3356" s="1" t="str">
        <f>"2937.11.00"</f>
        <v>2937.11.00</v>
      </c>
      <c r="B3356" s="2" t="str">
        <f>"Somatotropina, seus derivados e ana"</f>
        <v>Somatotropina, seus derivados e ana</v>
      </c>
    </row>
    <row r="3357" spans="1:2">
      <c r="A3357" s="1" t="str">
        <f>"2937.12.00"</f>
        <v>2937.12.00</v>
      </c>
      <c r="B3357" s="2" t="str">
        <f>"Insulina e seus sais"</f>
        <v>Insulina e seus sais</v>
      </c>
    </row>
    <row r="3358" spans="1:2">
      <c r="A3358" s="1" t="str">
        <f>"2937.19.10"</f>
        <v>2937.19.10</v>
      </c>
      <c r="B3358" s="2" t="str">
        <f>"ACTH (corticotropina)"</f>
        <v>ACTH (corticotropina)</v>
      </c>
    </row>
    <row r="3359" spans="1:2">
      <c r="A3359" s="1" t="str">
        <f>"2937.19.20"</f>
        <v>2937.19.20</v>
      </c>
      <c r="B3359" s="2" t="str">
        <f>"HCG (gonadotropina corionica)"</f>
        <v>HCG (gonadotropina corionica)</v>
      </c>
    </row>
    <row r="3360" spans="1:2">
      <c r="A3360" s="1" t="str">
        <f>"2937.19.30"</f>
        <v>2937.19.30</v>
      </c>
      <c r="B3360" s="2" t="str">
        <f>"PMSG (gonadotropina serica)"</f>
        <v>PMSG (gonadotropina serica)</v>
      </c>
    </row>
    <row r="3361" spans="1:2">
      <c r="A3361" s="1" t="str">
        <f>"2937.19.40"</f>
        <v>2937.19.40</v>
      </c>
      <c r="B3361" s="2" t="str">
        <f>"Menotropinas"</f>
        <v>Menotropinas</v>
      </c>
    </row>
    <row r="3362" spans="1:2">
      <c r="A3362" s="1" t="str">
        <f>"2937.19.50"</f>
        <v>2937.19.50</v>
      </c>
      <c r="B3362" s="2" t="str">
        <f>"Oxitocina"</f>
        <v>Oxitocina</v>
      </c>
    </row>
    <row r="3363" spans="1:2">
      <c r="A3363" s="1" t="str">
        <f>"2937.19.90"</f>
        <v>2937.19.90</v>
      </c>
      <c r="B3363" s="2" t="str">
        <f>"Outros"</f>
        <v>Outros</v>
      </c>
    </row>
    <row r="3364" spans="1:2">
      <c r="A3364" s="1" t="str">
        <f>"2937.21.10"</f>
        <v>2937.21.10</v>
      </c>
      <c r="B3364" s="2" t="str">
        <f>"Cortisona"</f>
        <v>Cortisona</v>
      </c>
    </row>
    <row r="3365" spans="1:2">
      <c r="A3365" s="1" t="str">
        <f>"2937.21.20"</f>
        <v>2937.21.20</v>
      </c>
      <c r="B3365" s="2" t="str">
        <f>"Hidrocortisona"</f>
        <v>Hidrocortisona</v>
      </c>
    </row>
    <row r="3366" spans="1:2">
      <c r="A3366" s="1" t="str">
        <f>"2937.21.30"</f>
        <v>2937.21.30</v>
      </c>
      <c r="B3366" s="2" t="str">
        <f>"Prednisona (deidrocortisona)"</f>
        <v>Prednisona (deidrocortisona)</v>
      </c>
    </row>
    <row r="3367" spans="1:2">
      <c r="A3367" s="1" t="str">
        <f>"2937.21.40"</f>
        <v>2937.21.40</v>
      </c>
      <c r="B3367" s="2" t="str">
        <f>"Prednisolona (deidroidrocortisona)"</f>
        <v>Prednisolona (deidroidrocortisona)</v>
      </c>
    </row>
    <row r="3368" spans="1:2">
      <c r="A3368" s="1" t="str">
        <f>"2937.22.10"</f>
        <v>2937.22.10</v>
      </c>
      <c r="B3368" s="2" t="str">
        <f>"Dexametasona e seus acetatos"</f>
        <v>Dexametasona e seus acetatos</v>
      </c>
    </row>
    <row r="3369" spans="1:2">
      <c r="A3369" s="1" t="str">
        <f>"2937.22.21"</f>
        <v>2937.22.21</v>
      </c>
      <c r="B3369" s="2" t="str">
        <f>"Acetonida da triancinolona"</f>
        <v>Acetonida da triancinolona</v>
      </c>
    </row>
    <row r="3370" spans="1:2">
      <c r="A3370" s="1" t="str">
        <f>"2937.22.29"</f>
        <v>2937.22.29</v>
      </c>
      <c r="B3370" s="2" t="str">
        <f>"Outros"</f>
        <v>Outros</v>
      </c>
    </row>
    <row r="3371" spans="1:2">
      <c r="A3371" s="1" t="str">
        <f>"2937.22.31"</f>
        <v>2937.22.31</v>
      </c>
      <c r="B3371" s="2" t="str">
        <f>"Valerato de diflucortolona"</f>
        <v>Valerato de diflucortolona</v>
      </c>
    </row>
    <row r="3372" spans="1:2">
      <c r="A3372" s="1" t="str">
        <f>"2937.22.39"</f>
        <v>2937.22.39</v>
      </c>
      <c r="B3372" s="2" t="str">
        <f>"Outros"</f>
        <v>Outros</v>
      </c>
    </row>
    <row r="3373" spans="1:2">
      <c r="A3373" s="1" t="str">
        <f>"2937.22.90"</f>
        <v>2937.22.90</v>
      </c>
      <c r="B3373" s="2" t="str">
        <f>"Outros"</f>
        <v>Outros</v>
      </c>
    </row>
    <row r="3374" spans="1:2">
      <c r="A3374" s="1" t="str">
        <f>"2937.23.10"</f>
        <v>2937.23.10</v>
      </c>
      <c r="B3374" s="2" t="str">
        <f>"Medroxiprogesterona e seus derivado"</f>
        <v>Medroxiprogesterona e seus derivado</v>
      </c>
    </row>
    <row r="3375" spans="1:2">
      <c r="A3375" s="1" t="str">
        <f>"2937.23.21"</f>
        <v>2937.23.21</v>
      </c>
      <c r="B3375" s="2" t="str">
        <f>"L-Norgestrel (levonorgestrel)"</f>
        <v>L-Norgestrel (levonorgestrel)</v>
      </c>
    </row>
    <row r="3376" spans="1:2">
      <c r="A3376" s="1" t="str">
        <f>"2937.23.22"</f>
        <v>2937.23.22</v>
      </c>
      <c r="B3376" s="2" t="str">
        <f>"DL-Norgestrel"</f>
        <v>DL-Norgestrel</v>
      </c>
    </row>
    <row r="3377" spans="1:2">
      <c r="A3377" s="1" t="str">
        <f>"2937.23.29"</f>
        <v>2937.23.29</v>
      </c>
      <c r="B3377" s="2" t="str">
        <f>"Outros"</f>
        <v>Outros</v>
      </c>
    </row>
    <row r="3378" spans="1:2">
      <c r="A3378" s="1" t="str">
        <f>"2937.23.31"</f>
        <v>2937.23.31</v>
      </c>
      <c r="B3378" s="2" t="str">
        <f>"Estriol e seu succinato"</f>
        <v>Estriol e seu succinato</v>
      </c>
    </row>
    <row r="3379" spans="1:2">
      <c r="A3379" s="1" t="str">
        <f>"2937.23.39"</f>
        <v>2937.23.39</v>
      </c>
      <c r="B3379" s="2" t="str">
        <f>"Outros"</f>
        <v>Outros</v>
      </c>
    </row>
    <row r="3380" spans="1:2">
      <c r="A3380" s="1" t="str">
        <f>"2937.23.41"</f>
        <v>2937.23.41</v>
      </c>
      <c r="B3380" s="2" t="str">
        <f>"Hemissuccinato de estradiol"</f>
        <v>Hemissuccinato de estradiol</v>
      </c>
    </row>
    <row r="3381" spans="1:2">
      <c r="A3381" s="1" t="str">
        <f>"2937.23.42"</f>
        <v>2937.23.42</v>
      </c>
      <c r="B3381" s="2" t="str">
        <f>"Fempropionato de estradiol (17-(3-f"</f>
        <v>Fempropionato de estradiol (17-(3-f</v>
      </c>
    </row>
    <row r="3382" spans="1:2">
      <c r="A3382" s="1" t="str">
        <f>"2937.23.49"</f>
        <v>2937.23.49</v>
      </c>
      <c r="B3382" s="2" t="str">
        <f>"Outros"</f>
        <v>Outros</v>
      </c>
    </row>
    <row r="3383" spans="1:2">
      <c r="A3383" s="1" t="str">
        <f>"2937.23.51"</f>
        <v>2937.23.51</v>
      </c>
      <c r="B3383" s="2" t="str">
        <f>"Alilestrenol"</f>
        <v>Alilestrenol</v>
      </c>
    </row>
    <row r="3384" spans="1:2">
      <c r="A3384" s="1" t="str">
        <f>"2937.23.59"</f>
        <v>2937.23.59</v>
      </c>
      <c r="B3384" s="2" t="str">
        <f>"Outros"</f>
        <v>Outros</v>
      </c>
    </row>
    <row r="3385" spans="1:2">
      <c r="A3385" s="1" t="str">
        <f>"2937.23.60"</f>
        <v>2937.23.60</v>
      </c>
      <c r="B3385" s="2" t="str">
        <f>"Desogestrel"</f>
        <v>Desogestrel</v>
      </c>
    </row>
    <row r="3386" spans="1:2">
      <c r="A3386" s="1" t="str">
        <f>"2937.23.70"</f>
        <v>2937.23.70</v>
      </c>
      <c r="B3386" s="2" t="str">
        <f>"Linestrenol"</f>
        <v>Linestrenol</v>
      </c>
    </row>
    <row r="3387" spans="1:2">
      <c r="A3387" s="1" t="str">
        <f>"2937.23.91"</f>
        <v>2937.23.91</v>
      </c>
      <c r="B3387" s="2" t="str">
        <f>"Acetato de etinodiol"</f>
        <v>Acetato de etinodiol</v>
      </c>
    </row>
    <row r="3388" spans="1:2">
      <c r="A3388" s="1" t="str">
        <f>"2937.23.92"</f>
        <v>2937.23.92</v>
      </c>
      <c r="B3388" s="2" t="str">
        <f>"Gestodeno"</f>
        <v>Gestodeno</v>
      </c>
    </row>
    <row r="3389" spans="1:2">
      <c r="A3389" s="1" t="str">
        <f>"2937.23.99"</f>
        <v>2937.23.99</v>
      </c>
      <c r="B3389" s="2" t="str">
        <f>"Outros"</f>
        <v>Outros</v>
      </c>
    </row>
    <row r="3390" spans="1:2">
      <c r="A3390" s="1" t="str">
        <f>"2937.29.10"</f>
        <v>2937.29.10</v>
      </c>
      <c r="B3390" s="2" t="str">
        <f>"Metilprednisolona e seus derivados"</f>
        <v>Metilprednisolona e seus derivados</v>
      </c>
    </row>
    <row r="3391" spans="1:2">
      <c r="A3391" s="1" t="str">
        <f>"2937.29.20"</f>
        <v>2937.29.20</v>
      </c>
      <c r="B3391" s="2" t="str">
        <f>"21-Succinato sodico de hidrocortiso"</f>
        <v>21-Succinato sodico de hidrocortiso</v>
      </c>
    </row>
    <row r="3392" spans="1:2">
      <c r="A3392" s="1" t="str">
        <f>"2937.29.31"</f>
        <v>2937.29.31</v>
      </c>
      <c r="B3392" s="2" t="str">
        <f>"Acetato de ciproterona"</f>
        <v>Acetato de ciproterona</v>
      </c>
    </row>
    <row r="3393" spans="1:2">
      <c r="A3393" s="1" t="str">
        <f>"2937.29.39"</f>
        <v>2937.29.39</v>
      </c>
      <c r="B3393" s="2" t="str">
        <f>"Outros"</f>
        <v>Outros</v>
      </c>
    </row>
    <row r="3394" spans="1:2">
      <c r="A3394" s="1" t="str">
        <f>"2937.29.40"</f>
        <v>2937.29.40</v>
      </c>
      <c r="B3394" s="2" t="str">
        <f>"Mesterolona e seus derivados"</f>
        <v>Mesterolona e seus derivados</v>
      </c>
    </row>
    <row r="3395" spans="1:2">
      <c r="A3395" s="1" t="str">
        <f>"2937.29.50"</f>
        <v>2937.29.50</v>
      </c>
      <c r="B3395" s="2" t="str">
        <f>"Espironolactona"</f>
        <v>Espironolactona</v>
      </c>
    </row>
    <row r="3396" spans="1:2">
      <c r="A3396" s="1" t="str">
        <f>"2937.29.60"</f>
        <v>2937.29.60</v>
      </c>
      <c r="B3396" s="2" t="str">
        <f>"Deflazacorte"</f>
        <v>Deflazacorte</v>
      </c>
    </row>
    <row r="3397" spans="1:2">
      <c r="A3397" s="1" t="str">
        <f>"2937.29.90"</f>
        <v>2937.29.90</v>
      </c>
      <c r="B3397" s="2" t="str">
        <f>"Outros"</f>
        <v>Outros</v>
      </c>
    </row>
    <row r="3398" spans="1:2">
      <c r="A3398" s="1" t="str">
        <f>"2937.50.00"</f>
        <v>2937.50.00</v>
      </c>
      <c r="B3398" s="2" t="str">
        <f>"Prostaglandinas, tromboxanas e leuc"</f>
        <v>Prostaglandinas, tromboxanas e leuc</v>
      </c>
    </row>
    <row r="3399" spans="1:2">
      <c r="A3399" s="1" t="str">
        <f>"2937.90.10"</f>
        <v>2937.90.10</v>
      </c>
      <c r="B3399" s="2" t="str">
        <f>"Tiratricol (triac) e seu sal sodico"</f>
        <v>Tiratricol (triac) e seu sal sodico</v>
      </c>
    </row>
    <row r="3400" spans="1:2">
      <c r="A3400" s="1" t="str">
        <f>"2937.90.30"</f>
        <v>2937.90.30</v>
      </c>
      <c r="B3400" s="2" t="str">
        <f>"Levotiroxina sodica"</f>
        <v>Levotiroxina sodica</v>
      </c>
    </row>
    <row r="3401" spans="1:2">
      <c r="A3401" s="1" t="str">
        <f>"2937.90.40"</f>
        <v>2937.90.40</v>
      </c>
      <c r="B3401" s="2" t="str">
        <f>"Liotironina sodica"</f>
        <v>Liotironina sodica</v>
      </c>
    </row>
    <row r="3402" spans="1:2">
      <c r="A3402" s="1" t="str">
        <f>"2937.90.90"</f>
        <v>2937.90.90</v>
      </c>
      <c r="B3402" s="2" t="str">
        <f>"Outros"</f>
        <v>Outros</v>
      </c>
    </row>
    <row r="3403" spans="1:2">
      <c r="A3403" s="1" t="str">
        <f>"2938.10.00"</f>
        <v>2938.10.00</v>
      </c>
      <c r="B3403" s="2" t="str">
        <f>"Rutosidio (rutina) e seus derivados"</f>
        <v>Rutosidio (rutina) e seus derivados</v>
      </c>
    </row>
    <row r="3404" spans="1:2">
      <c r="A3404" s="1" t="str">
        <f>"2938.90.10"</f>
        <v>2938.90.10</v>
      </c>
      <c r="B3404" s="2" t="str">
        <f>"Deslanosidio"</f>
        <v>Deslanosidio</v>
      </c>
    </row>
    <row r="3405" spans="1:2">
      <c r="A3405" s="1" t="str">
        <f>"2938.90.20"</f>
        <v>2938.90.20</v>
      </c>
      <c r="B3405" s="2" t="str">
        <f>"Esteviosidio"</f>
        <v>Esteviosidio</v>
      </c>
    </row>
    <row r="3406" spans="1:2">
      <c r="A3406" s="1" t="str">
        <f>"2938.90.90"</f>
        <v>2938.90.90</v>
      </c>
      <c r="B3406" s="2" t="str">
        <f>"Outros"</f>
        <v>Outros</v>
      </c>
    </row>
    <row r="3407" spans="1:2">
      <c r="A3407" s="1" t="str">
        <f>"2939.11.10"</f>
        <v>2939.11.10</v>
      </c>
      <c r="B3407" s="2" t="str">
        <f>"Concentrados de palha de dormideira"</f>
        <v>Concentrados de palha de dormideira</v>
      </c>
    </row>
    <row r="3408" spans="1:2">
      <c r="A3408" s="1" t="str">
        <f>"2939.11.21"</f>
        <v>2939.11.21</v>
      </c>
      <c r="B3408" s="2" t="str">
        <f>"Buprenorfina e seus sais"</f>
        <v>Buprenorfina e seus sais</v>
      </c>
    </row>
    <row r="3409" spans="1:2">
      <c r="A3409" s="1" t="str">
        <f>"2939.11.22"</f>
        <v>2939.11.22</v>
      </c>
      <c r="B3409" s="2" t="str">
        <f>"Codeina e seus sais"</f>
        <v>Codeina e seus sais</v>
      </c>
    </row>
    <row r="3410" spans="1:2">
      <c r="A3410" s="1" t="str">
        <f>"2939.11.23"</f>
        <v>2939.11.23</v>
      </c>
      <c r="B3410" s="2" t="str">
        <f>"Diidrocodeina e seus sais"</f>
        <v>Diidrocodeina e seus sais</v>
      </c>
    </row>
    <row r="3411" spans="1:2">
      <c r="A3411" s="1" t="str">
        <f>"2939.11.31"</f>
        <v>2939.11.31</v>
      </c>
      <c r="B3411" s="2" t="str">
        <f>"Etilmorfina e seus sais"</f>
        <v>Etilmorfina e seus sais</v>
      </c>
    </row>
    <row r="3412" spans="1:2">
      <c r="A3412" s="1" t="str">
        <f>"2939.11.32"</f>
        <v>2939.11.32</v>
      </c>
      <c r="B3412" s="2" t="str">
        <f>"Etorfina e seus sais"</f>
        <v>Etorfina e seus sais</v>
      </c>
    </row>
    <row r="3413" spans="1:2">
      <c r="A3413" s="1" t="str">
        <f>"2939.11.40"</f>
        <v>2939.11.40</v>
      </c>
      <c r="B3413" s="2" t="str">
        <f>"Folcodina e seus sais"</f>
        <v>Folcodina e seus sais</v>
      </c>
    </row>
    <row r="3414" spans="1:2">
      <c r="A3414" s="1" t="str">
        <f>"2939.11.51"</f>
        <v>2939.11.51</v>
      </c>
      <c r="B3414" s="2" t="str">
        <f>"Heroina e seus sais"</f>
        <v>Heroina e seus sais</v>
      </c>
    </row>
    <row r="3415" spans="1:2">
      <c r="A3415" s="1" t="str">
        <f>"2939.11.52"</f>
        <v>2939.11.52</v>
      </c>
      <c r="B3415" s="2" t="str">
        <f>"Hidrocodona e seus sais"</f>
        <v>Hidrocodona e seus sais</v>
      </c>
    </row>
    <row r="3416" spans="1:2">
      <c r="A3416" s="1" t="str">
        <f>"2939.11.53"</f>
        <v>2939.11.53</v>
      </c>
      <c r="B3416" s="2" t="str">
        <f>"Hidromorfona e seus sais"</f>
        <v>Hidromorfona e seus sais</v>
      </c>
    </row>
    <row r="3417" spans="1:2">
      <c r="A3417" s="1" t="str">
        <f>"2939.11.61"</f>
        <v>2939.11.61</v>
      </c>
      <c r="B3417" s="2" t="str">
        <f>"Morfina"</f>
        <v>Morfina</v>
      </c>
    </row>
    <row r="3418" spans="1:2">
      <c r="A3418" s="1" t="str">
        <f>"2939.11.62"</f>
        <v>2939.11.62</v>
      </c>
      <c r="B3418" s="2" t="str">
        <f>"Cloridrato e sulfato de morfina"</f>
        <v>Cloridrato e sulfato de morfina</v>
      </c>
    </row>
    <row r="3419" spans="1:2">
      <c r="A3419" s="1" t="str">
        <f>"2939.11.69"</f>
        <v>2939.11.69</v>
      </c>
      <c r="B3419" s="2" t="str">
        <f>"Outros"</f>
        <v>Outros</v>
      </c>
    </row>
    <row r="3420" spans="1:2">
      <c r="A3420" s="1" t="str">
        <f>"2939.11.70"</f>
        <v>2939.11.70</v>
      </c>
      <c r="B3420" s="2" t="str">
        <f>"Nicomorfina e seus sais"</f>
        <v>Nicomorfina e seus sais</v>
      </c>
    </row>
    <row r="3421" spans="1:2">
      <c r="A3421" s="1" t="str">
        <f>"2939.11.81"</f>
        <v>2939.11.81</v>
      </c>
      <c r="B3421" s="2" t="str">
        <f>"Oxicodona e seus sais"</f>
        <v>Oxicodona e seus sais</v>
      </c>
    </row>
    <row r="3422" spans="1:2">
      <c r="A3422" s="1" t="str">
        <f>"2939.11.82"</f>
        <v>2939.11.82</v>
      </c>
      <c r="B3422" s="2" t="str">
        <f>"Oximorfona e seus sais"</f>
        <v>Oximorfona e seus sais</v>
      </c>
    </row>
    <row r="3423" spans="1:2">
      <c r="A3423" s="1" t="str">
        <f>"2939.11.91"</f>
        <v>2939.11.91</v>
      </c>
      <c r="B3423" s="2" t="str">
        <f>"Tebacona e seus sais"</f>
        <v>Tebacona e seus sais</v>
      </c>
    </row>
    <row r="3424" spans="1:2">
      <c r="A3424" s="1" t="str">
        <f>"2939.11.92"</f>
        <v>2939.11.92</v>
      </c>
      <c r="B3424" s="2" t="str">
        <f>"Tebaina e seus sais"</f>
        <v>Tebaina e seus sais</v>
      </c>
    </row>
    <row r="3425" spans="1:2">
      <c r="A3425" s="1" t="str">
        <f>"2939.19.00"</f>
        <v>2939.19.00</v>
      </c>
      <c r="B3425" s="2" t="str">
        <f>"Outros"</f>
        <v>Outros</v>
      </c>
    </row>
    <row r="3426" spans="1:2">
      <c r="A3426" s="1" t="str">
        <f>"2939.20.00"</f>
        <v>2939.20.00</v>
      </c>
      <c r="B3426" s="2" t="str">
        <f>"Alcaloides da quina e seus derivado"</f>
        <v>Alcaloides da quina e seus derivado</v>
      </c>
    </row>
    <row r="3427" spans="1:2">
      <c r="A3427" s="1" t="str">
        <f>"2939.30.10"</f>
        <v>2939.30.10</v>
      </c>
      <c r="B3427" s="2" t="str">
        <f>"Cafeina"</f>
        <v>Cafeina</v>
      </c>
    </row>
    <row r="3428" spans="1:2">
      <c r="A3428" s="1" t="str">
        <f>"2939.30.20"</f>
        <v>2939.30.20</v>
      </c>
      <c r="B3428" s="2" t="str">
        <f>"Sais"</f>
        <v>Sais</v>
      </c>
    </row>
    <row r="3429" spans="1:2">
      <c r="A3429" s="1" t="str">
        <f>"2939.41.00"</f>
        <v>2939.41.00</v>
      </c>
      <c r="B3429" s="2" t="str">
        <f>"Efedrina e seus sais"</f>
        <v>Efedrina e seus sais</v>
      </c>
    </row>
    <row r="3430" spans="1:2">
      <c r="A3430" s="1" t="str">
        <f>"2939.42.00"</f>
        <v>2939.42.00</v>
      </c>
      <c r="B3430" s="2" t="str">
        <f>"Pseudoefedrina (DCI) e seus sais"</f>
        <v>Pseudoefedrina (DCI) e seus sais</v>
      </c>
    </row>
    <row r="3431" spans="1:2">
      <c r="A3431" s="1" t="str">
        <f>"2939.43.00"</f>
        <v>2939.43.00</v>
      </c>
      <c r="B3431" s="2" t="str">
        <f>"Catina (DCI) e seus sais"</f>
        <v>Catina (DCI) e seus sais</v>
      </c>
    </row>
    <row r="3432" spans="1:2">
      <c r="A3432" s="1" t="str">
        <f>"2939.44.00"</f>
        <v>2939.44.00</v>
      </c>
      <c r="B3432" s="2" t="str">
        <f>"Norefedrina e seus sais"</f>
        <v>Norefedrina e seus sais</v>
      </c>
    </row>
    <row r="3433" spans="1:2">
      <c r="A3433" s="1" t="str">
        <f>"2939.49.00"</f>
        <v>2939.49.00</v>
      </c>
      <c r="B3433" s="2" t="str">
        <f>"Outros"</f>
        <v>Outros</v>
      </c>
    </row>
    <row r="3434" spans="1:2">
      <c r="A3434" s="1" t="str">
        <f>"2939.51.00"</f>
        <v>2939.51.00</v>
      </c>
      <c r="B3434" s="2" t="str">
        <f>"Fenetilina (DCI) e seus sais"</f>
        <v>Fenetilina (DCI) e seus sais</v>
      </c>
    </row>
    <row r="3435" spans="1:2">
      <c r="A3435" s="1" t="str">
        <f>"2939.59.10"</f>
        <v>2939.59.10</v>
      </c>
      <c r="B3435" s="2" t="str">
        <f>"Teofilina"</f>
        <v>Teofilina</v>
      </c>
    </row>
    <row r="3436" spans="1:2">
      <c r="A3436" s="1" t="str">
        <f>"2939.59.20"</f>
        <v>2939.59.20</v>
      </c>
      <c r="B3436" s="2" t="str">
        <f>"Aminofilina"</f>
        <v>Aminofilina</v>
      </c>
    </row>
    <row r="3437" spans="1:2">
      <c r="A3437" s="1" t="str">
        <f>"2939.59.90"</f>
        <v>2939.59.90</v>
      </c>
      <c r="B3437" s="2" t="str">
        <f>"Outros"</f>
        <v>Outros</v>
      </c>
    </row>
    <row r="3438" spans="1:2">
      <c r="A3438" s="1" t="str">
        <f>"2939.61.00"</f>
        <v>2939.61.00</v>
      </c>
      <c r="B3438" s="2" t="str">
        <f>"Ergometrina (DCI) e seus sais"</f>
        <v>Ergometrina (DCI) e seus sais</v>
      </c>
    </row>
    <row r="3439" spans="1:2">
      <c r="A3439" s="1" t="str">
        <f>"2939.62.00"</f>
        <v>2939.62.00</v>
      </c>
      <c r="B3439" s="2" t="str">
        <f>"Ergotamina (DCI) e seus sais"</f>
        <v>Ergotamina (DCI) e seus sais</v>
      </c>
    </row>
    <row r="3440" spans="1:2">
      <c r="A3440" s="1" t="str">
        <f>"2939.63.00"</f>
        <v>2939.63.00</v>
      </c>
      <c r="B3440" s="2" t="str">
        <f>"Acido lisergico e seus sais"</f>
        <v>Acido lisergico e seus sais</v>
      </c>
    </row>
    <row r="3441" spans="1:2">
      <c r="A3441" s="1" t="str">
        <f>"2939.69.11"</f>
        <v>2939.69.11</v>
      </c>
      <c r="B3441" s="2" t="str">
        <f>"Maleato de metilergometrina"</f>
        <v>Maleato de metilergometrina</v>
      </c>
    </row>
    <row r="3442" spans="1:2">
      <c r="A3442" s="1" t="str">
        <f>"2939.69.19"</f>
        <v>2939.69.19</v>
      </c>
      <c r="B3442" s="2" t="str">
        <f>"Outros"</f>
        <v>Outros</v>
      </c>
    </row>
    <row r="3443" spans="1:2">
      <c r="A3443" s="1" t="str">
        <f>"2939.69.21"</f>
        <v>2939.69.21</v>
      </c>
      <c r="B3443" s="2" t="str">
        <f>"Mesilato de diidroergotamina"</f>
        <v>Mesilato de diidroergotamina</v>
      </c>
    </row>
    <row r="3444" spans="1:2">
      <c r="A3444" s="1" t="str">
        <f>"2939.69.29"</f>
        <v>2939.69.29</v>
      </c>
      <c r="B3444" s="2" t="str">
        <f>"Outros"</f>
        <v>Outros</v>
      </c>
    </row>
    <row r="3445" spans="1:2">
      <c r="A3445" s="1" t="str">
        <f>"2939.69.31"</f>
        <v>2939.69.31</v>
      </c>
      <c r="B3445" s="2" t="str">
        <f>"Mesilato de diidroergocornina"</f>
        <v>Mesilato de diidroergocornina</v>
      </c>
    </row>
    <row r="3446" spans="1:2">
      <c r="A3446" s="1" t="str">
        <f>"2939.69.39"</f>
        <v>2939.69.39</v>
      </c>
      <c r="B3446" s="2" t="str">
        <f>"Outros"</f>
        <v>Outros</v>
      </c>
    </row>
    <row r="3447" spans="1:2">
      <c r="A3447" s="1" t="str">
        <f>"2939.69.41"</f>
        <v>2939.69.41</v>
      </c>
      <c r="B3447" s="2" t="str">
        <f>"Mesilato de alfa-diidroergocriptina"</f>
        <v>Mesilato de alfa-diidroergocriptina</v>
      </c>
    </row>
    <row r="3448" spans="1:2">
      <c r="A3448" s="1" t="str">
        <f>"2939.69.42"</f>
        <v>2939.69.42</v>
      </c>
      <c r="B3448" s="2" t="str">
        <f>"Mesilato de beta-diidroergocriptina"</f>
        <v>Mesilato de beta-diidroergocriptina</v>
      </c>
    </row>
    <row r="3449" spans="1:2">
      <c r="A3449" s="1" t="str">
        <f>"2939.69.49"</f>
        <v>2939.69.49</v>
      </c>
      <c r="B3449" s="2" t="str">
        <f>"Outros"</f>
        <v>Outros</v>
      </c>
    </row>
    <row r="3450" spans="1:2">
      <c r="A3450" s="1" t="str">
        <f>"2939.69.51"</f>
        <v>2939.69.51</v>
      </c>
      <c r="B3450" s="2" t="str">
        <f>"Ergocristina"</f>
        <v>Ergocristina</v>
      </c>
    </row>
    <row r="3451" spans="1:2">
      <c r="A3451" s="1" t="str">
        <f>"2939.69.52"</f>
        <v>2939.69.52</v>
      </c>
      <c r="B3451" s="2" t="str">
        <f>"Metanossulfonato de diidroergocrist"</f>
        <v>Metanossulfonato de diidroergocrist</v>
      </c>
    </row>
    <row r="3452" spans="1:2">
      <c r="A3452" s="1" t="str">
        <f>"2939.69.59"</f>
        <v>2939.69.59</v>
      </c>
      <c r="B3452" s="2" t="str">
        <f>"Outros"</f>
        <v>Outros</v>
      </c>
    </row>
    <row r="3453" spans="1:2">
      <c r="A3453" s="1" t="str">
        <f>"2939.69.90"</f>
        <v>2939.69.90</v>
      </c>
      <c r="B3453" s="2" t="str">
        <f>"Outros"</f>
        <v>Outros</v>
      </c>
    </row>
    <row r="3454" spans="1:2">
      <c r="A3454" s="1" t="str">
        <f>"2939.71.11"</f>
        <v>2939.71.11</v>
      </c>
      <c r="B3454" s="2" t="str">
        <f>"Cocaina e seus sais"</f>
        <v>Cocaina e seus sais</v>
      </c>
    </row>
    <row r="3455" spans="1:2">
      <c r="A3455" s="1" t="str">
        <f>"2939.71.12"</f>
        <v>2939.71.12</v>
      </c>
      <c r="B3455" s="2" t="str">
        <f>"Ecgonina e seus sais"</f>
        <v>Ecgonina e seus sais</v>
      </c>
    </row>
    <row r="3456" spans="1:2">
      <c r="A3456" s="1" t="str">
        <f>"2939.71.19"</f>
        <v>2939.71.19</v>
      </c>
      <c r="B3456" s="2" t="str">
        <f>"Outros"</f>
        <v>Outros</v>
      </c>
    </row>
    <row r="3457" spans="1:2">
      <c r="A3457" s="1" t="str">
        <f>"2939.71.20"</f>
        <v>2939.71.20</v>
      </c>
      <c r="B3457" s="2" t="str">
        <f>"Levometanfetamina, seus sais, ester"</f>
        <v>Levometanfetamina, seus sais, ester</v>
      </c>
    </row>
    <row r="3458" spans="1:2">
      <c r="A3458" s="1" t="str">
        <f>"2939.71.30"</f>
        <v>2939.71.30</v>
      </c>
      <c r="B3458" s="2" t="str">
        <f>"Metanfetamina, seus sais, esteres e"</f>
        <v>Metanfetamina, seus sais, esteres e</v>
      </c>
    </row>
    <row r="3459" spans="1:2">
      <c r="A3459" s="1" t="str">
        <f>"2939.71.40"</f>
        <v>2939.71.40</v>
      </c>
      <c r="B3459" s="2" t="str">
        <f>"Racemato de metanfetamina, seus sai"</f>
        <v>Racemato de metanfetamina, seus sai</v>
      </c>
    </row>
    <row r="3460" spans="1:2">
      <c r="A3460" s="1" t="str">
        <f>"2939.79.11"</f>
        <v>2939.79.11</v>
      </c>
      <c r="B3460" s="2" t="str">
        <f>"Brometo de N-butilescopolamonio"</f>
        <v>Brometo de N-butilescopolamonio</v>
      </c>
    </row>
    <row r="3461" spans="1:2">
      <c r="A3461" s="1" t="str">
        <f>"2939.79.19"</f>
        <v>2939.79.19</v>
      </c>
      <c r="B3461" s="2" t="str">
        <f>"Outros"</f>
        <v>Outros</v>
      </c>
    </row>
    <row r="3462" spans="1:2">
      <c r="A3462" s="1" t="str">
        <f>"2939.79.20"</f>
        <v>2939.79.20</v>
      </c>
      <c r="B3462" s="2" t="str">
        <f>"Teobromina e seus derivados; sais d"</f>
        <v>Teobromina e seus derivados; sais d</v>
      </c>
    </row>
    <row r="3463" spans="1:2">
      <c r="A3463" s="1" t="str">
        <f>"2939.79.31"</f>
        <v>2939.79.31</v>
      </c>
      <c r="B3463" s="2" t="str">
        <f>"Pilocarpina, seu nitrato e seu clor"</f>
        <v>Pilocarpina, seu nitrato e seu clor</v>
      </c>
    </row>
    <row r="3464" spans="1:2">
      <c r="A3464" s="1" t="str">
        <f>"2939.79.39"</f>
        <v>2939.79.39</v>
      </c>
      <c r="B3464" s="2" t="str">
        <f>"Outros"</f>
        <v>Outros</v>
      </c>
    </row>
    <row r="3465" spans="1:2">
      <c r="A3465" s="1" t="str">
        <f>"2939.79.40"</f>
        <v>2939.79.40</v>
      </c>
      <c r="B3465" s="2" t="str">
        <f>"Tiocolquicosido"</f>
        <v>Tiocolquicosido</v>
      </c>
    </row>
    <row r="3466" spans="1:2">
      <c r="A3466" s="1" t="str">
        <f>"2939.79.90"</f>
        <v>2939.79.90</v>
      </c>
      <c r="B3466" s="2" t="str">
        <f>"Outros"</f>
        <v>Outros</v>
      </c>
    </row>
    <row r="3467" spans="1:2">
      <c r="A3467" s="1" t="str">
        <f>"2939.80.00"</f>
        <v>2939.80.00</v>
      </c>
      <c r="B3467" s="2" t="str">
        <f>"Outros"</f>
        <v>Outros</v>
      </c>
    </row>
    <row r="3468" spans="1:2">
      <c r="A3468" s="1" t="str">
        <f>"2940.00.11"</f>
        <v>2940.00.11</v>
      </c>
      <c r="B3468" s="2" t="str">
        <f>"Galactose"</f>
        <v>Galactose</v>
      </c>
    </row>
    <row r="3469" spans="1:2">
      <c r="A3469" s="1" t="str">
        <f>"2940.00.12"</f>
        <v>2940.00.12</v>
      </c>
      <c r="B3469" s="2" t="str">
        <f>"Arabinose"</f>
        <v>Arabinose</v>
      </c>
    </row>
    <row r="3470" spans="1:2">
      <c r="A3470" s="1" t="str">
        <f>"2940.00.13"</f>
        <v>2940.00.13</v>
      </c>
      <c r="B3470" s="2" t="str">
        <f>"Ramnose"</f>
        <v>Ramnose</v>
      </c>
    </row>
    <row r="3471" spans="1:2">
      <c r="A3471" s="1" t="str">
        <f>"2940.00.19"</f>
        <v>2940.00.19</v>
      </c>
      <c r="B3471" s="2" t="str">
        <f>"Outros"</f>
        <v>Outros</v>
      </c>
    </row>
    <row r="3472" spans="1:2">
      <c r="A3472" s="1" t="str">
        <f>"2940.00.21"</f>
        <v>2940.00.21</v>
      </c>
      <c r="B3472" s="2" t="str">
        <f>"Acido lactobionico"</f>
        <v>Acido lactobionico</v>
      </c>
    </row>
    <row r="3473" spans="1:2">
      <c r="A3473" s="1" t="str">
        <f>"2940.00.22"</f>
        <v>2940.00.22</v>
      </c>
      <c r="B3473" s="2" t="str">
        <f>"Lactobionato de calcio"</f>
        <v>Lactobionato de calcio</v>
      </c>
    </row>
    <row r="3474" spans="1:2">
      <c r="A3474" s="1" t="str">
        <f>"2940.00.23"</f>
        <v>2940.00.23</v>
      </c>
      <c r="B3474" s="2" t="str">
        <f>"Bromolactobionato de calcio"</f>
        <v>Bromolactobionato de calcio</v>
      </c>
    </row>
    <row r="3475" spans="1:2">
      <c r="A3475" s="1" t="str">
        <f>"2940.00.29"</f>
        <v>2940.00.29</v>
      </c>
      <c r="B3475" s="2" t="str">
        <f>"Outros"</f>
        <v>Outros</v>
      </c>
    </row>
    <row r="3476" spans="1:2">
      <c r="A3476" s="1" t="str">
        <f>"2940.00.92"</f>
        <v>2940.00.92</v>
      </c>
      <c r="B3476" s="2" t="str">
        <f>"Frutose-1,6-difosfato de calcio ou"</f>
        <v>Frutose-1,6-difosfato de calcio ou</v>
      </c>
    </row>
    <row r="3477" spans="1:2">
      <c r="A3477" s="1" t="str">
        <f>"2940.00.93"</f>
        <v>2940.00.93</v>
      </c>
      <c r="B3477" s="2" t="str">
        <f>"Maltitol"</f>
        <v>Maltitol</v>
      </c>
    </row>
    <row r="3478" spans="1:2">
      <c r="A3478" s="1" t="str">
        <f>"2940.00.94"</f>
        <v>2940.00.94</v>
      </c>
      <c r="B3478" s="2" t="str">
        <f>"Lactogluconato de calcio"</f>
        <v>Lactogluconato de calcio</v>
      </c>
    </row>
    <row r="3479" spans="1:2">
      <c r="A3479" s="1" t="str">
        <f>"2940.00.99"</f>
        <v>2940.00.99</v>
      </c>
      <c r="B3479" s="2" t="str">
        <f>"Outros"</f>
        <v>Outros</v>
      </c>
    </row>
    <row r="3480" spans="1:2">
      <c r="A3480" s="1" t="str">
        <f>"2941.10.10"</f>
        <v>2941.10.10</v>
      </c>
      <c r="B3480" s="2" t="str">
        <f>"Ampicilina e seus sais"</f>
        <v>Ampicilina e seus sais</v>
      </c>
    </row>
    <row r="3481" spans="1:2">
      <c r="A3481" s="1" t="str">
        <f>"2941.10.20"</f>
        <v>2941.10.20</v>
      </c>
      <c r="B3481" s="2" t="str">
        <f>"Amoxicilina e seus sais"</f>
        <v>Amoxicilina e seus sais</v>
      </c>
    </row>
    <row r="3482" spans="1:2">
      <c r="A3482" s="1" t="str">
        <f>"2941.10.31"</f>
        <v>2941.10.31</v>
      </c>
      <c r="B3482" s="2" t="str">
        <f>"Penicilina V potassica"</f>
        <v>Penicilina V potassica</v>
      </c>
    </row>
    <row r="3483" spans="1:2">
      <c r="A3483" s="1" t="str">
        <f>"2941.10.39"</f>
        <v>2941.10.39</v>
      </c>
      <c r="B3483" s="2" t="str">
        <f>"Outros"</f>
        <v>Outros</v>
      </c>
    </row>
    <row r="3484" spans="1:2">
      <c r="A3484" s="1" t="str">
        <f>"2941.10.41"</f>
        <v>2941.10.41</v>
      </c>
      <c r="B3484" s="2" t="str">
        <f>"Penicilina G potassica"</f>
        <v>Penicilina G potassica</v>
      </c>
    </row>
    <row r="3485" spans="1:2">
      <c r="A3485" s="1" t="str">
        <f>"2941.10.42"</f>
        <v>2941.10.42</v>
      </c>
      <c r="B3485" s="2" t="str">
        <f>"Penicilina G benzatinica"</f>
        <v>Penicilina G benzatinica</v>
      </c>
    </row>
    <row r="3486" spans="1:2">
      <c r="A3486" s="1" t="str">
        <f>"2941.10.43"</f>
        <v>2941.10.43</v>
      </c>
      <c r="B3486" s="2" t="str">
        <f>"Penicilina G procainica"</f>
        <v>Penicilina G procainica</v>
      </c>
    </row>
    <row r="3487" spans="1:2">
      <c r="A3487" s="1" t="str">
        <f>"2941.10.49"</f>
        <v>2941.10.49</v>
      </c>
      <c r="B3487" s="2" t="str">
        <f>"Outros"</f>
        <v>Outros</v>
      </c>
    </row>
    <row r="3488" spans="1:2">
      <c r="A3488" s="1" t="str">
        <f>"2941.10.90"</f>
        <v>2941.10.90</v>
      </c>
      <c r="B3488" s="2" t="str">
        <f>"Outros"</f>
        <v>Outros</v>
      </c>
    </row>
    <row r="3489" spans="1:2">
      <c r="A3489" s="1" t="str">
        <f>"2941.20.10"</f>
        <v>2941.20.10</v>
      </c>
      <c r="B3489" s="2" t="str">
        <f>"Sulfatos"</f>
        <v>Sulfatos</v>
      </c>
    </row>
    <row r="3490" spans="1:2">
      <c r="A3490" s="1" t="str">
        <f>"2941.20.90"</f>
        <v>2941.20.90</v>
      </c>
      <c r="B3490" s="2" t="str">
        <f>"Outros"</f>
        <v>Outros</v>
      </c>
    </row>
    <row r="3491" spans="1:2">
      <c r="A3491" s="1" t="str">
        <f>"2941.30.10"</f>
        <v>2941.30.10</v>
      </c>
      <c r="B3491" s="2" t="str">
        <f>"Cloridrato de tetraciclina"</f>
        <v>Cloridrato de tetraciclina</v>
      </c>
    </row>
    <row r="3492" spans="1:2">
      <c r="A3492" s="1" t="str">
        <f>"2941.30.20"</f>
        <v>2941.30.20</v>
      </c>
      <c r="B3492" s="2" t="str">
        <f>"Oxitetraciclina"</f>
        <v>Oxitetraciclina</v>
      </c>
    </row>
    <row r="3493" spans="1:2">
      <c r="A3493" s="1" t="str">
        <f>"2941.30.31"</f>
        <v>2941.30.31</v>
      </c>
      <c r="B3493" s="2" t="str">
        <f>"Minociclina"</f>
        <v>Minociclina</v>
      </c>
    </row>
    <row r="3494" spans="1:2">
      <c r="A3494" s="1" t="str">
        <f>"2941.30.32"</f>
        <v>2941.30.32</v>
      </c>
      <c r="B3494" s="2" t="str">
        <f>"Sais"</f>
        <v>Sais</v>
      </c>
    </row>
    <row r="3495" spans="1:2">
      <c r="A3495" s="1" t="str">
        <f>"2941.30.90"</f>
        <v>2941.30.90</v>
      </c>
      <c r="B3495" s="2" t="str">
        <f>"Outros"</f>
        <v>Outros</v>
      </c>
    </row>
    <row r="3496" spans="1:2">
      <c r="A3496" s="1" t="str">
        <f>"2941.40.11"</f>
        <v>2941.40.11</v>
      </c>
      <c r="B3496" s="2" t="str">
        <f>"Cloranfenicol, seu palmitato, seu s"</f>
        <v>Cloranfenicol, seu palmitato, seu s</v>
      </c>
    </row>
    <row r="3497" spans="1:2">
      <c r="A3497" s="1" t="str">
        <f>"2941.40.19"</f>
        <v>2941.40.19</v>
      </c>
      <c r="B3497" s="2" t="str">
        <f>"Outros"</f>
        <v>Outros</v>
      </c>
    </row>
    <row r="3498" spans="1:2">
      <c r="A3498" s="1" t="str">
        <f>"2941.40.20"</f>
        <v>2941.40.20</v>
      </c>
      <c r="B3498" s="2" t="str">
        <f>"Tianfenicol e seus esteres"</f>
        <v>Tianfenicol e seus esteres</v>
      </c>
    </row>
    <row r="3499" spans="1:2">
      <c r="A3499" s="1" t="str">
        <f>"2941.40.90"</f>
        <v>2941.40.90</v>
      </c>
      <c r="B3499" s="2" t="str">
        <f>"Outros"</f>
        <v>Outros</v>
      </c>
    </row>
    <row r="3500" spans="1:2">
      <c r="A3500" s="1" t="str">
        <f>"2941.50.10"</f>
        <v>2941.50.10</v>
      </c>
      <c r="B3500" s="2" t="str">
        <f>"Claritromicina"</f>
        <v>Claritromicina</v>
      </c>
    </row>
    <row r="3501" spans="1:2">
      <c r="A3501" s="1" t="str">
        <f>"2941.50.20"</f>
        <v>2941.50.20</v>
      </c>
      <c r="B3501" s="2" t="str">
        <f>"Eritromicina e seus sais"</f>
        <v>Eritromicina e seus sais</v>
      </c>
    </row>
    <row r="3502" spans="1:2">
      <c r="A3502" s="1" t="str">
        <f>"2941.50.90"</f>
        <v>2941.50.90</v>
      </c>
      <c r="B3502" s="2" t="str">
        <f>"Outros"</f>
        <v>Outros</v>
      </c>
    </row>
    <row r="3503" spans="1:2">
      <c r="A3503" s="1" t="str">
        <f>"2941.90.11"</f>
        <v>2941.90.11</v>
      </c>
      <c r="B3503" s="2" t="str">
        <f>"Rifamicina S"</f>
        <v>Rifamicina S</v>
      </c>
    </row>
    <row r="3504" spans="1:2">
      <c r="A3504" s="1" t="str">
        <f>"2941.90.12"</f>
        <v>2941.90.12</v>
      </c>
      <c r="B3504" s="2" t="str">
        <f>"Rifampicina (rifamicina AMP)"</f>
        <v>Rifampicina (rifamicina AMP)</v>
      </c>
    </row>
    <row r="3505" spans="1:2">
      <c r="A3505" s="1" t="str">
        <f>"2941.90.13"</f>
        <v>2941.90.13</v>
      </c>
      <c r="B3505" s="2" t="str">
        <f>"Rifamicina SV sodica"</f>
        <v>Rifamicina SV sodica</v>
      </c>
    </row>
    <row r="3506" spans="1:2">
      <c r="A3506" s="1" t="str">
        <f>"2941.90.19"</f>
        <v>2941.90.19</v>
      </c>
      <c r="B3506" s="2" t="str">
        <f>"Outros"</f>
        <v>Outros</v>
      </c>
    </row>
    <row r="3507" spans="1:2">
      <c r="A3507" s="1" t="str">
        <f>"2941.90.21"</f>
        <v>2941.90.21</v>
      </c>
      <c r="B3507" s="2" t="str">
        <f>"Cloridrato de lincomicina"</f>
        <v>Cloridrato de lincomicina</v>
      </c>
    </row>
    <row r="3508" spans="1:2">
      <c r="A3508" s="1" t="str">
        <f>"2941.90.22"</f>
        <v>2941.90.22</v>
      </c>
      <c r="B3508" s="2" t="str">
        <f>"Fosfato de clindamicina"</f>
        <v>Fosfato de clindamicina</v>
      </c>
    </row>
    <row r="3509" spans="1:2">
      <c r="A3509" s="1" t="str">
        <f>"2941.90.29"</f>
        <v>2941.90.29</v>
      </c>
      <c r="B3509" s="2" t="str">
        <f>"Outros"</f>
        <v>Outros</v>
      </c>
    </row>
    <row r="3510" spans="1:2">
      <c r="A3510" s="1" t="str">
        <f>"2941.90.31"</f>
        <v>2941.90.31</v>
      </c>
      <c r="B3510" s="2" t="str">
        <f>"Ceftriaxona e seus sais"</f>
        <v>Ceftriaxona e seus sais</v>
      </c>
    </row>
    <row r="3511" spans="1:2">
      <c r="A3511" s="1" t="str">
        <f>"2941.90.32"</f>
        <v>2941.90.32</v>
      </c>
      <c r="B3511" s="2" t="str">
        <f>"Cefoperazona e seus sais, cefazolin"</f>
        <v>Cefoperazona e seus sais, cefazolin</v>
      </c>
    </row>
    <row r="3512" spans="1:2">
      <c r="A3512" s="1" t="str">
        <f>"2941.90.33"</f>
        <v>2941.90.33</v>
      </c>
      <c r="B3512" s="2" t="str">
        <f>"Cefaclor e cefalexina monoidratados"</f>
        <v>Cefaclor e cefalexina monoidratados</v>
      </c>
    </row>
    <row r="3513" spans="1:2">
      <c r="A3513" s="1" t="str">
        <f>"2941.90.34"</f>
        <v>2941.90.34</v>
      </c>
      <c r="B3513" s="2" t="str">
        <f>"Cefadroxil e seus sais"</f>
        <v>Cefadroxil e seus sais</v>
      </c>
    </row>
    <row r="3514" spans="1:2">
      <c r="A3514" s="1" t="str">
        <f>"2941.90.35"</f>
        <v>2941.90.35</v>
      </c>
      <c r="B3514" s="2" t="str">
        <f>"Cefotaxima sodica"</f>
        <v>Cefotaxima sodica</v>
      </c>
    </row>
    <row r="3515" spans="1:2">
      <c r="A3515" s="1" t="str">
        <f>"2941.90.36"</f>
        <v>2941.90.36</v>
      </c>
      <c r="B3515" s="2" t="str">
        <f>"Cefoxitina e seus sais"</f>
        <v>Cefoxitina e seus sais</v>
      </c>
    </row>
    <row r="3516" spans="1:2">
      <c r="A3516" s="1" t="str">
        <f>"2941.90.37"</f>
        <v>2941.90.37</v>
      </c>
      <c r="B3516" s="2" t="str">
        <f>"Cefalosporina C"</f>
        <v>Cefalosporina C</v>
      </c>
    </row>
    <row r="3517" spans="1:2">
      <c r="A3517" s="1" t="str">
        <f>"2941.90.39"</f>
        <v>2941.90.39</v>
      </c>
      <c r="B3517" s="2" t="str">
        <f>"Outros"</f>
        <v>Outros</v>
      </c>
    </row>
    <row r="3518" spans="1:2">
      <c r="A3518" s="1" t="str">
        <f>"2941.90.41"</f>
        <v>2941.90.41</v>
      </c>
      <c r="B3518" s="2" t="str">
        <f>"Sulfato de neomicina"</f>
        <v>Sulfato de neomicina</v>
      </c>
    </row>
    <row r="3519" spans="1:2">
      <c r="A3519" s="1" t="str">
        <f>"2941.90.42"</f>
        <v>2941.90.42</v>
      </c>
      <c r="B3519" s="2" t="str">
        <f>"Embonato de gentamicina (pamoato de"</f>
        <v>Embonato de gentamicina (pamoato de</v>
      </c>
    </row>
    <row r="3520" spans="1:2">
      <c r="A3520" s="1" t="str">
        <f>"2941.90.43"</f>
        <v>2941.90.43</v>
      </c>
      <c r="B3520" s="2" t="str">
        <f>"Sulfato de gentamicina"</f>
        <v>Sulfato de gentamicina</v>
      </c>
    </row>
    <row r="3521" spans="1:2">
      <c r="A3521" s="1" t="str">
        <f>"2941.90.49"</f>
        <v>2941.90.49</v>
      </c>
      <c r="B3521" s="2" t="str">
        <f>"Outros"</f>
        <v>Outros</v>
      </c>
    </row>
    <row r="3522" spans="1:2">
      <c r="A3522" s="1" t="str">
        <f>"2941.90.51"</f>
        <v>2941.90.51</v>
      </c>
      <c r="B3522" s="2" t="str">
        <f>"Embonato de espiramicina (pamoato d"</f>
        <v>Embonato de espiramicina (pamoato d</v>
      </c>
    </row>
    <row r="3523" spans="1:2">
      <c r="A3523" s="1" t="str">
        <f>"2941.90.59"</f>
        <v>2941.90.59</v>
      </c>
      <c r="B3523" s="2" t="str">
        <f>"Outros"</f>
        <v>Outros</v>
      </c>
    </row>
    <row r="3524" spans="1:2">
      <c r="A3524" s="1" t="str">
        <f>"2941.90.61"</f>
        <v>2941.90.61</v>
      </c>
      <c r="B3524" s="2" t="str">
        <f>"Nistatina e seus sais"</f>
        <v>Nistatina e seus sais</v>
      </c>
    </row>
    <row r="3525" spans="1:2">
      <c r="A3525" s="1" t="str">
        <f>"2941.90.62"</f>
        <v>2941.90.62</v>
      </c>
      <c r="B3525" s="2" t="str">
        <f>"Anfotericina B e seus sais"</f>
        <v>Anfotericina B e seus sais</v>
      </c>
    </row>
    <row r="3526" spans="1:2">
      <c r="A3526" s="1" t="str">
        <f>"2941.90.69"</f>
        <v>2941.90.69</v>
      </c>
      <c r="B3526" s="2" t="str">
        <f>"Outros"</f>
        <v>Outros</v>
      </c>
    </row>
    <row r="3527" spans="1:2">
      <c r="A3527" s="1" t="str">
        <f>"2941.90.71"</f>
        <v>2941.90.71</v>
      </c>
      <c r="B3527" s="2" t="str">
        <f>"Monensina sodica"</f>
        <v>Monensina sodica</v>
      </c>
    </row>
    <row r="3528" spans="1:2">
      <c r="A3528" s="1" t="str">
        <f>"2941.90.72"</f>
        <v>2941.90.72</v>
      </c>
      <c r="B3528" s="2" t="str">
        <f>"Narasina"</f>
        <v>Narasina</v>
      </c>
    </row>
    <row r="3529" spans="1:2">
      <c r="A3529" s="1" t="str">
        <f>"2941.90.73"</f>
        <v>2941.90.73</v>
      </c>
      <c r="B3529" s="2" t="str">
        <f>"Avilamicinas"</f>
        <v>Avilamicinas</v>
      </c>
    </row>
    <row r="3530" spans="1:2">
      <c r="A3530" s="1" t="str">
        <f>"2941.90.79"</f>
        <v>2941.90.79</v>
      </c>
      <c r="B3530" s="2" t="str">
        <f>"Outros"</f>
        <v>Outros</v>
      </c>
    </row>
    <row r="3531" spans="1:2">
      <c r="A3531" s="1" t="str">
        <f>"2941.90.81"</f>
        <v>2941.90.81</v>
      </c>
      <c r="B3531" s="2" t="str">
        <f>"Polimixinas e seus sais"</f>
        <v>Polimixinas e seus sais</v>
      </c>
    </row>
    <row r="3532" spans="1:2">
      <c r="A3532" s="1" t="str">
        <f>"2941.90.82"</f>
        <v>2941.90.82</v>
      </c>
      <c r="B3532" s="2" t="str">
        <f>"Sulfato de colistina"</f>
        <v>Sulfato de colistina</v>
      </c>
    </row>
    <row r="3533" spans="1:2">
      <c r="A3533" s="1" t="str">
        <f>"2941.90.83"</f>
        <v>2941.90.83</v>
      </c>
      <c r="B3533" s="2" t="str">
        <f>"Virginiamicinas e seus sais"</f>
        <v>Virginiamicinas e seus sais</v>
      </c>
    </row>
    <row r="3534" spans="1:2">
      <c r="A3534" s="1" t="str">
        <f>"2941.90.89"</f>
        <v>2941.90.89</v>
      </c>
      <c r="B3534" s="2" t="str">
        <f>"Outros"</f>
        <v>Outros</v>
      </c>
    </row>
    <row r="3535" spans="1:2">
      <c r="A3535" s="1" t="str">
        <f>"2941.90.91"</f>
        <v>2941.90.91</v>
      </c>
      <c r="B3535" s="2" t="str">
        <f>"Griseofulvina e seus sais"</f>
        <v>Griseofulvina e seus sais</v>
      </c>
    </row>
    <row r="3536" spans="1:2">
      <c r="A3536" s="1" t="str">
        <f>"2941.90.92"</f>
        <v>2941.90.92</v>
      </c>
      <c r="B3536" s="2" t="str">
        <f>"Fumarato de tiamulina"</f>
        <v>Fumarato de tiamulina</v>
      </c>
    </row>
    <row r="3537" spans="1:2">
      <c r="A3537" s="1" t="str">
        <f>"2941.90.99"</f>
        <v>2941.90.99</v>
      </c>
      <c r="B3537" s="2" t="str">
        <f>"Outros"</f>
        <v>Outros</v>
      </c>
    </row>
    <row r="3538" spans="1:2">
      <c r="A3538" s="1" t="str">
        <f>"2942.00.00"</f>
        <v>2942.00.00</v>
      </c>
      <c r="B3538" s="2" t="str">
        <f>"OUTROS COMPOSTOS ORGÂNICOS"</f>
        <v>OUTROS COMPOSTOS ORGÂNICOS</v>
      </c>
    </row>
    <row r="3539" spans="1:2">
      <c r="A3539" s="1" t="str">
        <f>"3001.20.10"</f>
        <v>3001.20.10</v>
      </c>
      <c r="B3539" s="2" t="str">
        <f>"De figado"</f>
        <v>De figado</v>
      </c>
    </row>
    <row r="3540" spans="1:2">
      <c r="A3540" s="1" t="str">
        <f>"3001.20.90"</f>
        <v>3001.20.90</v>
      </c>
      <c r="B3540" s="2" t="str">
        <f>"Outros"</f>
        <v>Outros</v>
      </c>
    </row>
    <row r="3541" spans="1:2">
      <c r="A3541" s="1" t="str">
        <f>"3001.22.00"</f>
        <v>3001.22.00</v>
      </c>
      <c r="B3541" s="2" t="str">
        <f>"INATIVO"</f>
        <v>INATIVO</v>
      </c>
    </row>
    <row r="3542" spans="1:2">
      <c r="A3542" s="1" t="str">
        <f>"3001.90.10"</f>
        <v>3001.90.10</v>
      </c>
      <c r="B3542" s="2" t="str">
        <f>"Heparina e seus sais"</f>
        <v>Heparina e seus sais</v>
      </c>
    </row>
    <row r="3543" spans="1:2">
      <c r="A3543" s="1" t="str">
        <f>"3001.90.20"</f>
        <v>3001.90.20</v>
      </c>
      <c r="B3543" s="2" t="str">
        <f>"Pedacos de pericardio de origem bov"</f>
        <v>Pedacos de pericardio de origem bov</v>
      </c>
    </row>
    <row r="3544" spans="1:2">
      <c r="A3544" s="1" t="str">
        <f>"3001.90.31"</f>
        <v>3001.90.31</v>
      </c>
      <c r="B3544" s="2" t="str">
        <f>"Figados"</f>
        <v>Figados</v>
      </c>
    </row>
    <row r="3545" spans="1:2">
      <c r="A3545" s="1" t="str">
        <f>"3001.90.39"</f>
        <v>3001.90.39</v>
      </c>
      <c r="B3545" s="2" t="str">
        <f>"Outros"</f>
        <v>Outros</v>
      </c>
    </row>
    <row r="3546" spans="1:2">
      <c r="A3546" s="1" t="str">
        <f>"3001.90.90"</f>
        <v>3001.90.90</v>
      </c>
      <c r="B3546" s="2" t="str">
        <f>"Outros"</f>
        <v>Outros</v>
      </c>
    </row>
    <row r="3547" spans="1:2">
      <c r="A3547" s="1" t="str">
        <f>"3002.11.00"</f>
        <v>3002.11.00</v>
      </c>
      <c r="B3547" s="2" t="str">
        <f>"Estojos de diagnostico da malaria ("</f>
        <v>Estojos de diagnostico da malaria (</v>
      </c>
    </row>
    <row r="3548" spans="1:2">
      <c r="A3548" s="1" t="str">
        <f>"3002.12.11"</f>
        <v>3002.12.11</v>
      </c>
      <c r="B3548" s="2" t="str">
        <f>"Antiofidicos e outros antivenenosos"</f>
        <v>Antiofidicos e outros antivenenosos</v>
      </c>
    </row>
    <row r="3549" spans="1:2">
      <c r="A3549" s="1" t="str">
        <f>"3002.12.12"</f>
        <v>3002.12.12</v>
      </c>
      <c r="B3549" s="2" t="str">
        <f>"Antitetanico"</f>
        <v>Antitetanico</v>
      </c>
    </row>
    <row r="3550" spans="1:2">
      <c r="A3550" s="1" t="str">
        <f>"3002.12.13"</f>
        <v>3002.12.13</v>
      </c>
      <c r="B3550" s="2" t="str">
        <f>"Anticatarral"</f>
        <v>Anticatarral</v>
      </c>
    </row>
    <row r="3551" spans="1:2">
      <c r="A3551" s="1" t="str">
        <f>"3002.12.14"</f>
        <v>3002.12.14</v>
      </c>
      <c r="B3551" s="2" t="str">
        <f>"Antipiogenico"</f>
        <v>Antipiogenico</v>
      </c>
    </row>
    <row r="3552" spans="1:2">
      <c r="A3552" s="1" t="str">
        <f>"3002.12.15"</f>
        <v>3002.12.15</v>
      </c>
      <c r="B3552" s="2" t="str">
        <f>"Antidifterico"</f>
        <v>Antidifterico</v>
      </c>
    </row>
    <row r="3553" spans="1:2">
      <c r="A3553" s="1" t="str">
        <f>"3002.12.16"</f>
        <v>3002.12.16</v>
      </c>
      <c r="B3553" s="2" t="str">
        <f>"Polivalentes"</f>
        <v>Polivalentes</v>
      </c>
    </row>
    <row r="3554" spans="1:2">
      <c r="A3554" s="1" t="str">
        <f>"3002.12.19"</f>
        <v>3002.12.19</v>
      </c>
      <c r="B3554" s="2" t="str">
        <f>"Outros"</f>
        <v>Outros</v>
      </c>
    </row>
    <row r="3555" spans="1:2">
      <c r="A3555" s="1" t="str">
        <f>"3002.12.21"</f>
        <v>3002.12.21</v>
      </c>
      <c r="B3555" s="2" t="str">
        <f>"Imunoglobulina anti-Rh"</f>
        <v>Imunoglobulina anti-Rh</v>
      </c>
    </row>
    <row r="3556" spans="1:2">
      <c r="A3556" s="1" t="str">
        <f>"3002.12.22"</f>
        <v>3002.12.22</v>
      </c>
      <c r="B3556" s="2" t="str">
        <f>"Outras imunoglobulinas sericas"</f>
        <v>Outras imunoglobulinas sericas</v>
      </c>
    </row>
    <row r="3557" spans="1:2">
      <c r="A3557" s="1" t="str">
        <f>"3002.12.23"</f>
        <v>3002.12.23</v>
      </c>
      <c r="B3557" s="2" t="str">
        <f>"Concentrado de fator VIII"</f>
        <v>Concentrado de fator VIII</v>
      </c>
    </row>
    <row r="3558" spans="1:2">
      <c r="A3558" s="1" t="str">
        <f>"3002.12.24"</f>
        <v>3002.12.24</v>
      </c>
      <c r="B3558" s="2" t="str">
        <f>"Soroalbumina, em forma de gel, para"</f>
        <v>Soroalbumina, em forma de gel, para</v>
      </c>
    </row>
    <row r="3559" spans="1:2">
      <c r="A3559" s="1" t="str">
        <f>"3002.12.29"</f>
        <v>3002.12.29</v>
      </c>
      <c r="B3559" s="2" t="str">
        <f>"Outros"</f>
        <v>Outros</v>
      </c>
    </row>
    <row r="3560" spans="1:2">
      <c r="A3560" s="1" t="str">
        <f>"3002.12.31"</f>
        <v>3002.12.31</v>
      </c>
      <c r="B3560" s="2" t="str">
        <f>"Soroalbumina, exceto a humana"</f>
        <v>Soroalbumina, exceto a humana</v>
      </c>
    </row>
    <row r="3561" spans="1:2">
      <c r="A3561" s="1" t="str">
        <f>"3002.12.32"</f>
        <v>3002.12.32</v>
      </c>
      <c r="B3561" s="2" t="str">
        <f>"Plasmina (fibrinolisina)"</f>
        <v>Plasmina (fibrinolisina)</v>
      </c>
    </row>
    <row r="3562" spans="1:2">
      <c r="A3562" s="1" t="str">
        <f>"3002.12.33"</f>
        <v>3002.12.33</v>
      </c>
      <c r="B3562" s="2" t="str">
        <f>"Uroquinase"</f>
        <v>Uroquinase</v>
      </c>
    </row>
    <row r="3563" spans="1:2">
      <c r="A3563" s="1" t="str">
        <f>"3002.12.34"</f>
        <v>3002.12.34</v>
      </c>
      <c r="B3563" s="2" t="str">
        <f>"Imunoglobulina e cloridrato de hist"</f>
        <v>Imunoglobulina e cloridrato de hist</v>
      </c>
    </row>
    <row r="3564" spans="1:2">
      <c r="A3564" s="1" t="str">
        <f>"3002.12.35"</f>
        <v>3002.12.35</v>
      </c>
      <c r="B3564" s="2" t="str">
        <f>"Imunoglobulina G, liofilizada ou em"</f>
        <v>Imunoglobulina G, liofilizada ou em</v>
      </c>
    </row>
    <row r="3565" spans="1:2">
      <c r="A3565" s="1" t="str">
        <f>"3002.12.36"</f>
        <v>3002.12.36</v>
      </c>
      <c r="B3565" s="2" t="str">
        <f>"Soroalbumina humana"</f>
        <v>Soroalbumina humana</v>
      </c>
    </row>
    <row r="3566" spans="1:2">
      <c r="A3566" s="1" t="str">
        <f>"3002.12.39"</f>
        <v>3002.12.39</v>
      </c>
      <c r="B3566" s="2" t="str">
        <f>"Outros"</f>
        <v>Outros</v>
      </c>
    </row>
    <row r="3567" spans="1:2">
      <c r="A3567" s="1" t="str">
        <f>"3002.13.00"</f>
        <v>3002.13.00</v>
      </c>
      <c r="B3567" s="2" t="str">
        <f>"Produtos imunologicos, nao misturad"</f>
        <v>Produtos imunologicos, nao misturad</v>
      </c>
    </row>
    <row r="3568" spans="1:2">
      <c r="A3568" s="1" t="str">
        <f>"3002.14.10"</f>
        <v>3002.14.10</v>
      </c>
      <c r="B3568" s="2" t="str">
        <f>"Anticorpos monoclonais em solucao t"</f>
        <v>Anticorpos monoclonais em solucao t</v>
      </c>
    </row>
    <row r="3569" spans="1:2">
      <c r="A3569" s="1" t="str">
        <f>"3002.14.90"</f>
        <v>3002.14.90</v>
      </c>
      <c r="B3569" s="2" t="str">
        <f>"Outros"</f>
        <v>Outros</v>
      </c>
    </row>
    <row r="3570" spans="1:2">
      <c r="A3570" s="1" t="str">
        <f>"3002.15.10"</f>
        <v>3002.15.10</v>
      </c>
      <c r="B3570" s="2" t="str">
        <f>"Interferon beta; peg interferon alf"</f>
        <v>Interferon beta; peg interferon alf</v>
      </c>
    </row>
    <row r="3571" spans="1:2">
      <c r="A3571" s="1" t="str">
        <f>"3002.15.20"</f>
        <v>3002.15.20</v>
      </c>
      <c r="B3571" s="2" t="str">
        <f>"Basiliximab (DCI); bevacizumab (DCI"</f>
        <v>Basiliximab (DCI); bevacizumab (DCI</v>
      </c>
    </row>
    <row r="3572" spans="1:2">
      <c r="A3572" s="1" t="str">
        <f>"3002.15.90"</f>
        <v>3002.15.90</v>
      </c>
      <c r="B3572" s="2" t="str">
        <f>"Outros"</f>
        <v>Outros</v>
      </c>
    </row>
    <row r="3573" spans="1:2">
      <c r="A3573" s="1" t="str">
        <f>"3002.19.00"</f>
        <v>3002.19.00</v>
      </c>
      <c r="B3573" s="2" t="str">
        <f>"Outros"</f>
        <v>Outros</v>
      </c>
    </row>
    <row r="3574" spans="1:2">
      <c r="A3574" s="1" t="str">
        <f>"3002.20.11"</f>
        <v>3002.20.11</v>
      </c>
      <c r="B3574" s="2" t="str">
        <f>"Contra a gripe"</f>
        <v>Contra a gripe</v>
      </c>
    </row>
    <row r="3575" spans="1:2">
      <c r="A3575" s="1" t="str">
        <f>"3002.20.12"</f>
        <v>3002.20.12</v>
      </c>
      <c r="B3575" s="2" t="str">
        <f>"Contra a poliomielite"</f>
        <v>Contra a poliomielite</v>
      </c>
    </row>
    <row r="3576" spans="1:2">
      <c r="A3576" s="1" t="str">
        <f>"3002.20.13"</f>
        <v>3002.20.13</v>
      </c>
      <c r="B3576" s="2" t="str">
        <f>"Contra a hepatite B"</f>
        <v>Contra a hepatite B</v>
      </c>
    </row>
    <row r="3577" spans="1:2">
      <c r="A3577" s="1" t="str">
        <f>"3002.20.14"</f>
        <v>3002.20.14</v>
      </c>
      <c r="B3577" s="2" t="str">
        <f>"Contra o sarampo"</f>
        <v>Contra o sarampo</v>
      </c>
    </row>
    <row r="3578" spans="1:2">
      <c r="A3578" s="1" t="str">
        <f>"3002.20.15"</f>
        <v>3002.20.15</v>
      </c>
      <c r="B3578" s="2" t="str">
        <f>"Contra a meningite"</f>
        <v>Contra a meningite</v>
      </c>
    </row>
    <row r="3579" spans="1:2">
      <c r="A3579" s="1" t="str">
        <f>"3002.20.16"</f>
        <v>3002.20.16</v>
      </c>
      <c r="B3579" s="2" t="str">
        <f>"Contra a rubeola, sarampo e caxumba"</f>
        <v>Contra a rubeola, sarampo e caxumba</v>
      </c>
    </row>
    <row r="3580" spans="1:2">
      <c r="A3580" s="1" t="str">
        <f>"3002.20.17"</f>
        <v>3002.20.17</v>
      </c>
      <c r="B3580" s="2" t="str">
        <f>"Outras triplices"</f>
        <v>Outras triplices</v>
      </c>
    </row>
    <row r="3581" spans="1:2">
      <c r="A3581" s="1" t="str">
        <f>"3002.20.18"</f>
        <v>3002.20.18</v>
      </c>
      <c r="B3581" s="2" t="str">
        <f>"Anticatarral e antipiogenico"</f>
        <v>Anticatarral e antipiogenico</v>
      </c>
    </row>
    <row r="3582" spans="1:2">
      <c r="A3582" s="1" t="str">
        <f>"3002.20.19"</f>
        <v>3002.20.19</v>
      </c>
      <c r="B3582" s="2" t="str">
        <f>"Outras"</f>
        <v>Outras</v>
      </c>
    </row>
    <row r="3583" spans="1:2">
      <c r="A3583" s="1" t="str">
        <f>"3002.20.21"</f>
        <v>3002.20.21</v>
      </c>
      <c r="B3583" s="2" t="str">
        <f>"CONTRA A GRIPE"</f>
        <v>CONTRA A GRIPE</v>
      </c>
    </row>
    <row r="3584" spans="1:2">
      <c r="A3584" s="1" t="str">
        <f>"3002.20.22"</f>
        <v>3002.20.22</v>
      </c>
      <c r="B3584" s="2" t="str">
        <f>"Contra a poliomielite"</f>
        <v>Contra a poliomielite</v>
      </c>
    </row>
    <row r="3585" spans="1:2">
      <c r="A3585" s="1" t="str">
        <f>"3002.20.23"</f>
        <v>3002.20.23</v>
      </c>
      <c r="B3585" s="2" t="str">
        <f>"Contra a hepatite B"</f>
        <v>Contra a hepatite B</v>
      </c>
    </row>
    <row r="3586" spans="1:2">
      <c r="A3586" s="1" t="str">
        <f>"3002.20.24"</f>
        <v>3002.20.24</v>
      </c>
      <c r="B3586" s="2" t="str">
        <f>"Contra o sarampo"</f>
        <v>Contra o sarampo</v>
      </c>
    </row>
    <row r="3587" spans="1:2">
      <c r="A3587" s="1" t="str">
        <f>"3002.20.25"</f>
        <v>3002.20.25</v>
      </c>
      <c r="B3587" s="2" t="str">
        <f>"Contra a meningite"</f>
        <v>Contra a meningite</v>
      </c>
    </row>
    <row r="3588" spans="1:2">
      <c r="A3588" s="1" t="str">
        <f>"3002.20.26"</f>
        <v>3002.20.26</v>
      </c>
      <c r="B3588" s="2" t="str">
        <f>"Contra a rubeola, sarampo e caxumba"</f>
        <v>Contra a rubeola, sarampo e caxumba</v>
      </c>
    </row>
    <row r="3589" spans="1:2">
      <c r="A3589" s="1" t="str">
        <f>"3002.20.27"</f>
        <v>3002.20.27</v>
      </c>
      <c r="B3589" s="2" t="str">
        <f>"Outras triplices"</f>
        <v>Outras triplices</v>
      </c>
    </row>
    <row r="3590" spans="1:2">
      <c r="A3590" s="1" t="str">
        <f>"3002.20.28"</f>
        <v>3002.20.28</v>
      </c>
      <c r="B3590" s="2" t="str">
        <f>"Anticatarral e antipiogenico"</f>
        <v>Anticatarral e antipiogenico</v>
      </c>
    </row>
    <row r="3591" spans="1:2">
      <c r="A3591" s="1" t="str">
        <f>"3002.20.29"</f>
        <v>3002.20.29</v>
      </c>
      <c r="B3591" s="2" t="str">
        <f>"Outras"</f>
        <v>Outras</v>
      </c>
    </row>
    <row r="3592" spans="1:2">
      <c r="A3592" s="1" t="str">
        <f>"3002.30.10"</f>
        <v>3002.30.10</v>
      </c>
      <c r="B3592" s="2" t="str">
        <f>"Contra a raiva"</f>
        <v>Contra a raiva</v>
      </c>
    </row>
    <row r="3593" spans="1:2">
      <c r="A3593" s="1" t="str">
        <f>"3002.30.20"</f>
        <v>3002.30.20</v>
      </c>
      <c r="B3593" s="2" t="str">
        <f>"Contra a coccidiose"</f>
        <v>Contra a coccidiose</v>
      </c>
    </row>
    <row r="3594" spans="1:2">
      <c r="A3594" s="1" t="str">
        <f>"3002.30.30"</f>
        <v>3002.30.30</v>
      </c>
      <c r="B3594" s="2" t="str">
        <f>"Contra a querato-conjuntivite"</f>
        <v>Contra a querato-conjuntivite</v>
      </c>
    </row>
    <row r="3595" spans="1:2">
      <c r="A3595" s="1" t="str">
        <f>"3002.30.40"</f>
        <v>3002.30.40</v>
      </c>
      <c r="B3595" s="2" t="str">
        <f>"Contra a cinomose"</f>
        <v>Contra a cinomose</v>
      </c>
    </row>
    <row r="3596" spans="1:2">
      <c r="A3596" s="1" t="str">
        <f>"3002.30.50"</f>
        <v>3002.30.50</v>
      </c>
      <c r="B3596" s="2" t="str">
        <f>"Contra a leptospirose"</f>
        <v>Contra a leptospirose</v>
      </c>
    </row>
    <row r="3597" spans="1:2">
      <c r="A3597" s="1" t="str">
        <f>"3002.30.60"</f>
        <v>3002.30.60</v>
      </c>
      <c r="B3597" s="2" t="str">
        <f>"Contra a febre aftosa"</f>
        <v>Contra a febre aftosa</v>
      </c>
    </row>
    <row r="3598" spans="1:2">
      <c r="A3598" s="1" t="str">
        <f>"3002.30.70"</f>
        <v>3002.30.70</v>
      </c>
      <c r="B3598" s="9" t="s">
        <v>2</v>
      </c>
    </row>
    <row r="3599" spans="1:2">
      <c r="A3599" s="1" t="str">
        <f>"3002.30.80"</f>
        <v>3002.30.80</v>
      </c>
      <c r="B3599" s="2" t="str">
        <f>"Vacinas combinadas contra as enferm"</f>
        <v>Vacinas combinadas contra as enferm</v>
      </c>
    </row>
    <row r="3600" spans="1:2">
      <c r="A3600" s="1" t="str">
        <f>"3002.30.90"</f>
        <v>3002.30.90</v>
      </c>
      <c r="B3600" s="2" t="str">
        <f>"Outras"</f>
        <v>Outras</v>
      </c>
    </row>
    <row r="3601" spans="1:2">
      <c r="A3601" s="1" t="str">
        <f>"3002.90.10"</f>
        <v>3002.90.10</v>
      </c>
      <c r="B3601" s="2" t="str">
        <f>"Reagentes de origem microbiana para"</f>
        <v>Reagentes de origem microbiana para</v>
      </c>
    </row>
    <row r="3602" spans="1:2">
      <c r="A3602" s="1" t="str">
        <f>"3002.90.20"</f>
        <v>3002.90.20</v>
      </c>
      <c r="B3602" s="2" t="str">
        <f>"Antitoxinas de origem microbiana"</f>
        <v>Antitoxinas de origem microbiana</v>
      </c>
    </row>
    <row r="3603" spans="1:2">
      <c r="A3603" s="1" t="str">
        <f>"3002.90.30"</f>
        <v>3002.90.30</v>
      </c>
      <c r="B3603" s="2" t="str">
        <f>"Tuberculinas"</f>
        <v>Tuberculinas</v>
      </c>
    </row>
    <row r="3604" spans="1:2">
      <c r="A3604" s="1" t="str">
        <f>"3002.90.91"</f>
        <v>3002.90.91</v>
      </c>
      <c r="B3604" s="2" t="str">
        <f>"Para a saude animal"</f>
        <v>Para a saude animal</v>
      </c>
    </row>
    <row r="3605" spans="1:2">
      <c r="A3605" s="1" t="str">
        <f>"3002.90.92"</f>
        <v>3002.90.92</v>
      </c>
      <c r="B3605" s="2" t="str">
        <f>"Para a saude humana"</f>
        <v>Para a saude humana</v>
      </c>
    </row>
    <row r="3606" spans="1:2">
      <c r="A3606" s="1" t="str">
        <f>"3002.90.93"</f>
        <v>3002.90.93</v>
      </c>
      <c r="B3606" s="2" t="str">
        <f>"Saxitoxina"</f>
        <v>Saxitoxina</v>
      </c>
    </row>
    <row r="3607" spans="1:2">
      <c r="A3607" s="1" t="str">
        <f>"3002.90.94"</f>
        <v>3002.90.94</v>
      </c>
      <c r="B3607" s="2" t="str">
        <f>"Ricina"</f>
        <v>Ricina</v>
      </c>
    </row>
    <row r="3608" spans="1:2">
      <c r="A3608" s="1" t="str">
        <f>"3002.90.99"</f>
        <v>3002.90.99</v>
      </c>
      <c r="B3608" s="2" t="str">
        <f>"Outros"</f>
        <v>Outros</v>
      </c>
    </row>
    <row r="3609" spans="1:2">
      <c r="A3609" s="1" t="str">
        <f>"3003.10.11"</f>
        <v>3003.10.11</v>
      </c>
      <c r="B3609" s="2" t="str">
        <f>"Ampicilina ou seus sais"</f>
        <v>Ampicilina ou seus sais</v>
      </c>
    </row>
    <row r="3610" spans="1:2">
      <c r="A3610" s="1" t="str">
        <f>"3003.10.12"</f>
        <v>3003.10.12</v>
      </c>
      <c r="B3610" s="2" t="str">
        <f>"Amoxicilina ou seus sais"</f>
        <v>Amoxicilina ou seus sais</v>
      </c>
    </row>
    <row r="3611" spans="1:2">
      <c r="A3611" s="1" t="str">
        <f>"3003.10.13"</f>
        <v>3003.10.13</v>
      </c>
      <c r="B3611" s="2" t="str">
        <f>"Penicilina G benzatinica"</f>
        <v>Penicilina G benzatinica</v>
      </c>
    </row>
    <row r="3612" spans="1:2">
      <c r="A3612" s="1" t="str">
        <f>"3003.10.14"</f>
        <v>3003.10.14</v>
      </c>
      <c r="B3612" s="2" t="str">
        <f>"Penicilina G potassica"</f>
        <v>Penicilina G potassica</v>
      </c>
    </row>
    <row r="3613" spans="1:2">
      <c r="A3613" s="1" t="str">
        <f>"3003.10.15"</f>
        <v>3003.10.15</v>
      </c>
      <c r="B3613" s="2" t="str">
        <f>"Penicilina G procainica"</f>
        <v>Penicilina G procainica</v>
      </c>
    </row>
    <row r="3614" spans="1:2">
      <c r="A3614" s="1" t="str">
        <f>"3003.10.19"</f>
        <v>3003.10.19</v>
      </c>
      <c r="B3614" s="2" t="str">
        <f>"Outros"</f>
        <v>Outros</v>
      </c>
    </row>
    <row r="3615" spans="1:2">
      <c r="A3615" s="1" t="str">
        <f>"3003.10.20"</f>
        <v>3003.10.20</v>
      </c>
      <c r="B3615" s="2" t="str">
        <f>"Que contenham estreptomicinas ou se"</f>
        <v>Que contenham estreptomicinas ou se</v>
      </c>
    </row>
    <row r="3616" spans="1:2">
      <c r="A3616" s="1" t="str">
        <f>"3003.20.11"</f>
        <v>3003.20.11</v>
      </c>
      <c r="B3616" s="2" t="str">
        <f>"Cloranfenicol, seu palmitato, seu s"</f>
        <v>Cloranfenicol, seu palmitato, seu s</v>
      </c>
    </row>
    <row r="3617" spans="1:2">
      <c r="A3617" s="1" t="str">
        <f>"3003.20.19"</f>
        <v>3003.20.19</v>
      </c>
      <c r="B3617" s="2" t="str">
        <f>"Outros"</f>
        <v>Outros</v>
      </c>
    </row>
    <row r="3618" spans="1:2">
      <c r="A3618" s="1" t="str">
        <f>"3003.20.21"</f>
        <v>3003.20.21</v>
      </c>
      <c r="B3618" s="2" t="str">
        <f>"Eritromicina ou seus sais"</f>
        <v>Eritromicina ou seus sais</v>
      </c>
    </row>
    <row r="3619" spans="1:2">
      <c r="A3619" s="1" t="str">
        <f>"3003.20.29"</f>
        <v>3003.20.29</v>
      </c>
      <c r="B3619" s="2" t="str">
        <f>"Outros"</f>
        <v>Outros</v>
      </c>
    </row>
    <row r="3620" spans="1:2">
      <c r="A3620" s="1" t="str">
        <f>"3003.20.31"</f>
        <v>3003.20.31</v>
      </c>
      <c r="B3620" s="2" t="str">
        <f>"Rifamicina SV sodica"</f>
        <v>Rifamicina SV sodica</v>
      </c>
    </row>
    <row r="3621" spans="1:2">
      <c r="A3621" s="1" t="str">
        <f>"3003.20.32"</f>
        <v>3003.20.32</v>
      </c>
      <c r="B3621" s="2" t="str">
        <f>"Rifampicina"</f>
        <v>Rifampicina</v>
      </c>
    </row>
    <row r="3622" spans="1:2">
      <c r="A3622" s="1" t="str">
        <f>"3003.20.39"</f>
        <v>3003.20.39</v>
      </c>
      <c r="B3622" s="2" t="str">
        <f>"Outros"</f>
        <v>Outros</v>
      </c>
    </row>
    <row r="3623" spans="1:2">
      <c r="A3623" s="1" t="str">
        <f>"3003.20.41"</f>
        <v>3003.20.41</v>
      </c>
      <c r="B3623" s="2" t="str">
        <f>"Cloridrato de lincomicina"</f>
        <v>Cloridrato de lincomicina</v>
      </c>
    </row>
    <row r="3624" spans="1:2">
      <c r="A3624" s="1" t="str">
        <f>"3003.20.49"</f>
        <v>3003.20.49</v>
      </c>
      <c r="B3624" s="2" t="str">
        <f>"Outros"</f>
        <v>Outros</v>
      </c>
    </row>
    <row r="3625" spans="1:2">
      <c r="A3625" s="1" t="str">
        <f>"3003.20.51"</f>
        <v>3003.20.51</v>
      </c>
      <c r="B3625" s="2" t="str">
        <f>"Cefalotina sodica"</f>
        <v>Cefalotina sodica</v>
      </c>
    </row>
    <row r="3626" spans="1:2">
      <c r="A3626" s="1" t="str">
        <f>"3003.20.52"</f>
        <v>3003.20.52</v>
      </c>
      <c r="B3626" s="2" t="str">
        <f>"Cefaclor ou cefalexina monoidratado"</f>
        <v>Cefaclor ou cefalexina monoidratado</v>
      </c>
    </row>
    <row r="3627" spans="1:2">
      <c r="A3627" s="1" t="str">
        <f>"3003.20.59"</f>
        <v>3003.20.59</v>
      </c>
      <c r="B3627" s="2" t="str">
        <f>"Outros"</f>
        <v>Outros</v>
      </c>
    </row>
    <row r="3628" spans="1:2">
      <c r="A3628" s="1" t="str">
        <f>"3003.20.61"</f>
        <v>3003.20.61</v>
      </c>
      <c r="B3628" s="2" t="str">
        <f>"Sulfato de gentamicina"</f>
        <v>Sulfato de gentamicina</v>
      </c>
    </row>
    <row r="3629" spans="1:2">
      <c r="A3629" s="1" t="str">
        <f>"3003.20.62"</f>
        <v>3003.20.62</v>
      </c>
      <c r="B3629" s="2" t="str">
        <f>"Daunorubicina"</f>
        <v>Daunorubicina</v>
      </c>
    </row>
    <row r="3630" spans="1:2">
      <c r="A3630" s="1" t="str">
        <f>"3003.20.63"</f>
        <v>3003.20.63</v>
      </c>
      <c r="B3630" s="2" t="str">
        <f>"Idarubicina; pirarubicina"</f>
        <v>Idarubicina; pirarubicina</v>
      </c>
    </row>
    <row r="3631" spans="1:2">
      <c r="A3631" s="1" t="str">
        <f>"3003.20.69"</f>
        <v>3003.20.69</v>
      </c>
      <c r="B3631" s="2" t="str">
        <f>"Outros"</f>
        <v>Outros</v>
      </c>
    </row>
    <row r="3632" spans="1:2">
      <c r="A3632" s="1" t="str">
        <f>"3003.20.71"</f>
        <v>3003.20.71</v>
      </c>
      <c r="B3632" s="2" t="str">
        <f>"Vancomicina"</f>
        <v>Vancomicina</v>
      </c>
    </row>
    <row r="3633" spans="1:2">
      <c r="A3633" s="1" t="str">
        <f>"3003.20.72"</f>
        <v>3003.20.72</v>
      </c>
      <c r="B3633" s="2" t="str">
        <f>"Actinomicinas"</f>
        <v>Actinomicinas</v>
      </c>
    </row>
    <row r="3634" spans="1:2">
      <c r="A3634" s="1" t="str">
        <f>"3003.20.73"</f>
        <v>3003.20.73</v>
      </c>
      <c r="B3634" s="2" t="str">
        <f>"Ciclosporina A"</f>
        <v>Ciclosporina A</v>
      </c>
    </row>
    <row r="3635" spans="1:2">
      <c r="A3635" s="1" t="str">
        <f>"3003.20.79"</f>
        <v>3003.20.79</v>
      </c>
      <c r="B3635" s="2" t="str">
        <f>"Outros"</f>
        <v>Outros</v>
      </c>
    </row>
    <row r="3636" spans="1:2">
      <c r="A3636" s="1" t="str">
        <f>"3003.20.91"</f>
        <v>3003.20.91</v>
      </c>
      <c r="B3636" s="2" t="str">
        <f>"Mitomicina"</f>
        <v>Mitomicina</v>
      </c>
    </row>
    <row r="3637" spans="1:2">
      <c r="A3637" s="1" t="str">
        <f>"3003.20.92"</f>
        <v>3003.20.92</v>
      </c>
      <c r="B3637" s="2" t="str">
        <f>"Fumarato de tiamulina"</f>
        <v>Fumarato de tiamulina</v>
      </c>
    </row>
    <row r="3638" spans="1:2">
      <c r="A3638" s="1" t="str">
        <f>"3003.20.93"</f>
        <v>3003.20.93</v>
      </c>
      <c r="B3638" s="2" t="str">
        <f>"Bleomicinas ou seus sais"</f>
        <v>Bleomicinas ou seus sais</v>
      </c>
    </row>
    <row r="3639" spans="1:2">
      <c r="A3639" s="1" t="str">
        <f>"3003.20.94"</f>
        <v>3003.20.94</v>
      </c>
      <c r="B3639" s="2" t="str">
        <f>"Imipenem"</f>
        <v>Imipenem</v>
      </c>
    </row>
    <row r="3640" spans="1:2">
      <c r="A3640" s="1" t="str">
        <f>"3003.20.95"</f>
        <v>3003.20.95</v>
      </c>
      <c r="B3640" s="2" t="str">
        <f>"Anfotericina B em lipossomas"</f>
        <v>Anfotericina B em lipossomas</v>
      </c>
    </row>
    <row r="3641" spans="1:2">
      <c r="A3641" s="1" t="str">
        <f>"3003.20.99"</f>
        <v>3003.20.99</v>
      </c>
      <c r="B3641" s="2" t="str">
        <f>"Outros"</f>
        <v>Outros</v>
      </c>
    </row>
    <row r="3642" spans="1:2">
      <c r="A3642" s="1" t="str">
        <f>"3003.31.00"</f>
        <v>3003.31.00</v>
      </c>
      <c r="B3642" s="2" t="str">
        <f>"Que contenham insulina"</f>
        <v>Que contenham insulina</v>
      </c>
    </row>
    <row r="3643" spans="1:2">
      <c r="A3643" s="1" t="str">
        <f>"3003.39.11"</f>
        <v>3003.39.11</v>
      </c>
      <c r="B3643" s="2" t="str">
        <f>"Somatotropina"</f>
        <v>Somatotropina</v>
      </c>
    </row>
    <row r="3644" spans="1:2">
      <c r="A3644" s="1" t="str">
        <f>"3003.39.12"</f>
        <v>3003.39.12</v>
      </c>
      <c r="B3644" s="2" t="str">
        <f>"Gonadotropina corionica (hCG)"</f>
        <v>Gonadotropina corionica (hCG)</v>
      </c>
    </row>
    <row r="3645" spans="1:2">
      <c r="A3645" s="1" t="str">
        <f>"3003.39.13"</f>
        <v>3003.39.13</v>
      </c>
      <c r="B3645" s="2" t="str">
        <f>"Menotropinas"</f>
        <v>Menotropinas</v>
      </c>
    </row>
    <row r="3646" spans="1:2">
      <c r="A3646" s="1" t="str">
        <f>"3003.39.14"</f>
        <v>3003.39.14</v>
      </c>
      <c r="B3646" s="2" t="str">
        <f>"Corticotropina (ACTH)"</f>
        <v>Corticotropina (ACTH)</v>
      </c>
    </row>
    <row r="3647" spans="1:2">
      <c r="A3647" s="1" t="str">
        <f>"3003.39.15"</f>
        <v>3003.39.15</v>
      </c>
      <c r="B3647" s="2" t="str">
        <f>"Gonadotropina serica (PMSG)"</f>
        <v>Gonadotropina serica (PMSG)</v>
      </c>
    </row>
    <row r="3648" spans="1:2">
      <c r="A3648" s="1" t="str">
        <f>"3003.39.16"</f>
        <v>3003.39.16</v>
      </c>
      <c r="B3648" s="2" t="str">
        <f>"Somatostatina ou seus sais"</f>
        <v>Somatostatina ou seus sais</v>
      </c>
    </row>
    <row r="3649" spans="1:2">
      <c r="A3649" s="1" t="str">
        <f>"3003.39.17"</f>
        <v>3003.39.17</v>
      </c>
      <c r="B3649" s="2" t="str">
        <f>"Buserelina ou seu acetato"</f>
        <v>Buserelina ou seu acetato</v>
      </c>
    </row>
    <row r="3650" spans="1:2">
      <c r="A3650" s="1" t="str">
        <f>"3003.39.18"</f>
        <v>3003.39.18</v>
      </c>
      <c r="B3650" s="2" t="str">
        <f>"Triptorelina ou seus sais"</f>
        <v>Triptorelina ou seus sais</v>
      </c>
    </row>
    <row r="3651" spans="1:2">
      <c r="A3651" s="1" t="str">
        <f>"3003.39.19"</f>
        <v>3003.39.19</v>
      </c>
      <c r="B3651" s="2" t="str">
        <f>"Leuprolida ou seu acetato"</f>
        <v>Leuprolida ou seu acetato</v>
      </c>
    </row>
    <row r="3652" spans="1:2">
      <c r="A3652" s="1" t="str">
        <f>"3003.39.21"</f>
        <v>3003.39.21</v>
      </c>
      <c r="B3652" s="2" t="str">
        <f>"LH-RH (gonadorelina)"</f>
        <v>LH-RH (gonadorelina)</v>
      </c>
    </row>
    <row r="3653" spans="1:2">
      <c r="A3653" s="1" t="str">
        <f>"3003.39.22"</f>
        <v>3003.39.22</v>
      </c>
      <c r="B3653" s="2" t="str">
        <f>"Oxitocina"</f>
        <v>Oxitocina</v>
      </c>
    </row>
    <row r="3654" spans="1:2">
      <c r="A3654" s="1" t="str">
        <f>"3003.39.23"</f>
        <v>3003.39.23</v>
      </c>
      <c r="B3654" s="2" t="str">
        <f>"Sais de insulina"</f>
        <v>Sais de insulina</v>
      </c>
    </row>
    <row r="3655" spans="1:2">
      <c r="A3655" s="1" t="str">
        <f>"3003.39.24"</f>
        <v>3003.39.24</v>
      </c>
      <c r="B3655" s="2" t="str">
        <f>"Timosinas"</f>
        <v>Timosinas</v>
      </c>
    </row>
    <row r="3656" spans="1:2">
      <c r="A3656" s="1" t="str">
        <f>"3003.39.25"</f>
        <v>3003.39.25</v>
      </c>
      <c r="B3656" s="2" t="str">
        <f>"Octreotida"</f>
        <v>Octreotida</v>
      </c>
    </row>
    <row r="3657" spans="1:2">
      <c r="A3657" s="1" t="str">
        <f>"3003.39.26"</f>
        <v>3003.39.26</v>
      </c>
      <c r="B3657" s="2" t="str">
        <f>"Goserelina ou seu acetato"</f>
        <v>Goserelina ou seu acetato</v>
      </c>
    </row>
    <row r="3658" spans="1:2">
      <c r="A3658" s="1" t="str">
        <f>"3003.39.27"</f>
        <v>3003.39.27</v>
      </c>
      <c r="B3658" s="2" t="str">
        <f>"Nafarelina ou seu acetato"</f>
        <v>Nafarelina ou seu acetato</v>
      </c>
    </row>
    <row r="3659" spans="1:2">
      <c r="A3659" s="1" t="str">
        <f>"3003.39.29"</f>
        <v>3003.39.29</v>
      </c>
      <c r="B3659" s="2" t="str">
        <f>"Outros"</f>
        <v>Outros</v>
      </c>
    </row>
    <row r="3660" spans="1:2">
      <c r="A3660" s="1" t="str">
        <f>"3003.39.31"</f>
        <v>3003.39.31</v>
      </c>
      <c r="B3660" s="2" t="str">
        <f>"Hemissuccinato de estradiol"</f>
        <v>Hemissuccinato de estradiol</v>
      </c>
    </row>
    <row r="3661" spans="1:2">
      <c r="A3661" s="1" t="str">
        <f>"3003.39.32"</f>
        <v>3003.39.32</v>
      </c>
      <c r="B3661" s="2" t="str">
        <f>"Fempropionato de estradiol"</f>
        <v>Fempropionato de estradiol</v>
      </c>
    </row>
    <row r="3662" spans="1:2">
      <c r="A3662" s="1" t="str">
        <f>"3003.39.33"</f>
        <v>3003.39.33</v>
      </c>
      <c r="B3662" s="2" t="str">
        <f>"Estriol ou seu succinato"</f>
        <v>Estriol ou seu succinato</v>
      </c>
    </row>
    <row r="3663" spans="1:2">
      <c r="A3663" s="1" t="str">
        <f>"3003.39.34"</f>
        <v>3003.39.34</v>
      </c>
      <c r="B3663" s="2" t="str">
        <f>"Alilestrenol"</f>
        <v>Alilestrenol</v>
      </c>
    </row>
    <row r="3664" spans="1:2">
      <c r="A3664" s="1" t="str">
        <f>"3003.39.35"</f>
        <v>3003.39.35</v>
      </c>
      <c r="B3664" s="2" t="str">
        <f>"Linestrenol"</f>
        <v>Linestrenol</v>
      </c>
    </row>
    <row r="3665" spans="1:2">
      <c r="A3665" s="1" t="str">
        <f>"3003.39.36"</f>
        <v>3003.39.36</v>
      </c>
      <c r="B3665" s="2" t="str">
        <f>"Acetato de megestrol; formestano; f"</f>
        <v>Acetato de megestrol; formestano; f</v>
      </c>
    </row>
    <row r="3666" spans="1:2">
      <c r="A3666" s="1" t="str">
        <f>"3003.39.37"</f>
        <v>3003.39.37</v>
      </c>
      <c r="B3666" s="2" t="str">
        <f>"Desogestrel"</f>
        <v>Desogestrel</v>
      </c>
    </row>
    <row r="3667" spans="1:2">
      <c r="A3667" s="1" t="str">
        <f>"3003.39.39"</f>
        <v>3003.39.39</v>
      </c>
      <c r="B3667" s="2" t="str">
        <f>"Outros"</f>
        <v>Outros</v>
      </c>
    </row>
    <row r="3668" spans="1:2">
      <c r="A3668" s="1" t="str">
        <f>"3003.39.81"</f>
        <v>3003.39.81</v>
      </c>
      <c r="B3668" s="2" t="str">
        <f>"Levotiroxina sodica"</f>
        <v>Levotiroxina sodica</v>
      </c>
    </row>
    <row r="3669" spans="1:2">
      <c r="A3669" s="1" t="str">
        <f>"3003.39.82"</f>
        <v>3003.39.82</v>
      </c>
      <c r="B3669" s="2" t="str">
        <f>"Liotironina sodica"</f>
        <v>Liotironina sodica</v>
      </c>
    </row>
    <row r="3670" spans="1:2">
      <c r="A3670" s="1" t="str">
        <f>"3003.39.91"</f>
        <v>3003.39.91</v>
      </c>
      <c r="B3670" s="2" t="str">
        <f>"Sal sodico ou ester metilico do aci"</f>
        <v>Sal sodico ou ester metilico do aci</v>
      </c>
    </row>
    <row r="3671" spans="1:2">
      <c r="A3671" s="1" t="str">
        <f>"3003.39.92"</f>
        <v>3003.39.92</v>
      </c>
      <c r="B3671" s="2" t="str">
        <f>"Tiratricol (triac) ou seu sal sodic"</f>
        <v>Tiratricol (triac) ou seu sal sodic</v>
      </c>
    </row>
    <row r="3672" spans="1:2">
      <c r="A3672" s="1" t="str">
        <f>"3003.39.94"</f>
        <v>3003.39.94</v>
      </c>
      <c r="B3672" s="2" t="str">
        <f>"Espironolactona"</f>
        <v>Espironolactona</v>
      </c>
    </row>
    <row r="3673" spans="1:2">
      <c r="A3673" s="1" t="str">
        <f>"3003.39.95"</f>
        <v>3003.39.95</v>
      </c>
      <c r="B3673" s="2" t="str">
        <f>"Exemestano"</f>
        <v>Exemestano</v>
      </c>
    </row>
    <row r="3674" spans="1:2">
      <c r="A3674" s="1" t="str">
        <f>"3003.39.99"</f>
        <v>3003.39.99</v>
      </c>
      <c r="B3674" s="2" t="str">
        <f>"Outros"</f>
        <v>Outros</v>
      </c>
    </row>
    <row r="3675" spans="1:2">
      <c r="A3675" s="1" t="str">
        <f>"3003.41.00"</f>
        <v>3003.41.00</v>
      </c>
      <c r="B3675" s="2" t="str">
        <f>"Que contenham efedrina ou seus sais"</f>
        <v>Que contenham efedrina ou seus sais</v>
      </c>
    </row>
    <row r="3676" spans="1:2">
      <c r="A3676" s="1" t="str">
        <f>"3003.42.00"</f>
        <v>3003.42.00</v>
      </c>
      <c r="B3676" s="2" t="str">
        <f>"Que contenham pseudoefedrina (DCI)"</f>
        <v>Que contenham pseudoefedrina (DCI)</v>
      </c>
    </row>
    <row r="3677" spans="1:2">
      <c r="A3677" s="1" t="str">
        <f>"3003.43.00"</f>
        <v>3003.43.00</v>
      </c>
      <c r="B3677" s="2" t="str">
        <f>"Que contenham norefedrina ou seus s"</f>
        <v>Que contenham norefedrina ou seus s</v>
      </c>
    </row>
    <row r="3678" spans="1:2">
      <c r="A3678" s="1" t="str">
        <f>"3003.49.10"</f>
        <v>3003.49.10</v>
      </c>
      <c r="B3678" s="2" t="str">
        <f>"Vimblastina; vincristina; derivados"</f>
        <v>Vimblastina; vincristina; derivados</v>
      </c>
    </row>
    <row r="3679" spans="1:2">
      <c r="A3679" s="1" t="str">
        <f>"3003.49.20"</f>
        <v>3003.49.20</v>
      </c>
      <c r="B3679" s="2" t="str">
        <f>"Pilocarpina, seu nitrato ou seu clo"</f>
        <v>Pilocarpina, seu nitrato ou seu clo</v>
      </c>
    </row>
    <row r="3680" spans="1:2">
      <c r="A3680" s="1" t="str">
        <f>"3003.49.30"</f>
        <v>3003.49.30</v>
      </c>
      <c r="B3680" s="2" t="str">
        <f>"Metanossulfonato de diidroergocrist"</f>
        <v>Metanossulfonato de diidroergocrist</v>
      </c>
    </row>
    <row r="3681" spans="1:2">
      <c r="A3681" s="1" t="str">
        <f>"3003.49.40"</f>
        <v>3003.49.40</v>
      </c>
      <c r="B3681" s="2" t="str">
        <f>"Codeina ou seus sais"</f>
        <v>Codeina ou seus sais</v>
      </c>
    </row>
    <row r="3682" spans="1:2">
      <c r="A3682" s="1" t="str">
        <f>"3003.49.50"</f>
        <v>3003.49.50</v>
      </c>
      <c r="B3682" s="2" t="str">
        <f>"Granisetron; tropisetrona ou seu cl"</f>
        <v>Granisetron; tropisetrona ou seu cl</v>
      </c>
    </row>
    <row r="3683" spans="1:2">
      <c r="A3683" s="1" t="str">
        <f>"3003.49.90"</f>
        <v>3003.49.90</v>
      </c>
      <c r="B3683" s="2" t="str">
        <f>"Outros"</f>
        <v>Outros</v>
      </c>
    </row>
    <row r="3684" spans="1:2">
      <c r="A3684" s="1" t="str">
        <f>"3003.60.00"</f>
        <v>3003.60.00</v>
      </c>
      <c r="B3684" s="2" t="str">
        <f>"Outros, que contenham principios at"</f>
        <v>Outros, que contenham principios at</v>
      </c>
    </row>
    <row r="3685" spans="1:2">
      <c r="A3685" s="1" t="str">
        <f>"3003.90.11"</f>
        <v>3003.90.11</v>
      </c>
      <c r="B3685" s="2" t="str">
        <f>"Folinato de calcio (leucovorina)"</f>
        <v>Folinato de calcio (leucovorina)</v>
      </c>
    </row>
    <row r="3686" spans="1:2">
      <c r="A3686" s="1" t="str">
        <f>"3003.90.12"</f>
        <v>3003.90.12</v>
      </c>
      <c r="B3686" s="2" t="str">
        <f>"Nicotinamida"</f>
        <v>Nicotinamida</v>
      </c>
    </row>
    <row r="3687" spans="1:2">
      <c r="A3687" s="1" t="str">
        <f>"3003.90.13"</f>
        <v>3003.90.13</v>
      </c>
      <c r="B3687" s="2" t="str">
        <f>"Hidroxocobalamina ou seus sais; cia"</f>
        <v>Hidroxocobalamina ou seus sais; cia</v>
      </c>
    </row>
    <row r="3688" spans="1:2">
      <c r="A3688" s="1" t="str">
        <f>"3003.90.14"</f>
        <v>3003.90.14</v>
      </c>
      <c r="B3688" s="2" t="str">
        <f>"Vitamina A1 (retinol) ou seus deriv"</f>
        <v>Vitamina A1 (retinol) ou seus deriv</v>
      </c>
    </row>
    <row r="3689" spans="1:2">
      <c r="A3689" s="1" t="str">
        <f>"3003.90.15"</f>
        <v>3003.90.15</v>
      </c>
      <c r="B3689" s="2" t="str">
        <f>"D-Pantotenato de calcio; vitamina D"</f>
        <v>D-Pantotenato de calcio; vitamina D</v>
      </c>
    </row>
    <row r="3690" spans="1:2">
      <c r="A3690" s="1" t="str">
        <f>"3003.90.16"</f>
        <v>3003.90.16</v>
      </c>
      <c r="B3690" s="2" t="str">
        <f>"Esteres das vitaminas A e D3, em co"</f>
        <v>Esteres das vitaminas A e D3, em co</v>
      </c>
    </row>
    <row r="3691" spans="1:2">
      <c r="A3691" s="1" t="str">
        <f>"3003.90.17"</f>
        <v>3003.90.17</v>
      </c>
      <c r="B3691" s="2" t="str">
        <f>"Acido retinoico (tretinoina)"</f>
        <v>Acido retinoico (tretinoina)</v>
      </c>
    </row>
    <row r="3692" spans="1:2">
      <c r="A3692" s="1" t="str">
        <f>"3003.90.19"</f>
        <v>3003.90.19</v>
      </c>
      <c r="B3692" s="2" t="str">
        <f>"Outros"</f>
        <v>Outros</v>
      </c>
    </row>
    <row r="3693" spans="1:2">
      <c r="A3693" s="1" t="str">
        <f>"3003.90.21"</f>
        <v>3003.90.21</v>
      </c>
      <c r="B3693" s="2" t="str">
        <f>"Estreptoquinase"</f>
        <v>Estreptoquinase</v>
      </c>
    </row>
    <row r="3694" spans="1:2">
      <c r="A3694" s="1" t="str">
        <f>"3003.90.22"</f>
        <v>3003.90.22</v>
      </c>
      <c r="B3694" s="2" t="str">
        <f>"L-Asparaginase"</f>
        <v>L-Asparaginase</v>
      </c>
    </row>
    <row r="3695" spans="1:2">
      <c r="A3695" s="1" t="str">
        <f>"3003.90.23"</f>
        <v>3003.90.23</v>
      </c>
      <c r="B3695" s="2" t="str">
        <f>"Deoxirribonuclease"</f>
        <v>Deoxirribonuclease</v>
      </c>
    </row>
    <row r="3696" spans="1:2">
      <c r="A3696" s="1" t="str">
        <f>"3003.90.29"</f>
        <v>3003.90.29</v>
      </c>
      <c r="B3696" s="2" t="str">
        <f>"Outros"</f>
        <v>Outros</v>
      </c>
    </row>
    <row r="3697" spans="1:2">
      <c r="A3697" s="1" t="str">
        <f>"3003.90.31"</f>
        <v>3003.90.31</v>
      </c>
      <c r="B3697" s="2" t="str">
        <f>"Permetrina; nitrato de propatila; b"</f>
        <v>Permetrina; nitrato de propatila; b</v>
      </c>
    </row>
    <row r="3698" spans="1:2">
      <c r="A3698" s="1" t="str">
        <f>"3003.90.32"</f>
        <v>3003.90.32</v>
      </c>
      <c r="B3698" s="2" t="str">
        <f>"Acido colico; acido deoxicolico; sa"</f>
        <v>Acido colico; acido deoxicolico; sa</v>
      </c>
    </row>
    <row r="3699" spans="1:2">
      <c r="A3699" s="1" t="str">
        <f>"3003.90.33"</f>
        <v>3003.90.33</v>
      </c>
      <c r="B3699" s="2" t="str">
        <f>"Acido gluconico, seus sais ou seus"</f>
        <v>Acido gluconico, seus sais ou seus</v>
      </c>
    </row>
    <row r="3700" spans="1:2">
      <c r="A3700" s="1" t="str">
        <f>"3003.90.34"</f>
        <v>3003.90.34</v>
      </c>
      <c r="B3700" s="2" t="str">
        <f>"Acido O-acetilsalicilico; O-acetils"</f>
        <v>Acido O-acetilsalicilico; O-acetils</v>
      </c>
    </row>
    <row r="3701" spans="1:2">
      <c r="A3701" s="1" t="str">
        <f>"3003.90.35"</f>
        <v>3003.90.35</v>
      </c>
      <c r="B3701" s="2" t="str">
        <f>"Lactofosfato de calcio"</f>
        <v>Lactofosfato de calcio</v>
      </c>
    </row>
    <row r="3702" spans="1:2">
      <c r="A3702" s="1" t="str">
        <f>"3003.90.36"</f>
        <v>3003.90.36</v>
      </c>
      <c r="B3702" s="2" t="str">
        <f>"Acido lactico, seus sais ou seus es"</f>
        <v>Acido lactico, seus sais ou seus es</v>
      </c>
    </row>
    <row r="3703" spans="1:2">
      <c r="A3703" s="1" t="str">
        <f>"3003.90.37"</f>
        <v>3003.90.37</v>
      </c>
      <c r="B3703" s="2" t="str">
        <f>"Acido fumarico, seus sais ou seus e"</f>
        <v>Acido fumarico, seus sais ou seus e</v>
      </c>
    </row>
    <row r="3704" spans="1:2">
      <c r="A3704" s="1" t="str">
        <f>"3003.90.38"</f>
        <v>3003.90.38</v>
      </c>
      <c r="B3704" s="2" t="str">
        <f>"Etretinato; fosfestrol ou seus sais"</f>
        <v>Etretinato; fosfestrol ou seus sais</v>
      </c>
    </row>
    <row r="3705" spans="1:2">
      <c r="A3705" s="1" t="str">
        <f>"3003.90.39"</f>
        <v>3003.90.39</v>
      </c>
      <c r="B3705" s="2" t="str">
        <f>"Outros"</f>
        <v>Outros</v>
      </c>
    </row>
    <row r="3706" spans="1:2">
      <c r="A3706" s="1" t="str">
        <f>"3003.90.41"</f>
        <v>3003.90.41</v>
      </c>
      <c r="B3706" s="2" t="str">
        <f>"Sulfato de tranilcipromina; dietilp"</f>
        <v>Sulfato de tranilcipromina; dietilp</v>
      </c>
    </row>
    <row r="3707" spans="1:2">
      <c r="A3707" s="1" t="str">
        <f>"3003.90.42"</f>
        <v>3003.90.42</v>
      </c>
      <c r="B3707" s="2" t="str">
        <f>"Cloridrato de ketamina"</f>
        <v>Cloridrato de ketamina</v>
      </c>
    </row>
    <row r="3708" spans="1:2">
      <c r="A3708" s="1" t="str">
        <f>"3003.90.43"</f>
        <v>3003.90.43</v>
      </c>
      <c r="B3708" s="2" t="str">
        <f>"Clembuterol ou seu cloridrato"</f>
        <v>Clembuterol ou seu cloridrato</v>
      </c>
    </row>
    <row r="3709" spans="1:2">
      <c r="A3709" s="1" t="str">
        <f>"3003.90.44"</f>
        <v>3003.90.44</v>
      </c>
      <c r="B3709" s="2" t="str">
        <f>"Tamoxifen ou seu citrato"</f>
        <v>Tamoxifen ou seu citrato</v>
      </c>
    </row>
    <row r="3710" spans="1:2">
      <c r="A3710" s="1" t="str">
        <f>"3003.90.45"</f>
        <v>3003.90.45</v>
      </c>
      <c r="B3710" s="2" t="str">
        <f>"Levodopa; alfa-metildopa"</f>
        <v>Levodopa; alfa-metildopa</v>
      </c>
    </row>
    <row r="3711" spans="1:2">
      <c r="A3711" s="1" t="str">
        <f>"3003.90.46"</f>
        <v>3003.90.46</v>
      </c>
      <c r="B3711" s="2" t="str">
        <f>"Cloridrato de fenilefrina; mirtecai"</f>
        <v>Cloridrato de fenilefrina; mirtecai</v>
      </c>
    </row>
    <row r="3712" spans="1:2">
      <c r="A3712" s="1" t="str">
        <f>"3003.90.47"</f>
        <v>3003.90.47</v>
      </c>
      <c r="B3712" s="2" t="str">
        <f>"Diclofenaco de sodio; diclofenaco d"</f>
        <v>Diclofenaco de sodio; diclofenaco d</v>
      </c>
    </row>
    <row r="3713" spans="1:2">
      <c r="A3713" s="1" t="str">
        <f>"3003.90.48"</f>
        <v>3003.90.48</v>
      </c>
      <c r="B3713" s="2" t="str">
        <f>"Clorambucil; clormetina (DCI) ou se"</f>
        <v>Clorambucil; clormetina (DCI) ou se</v>
      </c>
    </row>
    <row r="3714" spans="1:2">
      <c r="A3714" s="1" t="str">
        <f>"3003.90.49"</f>
        <v>3003.90.49</v>
      </c>
      <c r="B3714" s="2" t="str">
        <f>"Outros"</f>
        <v>Outros</v>
      </c>
    </row>
    <row r="3715" spans="1:2">
      <c r="A3715" s="1" t="str">
        <f>"3003.90.51"</f>
        <v>3003.90.51</v>
      </c>
      <c r="B3715" s="2" t="str">
        <f>"Metoclopramida ou seu cloridrato; c"</f>
        <v>Metoclopramida ou seu cloridrato; c</v>
      </c>
    </row>
    <row r="3716" spans="1:2">
      <c r="A3716" s="1" t="str">
        <f>"3003.90.52"</f>
        <v>3003.90.52</v>
      </c>
      <c r="B3716" s="2" t="str">
        <f>"Atenolol; prilocaina ou seu cloridr"</f>
        <v>Atenolol; prilocaina ou seu cloridr</v>
      </c>
    </row>
    <row r="3717" spans="1:2">
      <c r="A3717" s="1" t="str">
        <f>"3003.90.53"</f>
        <v>3003.90.53</v>
      </c>
      <c r="B3717" s="2" t="str">
        <f>"Lidocaina ou seu cloridrato; flutam"</f>
        <v>Lidocaina ou seu cloridrato; flutam</v>
      </c>
    </row>
    <row r="3718" spans="1:2">
      <c r="A3718" s="1" t="str">
        <f>"3003.90.54"</f>
        <v>3003.90.54</v>
      </c>
      <c r="B3718" s="2" t="str">
        <f>"Femproporex"</f>
        <v>Femproporex</v>
      </c>
    </row>
    <row r="3719" spans="1:2">
      <c r="A3719" s="1" t="str">
        <f>"3003.90.55"</f>
        <v>3003.90.55</v>
      </c>
      <c r="B3719" s="2" t="str">
        <f>"Paracetamol; bromoprida"</f>
        <v>Paracetamol; bromoprida</v>
      </c>
    </row>
    <row r="3720" spans="1:2">
      <c r="A3720" s="1" t="str">
        <f>"3003.90.56"</f>
        <v>3003.90.56</v>
      </c>
      <c r="B3720" s="2" t="str">
        <f>"Amitraz; cipermetrina"</f>
        <v>Amitraz; cipermetrina</v>
      </c>
    </row>
    <row r="3721" spans="1:2">
      <c r="A3721" s="1" t="str">
        <f>"3003.90.57"</f>
        <v>3003.90.57</v>
      </c>
      <c r="B3721" s="2" t="str">
        <f>"Clorexidina ou seus sais; isetionat"</f>
        <v>Clorexidina ou seus sais; isetionat</v>
      </c>
    </row>
    <row r="3722" spans="1:2">
      <c r="A3722" s="1" t="str">
        <f>"3003.90.58"</f>
        <v>3003.90.58</v>
      </c>
      <c r="B3722" s="2" t="str">
        <f>"Aminoglutetimida; carmustina; defer"</f>
        <v>Aminoglutetimida; carmustina; defer</v>
      </c>
    </row>
    <row r="3723" spans="1:2">
      <c r="A3723" s="1" t="str">
        <f>"3003.90.59"</f>
        <v>3003.90.59</v>
      </c>
      <c r="B3723" s="2" t="str">
        <f>"Outros"</f>
        <v>Outros</v>
      </c>
    </row>
    <row r="3724" spans="1:2">
      <c r="A3724" s="1" t="str">
        <f>"3003.90.61"</f>
        <v>3003.90.61</v>
      </c>
      <c r="B3724" s="2" t="str">
        <f>"Quercetina"</f>
        <v>Quercetina</v>
      </c>
    </row>
    <row r="3725" spans="1:2">
      <c r="A3725" s="1" t="str">
        <f>"3003.90.62"</f>
        <v>3003.90.62</v>
      </c>
      <c r="B3725" s="2" t="str">
        <f>"Tiaprida"</f>
        <v>Tiaprida</v>
      </c>
    </row>
    <row r="3726" spans="1:2">
      <c r="A3726" s="1" t="str">
        <f>"3003.90.63"</f>
        <v>3003.90.63</v>
      </c>
      <c r="B3726" s="2" t="str">
        <f>"Etidronato dissodico"</f>
        <v>Etidronato dissodico</v>
      </c>
    </row>
    <row r="3727" spans="1:2">
      <c r="A3727" s="1" t="str">
        <f>"3003.90.64"</f>
        <v>3003.90.64</v>
      </c>
      <c r="B3727" s="2" t="str">
        <f>"Cloridrato de amiodarona"</f>
        <v>Cloridrato de amiodarona</v>
      </c>
    </row>
    <row r="3728" spans="1:2">
      <c r="A3728" s="1" t="str">
        <f>"3003.90.65"</f>
        <v>3003.90.65</v>
      </c>
      <c r="B3728" s="2" t="str">
        <f>"Nitrovin; moxidectina"</f>
        <v>Nitrovin; moxidectina</v>
      </c>
    </row>
    <row r="3729" spans="1:2">
      <c r="A3729" s="1" t="str">
        <f>"3003.90.66"</f>
        <v>3003.90.66</v>
      </c>
      <c r="B3729" s="2" t="str">
        <f>"Acido clodronico ou seu sal dissodi"</f>
        <v>Acido clodronico ou seu sal dissodi</v>
      </c>
    </row>
    <row r="3730" spans="1:2">
      <c r="A3730" s="1" t="str">
        <f>"3003.90.67"</f>
        <v>3003.90.67</v>
      </c>
      <c r="B3730" s="2" t="str">
        <f>"Carbocisteina; sulfiram"</f>
        <v>Carbocisteina; sulfiram</v>
      </c>
    </row>
    <row r="3731" spans="1:2">
      <c r="A3731" s="1" t="str">
        <f>"3003.90.69"</f>
        <v>3003.90.69</v>
      </c>
      <c r="B3731" s="2" t="str">
        <f>"Outros"</f>
        <v>Outros</v>
      </c>
    </row>
    <row r="3732" spans="1:2">
      <c r="A3732" s="1" t="str">
        <f>"3003.90.71"</f>
        <v>3003.90.71</v>
      </c>
      <c r="B3732" s="2" t="str">
        <f>"Terfenadina; talniflumato; malato a"</f>
        <v>Terfenadina; talniflumato; malato a</v>
      </c>
    </row>
    <row r="3733" spans="1:2">
      <c r="A3733" s="1" t="str">
        <f>"3003.90.72"</f>
        <v>3003.90.72</v>
      </c>
      <c r="B3733" s="2" t="str">
        <f>"Cloridrato de loperamida; fembendaz"</f>
        <v>Cloridrato de loperamida; fembendaz</v>
      </c>
    </row>
    <row r="3734" spans="1:2">
      <c r="A3734" s="1" t="str">
        <f>"3003.90.73"</f>
        <v>3003.90.73</v>
      </c>
      <c r="B3734" s="2" t="str">
        <f>"Albendazol ou seu sulfoxido; mebend"</f>
        <v>Albendazol ou seu sulfoxido; mebend</v>
      </c>
    </row>
    <row r="3735" spans="1:2">
      <c r="A3735" s="1" t="str">
        <f>"3003.90.74"</f>
        <v>3003.90.74</v>
      </c>
      <c r="B3735" s="2" t="str">
        <f>"Alprazolam; bromazepam; clordiazepo"</f>
        <v>Alprazolam; bromazepam; clordiazepo</v>
      </c>
    </row>
    <row r="3736" spans="1:2">
      <c r="A3736" s="1" t="str">
        <f>"3003.90.75"</f>
        <v>3003.90.75</v>
      </c>
      <c r="B3736" s="2" t="str">
        <f>"Benzetimida ou seu cloridrato; feni"</f>
        <v>Benzetimida ou seu cloridrato; feni</v>
      </c>
    </row>
    <row r="3737" spans="1:2">
      <c r="A3737" s="1" t="str">
        <f>"3003.90.76"</f>
        <v>3003.90.76</v>
      </c>
      <c r="B3737" s="2" t="str">
        <f>"Acido 2-(2-metil-3-cloroanilina)nic"</f>
        <v>Acido 2-(2-metil-3-cloroanilina)nic</v>
      </c>
    </row>
    <row r="3738" spans="1:2">
      <c r="A3738" s="1" t="str">
        <f>"3003.90.77"</f>
        <v>3003.90.77</v>
      </c>
      <c r="B3738" s="2" t="str">
        <f>"Enrofloxacina; maleato de enalapril"</f>
        <v>Enrofloxacina; maleato de enalapril</v>
      </c>
    </row>
    <row r="3739" spans="1:2">
      <c r="A3739" s="1" t="str">
        <f>"3003.90.78"</f>
        <v>3003.90.78</v>
      </c>
      <c r="B3739" s="2" t="str">
        <f>"Altretamina; bortezomib; cloridrato"</f>
        <v>Altretamina; bortezomib; cloridrato</v>
      </c>
    </row>
    <row r="3740" spans="1:2">
      <c r="A3740" s="1" t="str">
        <f>"3003.90.79"</f>
        <v>3003.90.79</v>
      </c>
      <c r="B3740" s="2" t="str">
        <f>"Outros"</f>
        <v>Outros</v>
      </c>
    </row>
    <row r="3741" spans="1:2">
      <c r="A3741" s="1" t="str">
        <f>"3003.90.81"</f>
        <v>3003.90.81</v>
      </c>
      <c r="B3741" s="2" t="str">
        <f>"Levamisol ou seus sais; tetramisol"</f>
        <v>Levamisol ou seus sais; tetramisol</v>
      </c>
    </row>
    <row r="3742" spans="1:2">
      <c r="A3742" s="1" t="str">
        <f>"3003.90.82"</f>
        <v>3003.90.82</v>
      </c>
      <c r="B3742" s="2" t="str">
        <f>"Sulfadiazina ou seu sal sodico; sul"</f>
        <v>Sulfadiazina ou seu sal sodico; sul</v>
      </c>
    </row>
    <row r="3743" spans="1:2">
      <c r="A3743" s="1" t="str">
        <f>"3003.90.83"</f>
        <v>3003.90.83</v>
      </c>
      <c r="B3743" s="2" t="str">
        <f>"Cloxazolam; ketazolam; piroxicam; t"</f>
        <v>Cloxazolam; ketazolam; piroxicam; t</v>
      </c>
    </row>
    <row r="3744" spans="1:2">
      <c r="A3744" s="1" t="str">
        <f>"3003.90.84"</f>
        <v>3003.90.84</v>
      </c>
      <c r="B3744" s="2" t="str">
        <f>"Ftalilsulfatiazol; inosina"</f>
        <v>Ftalilsulfatiazol; inosina</v>
      </c>
    </row>
    <row r="3745" spans="1:2">
      <c r="A3745" s="1" t="str">
        <f>"3003.90.85"</f>
        <v>3003.90.85</v>
      </c>
      <c r="B3745" s="2" t="str">
        <f>"Enantato de flufenazina; prometazin"</f>
        <v>Enantato de flufenazina; prometazin</v>
      </c>
    </row>
    <row r="3746" spans="1:2">
      <c r="A3746" s="1" t="str">
        <f>"3003.90.86"</f>
        <v>3003.90.86</v>
      </c>
      <c r="B3746" s="2" t="str">
        <f>"Clortalidona; furosemida"</f>
        <v>Clortalidona; furosemida</v>
      </c>
    </row>
    <row r="3747" spans="1:2">
      <c r="A3747" s="1" t="str">
        <f>"3003.90.87"</f>
        <v>3003.90.87</v>
      </c>
      <c r="B3747" s="2" t="str">
        <f>"Cloridrato de tizanidina; cetoconaz"</f>
        <v>Cloridrato de tizanidina; cetoconaz</v>
      </c>
    </row>
    <row r="3748" spans="1:2">
      <c r="A3748" s="1" t="str">
        <f>"3003.90.88"</f>
        <v>3003.90.88</v>
      </c>
      <c r="B3748" s="2" t="str">
        <f>"Amprenavir; aprepitanto; delavirdin"</f>
        <v>Amprenavir; aprepitanto; delavirdin</v>
      </c>
    </row>
    <row r="3749" spans="1:2">
      <c r="A3749" s="1" t="str">
        <f>"3003.90.89"</f>
        <v>3003.90.89</v>
      </c>
      <c r="B3749" s="2" t="str">
        <f>"Outros"</f>
        <v>Outros</v>
      </c>
    </row>
    <row r="3750" spans="1:2">
      <c r="A3750" s="1" t="str">
        <f>"3003.90.91"</f>
        <v>3003.90.91</v>
      </c>
      <c r="B3750" s="2" t="str">
        <f>"Extrato de polen"</f>
        <v>Extrato de polen</v>
      </c>
    </row>
    <row r="3751" spans="1:2">
      <c r="A3751" s="1" t="str">
        <f>"3003.90.92"</f>
        <v>3003.90.92</v>
      </c>
      <c r="B3751" s="2" t="str">
        <f>"Crisarobina; disofenol"</f>
        <v>Crisarobina; disofenol</v>
      </c>
    </row>
    <row r="3752" spans="1:2">
      <c r="A3752" s="1" t="str">
        <f>"3003.90.93"</f>
        <v>3003.90.93</v>
      </c>
      <c r="B3752" s="2" t="str">
        <f>"Diclofenaco resinato"</f>
        <v>Diclofenaco resinato</v>
      </c>
    </row>
    <row r="3753" spans="1:2">
      <c r="A3753" s="1" t="str">
        <f>"3003.90.94"</f>
        <v>3003.90.94</v>
      </c>
      <c r="B3753" s="2" t="str">
        <f>"Silimarina"</f>
        <v>Silimarina</v>
      </c>
    </row>
    <row r="3754" spans="1:2">
      <c r="A3754" s="1" t="str">
        <f>"3003.90.95"</f>
        <v>3003.90.95</v>
      </c>
      <c r="B3754" s="2" t="str">
        <f>"Bussulfano; dexormaplatina; dietile"</f>
        <v>Bussulfano; dexormaplatina; dietile</v>
      </c>
    </row>
    <row r="3755" spans="1:2">
      <c r="A3755" s="1" t="str">
        <f>"3003.90.96"</f>
        <v>3003.90.96</v>
      </c>
      <c r="B3755" s="2" t="str">
        <f>"Complexo de ferro dextrana"</f>
        <v>Complexo de ferro dextrana</v>
      </c>
    </row>
    <row r="3756" spans="1:2">
      <c r="A3756" s="1" t="str">
        <f>"3003.90.99"</f>
        <v>3003.90.99</v>
      </c>
      <c r="B3756" s="2" t="str">
        <f>"Outros"</f>
        <v>Outros</v>
      </c>
    </row>
    <row r="3757" spans="1:2">
      <c r="A3757" s="1" t="str">
        <f>"3004.10.11"</f>
        <v>3004.10.11</v>
      </c>
      <c r="B3757" s="2" t="str">
        <f>"Ampicilina ou seus sais"</f>
        <v>Ampicilina ou seus sais</v>
      </c>
    </row>
    <row r="3758" spans="1:2">
      <c r="A3758" s="1" t="str">
        <f>"3004.10.12"</f>
        <v>3004.10.12</v>
      </c>
      <c r="B3758" s="2" t="str">
        <f>"Amoxicilina ou seus sais"</f>
        <v>Amoxicilina ou seus sais</v>
      </c>
    </row>
    <row r="3759" spans="1:2">
      <c r="A3759" s="1" t="str">
        <f>"3004.10.13"</f>
        <v>3004.10.13</v>
      </c>
      <c r="B3759" s="2" t="str">
        <f>"Penicilina G benzatinica"</f>
        <v>Penicilina G benzatinica</v>
      </c>
    </row>
    <row r="3760" spans="1:2">
      <c r="A3760" s="1" t="str">
        <f>"3004.10.14"</f>
        <v>3004.10.14</v>
      </c>
      <c r="B3760" s="2" t="str">
        <f>"Penicilina G potassica"</f>
        <v>Penicilina G potassica</v>
      </c>
    </row>
    <row r="3761" spans="1:2">
      <c r="A3761" s="1" t="str">
        <f>"3004.10.15"</f>
        <v>3004.10.15</v>
      </c>
      <c r="B3761" s="2" t="str">
        <f>"Penicilina G procainica"</f>
        <v>Penicilina G procainica</v>
      </c>
    </row>
    <row r="3762" spans="1:2">
      <c r="A3762" s="1" t="str">
        <f>"3004.10.19"</f>
        <v>3004.10.19</v>
      </c>
      <c r="B3762" s="2" t="str">
        <f>"Outros"</f>
        <v>Outros</v>
      </c>
    </row>
    <row r="3763" spans="1:2">
      <c r="A3763" s="1" t="str">
        <f>"3004.10.20"</f>
        <v>3004.10.20</v>
      </c>
      <c r="B3763" s="2" t="str">
        <f>"Que contenham estreptomicinas ou se"</f>
        <v>Que contenham estreptomicinas ou se</v>
      </c>
    </row>
    <row r="3764" spans="1:2">
      <c r="A3764" s="1" t="str">
        <f>"3004.20.11"</f>
        <v>3004.20.11</v>
      </c>
      <c r="B3764" s="2" t="str">
        <f>"Cloranfenicol, seu palmitato, seu s"</f>
        <v>Cloranfenicol, seu palmitato, seu s</v>
      </c>
    </row>
    <row r="3765" spans="1:2">
      <c r="A3765" s="1" t="str">
        <f>"3004.20.19"</f>
        <v>3004.20.19</v>
      </c>
      <c r="B3765" s="2" t="str">
        <f>"Outros"</f>
        <v>Outros</v>
      </c>
    </row>
    <row r="3766" spans="1:2">
      <c r="A3766" s="1" t="str">
        <f>"3004.20.21"</f>
        <v>3004.20.21</v>
      </c>
      <c r="B3766" s="2" t="str">
        <f>"Eritromicina ou seus sais"</f>
        <v>Eritromicina ou seus sais</v>
      </c>
    </row>
    <row r="3767" spans="1:2">
      <c r="A3767" s="1" t="str">
        <f>"3004.20.29"</f>
        <v>3004.20.29</v>
      </c>
      <c r="B3767" s="2" t="str">
        <f>"Outros"</f>
        <v>Outros</v>
      </c>
    </row>
    <row r="3768" spans="1:2">
      <c r="A3768" s="1" t="str">
        <f>"3004.20.31"</f>
        <v>3004.20.31</v>
      </c>
      <c r="B3768" s="2" t="str">
        <f>"Rifamicina SV sodica"</f>
        <v>Rifamicina SV sodica</v>
      </c>
    </row>
    <row r="3769" spans="1:2">
      <c r="A3769" s="1" t="str">
        <f>"3004.20.32"</f>
        <v>3004.20.32</v>
      </c>
      <c r="B3769" s="2" t="str">
        <f>"Rifampicina"</f>
        <v>Rifampicina</v>
      </c>
    </row>
    <row r="3770" spans="1:2">
      <c r="A3770" s="1" t="str">
        <f>"3004.20.39"</f>
        <v>3004.20.39</v>
      </c>
      <c r="B3770" s="2" t="str">
        <f>"Outros"</f>
        <v>Outros</v>
      </c>
    </row>
    <row r="3771" spans="1:2">
      <c r="A3771" s="1" t="str">
        <f>"3004.20.41"</f>
        <v>3004.20.41</v>
      </c>
      <c r="B3771" s="2" t="str">
        <f>"Cloridrato de lincomicina"</f>
        <v>Cloridrato de lincomicina</v>
      </c>
    </row>
    <row r="3772" spans="1:2">
      <c r="A3772" s="1" t="str">
        <f>"3004.20.49"</f>
        <v>3004.20.49</v>
      </c>
      <c r="B3772" s="2" t="str">
        <f>"Outros"</f>
        <v>Outros</v>
      </c>
    </row>
    <row r="3773" spans="1:2">
      <c r="A3773" s="1" t="str">
        <f>"3004.20.51"</f>
        <v>3004.20.51</v>
      </c>
      <c r="B3773" s="2" t="str">
        <f>"Cefalotina sodica"</f>
        <v>Cefalotina sodica</v>
      </c>
    </row>
    <row r="3774" spans="1:2">
      <c r="A3774" s="1" t="str">
        <f>"3004.20.52"</f>
        <v>3004.20.52</v>
      </c>
      <c r="B3774" s="2" t="str">
        <f>"Cefaclor ou cefalexina monoidratado"</f>
        <v>Cefaclor ou cefalexina monoidratado</v>
      </c>
    </row>
    <row r="3775" spans="1:2">
      <c r="A3775" s="1" t="str">
        <f>"3004.20.59"</f>
        <v>3004.20.59</v>
      </c>
      <c r="B3775" s="2" t="str">
        <f>"Outros"</f>
        <v>Outros</v>
      </c>
    </row>
    <row r="3776" spans="1:2">
      <c r="A3776" s="1" t="str">
        <f>"3004.20.61"</f>
        <v>3004.20.61</v>
      </c>
      <c r="B3776" s="2" t="str">
        <f>"Sulfato de gentamicina"</f>
        <v>Sulfato de gentamicina</v>
      </c>
    </row>
    <row r="3777" spans="1:2">
      <c r="A3777" s="1" t="str">
        <f>"3004.20.62"</f>
        <v>3004.20.62</v>
      </c>
      <c r="B3777" s="2" t="str">
        <f>"Daunorubicina"</f>
        <v>Daunorubicina</v>
      </c>
    </row>
    <row r="3778" spans="1:2">
      <c r="A3778" s="1" t="str">
        <f>"3004.20.63"</f>
        <v>3004.20.63</v>
      </c>
      <c r="B3778" s="2" t="str">
        <f>"Idarubicina; pirarubicina"</f>
        <v>Idarubicina; pirarubicina</v>
      </c>
    </row>
    <row r="3779" spans="1:2">
      <c r="A3779" s="1" t="str">
        <f>"3004.20.69"</f>
        <v>3004.20.69</v>
      </c>
      <c r="B3779" s="2" t="str">
        <f>"Outros"</f>
        <v>Outros</v>
      </c>
    </row>
    <row r="3780" spans="1:2">
      <c r="A3780" s="1" t="str">
        <f>"3004.20.71"</f>
        <v>3004.20.71</v>
      </c>
      <c r="B3780" s="2" t="str">
        <f>"Vancomicina"</f>
        <v>Vancomicina</v>
      </c>
    </row>
    <row r="3781" spans="1:2">
      <c r="A3781" s="1" t="str">
        <f>"3004.20.72"</f>
        <v>3004.20.72</v>
      </c>
      <c r="B3781" s="2" t="str">
        <f>"Actinomicinas"</f>
        <v>Actinomicinas</v>
      </c>
    </row>
    <row r="3782" spans="1:2">
      <c r="A3782" s="1" t="str">
        <f>"3004.20.73"</f>
        <v>3004.20.73</v>
      </c>
      <c r="B3782" s="2" t="str">
        <f>"Ciclosporina A"</f>
        <v>Ciclosporina A</v>
      </c>
    </row>
    <row r="3783" spans="1:2">
      <c r="A3783" s="1" t="str">
        <f>"3004.20.79"</f>
        <v>3004.20.79</v>
      </c>
      <c r="B3783" s="2" t="str">
        <f>"Outros"</f>
        <v>Outros</v>
      </c>
    </row>
    <row r="3784" spans="1:2">
      <c r="A3784" s="1" t="str">
        <f>"3004.20.91"</f>
        <v>3004.20.91</v>
      </c>
      <c r="B3784" s="2" t="str">
        <f>"Mitomicina"</f>
        <v>Mitomicina</v>
      </c>
    </row>
    <row r="3785" spans="1:2">
      <c r="A3785" s="1" t="str">
        <f>"3004.20.92"</f>
        <v>3004.20.92</v>
      </c>
      <c r="B3785" s="2" t="str">
        <f>"Fumarato de tiamulina"</f>
        <v>Fumarato de tiamulina</v>
      </c>
    </row>
    <row r="3786" spans="1:2">
      <c r="A3786" s="1" t="str">
        <f>"3004.20.93"</f>
        <v>3004.20.93</v>
      </c>
      <c r="B3786" s="2" t="str">
        <f>"Bleomicinas ou seus sais"</f>
        <v>Bleomicinas ou seus sais</v>
      </c>
    </row>
    <row r="3787" spans="1:2">
      <c r="A3787" s="1" t="str">
        <f>"3004.20.94"</f>
        <v>3004.20.94</v>
      </c>
      <c r="B3787" s="2" t="str">
        <f>"Imipenem"</f>
        <v>Imipenem</v>
      </c>
    </row>
    <row r="3788" spans="1:2">
      <c r="A3788" s="1" t="str">
        <f>"3004.20.95"</f>
        <v>3004.20.95</v>
      </c>
      <c r="B3788" s="2" t="str">
        <f>"Anfotericina B em lipossomas"</f>
        <v>Anfotericina B em lipossomas</v>
      </c>
    </row>
    <row r="3789" spans="1:2">
      <c r="A3789" s="1" t="str">
        <f>"3004.20.99"</f>
        <v>3004.20.99</v>
      </c>
      <c r="B3789" s="2" t="str">
        <f>"Outros"</f>
        <v>Outros</v>
      </c>
    </row>
    <row r="3790" spans="1:2">
      <c r="A3790" s="1" t="str">
        <f>"3004.31.00"</f>
        <v>3004.31.00</v>
      </c>
      <c r="B3790" s="2" t="str">
        <f>"Que contenham insulina"</f>
        <v>Que contenham insulina</v>
      </c>
    </row>
    <row r="3791" spans="1:2">
      <c r="A3791" s="1" t="str">
        <f>"3004.32.10"</f>
        <v>3004.32.10</v>
      </c>
      <c r="B3791" s="2" t="str">
        <f>"Hormonios corticosteroides"</f>
        <v>Hormonios corticosteroides</v>
      </c>
    </row>
    <row r="3792" spans="1:2">
      <c r="A3792" s="1" t="str">
        <f>"3004.32.20"</f>
        <v>3004.32.20</v>
      </c>
      <c r="B3792" s="2" t="str">
        <f>"Espironolactona"</f>
        <v>Espironolactona</v>
      </c>
    </row>
    <row r="3793" spans="1:2">
      <c r="A3793" s="1" t="str">
        <f>"3004.32.90"</f>
        <v>3004.32.90</v>
      </c>
      <c r="B3793" s="2" t="str">
        <f>"Outros"</f>
        <v>Outros</v>
      </c>
    </row>
    <row r="3794" spans="1:2">
      <c r="A3794" s="1" t="str">
        <f>"3004.39.11"</f>
        <v>3004.39.11</v>
      </c>
      <c r="B3794" s="2" t="str">
        <f>"Somatotropina"</f>
        <v>Somatotropina</v>
      </c>
    </row>
    <row r="3795" spans="1:2">
      <c r="A3795" s="1" t="str">
        <f>"3004.39.12"</f>
        <v>3004.39.12</v>
      </c>
      <c r="B3795" s="2" t="str">
        <f>"Gonadotropina corionica (hCG)"</f>
        <v>Gonadotropina corionica (hCG)</v>
      </c>
    </row>
    <row r="3796" spans="1:2">
      <c r="A3796" s="1" t="str">
        <f>"3004.39.13"</f>
        <v>3004.39.13</v>
      </c>
      <c r="B3796" s="2" t="str">
        <f>"Menotropinas"</f>
        <v>Menotropinas</v>
      </c>
    </row>
    <row r="3797" spans="1:2">
      <c r="A3797" s="1" t="str">
        <f>"3004.39.14"</f>
        <v>3004.39.14</v>
      </c>
      <c r="B3797" s="2" t="str">
        <f>"Corticotropina (ACTH)"</f>
        <v>Corticotropina (ACTH)</v>
      </c>
    </row>
    <row r="3798" spans="1:2">
      <c r="A3798" s="1" t="str">
        <f>"3004.39.15"</f>
        <v>3004.39.15</v>
      </c>
      <c r="B3798" s="2" t="str">
        <f>"Gonadotropina serica (PMSG)"</f>
        <v>Gonadotropina serica (PMSG)</v>
      </c>
    </row>
    <row r="3799" spans="1:2">
      <c r="A3799" s="1" t="str">
        <f>"3004.39.16"</f>
        <v>3004.39.16</v>
      </c>
      <c r="B3799" s="2" t="str">
        <f>"Somatostatina ou seus sais"</f>
        <v>Somatostatina ou seus sais</v>
      </c>
    </row>
    <row r="3800" spans="1:2">
      <c r="A3800" s="1" t="str">
        <f>"3004.39.17"</f>
        <v>3004.39.17</v>
      </c>
      <c r="B3800" s="2" t="str">
        <f>"Buserelina ou seu acetato"</f>
        <v>Buserelina ou seu acetato</v>
      </c>
    </row>
    <row r="3801" spans="1:2">
      <c r="A3801" s="1" t="str">
        <f>"3004.39.18"</f>
        <v>3004.39.18</v>
      </c>
      <c r="B3801" s="2" t="str">
        <f>"Triptorelina ou seus sais"</f>
        <v>Triptorelina ou seus sais</v>
      </c>
    </row>
    <row r="3802" spans="1:2">
      <c r="A3802" s="1" t="str">
        <f>"3004.39.19"</f>
        <v>3004.39.19</v>
      </c>
      <c r="B3802" s="2" t="str">
        <f>"Leuprolida ou seu acetato"</f>
        <v>Leuprolida ou seu acetato</v>
      </c>
    </row>
    <row r="3803" spans="1:2">
      <c r="A3803" s="1" t="str">
        <f>"3004.39.21"</f>
        <v>3004.39.21</v>
      </c>
      <c r="B3803" s="2" t="str">
        <f>"LH-RH (gonadorelina)"</f>
        <v>LH-RH (gonadorelina)</v>
      </c>
    </row>
    <row r="3804" spans="1:2">
      <c r="A3804" s="1" t="str">
        <f>"3004.39.22"</f>
        <v>3004.39.22</v>
      </c>
      <c r="B3804" s="2" t="str">
        <f>"Oxitocina"</f>
        <v>Oxitocina</v>
      </c>
    </row>
    <row r="3805" spans="1:2">
      <c r="A3805" s="1" t="str">
        <f>"3004.39.23"</f>
        <v>3004.39.23</v>
      </c>
      <c r="B3805" s="2" t="str">
        <f>"Sais de insulina"</f>
        <v>Sais de insulina</v>
      </c>
    </row>
    <row r="3806" spans="1:2">
      <c r="A3806" s="1" t="str">
        <f>"3004.39.24"</f>
        <v>3004.39.24</v>
      </c>
      <c r="B3806" s="2" t="str">
        <f>"Timosinas"</f>
        <v>Timosinas</v>
      </c>
    </row>
    <row r="3807" spans="1:2">
      <c r="A3807" s="1" t="str">
        <f>"3004.39.25"</f>
        <v>3004.39.25</v>
      </c>
      <c r="B3807" s="2" t="str">
        <f>"Calcitonina"</f>
        <v>Calcitonina</v>
      </c>
    </row>
    <row r="3808" spans="1:2">
      <c r="A3808" s="1" t="str">
        <f>"3004.39.26"</f>
        <v>3004.39.26</v>
      </c>
      <c r="B3808" s="2" t="str">
        <f>"Octreotida"</f>
        <v>Octreotida</v>
      </c>
    </row>
    <row r="3809" spans="1:2">
      <c r="A3809" s="1" t="str">
        <f>"3004.39.27"</f>
        <v>3004.39.27</v>
      </c>
      <c r="B3809" s="2" t="str">
        <f>"Goserelina ou seu acetato"</f>
        <v>Goserelina ou seu acetato</v>
      </c>
    </row>
    <row r="3810" spans="1:2">
      <c r="A3810" s="1" t="str">
        <f>"3004.39.28"</f>
        <v>3004.39.28</v>
      </c>
      <c r="B3810" s="2" t="str">
        <f>"Nafarelina ou seu acetato"</f>
        <v>Nafarelina ou seu acetato</v>
      </c>
    </row>
    <row r="3811" spans="1:2">
      <c r="A3811" s="1" t="str">
        <f>"3004.39.29"</f>
        <v>3004.39.29</v>
      </c>
      <c r="B3811" s="2" t="str">
        <f>"Outros"</f>
        <v>Outros</v>
      </c>
    </row>
    <row r="3812" spans="1:2">
      <c r="A3812" s="1" t="str">
        <f>"3004.39.31"</f>
        <v>3004.39.31</v>
      </c>
      <c r="B3812" s="2" t="str">
        <f>"Hemissuccinato de estradiol"</f>
        <v>Hemissuccinato de estradiol</v>
      </c>
    </row>
    <row r="3813" spans="1:2">
      <c r="A3813" s="1" t="str">
        <f>"3004.39.32"</f>
        <v>3004.39.32</v>
      </c>
      <c r="B3813" s="2" t="str">
        <f>"Fempropionato de estradiol"</f>
        <v>Fempropionato de estradiol</v>
      </c>
    </row>
    <row r="3814" spans="1:2">
      <c r="A3814" s="1" t="str">
        <f>"3004.39.33"</f>
        <v>3004.39.33</v>
      </c>
      <c r="B3814" s="2" t="str">
        <f>"Estriol ou seu succinato"</f>
        <v>Estriol ou seu succinato</v>
      </c>
    </row>
    <row r="3815" spans="1:2">
      <c r="A3815" s="1" t="str">
        <f>"3004.39.34"</f>
        <v>3004.39.34</v>
      </c>
      <c r="B3815" s="2" t="str">
        <f>"Alilestrenol"</f>
        <v>Alilestrenol</v>
      </c>
    </row>
    <row r="3816" spans="1:2">
      <c r="A3816" s="1" t="str">
        <f>"3004.39.35"</f>
        <v>3004.39.35</v>
      </c>
      <c r="B3816" s="2" t="str">
        <f>"Linestrenol"</f>
        <v>Linestrenol</v>
      </c>
    </row>
    <row r="3817" spans="1:2">
      <c r="A3817" s="1" t="str">
        <f>"3004.39.36"</f>
        <v>3004.39.36</v>
      </c>
      <c r="B3817" s="2" t="str">
        <f>"Acetato de megestrol; formestano; f"</f>
        <v>Acetato de megestrol; formestano; f</v>
      </c>
    </row>
    <row r="3818" spans="1:2">
      <c r="A3818" s="1" t="str">
        <f>"3004.39.37"</f>
        <v>3004.39.37</v>
      </c>
      <c r="B3818" s="2" t="str">
        <f>"Desogestrel"</f>
        <v>Desogestrel</v>
      </c>
    </row>
    <row r="3819" spans="1:2">
      <c r="A3819" s="1" t="str">
        <f>"3004.39.39"</f>
        <v>3004.39.39</v>
      </c>
      <c r="B3819" s="2" t="str">
        <f>"Outros"</f>
        <v>Outros</v>
      </c>
    </row>
    <row r="3820" spans="1:2">
      <c r="A3820" s="1" t="str">
        <f>"3004.39.81"</f>
        <v>3004.39.81</v>
      </c>
      <c r="B3820" s="2" t="str">
        <f>"Levotiroxina sodica"</f>
        <v>Levotiroxina sodica</v>
      </c>
    </row>
    <row r="3821" spans="1:2">
      <c r="A3821" s="1" t="str">
        <f>"3004.39.82"</f>
        <v>3004.39.82</v>
      </c>
      <c r="B3821" s="2" t="str">
        <f>"Liotironina sodica"</f>
        <v>Liotironina sodica</v>
      </c>
    </row>
    <row r="3822" spans="1:2">
      <c r="A3822" s="1" t="str">
        <f>"3004.39.91"</f>
        <v>3004.39.91</v>
      </c>
      <c r="B3822" s="2" t="str">
        <f>"Sal sodico ou ester metilico do aci"</f>
        <v>Sal sodico ou ester metilico do aci</v>
      </c>
    </row>
    <row r="3823" spans="1:2">
      <c r="A3823" s="1" t="str">
        <f>"3004.39.92"</f>
        <v>3004.39.92</v>
      </c>
      <c r="B3823" s="2" t="str">
        <f>"Tiratricol (triac) ou seu sal sodic"</f>
        <v>Tiratricol (triac) ou seu sal sodic</v>
      </c>
    </row>
    <row r="3824" spans="1:2">
      <c r="A3824" s="1" t="str">
        <f>"3004.39.94"</f>
        <v>3004.39.94</v>
      </c>
      <c r="B3824" s="2" t="str">
        <f>"Exemestano"</f>
        <v>Exemestano</v>
      </c>
    </row>
    <row r="3825" spans="1:2">
      <c r="A3825" s="1" t="str">
        <f>"3004.39.99"</f>
        <v>3004.39.99</v>
      </c>
      <c r="B3825" s="2" t="str">
        <f>"Outros"</f>
        <v>Outros</v>
      </c>
    </row>
    <row r="3826" spans="1:2">
      <c r="A3826" s="1" t="str">
        <f>"3004.41.00"</f>
        <v>3004.41.00</v>
      </c>
      <c r="B3826" s="2" t="str">
        <f>"Que contenham efedrina ou seus sais"</f>
        <v>Que contenham efedrina ou seus sais</v>
      </c>
    </row>
    <row r="3827" spans="1:2">
      <c r="A3827" s="1" t="str">
        <f>"3004.42.00"</f>
        <v>3004.42.00</v>
      </c>
      <c r="B3827" s="2" t="str">
        <f>"Que contenham pseudoefedrina (DCI)"</f>
        <v>Que contenham pseudoefedrina (DCI)</v>
      </c>
    </row>
    <row r="3828" spans="1:2">
      <c r="A3828" s="1" t="str">
        <f>"3004.43.00"</f>
        <v>3004.43.00</v>
      </c>
      <c r="B3828" s="2" t="str">
        <f>"Que contenham norefedrina ou seus s"</f>
        <v>Que contenham norefedrina ou seus s</v>
      </c>
    </row>
    <row r="3829" spans="1:2">
      <c r="A3829" s="1" t="str">
        <f>"3004.49.10"</f>
        <v>3004.49.10</v>
      </c>
      <c r="B3829" s="2" t="str">
        <f>"Vimblastina; vincristina; derivados"</f>
        <v>Vimblastina; vincristina; derivados</v>
      </c>
    </row>
    <row r="3830" spans="1:2">
      <c r="A3830" s="1" t="str">
        <f>"3004.49.20"</f>
        <v>3004.49.20</v>
      </c>
      <c r="B3830" s="2" t="str">
        <f>"Pilocarpina, seu nitrato ou seu clo"</f>
        <v>Pilocarpina, seu nitrato ou seu clo</v>
      </c>
    </row>
    <row r="3831" spans="1:2">
      <c r="A3831" s="1" t="str">
        <f>"3004.49.30"</f>
        <v>3004.49.30</v>
      </c>
      <c r="B3831" s="2" t="str">
        <f>"Metanossulfonato de diidroergocrist"</f>
        <v>Metanossulfonato de diidroergocrist</v>
      </c>
    </row>
    <row r="3832" spans="1:2">
      <c r="A3832" s="1" t="str">
        <f>"3004.49.40"</f>
        <v>3004.49.40</v>
      </c>
      <c r="B3832" s="2" t="str">
        <f>"Codeina ou seus sais"</f>
        <v>Codeina ou seus sais</v>
      </c>
    </row>
    <row r="3833" spans="1:2">
      <c r="A3833" s="1" t="str">
        <f>"3004.49.50"</f>
        <v>3004.49.50</v>
      </c>
      <c r="B3833" s="2" t="str">
        <f>"Granisetron; tropisetrona ou seu cl"</f>
        <v>Granisetron; tropisetrona ou seu cl</v>
      </c>
    </row>
    <row r="3834" spans="1:2">
      <c r="A3834" s="1" t="str">
        <f>"3004.49.90"</f>
        <v>3004.49.90</v>
      </c>
      <c r="B3834" s="2" t="str">
        <f>"Outros"</f>
        <v>Outros</v>
      </c>
    </row>
    <row r="3835" spans="1:2">
      <c r="A3835" s="1" t="str">
        <f>"3004.50.10"</f>
        <v>3004.50.10</v>
      </c>
      <c r="B3835" s="2" t="str">
        <f>"Folinato de calcio (leucovorina)"</f>
        <v>Folinato de calcio (leucovorina)</v>
      </c>
    </row>
    <row r="3836" spans="1:2">
      <c r="A3836" s="1" t="str">
        <f>"3004.50.20"</f>
        <v>3004.50.20</v>
      </c>
      <c r="B3836" s="2" t="str">
        <f>"Nicotinamida"</f>
        <v>Nicotinamida</v>
      </c>
    </row>
    <row r="3837" spans="1:2">
      <c r="A3837" s="1" t="str">
        <f>"3004.50.30"</f>
        <v>3004.50.30</v>
      </c>
      <c r="B3837" s="2" t="str">
        <f>"Hidroxocobalamina ou seus sais; cia"</f>
        <v>Hidroxocobalamina ou seus sais; cia</v>
      </c>
    </row>
    <row r="3838" spans="1:2">
      <c r="A3838" s="1" t="str">
        <f>"3004.50.40"</f>
        <v>3004.50.40</v>
      </c>
      <c r="B3838" s="2" t="str">
        <f>"Vitamina A1 (retinol) ou seus deriv"</f>
        <v>Vitamina A1 (retinol) ou seus deriv</v>
      </c>
    </row>
    <row r="3839" spans="1:2">
      <c r="A3839" s="1" t="str">
        <f>"3004.50.50"</f>
        <v>3004.50.50</v>
      </c>
      <c r="B3839" s="2" t="str">
        <f>"D-Pantotenato de calcio; vitamina D"</f>
        <v>D-Pantotenato de calcio; vitamina D</v>
      </c>
    </row>
    <row r="3840" spans="1:2">
      <c r="A3840" s="1" t="str">
        <f>"3004.50.60"</f>
        <v>3004.50.60</v>
      </c>
      <c r="B3840" s="2" t="str">
        <f>"Acido retinoico (tretinoina)"</f>
        <v>Acido retinoico (tretinoina)</v>
      </c>
    </row>
    <row r="3841" spans="1:2">
      <c r="A3841" s="1" t="str">
        <f>"3004.50.90"</f>
        <v>3004.50.90</v>
      </c>
      <c r="B3841" s="2" t="str">
        <f>"Outros"</f>
        <v>Outros</v>
      </c>
    </row>
    <row r="3842" spans="1:2">
      <c r="A3842" s="1" t="str">
        <f>"3004.60.00"</f>
        <v>3004.60.00</v>
      </c>
      <c r="B3842" s="2" t="str">
        <f>"Outros, que contenham principios at"</f>
        <v>Outros, que contenham principios at</v>
      </c>
    </row>
    <row r="3843" spans="1:2">
      <c r="A3843" s="1" t="str">
        <f>"3004.90.11"</f>
        <v>3004.90.11</v>
      </c>
      <c r="B3843" s="2" t="str">
        <f>"Estreptoquinase"</f>
        <v>Estreptoquinase</v>
      </c>
    </row>
    <row r="3844" spans="1:2">
      <c r="A3844" s="1" t="str">
        <f>"3004.90.12"</f>
        <v>3004.90.12</v>
      </c>
      <c r="B3844" s="2" t="str">
        <f>"L-Asparaginase"</f>
        <v>L-Asparaginase</v>
      </c>
    </row>
    <row r="3845" spans="1:2">
      <c r="A3845" s="1" t="str">
        <f>"3004.90.13"</f>
        <v>3004.90.13</v>
      </c>
      <c r="B3845" s="2" t="str">
        <f>"Deoxirribonuclease"</f>
        <v>Deoxirribonuclease</v>
      </c>
    </row>
    <row r="3846" spans="1:2">
      <c r="A3846" s="1" t="str">
        <f>"3004.90.19"</f>
        <v>3004.90.19</v>
      </c>
      <c r="B3846" s="2" t="str">
        <f>"Outros"</f>
        <v>Outros</v>
      </c>
    </row>
    <row r="3847" spans="1:2">
      <c r="A3847" s="1" t="str">
        <f>"3004.90.21"</f>
        <v>3004.90.21</v>
      </c>
      <c r="B3847" s="2" t="str">
        <f>"Permetrina; nitrato de propatila; b"</f>
        <v>Permetrina; nitrato de propatila; b</v>
      </c>
    </row>
    <row r="3848" spans="1:2">
      <c r="A3848" s="1" t="str">
        <f>"3004.90.22"</f>
        <v>3004.90.22</v>
      </c>
      <c r="B3848" s="2" t="str">
        <f>"Acido colico; acido deoxicolico; sa"</f>
        <v>Acido colico; acido deoxicolico; sa</v>
      </c>
    </row>
    <row r="3849" spans="1:2">
      <c r="A3849" s="1" t="str">
        <f>"3004.90.23"</f>
        <v>3004.90.23</v>
      </c>
      <c r="B3849" s="2" t="str">
        <f>"Acido gluconico, seus sais ou seus"</f>
        <v>Acido gluconico, seus sais ou seus</v>
      </c>
    </row>
    <row r="3850" spans="1:2">
      <c r="A3850" s="1" t="str">
        <f>"3004.90.24"</f>
        <v>3004.90.24</v>
      </c>
      <c r="B3850" s="2" t="str">
        <f>"Acido O-acetilsalicilico; O-acetils"</f>
        <v>Acido O-acetilsalicilico; O-acetils</v>
      </c>
    </row>
    <row r="3851" spans="1:2">
      <c r="A3851" s="1" t="str">
        <f>"3004.90.25"</f>
        <v>3004.90.25</v>
      </c>
      <c r="B3851" s="2" t="str">
        <f>"Lactofosfato de calcio"</f>
        <v>Lactofosfato de calcio</v>
      </c>
    </row>
    <row r="3852" spans="1:2">
      <c r="A3852" s="1" t="str">
        <f>"3004.90.26"</f>
        <v>3004.90.26</v>
      </c>
      <c r="B3852" s="2" t="str">
        <f>"Acido lactico, seus sais ou seus es"</f>
        <v>Acido lactico, seus sais ou seus es</v>
      </c>
    </row>
    <row r="3853" spans="1:2">
      <c r="A3853" s="1" t="str">
        <f>"3004.90.27"</f>
        <v>3004.90.27</v>
      </c>
      <c r="B3853" s="2" t="str">
        <f>"Nitroglicerina, destinada a ser adm"</f>
        <v>Nitroglicerina, destinada a ser adm</v>
      </c>
    </row>
    <row r="3854" spans="1:2">
      <c r="A3854" s="1" t="str">
        <f>"3004.90.28"</f>
        <v>3004.90.28</v>
      </c>
      <c r="B3854" s="2" t="str">
        <f>"Etretinato; fosfestrol ou seus sais"</f>
        <v>Etretinato; fosfestrol ou seus sais</v>
      </c>
    </row>
    <row r="3855" spans="1:2">
      <c r="A3855" s="1" t="str">
        <f>"3004.90.29"</f>
        <v>3004.90.29</v>
      </c>
      <c r="B3855" s="2" t="str">
        <f>"Outros"</f>
        <v>Outros</v>
      </c>
    </row>
    <row r="3856" spans="1:2">
      <c r="A3856" s="1" t="str">
        <f>"3004.90.31"</f>
        <v>3004.90.31</v>
      </c>
      <c r="B3856" s="2" t="str">
        <f>"Sulfato de tranilcipromina; dietilp"</f>
        <v>Sulfato de tranilcipromina; dietilp</v>
      </c>
    </row>
    <row r="3857" spans="1:2">
      <c r="A3857" s="1" t="str">
        <f>"3004.90.32"</f>
        <v>3004.90.32</v>
      </c>
      <c r="B3857" s="2" t="str">
        <f>"Cloridrato de ketamina"</f>
        <v>Cloridrato de ketamina</v>
      </c>
    </row>
    <row r="3858" spans="1:2">
      <c r="A3858" s="1" t="str">
        <f>"3004.90.33"</f>
        <v>3004.90.33</v>
      </c>
      <c r="B3858" s="2" t="str">
        <f>"Clembuterol ou seu cloridrato"</f>
        <v>Clembuterol ou seu cloridrato</v>
      </c>
    </row>
    <row r="3859" spans="1:2">
      <c r="A3859" s="1" t="str">
        <f>"3004.90.34"</f>
        <v>3004.90.34</v>
      </c>
      <c r="B3859" s="2" t="str">
        <f>"Tamoxifen ou seu citrato"</f>
        <v>Tamoxifen ou seu citrato</v>
      </c>
    </row>
    <row r="3860" spans="1:2">
      <c r="A3860" s="1" t="str">
        <f>"3004.90.35"</f>
        <v>3004.90.35</v>
      </c>
      <c r="B3860" s="2" t="str">
        <f>"Levodopa; alfa-metildopa"</f>
        <v>Levodopa; alfa-metildopa</v>
      </c>
    </row>
    <row r="3861" spans="1:2">
      <c r="A3861" s="1" t="str">
        <f>"3004.90.36"</f>
        <v>3004.90.36</v>
      </c>
      <c r="B3861" s="2" t="str">
        <f>"Cloridrato de fenilefrina; mirtecai"</f>
        <v>Cloridrato de fenilefrina; mirtecai</v>
      </c>
    </row>
    <row r="3862" spans="1:2">
      <c r="A3862" s="1" t="str">
        <f>"3004.90.37"</f>
        <v>3004.90.37</v>
      </c>
      <c r="B3862" s="2" t="str">
        <f>"Diclofenaco de sodio; diclofenaco d"</f>
        <v>Diclofenaco de sodio; diclofenaco d</v>
      </c>
    </row>
    <row r="3863" spans="1:2">
      <c r="A3863" s="1" t="str">
        <f>"3004.90.38"</f>
        <v>3004.90.38</v>
      </c>
      <c r="B3863" s="2" t="str">
        <f>"Clorambucil; clormetina (DCI) ou se"</f>
        <v>Clorambucil; clormetina (DCI) ou se</v>
      </c>
    </row>
    <row r="3864" spans="1:2">
      <c r="A3864" s="1" t="str">
        <f>"3004.90.39"</f>
        <v>3004.90.39</v>
      </c>
      <c r="B3864" s="2" t="str">
        <f>"Outros"</f>
        <v>Outros</v>
      </c>
    </row>
    <row r="3865" spans="1:2">
      <c r="A3865" s="1" t="str">
        <f>"3004.90.41"</f>
        <v>3004.90.41</v>
      </c>
      <c r="B3865" s="2" t="str">
        <f>"Metoclopramida ou seu cloridrato; c"</f>
        <v>Metoclopramida ou seu cloridrato; c</v>
      </c>
    </row>
    <row r="3866" spans="1:2">
      <c r="A3866" s="1" t="str">
        <f>"3004.90.42"</f>
        <v>3004.90.42</v>
      </c>
      <c r="B3866" s="2" t="str">
        <f>"Atenolol; prilocaina ou seu cloridr"</f>
        <v>Atenolol; prilocaina ou seu cloridr</v>
      </c>
    </row>
    <row r="3867" spans="1:2">
      <c r="A3867" s="1" t="str">
        <f>"3004.90.43"</f>
        <v>3004.90.43</v>
      </c>
      <c r="B3867" s="2" t="str">
        <f>"Lidocaina ou seu cloridrato; flutam"</f>
        <v>Lidocaina ou seu cloridrato; flutam</v>
      </c>
    </row>
    <row r="3868" spans="1:2">
      <c r="A3868" s="1" t="str">
        <f>"3004.90.44"</f>
        <v>3004.90.44</v>
      </c>
      <c r="B3868" s="2" t="str">
        <f>"Femproporex"</f>
        <v>Femproporex</v>
      </c>
    </row>
    <row r="3869" spans="1:2">
      <c r="A3869" s="1" t="str">
        <f>"3004.90.45"</f>
        <v>3004.90.45</v>
      </c>
      <c r="B3869" s="2" t="str">
        <f>"Paracetamol; bromoprida"</f>
        <v>Paracetamol; bromoprida</v>
      </c>
    </row>
    <row r="3870" spans="1:2">
      <c r="A3870" s="1" t="str">
        <f>"3004.90.46"</f>
        <v>3004.90.46</v>
      </c>
      <c r="B3870" s="2" t="str">
        <f>"Amitraz; cipermetrina"</f>
        <v>Amitraz; cipermetrina</v>
      </c>
    </row>
    <row r="3871" spans="1:2">
      <c r="A3871" s="1" t="str">
        <f>"3004.90.47"</f>
        <v>3004.90.47</v>
      </c>
      <c r="B3871" s="2" t="str">
        <f>"Clorexidina ou seus sais; isetionat"</f>
        <v>Clorexidina ou seus sais; isetionat</v>
      </c>
    </row>
    <row r="3872" spans="1:2">
      <c r="A3872" s="1" t="str">
        <f>"3004.90.48"</f>
        <v>3004.90.48</v>
      </c>
      <c r="B3872" s="2" t="str">
        <f>"Aminoglutetimida; carmustina; defer"</f>
        <v>Aminoglutetimida; carmustina; defer</v>
      </c>
    </row>
    <row r="3873" spans="1:2">
      <c r="A3873" s="1" t="str">
        <f>"3004.90.49"</f>
        <v>3004.90.49</v>
      </c>
      <c r="B3873" s="2" t="str">
        <f>"Outros"</f>
        <v>Outros</v>
      </c>
    </row>
    <row r="3874" spans="1:2">
      <c r="A3874" s="1" t="str">
        <f>"3004.90.51"</f>
        <v>3004.90.51</v>
      </c>
      <c r="B3874" s="2" t="str">
        <f>"Quercetina"</f>
        <v>Quercetina</v>
      </c>
    </row>
    <row r="3875" spans="1:2">
      <c r="A3875" s="1" t="str">
        <f>"3004.90.52"</f>
        <v>3004.90.52</v>
      </c>
      <c r="B3875" s="2" t="str">
        <f>"Tiaprida"</f>
        <v>Tiaprida</v>
      </c>
    </row>
    <row r="3876" spans="1:2">
      <c r="A3876" s="1" t="str">
        <f>"3004.90.53"</f>
        <v>3004.90.53</v>
      </c>
      <c r="B3876" s="2" t="str">
        <f>"Etidronato dissodico"</f>
        <v>Etidronato dissodico</v>
      </c>
    </row>
    <row r="3877" spans="1:2">
      <c r="A3877" s="1" t="str">
        <f>"3004.90.54"</f>
        <v>3004.90.54</v>
      </c>
      <c r="B3877" s="2" t="str">
        <f>"Cloridrato de amiodarona"</f>
        <v>Cloridrato de amiodarona</v>
      </c>
    </row>
    <row r="3878" spans="1:2">
      <c r="A3878" s="1" t="str">
        <f>"3004.90.55"</f>
        <v>3004.90.55</v>
      </c>
      <c r="B3878" s="2" t="str">
        <f>"Nitrovin; moxidectina"</f>
        <v>Nitrovin; moxidectina</v>
      </c>
    </row>
    <row r="3879" spans="1:2">
      <c r="A3879" s="1" t="str">
        <f>"3004.90.57"</f>
        <v>3004.90.57</v>
      </c>
      <c r="B3879" s="2" t="str">
        <f>"Carbocisteina; sulfiram"</f>
        <v>Carbocisteina; sulfiram</v>
      </c>
    </row>
    <row r="3880" spans="1:2">
      <c r="A3880" s="1" t="str">
        <f>"3004.90.58"</f>
        <v>3004.90.58</v>
      </c>
      <c r="B3880" s="2" t="str">
        <f>"Acido clodronico ou seu sal dissodi"</f>
        <v>Acido clodronico ou seu sal dissodi</v>
      </c>
    </row>
    <row r="3881" spans="1:2">
      <c r="A3881" s="1" t="str">
        <f>"3004.90.59"</f>
        <v>3004.90.59</v>
      </c>
      <c r="B3881" s="2" t="str">
        <f>"Outros"</f>
        <v>Outros</v>
      </c>
    </row>
    <row r="3882" spans="1:2">
      <c r="A3882" s="1" t="str">
        <f>"3004.90.61"</f>
        <v>3004.90.61</v>
      </c>
      <c r="B3882" s="2" t="str">
        <f>"Terfenadina; talniflumato; malato a"</f>
        <v>Terfenadina; talniflumato; malato a</v>
      </c>
    </row>
    <row r="3883" spans="1:2">
      <c r="A3883" s="1" t="str">
        <f>"3004.90.62"</f>
        <v>3004.90.62</v>
      </c>
      <c r="B3883" s="2" t="str">
        <f>"Cloridrato de loperamida; fembendaz"</f>
        <v>Cloridrato de loperamida; fembendaz</v>
      </c>
    </row>
    <row r="3884" spans="1:2">
      <c r="A3884" s="1" t="str">
        <f>"3004.90.63"</f>
        <v>3004.90.63</v>
      </c>
      <c r="B3884" s="2" t="str">
        <f>"Albendazol ou seu sulfoxido; mebend"</f>
        <v>Albendazol ou seu sulfoxido; mebend</v>
      </c>
    </row>
    <row r="3885" spans="1:2">
      <c r="A3885" s="1" t="str">
        <f>"3004.90.64"</f>
        <v>3004.90.64</v>
      </c>
      <c r="B3885" s="2" t="str">
        <f>"Alprazolam; bromazepam; clordiazepo"</f>
        <v>Alprazolam; bromazepam; clordiazepo</v>
      </c>
    </row>
    <row r="3886" spans="1:2">
      <c r="A3886" s="1" t="str">
        <f>"3004.90.65"</f>
        <v>3004.90.65</v>
      </c>
      <c r="B3886" s="2" t="str">
        <f>"Benzetimida ou seu cloridrato; feni"</f>
        <v>Benzetimida ou seu cloridrato; feni</v>
      </c>
    </row>
    <row r="3887" spans="1:2">
      <c r="A3887" s="1" t="str">
        <f>"3004.90.66"</f>
        <v>3004.90.66</v>
      </c>
      <c r="B3887" s="2" t="str">
        <f>"Acido 2-(2-metil-3-cloroanilina)nic"</f>
        <v>Acido 2-(2-metil-3-cloroanilina)nic</v>
      </c>
    </row>
    <row r="3888" spans="1:2">
      <c r="A3888" s="1" t="str">
        <f>"3004.90.67"</f>
        <v>3004.90.67</v>
      </c>
      <c r="B3888" s="2" t="str">
        <f>"Enrofloxacina; maleato de enalapril"</f>
        <v>Enrofloxacina; maleato de enalapril</v>
      </c>
    </row>
    <row r="3889" spans="1:2">
      <c r="A3889" s="1" t="str">
        <f>"3004.90.68"</f>
        <v>3004.90.68</v>
      </c>
      <c r="B3889" s="2" t="str">
        <f>"Altretamina; bortezomib; cloridrato"</f>
        <v>Altretamina; bortezomib; cloridrato</v>
      </c>
    </row>
    <row r="3890" spans="1:2">
      <c r="A3890" s="1" t="str">
        <f>"3004.90.69"</f>
        <v>3004.90.69</v>
      </c>
      <c r="B3890" s="2" t="str">
        <f>"Outros"</f>
        <v>Outros</v>
      </c>
    </row>
    <row r="3891" spans="1:2">
      <c r="A3891" s="1" t="str">
        <f>"3004.90.71"</f>
        <v>3004.90.71</v>
      </c>
      <c r="B3891" s="2" t="str">
        <f>"Levamisol ou seus sais; tetramisol"</f>
        <v>Levamisol ou seus sais; tetramisol</v>
      </c>
    </row>
    <row r="3892" spans="1:2">
      <c r="A3892" s="1" t="str">
        <f>"3004.90.72"</f>
        <v>3004.90.72</v>
      </c>
      <c r="B3892" s="2" t="str">
        <f>"Sulfadiazina ou seu sal sodico; sul"</f>
        <v>Sulfadiazina ou seu sal sodico; sul</v>
      </c>
    </row>
    <row r="3893" spans="1:2">
      <c r="A3893" s="1" t="str">
        <f>"3004.90.73"</f>
        <v>3004.90.73</v>
      </c>
      <c r="B3893" s="2" t="str">
        <f>"Cloxazolam; ketazolam; piroxicam; t"</f>
        <v>Cloxazolam; ketazolam; piroxicam; t</v>
      </c>
    </row>
    <row r="3894" spans="1:2">
      <c r="A3894" s="1" t="str">
        <f>"3004.90.74"</f>
        <v>3004.90.74</v>
      </c>
      <c r="B3894" s="2" t="str">
        <f>"Ftalilsulfatiazol; inosina"</f>
        <v>Ftalilsulfatiazol; inosina</v>
      </c>
    </row>
    <row r="3895" spans="1:2">
      <c r="A3895" s="1" t="str">
        <f>"3004.90.75"</f>
        <v>3004.90.75</v>
      </c>
      <c r="B3895" s="2" t="str">
        <f>"Enantato de flufenazina; prometazin"</f>
        <v>Enantato de flufenazina; prometazin</v>
      </c>
    </row>
    <row r="3896" spans="1:2">
      <c r="A3896" s="1" t="str">
        <f>"3004.90.76"</f>
        <v>3004.90.76</v>
      </c>
      <c r="B3896" s="2" t="str">
        <f>"Clortalidona; furosemida"</f>
        <v>Clortalidona; furosemida</v>
      </c>
    </row>
    <row r="3897" spans="1:2">
      <c r="A3897" s="1" t="str">
        <f>"3004.90.77"</f>
        <v>3004.90.77</v>
      </c>
      <c r="B3897" s="2" t="str">
        <f>"Cloridrato de tizanidina; cetoconaz"</f>
        <v>Cloridrato de tizanidina; cetoconaz</v>
      </c>
    </row>
    <row r="3898" spans="1:2">
      <c r="A3898" s="1" t="str">
        <f>"3004.90.78"</f>
        <v>3004.90.78</v>
      </c>
      <c r="B3898" s="2" t="str">
        <f>"Amprenavir; aprepitanto; delavirdin"</f>
        <v>Amprenavir; aprepitanto; delavirdin</v>
      </c>
    </row>
    <row r="3899" spans="1:2">
      <c r="A3899" s="1" t="str">
        <f>"3004.90.79"</f>
        <v>3004.90.79</v>
      </c>
      <c r="B3899" s="2" t="str">
        <f>"Outros"</f>
        <v>Outros</v>
      </c>
    </row>
    <row r="3900" spans="1:2">
      <c r="A3900" s="1" t="str">
        <f>"3004.90.91"</f>
        <v>3004.90.91</v>
      </c>
      <c r="B3900" s="2" t="str">
        <f>"Extrato de polen"</f>
        <v>Extrato de polen</v>
      </c>
    </row>
    <row r="3901" spans="1:2">
      <c r="A3901" s="1" t="str">
        <f>"3004.90.92"</f>
        <v>3004.90.92</v>
      </c>
      <c r="B3901" s="2" t="str">
        <f>"Crisarobina; disofenol"</f>
        <v>Crisarobina; disofenol</v>
      </c>
    </row>
    <row r="3902" spans="1:2">
      <c r="A3902" s="1" t="str">
        <f>"3004.90.93"</f>
        <v>3004.90.93</v>
      </c>
      <c r="B3902" s="2" t="str">
        <f>"Diclofenaco resinato"</f>
        <v>Diclofenaco resinato</v>
      </c>
    </row>
    <row r="3903" spans="1:2">
      <c r="A3903" s="1" t="str">
        <f>"3004.90.94"</f>
        <v>3004.90.94</v>
      </c>
      <c r="B3903" s="2" t="str">
        <f>"Silimarina"</f>
        <v>Silimarina</v>
      </c>
    </row>
    <row r="3904" spans="1:2">
      <c r="A3904" s="1" t="str">
        <f>"3004.90.95"</f>
        <v>3004.90.95</v>
      </c>
      <c r="B3904" s="2" t="str">
        <f>"Bussulfano; dexormaplatina; dietile"</f>
        <v>Bussulfano; dexormaplatina; dietile</v>
      </c>
    </row>
    <row r="3905" spans="1:2">
      <c r="A3905" s="1" t="str">
        <f>"3004.90.96"</f>
        <v>3004.90.96</v>
      </c>
      <c r="B3905" s="2" t="str">
        <f>"Complexo de ferro dextrana"</f>
        <v>Complexo de ferro dextrana</v>
      </c>
    </row>
    <row r="3906" spans="1:2">
      <c r="A3906" s="1" t="str">
        <f>"3004.90.99"</f>
        <v>3004.90.99</v>
      </c>
      <c r="B3906" s="2" t="str">
        <f>"Outros"</f>
        <v>Outros</v>
      </c>
    </row>
    <row r="3907" spans="1:2">
      <c r="A3907" s="1" t="str">
        <f>"3005.10.10"</f>
        <v>3005.10.10</v>
      </c>
      <c r="B3907" s="2" t="str">
        <f>"Impregnados ou recobertos de substa"</f>
        <v>Impregnados ou recobertos de substa</v>
      </c>
    </row>
    <row r="3908" spans="1:2">
      <c r="A3908" s="1" t="str">
        <f>"3005.10.20"</f>
        <v>3005.10.20</v>
      </c>
      <c r="B3908" s="2" t="str">
        <f>"Curativos (pensos) cirurgicos que p"</f>
        <v>Curativos (pensos) cirurgicos que p</v>
      </c>
    </row>
    <row r="3909" spans="1:2">
      <c r="A3909" s="1" t="str">
        <f>"3005.10.30"</f>
        <v>3005.10.30</v>
      </c>
      <c r="B3909" s="2" t="str">
        <f>"Curativos (pensos) impermeaveis apl"</f>
        <v>Curativos (pensos) impermeaveis apl</v>
      </c>
    </row>
    <row r="3910" spans="1:2">
      <c r="A3910" s="1" t="str">
        <f>"3005.10.40"</f>
        <v>3005.10.40</v>
      </c>
      <c r="B3910" s="2" t="str">
        <f>"Curativos (pensos) com obturador pr"</f>
        <v>Curativos (pensos) com obturador pr</v>
      </c>
    </row>
    <row r="3911" spans="1:2">
      <c r="A3911" s="1" t="str">
        <f>"3005.10.50"</f>
        <v>3005.10.50</v>
      </c>
      <c r="B3911" s="2" t="str">
        <f>"Curativos (pensos) com fecho de cor"</f>
        <v>Curativos (pensos) com fecho de cor</v>
      </c>
    </row>
    <row r="3912" spans="1:2">
      <c r="A3912" s="1" t="str">
        <f>"3005.10.90"</f>
        <v>3005.10.90</v>
      </c>
      <c r="B3912" s="2" t="str">
        <f>"Outros"</f>
        <v>Outros</v>
      </c>
    </row>
    <row r="3913" spans="1:2">
      <c r="A3913" s="1" t="str">
        <f>"3005.90.11"</f>
        <v>3005.90.11</v>
      </c>
      <c r="B3913" s="2" t="str">
        <f>"De acido poliglicolico"</f>
        <v>De acido poliglicolico</v>
      </c>
    </row>
    <row r="3914" spans="1:2">
      <c r="A3914" s="1" t="str">
        <f>"3005.90.12"</f>
        <v>3005.90.12</v>
      </c>
      <c r="B3914" s="2" t="str">
        <f>"De copolimeros de acido glicolico e"</f>
        <v>De copolimeros de acido glicolico e</v>
      </c>
    </row>
    <row r="3915" spans="1:2">
      <c r="A3915" s="1" t="str">
        <f>"3005.90.19"</f>
        <v>3005.90.19</v>
      </c>
      <c r="B3915" s="2" t="str">
        <f>"Outros"</f>
        <v>Outros</v>
      </c>
    </row>
    <row r="3916" spans="1:2">
      <c r="A3916" s="1" t="str">
        <f>"3005.90.20"</f>
        <v>3005.90.20</v>
      </c>
      <c r="B3916" s="2" t="str">
        <f>"Campos cirurgicos, de falso tecido"</f>
        <v>Campos cirurgicos, de falso tecido</v>
      </c>
    </row>
    <row r="3917" spans="1:2">
      <c r="A3917" s="1" t="str">
        <f>"3005.90.90"</f>
        <v>3005.90.90</v>
      </c>
      <c r="B3917" s="2" t="str">
        <f>"Outros"</f>
        <v>Outros</v>
      </c>
    </row>
    <row r="3918" spans="1:2">
      <c r="A3918" s="1" t="str">
        <f>"3006.10.10"</f>
        <v>3006.10.10</v>
      </c>
      <c r="B3918" s="2" t="str">
        <f>"Materiais para suturas cirurgicas,"</f>
        <v>Materiais para suturas cirurgicas,</v>
      </c>
    </row>
    <row r="3919" spans="1:2">
      <c r="A3919" s="1" t="str">
        <f>"3006.10.20"</f>
        <v>3006.10.20</v>
      </c>
      <c r="B3919" s="2" t="str">
        <f>"Materiais para suturas cirurgicas,"</f>
        <v>Materiais para suturas cirurgicas,</v>
      </c>
    </row>
    <row r="3920" spans="1:2">
      <c r="A3920" s="1" t="str">
        <f>"3006.10.90"</f>
        <v>3006.10.90</v>
      </c>
      <c r="B3920" s="2" t="str">
        <f>"Outros"</f>
        <v>Outros</v>
      </c>
    </row>
    <row r="3921" spans="1:2">
      <c r="A3921" s="1" t="str">
        <f>"3006.20.00"</f>
        <v>3006.20.00</v>
      </c>
      <c r="B3921" s="2" t="str">
        <f>"Reagentes destinados a determinacao"</f>
        <v>Reagentes destinados a determinacao</v>
      </c>
    </row>
    <row r="3922" spans="1:2">
      <c r="A3922" s="1" t="str">
        <f>"3006.30.11"</f>
        <v>3006.30.11</v>
      </c>
      <c r="B3922" s="2" t="str">
        <f>"A base de ioexol"</f>
        <v>A base de ioexol</v>
      </c>
    </row>
    <row r="3923" spans="1:2">
      <c r="A3923" s="1" t="str">
        <f>"3006.30.12"</f>
        <v>3006.30.12</v>
      </c>
      <c r="B3923" s="2" t="str">
        <f>"A base de iocarmato de dimeglumina"</f>
        <v>A base de iocarmato de dimeglumina</v>
      </c>
    </row>
    <row r="3924" spans="1:2">
      <c r="A3924" s="1" t="str">
        <f>"3006.30.13"</f>
        <v>3006.30.13</v>
      </c>
      <c r="B3924" s="2" t="str">
        <f>"A base de iopamidol"</f>
        <v>A base de iopamidol</v>
      </c>
    </row>
    <row r="3925" spans="1:2">
      <c r="A3925" s="1" t="str">
        <f>"3006.30.15"</f>
        <v>3006.30.15</v>
      </c>
      <c r="B3925" s="2" t="str">
        <f>"A base de dioxido de zirconio e sul"</f>
        <v>A base de dioxido de zirconio e sul</v>
      </c>
    </row>
    <row r="3926" spans="1:2">
      <c r="A3926" s="1" t="str">
        <f>"3006.30.16"</f>
        <v>3006.30.16</v>
      </c>
      <c r="B3926" s="2" t="str">
        <f>"A base de diatrizoato de sodio ou d"</f>
        <v>A base de diatrizoato de sodio ou d</v>
      </c>
    </row>
    <row r="3927" spans="1:2">
      <c r="A3927" s="1" t="str">
        <f>"3006.30.17"</f>
        <v>3006.30.17</v>
      </c>
      <c r="B3927" s="2" t="str">
        <f>"A base de ioversol ou de iopromida"</f>
        <v>A base de ioversol ou de iopromida</v>
      </c>
    </row>
    <row r="3928" spans="1:2">
      <c r="A3928" s="1" t="str">
        <f>"3006.30.18"</f>
        <v>3006.30.18</v>
      </c>
      <c r="B3928" s="2" t="str">
        <f>"A base de iotalamato de sodio, de i"</f>
        <v>A base de iotalamato de sodio, de i</v>
      </c>
    </row>
    <row r="3929" spans="1:2">
      <c r="A3929" s="1" t="str">
        <f>"3006.30.19"</f>
        <v>3006.30.19</v>
      </c>
      <c r="B3929" s="2" t="str">
        <f>"Outras"</f>
        <v>Outras</v>
      </c>
    </row>
    <row r="3930" spans="1:2">
      <c r="A3930" s="1" t="str">
        <f>"3006.30.21"</f>
        <v>3006.30.21</v>
      </c>
      <c r="B3930" s="2" t="str">
        <f>"A base de somatoliberina"</f>
        <v>A base de somatoliberina</v>
      </c>
    </row>
    <row r="3931" spans="1:2">
      <c r="A3931" s="1" t="str">
        <f>"3006.30.29"</f>
        <v>3006.30.29</v>
      </c>
      <c r="B3931" s="2" t="str">
        <f>"Outros"</f>
        <v>Outros</v>
      </c>
    </row>
    <row r="3932" spans="1:2">
      <c r="A3932" s="1" t="str">
        <f>"3006.40.11"</f>
        <v>3006.40.11</v>
      </c>
      <c r="B3932" s="2" t="str">
        <f>"Cimentos"</f>
        <v>Cimentos</v>
      </c>
    </row>
    <row r="3933" spans="1:2">
      <c r="A3933" s="1" t="str">
        <f>"3006.40.12"</f>
        <v>3006.40.12</v>
      </c>
      <c r="B3933" s="2" t="str">
        <f>"Outros produtos para obturacao dent"</f>
        <v>Outros produtos para obturacao dent</v>
      </c>
    </row>
    <row r="3934" spans="1:2">
      <c r="A3934" s="1" t="str">
        <f>"3006.40.20"</f>
        <v>3006.40.20</v>
      </c>
      <c r="B3934" s="2" t="str">
        <f>"Cimentos para reconstituicao ossea"</f>
        <v>Cimentos para reconstituicao ossea</v>
      </c>
    </row>
    <row r="3935" spans="1:2">
      <c r="A3935" s="1" t="str">
        <f>"3006.50.00"</f>
        <v>3006.50.00</v>
      </c>
      <c r="B3935" s="2" t="str">
        <f>"Estojos e caixas de primeiros-socor"</f>
        <v>Estojos e caixas de primeiros-socor</v>
      </c>
    </row>
    <row r="3936" spans="1:2">
      <c r="A3936" s="1" t="str">
        <f>"3006.60.00"</f>
        <v>3006.60.00</v>
      </c>
      <c r="B3936" s="2" t="str">
        <f>"Preparacoes quimicas contraceptivas"</f>
        <v>Preparacoes quimicas contraceptivas</v>
      </c>
    </row>
    <row r="3937" spans="1:2">
      <c r="A3937" s="1" t="str">
        <f>"3006.70.00"</f>
        <v>3006.70.00</v>
      </c>
      <c r="B3937" s="2" t="str">
        <f>"Preparacoes sob a forma de gel, con"</f>
        <v>Preparacoes sob a forma de gel, con</v>
      </c>
    </row>
    <row r="3938" spans="1:2">
      <c r="A3938" s="1" t="str">
        <f>"3006.91.10"</f>
        <v>3006.91.10</v>
      </c>
      <c r="B3938" s="2" t="str">
        <f>"Bolsas para colostomia, ileostomia"</f>
        <v>Bolsas para colostomia, ileostomia</v>
      </c>
    </row>
    <row r="3939" spans="1:2">
      <c r="A3939" s="1" t="str">
        <f>"3006.91.90"</f>
        <v>3006.91.90</v>
      </c>
      <c r="B3939" s="2" t="str">
        <f>"Outros"</f>
        <v>Outros</v>
      </c>
    </row>
    <row r="3940" spans="1:2">
      <c r="A3940" s="1" t="str">
        <f>"3006.92.00"</f>
        <v>3006.92.00</v>
      </c>
      <c r="B3940" s="2" t="str">
        <f>"Desperdicios farmaceuticos"</f>
        <v>Desperdicios farmaceuticos</v>
      </c>
    </row>
    <row r="3941" spans="1:2">
      <c r="A3941" s="1" t="str">
        <f>"3101.00.00"</f>
        <v>3101.00.00</v>
      </c>
      <c r="B3941" s="2" t="str">
        <f>"Adubos (fertilizantes) de origem an"</f>
        <v>Adubos (fertilizantes) de origem an</v>
      </c>
    </row>
    <row r="3942" spans="1:2">
      <c r="A3942" s="1" t="str">
        <f>"3102.10.10"</f>
        <v>3102.10.10</v>
      </c>
      <c r="B3942" s="2" t="str">
        <f>"Com um teor de nitrogenio (azoto) s"</f>
        <v>Com um teor de nitrogenio (azoto) s</v>
      </c>
    </row>
    <row r="3943" spans="1:2">
      <c r="A3943" s="1" t="str">
        <f>"3102.10.90"</f>
        <v>3102.10.90</v>
      </c>
      <c r="B3943" s="2" t="str">
        <f>"Outra"</f>
        <v>Outra</v>
      </c>
    </row>
    <row r="3944" spans="1:2">
      <c r="A3944" s="1" t="str">
        <f>"3102.21.00"</f>
        <v>3102.21.00</v>
      </c>
      <c r="B3944" s="2" t="str">
        <f>"Sulfato de amonio"</f>
        <v>Sulfato de amonio</v>
      </c>
    </row>
    <row r="3945" spans="1:2">
      <c r="A3945" s="1" t="str">
        <f>"3102.29.10"</f>
        <v>3102.29.10</v>
      </c>
      <c r="B3945" s="2" t="str">
        <f>"Sulfonitrato de amonio"</f>
        <v>Sulfonitrato de amonio</v>
      </c>
    </row>
    <row r="3946" spans="1:2">
      <c r="A3946" s="1" t="str">
        <f>"3102.29.90"</f>
        <v>3102.29.90</v>
      </c>
      <c r="B3946" s="2" t="str">
        <f>"Outros"</f>
        <v>Outros</v>
      </c>
    </row>
    <row r="3947" spans="1:2">
      <c r="A3947" s="1" t="str">
        <f>"3102.30.00"</f>
        <v>3102.30.00</v>
      </c>
      <c r="B3947" s="2" t="str">
        <f>"Nitrato de amonio, mesmo em solucao"</f>
        <v>Nitrato de amonio, mesmo em solucao</v>
      </c>
    </row>
    <row r="3948" spans="1:2">
      <c r="A3948" s="1" t="str">
        <f>"3102.40.00"</f>
        <v>3102.40.00</v>
      </c>
      <c r="B3948" s="2" t="str">
        <f>"Misturas de nitrato de amonio com c"</f>
        <v>Misturas de nitrato de amonio com c</v>
      </c>
    </row>
    <row r="3949" spans="1:2">
      <c r="A3949" s="1" t="str">
        <f>"3102.50.11"</f>
        <v>3102.50.11</v>
      </c>
      <c r="B3949" s="2" t="str">
        <f>"Com um teor de nitrogenio (azoto) n"</f>
        <v>Com um teor de nitrogenio (azoto) n</v>
      </c>
    </row>
    <row r="3950" spans="1:2">
      <c r="A3950" s="1" t="str">
        <f>"3102.50.19"</f>
        <v>3102.50.19</v>
      </c>
      <c r="B3950" s="2" t="str">
        <f>"Outro"</f>
        <v>Outro</v>
      </c>
    </row>
    <row r="3951" spans="1:2">
      <c r="A3951" s="1" t="str">
        <f>"3102.50.90"</f>
        <v>3102.50.90</v>
      </c>
      <c r="B3951" s="2" t="str">
        <f>"Outro"</f>
        <v>Outro</v>
      </c>
    </row>
    <row r="3952" spans="1:2">
      <c r="A3952" s="1" t="str">
        <f>"3102.60.00"</f>
        <v>3102.60.00</v>
      </c>
      <c r="B3952" s="2" t="str">
        <f>"Sais duplos e misturas de nitrato d"</f>
        <v>Sais duplos e misturas de nitrato d</v>
      </c>
    </row>
    <row r="3953" spans="1:2">
      <c r="A3953" s="1" t="str">
        <f>"3102.80.00"</f>
        <v>3102.80.00</v>
      </c>
      <c r="B3953" s="2" t="str">
        <f>"Misturas de ureia com nitrato de am"</f>
        <v>Misturas de ureia com nitrato de am</v>
      </c>
    </row>
    <row r="3954" spans="1:2">
      <c r="A3954" s="1" t="str">
        <f>"3102.90.00"</f>
        <v>3102.90.00</v>
      </c>
      <c r="B3954" s="2" t="str">
        <f>"Outros, incluindo as misturas nao m"</f>
        <v>Outros, incluindo as misturas nao m</v>
      </c>
    </row>
    <row r="3955" spans="1:2">
      <c r="A3955" s="1" t="str">
        <f>"3103.11.00"</f>
        <v>3103.11.00</v>
      </c>
      <c r="B3955" s="2" t="str">
        <f>"Que contenham, em peso, 35 % ou mai"</f>
        <v>Que contenham, em peso, 35 % ou mai</v>
      </c>
    </row>
    <row r="3956" spans="1:2">
      <c r="A3956" s="1" t="str">
        <f>"3103.19.00"</f>
        <v>3103.19.00</v>
      </c>
      <c r="B3956" s="2" t="str">
        <f>"Outros"</f>
        <v>Outros</v>
      </c>
    </row>
    <row r="3957" spans="1:2">
      <c r="A3957" s="1" t="str">
        <f>"3103.90.11"</f>
        <v>3103.90.11</v>
      </c>
      <c r="B3957" s="2" t="str">
        <f>"Com um teor de pentoxido de difosfo"</f>
        <v>Com um teor de pentoxido de difosfo</v>
      </c>
    </row>
    <row r="3958" spans="1:2">
      <c r="A3958" s="1" t="str">
        <f>"3103.90.19"</f>
        <v>3103.90.19</v>
      </c>
      <c r="B3958" s="2" t="str">
        <f>"Outros"</f>
        <v>Outros</v>
      </c>
    </row>
    <row r="3959" spans="1:2">
      <c r="A3959" s="1" t="str">
        <f>"3103.90.90"</f>
        <v>3103.90.90</v>
      </c>
      <c r="B3959" s="2" t="str">
        <f>"Outros"</f>
        <v>Outros</v>
      </c>
    </row>
    <row r="3960" spans="1:2">
      <c r="A3960" s="1" t="str">
        <f>"3104.20.10"</f>
        <v>3104.20.10</v>
      </c>
      <c r="B3960" s="2" t="str">
        <f>"Com um teor de oxido de potassio (K"</f>
        <v>Com um teor de oxido de potassio (K</v>
      </c>
    </row>
    <row r="3961" spans="1:2">
      <c r="A3961" s="1" t="str">
        <f>"3104.20.90"</f>
        <v>3104.20.90</v>
      </c>
      <c r="B3961" s="2" t="str">
        <f>"Outros"</f>
        <v>Outros</v>
      </c>
    </row>
    <row r="3962" spans="1:2">
      <c r="A3962" s="1" t="str">
        <f>"3104.30.10"</f>
        <v>3104.30.10</v>
      </c>
      <c r="B3962" s="2" t="str">
        <f>"Com um teor de oxido de potassio (K"</f>
        <v>Com um teor de oxido de potassio (K</v>
      </c>
    </row>
    <row r="3963" spans="1:2">
      <c r="A3963" s="1" t="str">
        <f>"3104.30.90"</f>
        <v>3104.30.90</v>
      </c>
      <c r="B3963" s="2" t="str">
        <f>"Outros"</f>
        <v>Outros</v>
      </c>
    </row>
    <row r="3964" spans="1:2">
      <c r="A3964" s="1" t="str">
        <f>"3104.90.10"</f>
        <v>3104.90.10</v>
      </c>
      <c r="B3964" s="2" t="str">
        <f>"Sulfato duplo de potassio e magnesi"</f>
        <v>Sulfato duplo de potassio e magnesi</v>
      </c>
    </row>
    <row r="3965" spans="1:2">
      <c r="A3965" s="1" t="str">
        <f>"3104.90.90"</f>
        <v>3104.90.90</v>
      </c>
      <c r="B3965" s="2" t="str">
        <f>"Outros"</f>
        <v>Outros</v>
      </c>
    </row>
    <row r="3966" spans="1:2">
      <c r="A3966" s="1" t="str">
        <f>"3105.10.00"</f>
        <v>3105.10.00</v>
      </c>
      <c r="B3966" s="2" t="str">
        <f>"PROD PRES CAP EM TABLET EMBAL 10KG"</f>
        <v>PROD PRES CAP EM TABLET EMBAL 10KG</v>
      </c>
    </row>
    <row r="3967" spans="1:2">
      <c r="A3967" s="1" t="str">
        <f>"3105.20.00"</f>
        <v>3105.20.00</v>
      </c>
      <c r="B3967" s="2" t="str">
        <f>"Adubos (fertilizantes) minerais ou"</f>
        <v>Adubos (fertilizantes) minerais ou</v>
      </c>
    </row>
    <row r="3968" spans="1:2">
      <c r="A3968" s="1" t="str">
        <f>"3105.30.10"</f>
        <v>3105.30.10</v>
      </c>
      <c r="B3968" s="2" t="str">
        <f>"Com um teor de arsenio igual ou sup"</f>
        <v>Com um teor de arsenio igual ou sup</v>
      </c>
    </row>
    <row r="3969" spans="1:2">
      <c r="A3969" s="1" t="str">
        <f>"3105.30.90"</f>
        <v>3105.30.90</v>
      </c>
      <c r="B3969" s="2" t="str">
        <f>"Outros"</f>
        <v>Outros</v>
      </c>
    </row>
    <row r="3970" spans="1:2">
      <c r="A3970" s="1" t="str">
        <f>"3105.40.00"</f>
        <v>3105.40.00</v>
      </c>
      <c r="B3970" s="2" t="str">
        <f>"Diidrogeno-ortofosfato de amonio (f"</f>
        <v>Diidrogeno-ortofosfato de amonio (f</v>
      </c>
    </row>
    <row r="3971" spans="1:2">
      <c r="A3971" s="1" t="str">
        <f>"3105.51.00"</f>
        <v>3105.51.00</v>
      </c>
      <c r="B3971" s="2" t="str">
        <f>"Que contenham nitratos e fosfatos"</f>
        <v>Que contenham nitratos e fosfatos</v>
      </c>
    </row>
    <row r="3972" spans="1:2">
      <c r="A3972" s="1" t="str">
        <f>"3105.59.00"</f>
        <v>3105.59.00</v>
      </c>
      <c r="B3972" s="2" t="str">
        <f>"Outros"</f>
        <v>Outros</v>
      </c>
    </row>
    <row r="3973" spans="1:2">
      <c r="A3973" s="1" t="str">
        <f>"3105.60.00"</f>
        <v>3105.60.00</v>
      </c>
      <c r="B3973" s="2" t="str">
        <f>"Adubos (fertilizantes) minerais ou"</f>
        <v>Adubos (fertilizantes) minerais ou</v>
      </c>
    </row>
    <row r="3974" spans="1:2">
      <c r="A3974" s="1" t="str">
        <f>"3105.90.11"</f>
        <v>3105.90.11</v>
      </c>
      <c r="B3974" s="2" t="str">
        <f>"Com um teor de nitrogenio (azoto) n"</f>
        <v>Com um teor de nitrogenio (azoto) n</v>
      </c>
    </row>
    <row r="3975" spans="1:2">
      <c r="A3975" s="1" t="str">
        <f>"3105.90.19"</f>
        <v>3105.90.19</v>
      </c>
      <c r="B3975" s="2" t="str">
        <f>"Outros"</f>
        <v>Outros</v>
      </c>
    </row>
    <row r="3976" spans="1:2">
      <c r="A3976" s="1" t="str">
        <f>"3105.90.90"</f>
        <v>3105.90.90</v>
      </c>
      <c r="B3976" s="2" t="str">
        <f>"Outros"</f>
        <v>Outros</v>
      </c>
    </row>
    <row r="3977" spans="1:2">
      <c r="A3977" s="1" t="str">
        <f>"3201.10.00"</f>
        <v>3201.10.00</v>
      </c>
      <c r="B3977" s="2" t="str">
        <f>"Extrato de quebracho"</f>
        <v>Extrato de quebracho</v>
      </c>
    </row>
    <row r="3978" spans="1:2">
      <c r="A3978" s="1" t="str">
        <f>"3201.20.00"</f>
        <v>3201.20.00</v>
      </c>
      <c r="B3978" s="2" t="str">
        <f>"Extrato de mimosa"</f>
        <v>Extrato de mimosa</v>
      </c>
    </row>
    <row r="3979" spans="1:2">
      <c r="A3979" s="1" t="str">
        <f>"3201.90.11"</f>
        <v>3201.90.11</v>
      </c>
      <c r="B3979" s="2" t="str">
        <f>"De gambir"</f>
        <v>De gambir</v>
      </c>
    </row>
    <row r="3980" spans="1:2">
      <c r="A3980" s="1" t="str">
        <f>"3201.90.12"</f>
        <v>3201.90.12</v>
      </c>
      <c r="B3980" s="2" t="str">
        <f>"De carvalho ou de castanheiro"</f>
        <v>De carvalho ou de castanheiro</v>
      </c>
    </row>
    <row r="3981" spans="1:2">
      <c r="A3981" s="1" t="str">
        <f>"3201.90.19"</f>
        <v>3201.90.19</v>
      </c>
      <c r="B3981" s="2" t="str">
        <f>"Outros"</f>
        <v>Outros</v>
      </c>
    </row>
    <row r="3982" spans="1:2">
      <c r="A3982" s="1" t="str">
        <f>"3201.90.20"</f>
        <v>3201.90.20</v>
      </c>
      <c r="B3982" s="2" t="str">
        <f>"Taninos"</f>
        <v>Taninos</v>
      </c>
    </row>
    <row r="3983" spans="1:2">
      <c r="A3983" s="1" t="str">
        <f>"3201.90.90"</f>
        <v>3201.90.90</v>
      </c>
      <c r="B3983" s="2" t="str">
        <f>"outros"</f>
        <v>outros</v>
      </c>
    </row>
    <row r="3984" spans="1:2">
      <c r="A3984" s="1" t="str">
        <f>"3202.10.00"</f>
        <v>3202.10.00</v>
      </c>
      <c r="B3984" s="2" t="str">
        <f>"Produtos tanantes organicos sinteti"</f>
        <v>Produtos tanantes organicos sinteti</v>
      </c>
    </row>
    <row r="3985" spans="1:2">
      <c r="A3985" s="1" t="str">
        <f>"3202.90.11"</f>
        <v>3202.90.11</v>
      </c>
      <c r="B3985" s="2" t="str">
        <f>"A base de sais de cromo"</f>
        <v>A base de sais de cromo</v>
      </c>
    </row>
    <row r="3986" spans="1:2">
      <c r="A3986" s="1" t="str">
        <f>"3202.90.12"</f>
        <v>3202.90.12</v>
      </c>
      <c r="B3986" s="2" t="str">
        <f>"A base de sais de titanio"</f>
        <v>A base de sais de titanio</v>
      </c>
    </row>
    <row r="3987" spans="1:2">
      <c r="A3987" s="1" t="str">
        <f>"3202.90.13"</f>
        <v>3202.90.13</v>
      </c>
      <c r="B3987" s="2" t="str">
        <f>"A base de sais de zirconio"</f>
        <v>A base de sais de zirconio</v>
      </c>
    </row>
    <row r="3988" spans="1:2">
      <c r="A3988" s="1" t="str">
        <f>"3202.90.19"</f>
        <v>3202.90.19</v>
      </c>
      <c r="B3988" s="2" t="str">
        <f>"Outros"</f>
        <v>Outros</v>
      </c>
    </row>
    <row r="3989" spans="1:2">
      <c r="A3989" s="1" t="str">
        <f>"3202.90.21"</f>
        <v>3202.90.21</v>
      </c>
      <c r="B3989" s="2" t="str">
        <f>"A base de compostos de cromo"</f>
        <v>A base de compostos de cromo</v>
      </c>
    </row>
    <row r="3990" spans="1:2">
      <c r="A3990" s="1" t="str">
        <f>"3202.90.29"</f>
        <v>3202.90.29</v>
      </c>
      <c r="B3990" s="2" t="str">
        <f>"OUTROS - TABERHAD - 719"</f>
        <v>OUTROS - TABERHAD - 719</v>
      </c>
    </row>
    <row r="3991" spans="1:2">
      <c r="A3991" s="1" t="str">
        <f>"3202.90.30"</f>
        <v>3202.90.30</v>
      </c>
      <c r="B3991" s="2" t="str">
        <f>"Preparacoes enzimaticas para a pre-"</f>
        <v>Preparacoes enzimaticas para a pre-</v>
      </c>
    </row>
    <row r="3992" spans="1:2">
      <c r="A3992" s="1" t="str">
        <f>"3203.00.11"</f>
        <v>3203.00.11</v>
      </c>
      <c r="B3992" s="2" t="str">
        <f>"Hemateina"</f>
        <v>Hemateina</v>
      </c>
    </row>
    <row r="3993" spans="1:2">
      <c r="A3993" s="1" t="str">
        <f>"3203.00.12"</f>
        <v>3203.00.12</v>
      </c>
      <c r="B3993" s="2" t="str">
        <f>"Fisetina"</f>
        <v>Fisetina</v>
      </c>
    </row>
    <row r="3994" spans="1:2">
      <c r="A3994" s="1" t="str">
        <f>"3203.00.13"</f>
        <v>3203.00.13</v>
      </c>
      <c r="B3994" s="2" t="str">
        <f>"Morina"</f>
        <v>Morina</v>
      </c>
    </row>
    <row r="3995" spans="1:2">
      <c r="A3995" s="1" t="str">
        <f>"3203.00.19"</f>
        <v>3203.00.19</v>
      </c>
      <c r="B3995" s="2" t="str">
        <f>"Outras"</f>
        <v>Outras</v>
      </c>
    </row>
    <row r="3996" spans="1:2">
      <c r="A3996" s="1" t="str">
        <f>"3203.00.21"</f>
        <v>3203.00.21</v>
      </c>
      <c r="B3996" s="2" t="str">
        <f>"Carmim de cochonilha"</f>
        <v>Carmim de cochonilha</v>
      </c>
    </row>
    <row r="3997" spans="1:2">
      <c r="A3997" s="1" t="str">
        <f>"3203.00.29"</f>
        <v>3203.00.29</v>
      </c>
      <c r="B3997" s="2" t="str">
        <f>"Outras"</f>
        <v>Outras</v>
      </c>
    </row>
    <row r="3998" spans="1:2">
      <c r="A3998" s="1" t="str">
        <f>"3203.00.30"</f>
        <v>3203.00.30</v>
      </c>
      <c r="B3998" s="2" t="str">
        <f>"Preparacoes indicadas na Nota 3 do"</f>
        <v>Preparacoes indicadas na Nota 3 do</v>
      </c>
    </row>
    <row r="3999" spans="1:2">
      <c r="A3999" s="1" t="str">
        <f>"3204.11.00"</f>
        <v>3204.11.00</v>
      </c>
      <c r="B3999" s="2" t="str">
        <f>"Corantes dispersos e preparacoes a"</f>
        <v>Corantes dispersos e preparacoes a</v>
      </c>
    </row>
    <row r="4000" spans="1:2">
      <c r="A4000" s="1" t="str">
        <f>"3204.12.10"</f>
        <v>3204.12.10</v>
      </c>
      <c r="B4000" s="2" t="str">
        <f>"CORANT ÁCIDO MET, PREPARAÇ BASE"</f>
        <v>CORANT ÁCIDO MET, PREPARAÇ BASE</v>
      </c>
    </row>
    <row r="4001" spans="1:2">
      <c r="A4001" s="1" t="str">
        <f>"3204.12.20"</f>
        <v>3204.12.20</v>
      </c>
      <c r="B4001" s="2" t="str">
        <f>"Corantes mordentes e preparacoes a"</f>
        <v>Corantes mordentes e preparacoes a</v>
      </c>
    </row>
    <row r="4002" spans="1:2">
      <c r="A4002" s="1" t="str">
        <f>"3204.13.00"</f>
        <v>3204.13.00</v>
      </c>
      <c r="B4002" s="2" t="str">
        <f>"CORANTES BÁSICOS E SUAS BASES"</f>
        <v>CORANTES BÁSICOS E SUAS BASES</v>
      </c>
    </row>
    <row r="4003" spans="1:2">
      <c r="A4003" s="1" t="str">
        <f>"3204.14.00"</f>
        <v>3204.14.00</v>
      </c>
      <c r="B4003" s="2" t="str">
        <f>"Corantes diretos e preparacoes a ba"</f>
        <v>Corantes diretos e preparacoes a ba</v>
      </c>
    </row>
    <row r="4004" spans="1:2">
      <c r="A4004" s="1" t="str">
        <f>"3204.15.10"</f>
        <v>3204.15.10</v>
      </c>
      <c r="B4004" s="2" t="str">
        <f>"Indigo blue segundo Colour Index 73"</f>
        <v>Indigo blue segundo Colour Index 73</v>
      </c>
    </row>
    <row r="4005" spans="1:2">
      <c r="A4005" s="1" t="str">
        <f>"3204.15.20"</f>
        <v>3204.15.20</v>
      </c>
      <c r="B4005" s="2" t="str">
        <f>"Dibenzantrona"</f>
        <v>Dibenzantrona</v>
      </c>
    </row>
    <row r="4006" spans="1:2">
      <c r="A4006" s="1" t="str">
        <f>"3204.15.30"</f>
        <v>3204.15.30</v>
      </c>
      <c r="B4006" s="2" t="str">
        <f>"12,12-Dimetoxidibenzantrona"</f>
        <v>12,12-Dimetoxidibenzantrona</v>
      </c>
    </row>
    <row r="4007" spans="1:2">
      <c r="A4007" s="1" t="str">
        <f>"3204.15.90"</f>
        <v>3204.15.90</v>
      </c>
      <c r="B4007" s="2" t="str">
        <f>"Outros"</f>
        <v>Outros</v>
      </c>
    </row>
    <row r="4008" spans="1:2">
      <c r="A4008" s="1" t="str">
        <f>"3204.16.00"</f>
        <v>3204.16.00</v>
      </c>
      <c r="B4008" s="2" t="str">
        <f>"Corantes reagentes e preparacoes a"</f>
        <v>Corantes reagentes e preparacoes a</v>
      </c>
    </row>
    <row r="4009" spans="1:2">
      <c r="A4009" s="1" t="str">
        <f>"3204.17.00"</f>
        <v>3204.17.00</v>
      </c>
      <c r="B4009" s="2" t="str">
        <f>"PIGMENTOS E PREPARAÇÕES À BASE DESS"</f>
        <v>PIGMENTOS E PREPARAÇÕES À BASE DESS</v>
      </c>
    </row>
    <row r="4010" spans="1:2">
      <c r="A4010" s="1" t="str">
        <f>"3204.19.11"</f>
        <v>3204.19.11</v>
      </c>
      <c r="B4010" s="2" t="str">
        <f>"Carotenoides"</f>
        <v>Carotenoides</v>
      </c>
    </row>
    <row r="4011" spans="1:2">
      <c r="A4011" s="1" t="str">
        <f>"3204.19.12"</f>
        <v>3204.19.12</v>
      </c>
      <c r="B4011" s="2" t="str">
        <f>"Preparacoes contendo beta-caroteno,"</f>
        <v>Preparacoes contendo beta-caroteno,</v>
      </c>
    </row>
    <row r="4012" spans="1:2">
      <c r="A4012" s="1" t="str">
        <f>"3204.19.13"</f>
        <v>3204.19.13</v>
      </c>
      <c r="B4012" s="2" t="str">
        <f>"Outras preparacoes proprias para co"</f>
        <v>Outras preparacoes proprias para co</v>
      </c>
    </row>
    <row r="4013" spans="1:2">
      <c r="A4013" s="1" t="str">
        <f>"3204.19.19"</f>
        <v>3204.19.19</v>
      </c>
      <c r="B4013" s="2" t="str">
        <f>"Outras"</f>
        <v>Outras</v>
      </c>
    </row>
    <row r="4014" spans="1:2">
      <c r="A4014" s="1" t="str">
        <f>"3204.19.20"</f>
        <v>3204.19.20</v>
      </c>
      <c r="B4014" s="2" t="str">
        <f>"CORANTES SOLUVEIS EM SOLVENTES"</f>
        <v>CORANTES SOLUVEIS EM SOLVENTES</v>
      </c>
    </row>
    <row r="4015" spans="1:2">
      <c r="A4015" s="1" t="str">
        <f>"3204.19.30"</f>
        <v>3204.19.30</v>
      </c>
      <c r="B4015" s="2" t="str">
        <f>"Corantes azoicos"</f>
        <v>Corantes azoicos</v>
      </c>
    </row>
    <row r="4016" spans="1:2">
      <c r="A4016" s="1" t="str">
        <f>"3204.19.90"</f>
        <v>3204.19.90</v>
      </c>
      <c r="B4016" s="2" t="str">
        <f>"OUTRAS"</f>
        <v>OUTRAS</v>
      </c>
    </row>
    <row r="4017" spans="1:2">
      <c r="A4017" s="1" t="str">
        <f>"3204.20.11"</f>
        <v>3204.20.11</v>
      </c>
      <c r="B4017" s="2" t="str">
        <f>"Derivados do acido 4,4-bis-(1,3,5)t"</f>
        <v>Derivados do acido 4,4-bis-(1,3,5)t</v>
      </c>
    </row>
    <row r="4018" spans="1:2">
      <c r="A4018" s="1" t="str">
        <f>"3204.20.19"</f>
        <v>3204.20.19</v>
      </c>
      <c r="B4018" s="2" t="str">
        <f>"Outros"</f>
        <v>Outros</v>
      </c>
    </row>
    <row r="4019" spans="1:2">
      <c r="A4019" s="1" t="str">
        <f>"3204.20.90"</f>
        <v>3204.20.90</v>
      </c>
      <c r="B4019" s="2" t="str">
        <f>"Outros"</f>
        <v>Outros</v>
      </c>
    </row>
    <row r="4020" spans="1:2">
      <c r="A4020" s="1" t="str">
        <f>"3204.90.00"</f>
        <v>3204.90.00</v>
      </c>
      <c r="B4020" s="2" t="str">
        <f>"Outros"</f>
        <v>Outros</v>
      </c>
    </row>
    <row r="4021" spans="1:2">
      <c r="A4021" s="1" t="str">
        <f>"3205.00.00"</f>
        <v>3205.00.00</v>
      </c>
      <c r="B4021" s="2" t="str">
        <f>"LACAS CORANTES"</f>
        <v>LACAS CORANTES</v>
      </c>
    </row>
    <row r="4022" spans="1:2">
      <c r="A4022" s="1" t="str">
        <f>"3206.11.10"</f>
        <v>3206.11.10</v>
      </c>
      <c r="B4022" s="2" t="str">
        <f>"PIGMENTOS TIPO RUTILO"</f>
        <v>PIGMENTOS TIPO RUTILO</v>
      </c>
    </row>
    <row r="4023" spans="1:2">
      <c r="A4023" s="1" t="str">
        <f>"3206.11.11"</f>
        <v>3206.11.11</v>
      </c>
      <c r="B4023" s="2" t="str">
        <f>"C/ TAM DE PARTÍC A 0,6 MICRONS"</f>
        <v>C/ TAM DE PARTÍC A 0,6 MICRONS</v>
      </c>
    </row>
    <row r="4024" spans="1:2">
      <c r="A4024" s="1" t="str">
        <f>"3206.11.19"</f>
        <v>3206.11.19</v>
      </c>
      <c r="B4024" s="2" t="str">
        <f>"OUTROS - DIOXIDO DE TITANIO"</f>
        <v>OUTROS - DIOXIDO DE TITANIO</v>
      </c>
    </row>
    <row r="4025" spans="1:2">
      <c r="A4025" s="1" t="str">
        <f>"3206.11.20"</f>
        <v>3206.11.20</v>
      </c>
      <c r="B4025" s="2" t="str">
        <f>"OUTROS PIGMENTOS"</f>
        <v>OUTROS PIGMENTOS</v>
      </c>
    </row>
    <row r="4026" spans="1:2">
      <c r="A4026" s="1" t="str">
        <f>"3206.11.30"</f>
        <v>3206.11.30</v>
      </c>
      <c r="B4026" s="2" t="str">
        <f>"preparações"</f>
        <v>preparações</v>
      </c>
    </row>
    <row r="4027" spans="1:2">
      <c r="A4027" s="1" t="str">
        <f>"3206.19.10"</f>
        <v>3206.19.10</v>
      </c>
      <c r="B4027" s="2" t="str">
        <f>"PIGMENTO POR MICA DIOXIDO TITANIO"</f>
        <v>PIGMENTO POR MICA DIOXIDO TITANIO</v>
      </c>
    </row>
    <row r="4028" spans="1:2">
      <c r="A4028" s="1" t="str">
        <f>"3206.19.90"</f>
        <v>3206.19.90</v>
      </c>
      <c r="B4028" s="2" t="str">
        <f>"OUTROS - IRIODIN"</f>
        <v>OUTROS - IRIODIN</v>
      </c>
    </row>
    <row r="4029" spans="1:2">
      <c r="A4029" s="1" t="str">
        <f>"3206.20.00"</f>
        <v>3206.20.00</v>
      </c>
      <c r="B4029" s="2" t="str">
        <f>"PIGMENTOS E PREP.A BASE DE CROMO"</f>
        <v>PIGMENTOS E PREP.A BASE DE CROMO</v>
      </c>
    </row>
    <row r="4030" spans="1:2">
      <c r="A4030" s="1" t="str">
        <f>"3206.41.00"</f>
        <v>3206.41.00</v>
      </c>
      <c r="B4030" s="2" t="str">
        <f>"Ultramar e suas preparacoes"</f>
        <v>Ultramar e suas preparacoes</v>
      </c>
    </row>
    <row r="4031" spans="1:2">
      <c r="A4031" s="1" t="str">
        <f>"3206.42.10"</f>
        <v>3206.42.10</v>
      </c>
      <c r="B4031" s="2" t="str">
        <f>"Litoponio"</f>
        <v>Litoponio</v>
      </c>
    </row>
    <row r="4032" spans="1:2">
      <c r="A4032" s="1" t="str">
        <f>"3206.42.90"</f>
        <v>3206.42.90</v>
      </c>
      <c r="B4032" s="2" t="str">
        <f>"Outros"</f>
        <v>Outros</v>
      </c>
    </row>
    <row r="4033" spans="1:2">
      <c r="A4033" s="1" t="str">
        <f>"3206.49.10"</f>
        <v>3206.49.10</v>
      </c>
      <c r="B4033" s="2" t="str">
        <f>"Pigmentos e preparacoes a base de c"</f>
        <v>Pigmentos e preparacoes a base de c</v>
      </c>
    </row>
    <row r="4034" spans="1:2">
      <c r="A4034" s="1" t="str">
        <f>"3206.49.20"</f>
        <v>3206.49.20</v>
      </c>
      <c r="B4034" s="2" t="str">
        <f>"Pigmentos e preparacoes a base de h"</f>
        <v>Pigmentos e preparacoes a base de h</v>
      </c>
    </row>
    <row r="4035" spans="1:2">
      <c r="A4035" s="1" t="str">
        <f>"3206.49.90"</f>
        <v>3206.49.90</v>
      </c>
      <c r="B4035" s="2" t="str">
        <f>"OUTRAS"</f>
        <v>OUTRAS</v>
      </c>
    </row>
    <row r="4036" spans="1:2">
      <c r="A4036" s="1" t="str">
        <f>"3206.50.11"</f>
        <v>3206.50.11</v>
      </c>
      <c r="B4036" s="2" t="str">
        <f>"Halofosfatos de calcio ou de estron"</f>
        <v>Halofosfatos de calcio ou de estron</v>
      </c>
    </row>
    <row r="4037" spans="1:2">
      <c r="A4037" s="1" t="str">
        <f>"3206.50.19"</f>
        <v>3206.50.19</v>
      </c>
      <c r="B4037" s="2" t="str">
        <f>"Outros"</f>
        <v>Outros</v>
      </c>
    </row>
    <row r="4038" spans="1:2">
      <c r="A4038" s="1" t="str">
        <f>"3206.50.21"</f>
        <v>3206.50.21</v>
      </c>
      <c r="B4038" s="2" t="str">
        <f>"Halofosfatos de calcio ou de estron"</f>
        <v>Halofosfatos de calcio ou de estron</v>
      </c>
    </row>
    <row r="4039" spans="1:2">
      <c r="A4039" s="1" t="str">
        <f>"3206.50.29"</f>
        <v>3206.50.29</v>
      </c>
      <c r="B4039" s="2" t="str">
        <f>"Outros"</f>
        <v>Outros</v>
      </c>
    </row>
    <row r="4040" spans="1:2">
      <c r="A4040" s="1" t="str">
        <f>"3207.10.10"</f>
        <v>3207.10.10</v>
      </c>
      <c r="B4040" s="2" t="str">
        <f>"A base de zirconio ou seus sais"</f>
        <v>A base de zirconio ou seus sais</v>
      </c>
    </row>
    <row r="4041" spans="1:2">
      <c r="A4041" s="1" t="str">
        <f>"3207.10.90"</f>
        <v>3207.10.90</v>
      </c>
      <c r="B4041" s="2" t="str">
        <f>"Outros"</f>
        <v>Outros</v>
      </c>
    </row>
    <row r="4042" spans="1:2">
      <c r="A4042" s="1" t="str">
        <f>"3207.20.10"</f>
        <v>3207.20.10</v>
      </c>
      <c r="B4042" s="2" t="str">
        <f>"Engobos"</f>
        <v>Engobos</v>
      </c>
    </row>
    <row r="4043" spans="1:2">
      <c r="A4043" s="1" t="str">
        <f>"3207.20.91"</f>
        <v>3207.20.91</v>
      </c>
      <c r="B4043" s="2" t="str">
        <f>"Com um teor, em peso, de prata igua"</f>
        <v>Com um teor, em peso, de prata igua</v>
      </c>
    </row>
    <row r="4044" spans="1:2">
      <c r="A4044" s="1" t="str">
        <f>"3207.20.99"</f>
        <v>3207.20.99</v>
      </c>
      <c r="B4044" s="2" t="str">
        <f>"Outras"</f>
        <v>Outras</v>
      </c>
    </row>
    <row r="4045" spans="1:2">
      <c r="A4045" s="1" t="str">
        <f>"3207.30.00"</f>
        <v>3207.30.00</v>
      </c>
      <c r="B4045" s="2" t="str">
        <f>"Polimentos (Esmaltes metalicos*) li"</f>
        <v>Polimentos (Esmaltes metalicos*) li</v>
      </c>
    </row>
    <row r="4046" spans="1:2">
      <c r="A4046" s="1" t="str">
        <f>"3207.40.10"</f>
        <v>3207.40.10</v>
      </c>
      <c r="B4046" s="2" t="str">
        <f>"Fritas de vidro"</f>
        <v>Fritas de vidro</v>
      </c>
    </row>
    <row r="4047" spans="1:2">
      <c r="A4047" s="1" t="str">
        <f>"3207.40.90"</f>
        <v>3207.40.90</v>
      </c>
      <c r="B4047" s="2" t="str">
        <f>"Outros"</f>
        <v>Outros</v>
      </c>
    </row>
    <row r="4048" spans="1:2">
      <c r="A4048" s="1" t="str">
        <f>"3208.10.10"</f>
        <v>3208.10.10</v>
      </c>
      <c r="B4048" s="2" t="str">
        <f>"TINTAS"</f>
        <v>TINTAS</v>
      </c>
    </row>
    <row r="4049" spans="1:2">
      <c r="A4049" s="1" t="str">
        <f>"3208.10.20"</f>
        <v>3208.10.20</v>
      </c>
      <c r="B4049" s="2" t="str">
        <f>"VERNIZES"</f>
        <v>VERNIZES</v>
      </c>
    </row>
    <row r="4050" spans="1:2">
      <c r="A4050" s="1" t="str">
        <f>"3208.10.30"</f>
        <v>3208.10.30</v>
      </c>
      <c r="B4050" s="2" t="str">
        <f>"Solucoes definidas na Nota 4 do pre"</f>
        <v>Solucoes definidas na Nota 4 do pre</v>
      </c>
    </row>
    <row r="4051" spans="1:2">
      <c r="A4051" s="1" t="str">
        <f>"3208.20.11"</f>
        <v>3208.20.11</v>
      </c>
      <c r="B4051" s="2" t="str">
        <f>"À BASE DE POLÍMEROS ACRÍLICOS,"</f>
        <v>À BASE DE POLÍMEROS ACRÍLICOS,</v>
      </c>
    </row>
    <row r="4052" spans="1:2">
      <c r="A4052" s="1" t="str">
        <f>"3208.20.19"</f>
        <v>3208.20.19</v>
      </c>
      <c r="B4052" s="2" t="str">
        <f>"OUTRAS"</f>
        <v>OUTRAS</v>
      </c>
    </row>
    <row r="4053" spans="1:2">
      <c r="A4053" s="1" t="str">
        <f>"3208.20.20"</f>
        <v>3208.20.20</v>
      </c>
      <c r="B4053" s="2" t="str">
        <f>"VERNIZES - FUNDO NIVELADOR E MASSAS"</f>
        <v>VERNIZES - FUNDO NIVELADOR E MASSAS</v>
      </c>
    </row>
    <row r="4054" spans="1:2">
      <c r="A4054" s="1" t="str">
        <f>"3208.20.30"</f>
        <v>3208.20.30</v>
      </c>
      <c r="B4054" s="2" t="str">
        <f>"Solucoes definidas na Nota 4 do pre"</f>
        <v>Solucoes definidas na Nota 4 do pre</v>
      </c>
    </row>
    <row r="4055" spans="1:2">
      <c r="A4055" s="1" t="str">
        <f>"3208.90.10"</f>
        <v>3208.90.10</v>
      </c>
      <c r="B4055" s="2" t="str">
        <f>"TINTAS"</f>
        <v>TINTAS</v>
      </c>
    </row>
    <row r="4056" spans="1:2">
      <c r="A4056" s="1" t="str">
        <f>"3208.90.21"</f>
        <v>3208.90.21</v>
      </c>
      <c r="B4056" s="2" t="str">
        <f>"A base de derivados de celulose"</f>
        <v>A base de derivados de celulose</v>
      </c>
    </row>
    <row r="4057" spans="1:2">
      <c r="A4057" s="1" t="str">
        <f>"3208.90.29"</f>
        <v>3208.90.29</v>
      </c>
      <c r="B4057" s="2" t="str">
        <f>"OUTROS - VERNIZ PR (UV) - 1094"</f>
        <v>OUTROS - VERNIZ PR (UV) - 1094</v>
      </c>
    </row>
    <row r="4058" spans="1:2">
      <c r="A4058" s="1" t="str">
        <f>"3208.90.31"</f>
        <v>3208.90.31</v>
      </c>
      <c r="B4058" s="2" t="str">
        <f>"de silicones"</f>
        <v>de silicones</v>
      </c>
    </row>
    <row r="4059" spans="1:2">
      <c r="A4059" s="1" t="str">
        <f>"3208.90.39"</f>
        <v>3208.90.39</v>
      </c>
      <c r="B4059" s="2" t="str">
        <f>"OUTROS - TINTAS E VERNIZES"</f>
        <v>OUTROS - TINTAS E VERNIZES</v>
      </c>
    </row>
    <row r="4060" spans="1:2">
      <c r="A4060" s="1" t="str">
        <f>"3208.92.99"</f>
        <v>3208.92.99</v>
      </c>
      <c r="B4060" s="2" t="str">
        <f>"INATIVO"</f>
        <v>INATIVO</v>
      </c>
    </row>
    <row r="4061" spans="1:2">
      <c r="A4061" s="1" t="str">
        <f>"3209.10.10"</f>
        <v>3209.10.10</v>
      </c>
      <c r="B4061" s="2" t="str">
        <f>"TINTAS"</f>
        <v>TINTAS</v>
      </c>
    </row>
    <row r="4062" spans="1:2">
      <c r="A4062" s="1" t="str">
        <f>"3209.10.20"</f>
        <v>3209.10.20</v>
      </c>
      <c r="B4062" s="2" t="str">
        <f>"vernizes"</f>
        <v>vernizes</v>
      </c>
    </row>
    <row r="4063" spans="1:2">
      <c r="A4063" s="1" t="str">
        <f>"3209.90.11"</f>
        <v>3209.90.11</v>
      </c>
      <c r="B4063" s="2" t="str">
        <f>"A base de politetrafluoretileno"</f>
        <v>A base de politetrafluoretileno</v>
      </c>
    </row>
    <row r="4064" spans="1:2">
      <c r="A4064" s="1" t="str">
        <f>"3209.90.19"</f>
        <v>3209.90.19</v>
      </c>
      <c r="B4064" s="2" t="str">
        <f>"OUTROS - CATALIZADORES"</f>
        <v>OUTROS - CATALIZADORES</v>
      </c>
    </row>
    <row r="4065" spans="1:2">
      <c r="A4065" s="1" t="str">
        <f>"3209.90.20"</f>
        <v>3209.90.20</v>
      </c>
      <c r="B4065" s="2" t="str">
        <f>"VERNIZES - DS 3035 BRILHANTE"</f>
        <v>VERNIZES - DS 3035 BRILHANTE</v>
      </c>
    </row>
    <row r="4066" spans="1:2">
      <c r="A4066" s="1" t="str">
        <f>"3209.90.29"</f>
        <v>3209.90.29</v>
      </c>
      <c r="B4066" s="2" t="str">
        <f>"INATIVA - LACA REENVERNIZAVEL"</f>
        <v>INATIVA - LACA REENVERNIZAVEL</v>
      </c>
    </row>
    <row r="4067" spans="1:2">
      <c r="A4067" s="1" t="str">
        <f>"3209.91.90"</f>
        <v>3209.91.90</v>
      </c>
      <c r="B4067" s="2" t="str">
        <f>"INATIVA - AD - 8083"</f>
        <v>INATIVA - AD - 8083</v>
      </c>
    </row>
    <row r="4068" spans="1:2">
      <c r="A4068" s="1" t="str">
        <f>"3210.00.10"</f>
        <v>3210.00.10</v>
      </c>
      <c r="B4068" s="2" t="str">
        <f>"Tintas"</f>
        <v>Tintas</v>
      </c>
    </row>
    <row r="4069" spans="1:2">
      <c r="A4069" s="1" t="str">
        <f>"3210.00.19"</f>
        <v>3210.00.19</v>
      </c>
      <c r="B4069" s="2" t="str">
        <f>"INATIVA - TABERSLIP 903"</f>
        <v>INATIVA - TABERSLIP 903</v>
      </c>
    </row>
    <row r="4070" spans="1:2">
      <c r="A4070" s="1" t="str">
        <f>"3210.00.20"</f>
        <v>3210.00.20</v>
      </c>
      <c r="B4070" s="2" t="str">
        <f>"VERNIZES - TABER RAD 250"</f>
        <v>VERNIZES - TABER RAD 250</v>
      </c>
    </row>
    <row r="4071" spans="1:2">
      <c r="A4071" s="1" t="str">
        <f>"3210.00.30"</f>
        <v>3210.00.30</v>
      </c>
      <c r="B4071" s="2" t="str">
        <f>"Pigmentos a agua preparados, do tip"</f>
        <v>Pigmentos a agua preparados, do tip</v>
      </c>
    </row>
    <row r="4072" spans="1:2">
      <c r="A4072" s="1" t="str">
        <f>"3211.00.00"</f>
        <v>3211.00.00</v>
      </c>
      <c r="B4072" s="2" t="str">
        <f>"Secantes preparados."</f>
        <v>Secantes preparados.</v>
      </c>
    </row>
    <row r="4073" spans="1:2">
      <c r="A4073" s="1" t="str">
        <f>"3212.10.00"</f>
        <v>3212.10.00</v>
      </c>
      <c r="B4073" s="2" t="str">
        <f>"Folhas para marcar a ferro"</f>
        <v>Folhas para marcar a ferro</v>
      </c>
    </row>
    <row r="4074" spans="1:2">
      <c r="A4074" s="1" t="str">
        <f>"3212.90.10"</f>
        <v>3212.90.10</v>
      </c>
      <c r="B4074" s="2" t="str">
        <f>"Aluminio em po ou em lamelas, empas"</f>
        <v>Aluminio em po ou em lamelas, empas</v>
      </c>
    </row>
    <row r="4075" spans="1:2">
      <c r="A4075" s="1" t="str">
        <f>"3212.90.90"</f>
        <v>3212.90.90</v>
      </c>
      <c r="B4075" s="2" t="str">
        <f>"OUTROS"</f>
        <v>OUTROS</v>
      </c>
    </row>
    <row r="4076" spans="1:2">
      <c r="A4076" s="1" t="str">
        <f>"3213.10.00"</f>
        <v>3213.10.00</v>
      </c>
      <c r="B4076" s="2" t="str">
        <f>"Cores em sortidos"</f>
        <v>Cores em sortidos</v>
      </c>
    </row>
    <row r="4077" spans="1:2">
      <c r="A4077" s="1" t="str">
        <f>"3213.90.00"</f>
        <v>3213.90.00</v>
      </c>
      <c r="B4077" s="2" t="str">
        <f>"Outras"</f>
        <v>Outras</v>
      </c>
    </row>
    <row r="4078" spans="1:2">
      <c r="A4078" s="1" t="str">
        <f>"3214.10.10"</f>
        <v>3214.10.10</v>
      </c>
      <c r="B4078" s="2" t="str">
        <f>"MATIQUE DE VIDRACEIRO -SILICONE VER"</f>
        <v>MATIQUE DE VIDRACEIRO -SILICONE VER</v>
      </c>
    </row>
    <row r="4079" spans="1:2">
      <c r="A4079" s="1" t="str">
        <f>"3214.10.20"</f>
        <v>3214.10.20</v>
      </c>
      <c r="B4079" s="2" t="str">
        <f>"Indutos utilizados em pintura"</f>
        <v>Indutos utilizados em pintura</v>
      </c>
    </row>
    <row r="4080" spans="1:2">
      <c r="A4080" s="1" t="str">
        <f>"3214.90.00"</f>
        <v>3214.90.00</v>
      </c>
      <c r="B4080" s="2" t="str">
        <f>"OUTROS"</f>
        <v>OUTROS</v>
      </c>
    </row>
    <row r="4081" spans="1:2">
      <c r="A4081" s="1" t="str">
        <f>"3215.11.00"</f>
        <v>3215.11.00</v>
      </c>
      <c r="B4081" s="2" t="str">
        <f>"PRETAS - TINTAS DE IMPRESSÃO"</f>
        <v>PRETAS - TINTAS DE IMPRESSÃO</v>
      </c>
    </row>
    <row r="4082" spans="1:2">
      <c r="A4082" s="1" t="str">
        <f>"3215.19.00"</f>
        <v>3215.19.00</v>
      </c>
      <c r="B4082" s="2" t="str">
        <f>"OUTRAS - TINTA PARA IMPRESSÃO"</f>
        <v>OUTRAS - TINTA PARA IMPRESSÃO</v>
      </c>
    </row>
    <row r="4083" spans="1:2">
      <c r="A4083" s="1" t="str">
        <f>"3215.90.00"</f>
        <v>3215.90.00</v>
      </c>
      <c r="B4083" s="2" t="str">
        <f>"OUTRAS"</f>
        <v>OUTRAS</v>
      </c>
    </row>
    <row r="4084" spans="1:2">
      <c r="A4084" s="1" t="str">
        <f>"3301.12.10"</f>
        <v>3301.12.10</v>
      </c>
      <c r="B4084" s="2" t="str">
        <f>"De petit grain"</f>
        <v>De petit grain</v>
      </c>
    </row>
    <row r="4085" spans="1:2">
      <c r="A4085" s="1" t="str">
        <f>"3301.12.90"</f>
        <v>3301.12.90</v>
      </c>
      <c r="B4085" s="2" t="str">
        <f>"Outros"</f>
        <v>Outros</v>
      </c>
    </row>
    <row r="4086" spans="1:2">
      <c r="A4086" s="1" t="str">
        <f>"3301.13.00"</f>
        <v>3301.13.00</v>
      </c>
      <c r="B4086" s="2" t="str">
        <f>"De limao"</f>
        <v>De limao</v>
      </c>
    </row>
    <row r="4087" spans="1:2">
      <c r="A4087" s="1" t="str">
        <f>"3301.19.10"</f>
        <v>3301.19.10</v>
      </c>
      <c r="B4087" s="2" t="str">
        <f>"De lima"</f>
        <v>De lima</v>
      </c>
    </row>
    <row r="4088" spans="1:2">
      <c r="A4088" s="1" t="str">
        <f>"3301.19.90"</f>
        <v>3301.19.90</v>
      </c>
      <c r="B4088" s="2" t="str">
        <f>"Outros"</f>
        <v>Outros</v>
      </c>
    </row>
    <row r="4089" spans="1:2">
      <c r="A4089" s="1" t="str">
        <f>"3301.24.00"</f>
        <v>3301.24.00</v>
      </c>
      <c r="B4089" s="2" t="str">
        <f>"De hortela-pimenta (Mentha piperita"</f>
        <v>De hortela-pimenta (Mentha piperita</v>
      </c>
    </row>
    <row r="4090" spans="1:2">
      <c r="A4090" s="1" t="str">
        <f>"3301.25.10"</f>
        <v>3301.25.10</v>
      </c>
      <c r="B4090" s="2" t="str">
        <f>"De menta japonesa (Mentha arvensis)"</f>
        <v>De menta japonesa (Mentha arvensis)</v>
      </c>
    </row>
    <row r="4091" spans="1:2">
      <c r="A4091" s="1" t="str">
        <f>"3301.25.20"</f>
        <v>3301.25.20</v>
      </c>
      <c r="B4091" s="2" t="str">
        <f>"De mentha spearmint (Mentha viridis"</f>
        <v>De mentha spearmint (Mentha viridis</v>
      </c>
    </row>
    <row r="4092" spans="1:2">
      <c r="A4092" s="1" t="str">
        <f>"3301.25.90"</f>
        <v>3301.25.90</v>
      </c>
      <c r="B4092" s="2" t="str">
        <f>"Outros"</f>
        <v>Outros</v>
      </c>
    </row>
    <row r="4093" spans="1:2">
      <c r="A4093" s="1" t="str">
        <f>"3301.29.11"</f>
        <v>3301.29.11</v>
      </c>
      <c r="B4093" s="2" t="str">
        <f>"De citronela"</f>
        <v>De citronela</v>
      </c>
    </row>
    <row r="4094" spans="1:2">
      <c r="A4094" s="1" t="str">
        <f>"3301.29.12"</f>
        <v>3301.29.12</v>
      </c>
      <c r="B4094" s="2" t="str">
        <f>"De cedro"</f>
        <v>De cedro</v>
      </c>
    </row>
    <row r="4095" spans="1:2">
      <c r="A4095" s="1" t="str">
        <f>"3301.29.13"</f>
        <v>3301.29.13</v>
      </c>
      <c r="B4095" s="2" t="str">
        <f>"De pau-santo (Bulnesia sarmientoi)"</f>
        <v>De pau-santo (Bulnesia sarmientoi)</v>
      </c>
    </row>
    <row r="4096" spans="1:2">
      <c r="A4096" s="1" t="str">
        <f>"3301.29.14"</f>
        <v>3301.29.14</v>
      </c>
      <c r="B4096" s="2" t="str">
        <f>"De lemongrass"</f>
        <v>De lemongrass</v>
      </c>
    </row>
    <row r="4097" spans="1:2">
      <c r="A4097" s="1" t="str">
        <f>"3301.29.15"</f>
        <v>3301.29.15</v>
      </c>
      <c r="B4097" s="2" t="str">
        <f>"De pau-rosa"</f>
        <v>De pau-rosa</v>
      </c>
    </row>
    <row r="4098" spans="1:2">
      <c r="A4098" s="1" t="str">
        <f>"3301.29.16"</f>
        <v>3301.29.16</v>
      </c>
      <c r="B4098" s="2" t="str">
        <f>"De palma rosa"</f>
        <v>De palma rosa</v>
      </c>
    </row>
    <row r="4099" spans="1:2">
      <c r="A4099" s="1" t="str">
        <f>"3301.29.17"</f>
        <v>3301.29.17</v>
      </c>
      <c r="B4099" s="2" t="str">
        <f>"De coriandro"</f>
        <v>De coriandro</v>
      </c>
    </row>
    <row r="4100" spans="1:2">
      <c r="A4100" s="1" t="str">
        <f>"3301.29.18"</f>
        <v>3301.29.18</v>
      </c>
      <c r="B4100" s="2" t="str">
        <f>"De cabreuva"</f>
        <v>De cabreuva</v>
      </c>
    </row>
    <row r="4101" spans="1:2">
      <c r="A4101" s="1" t="str">
        <f>"3301.29.19"</f>
        <v>3301.29.19</v>
      </c>
      <c r="B4101" s="2" t="str">
        <f>"De eucalipto"</f>
        <v>De eucalipto</v>
      </c>
    </row>
    <row r="4102" spans="1:2">
      <c r="A4102" s="1" t="str">
        <f>"3301.29.21"</f>
        <v>3301.29.21</v>
      </c>
      <c r="B4102" s="2" t="str">
        <f>"De alfazema ou lavanda"</f>
        <v>De alfazema ou lavanda</v>
      </c>
    </row>
    <row r="4103" spans="1:2">
      <c r="A4103" s="1" t="str">
        <f>"3301.29.22"</f>
        <v>3301.29.22</v>
      </c>
      <c r="B4103" s="2" t="str">
        <f>"De vetiver"</f>
        <v>De vetiver</v>
      </c>
    </row>
    <row r="4104" spans="1:2">
      <c r="A4104" s="1" t="str">
        <f>"3301.29.90"</f>
        <v>3301.29.90</v>
      </c>
      <c r="B4104" s="2" t="str">
        <f>"Outros"</f>
        <v>Outros</v>
      </c>
    </row>
    <row r="4105" spans="1:2">
      <c r="A4105" s="1" t="str">
        <f>"3301.30.00"</f>
        <v>3301.30.00</v>
      </c>
      <c r="B4105" s="2" t="str">
        <f>"Resinoides"</f>
        <v>Resinoides</v>
      </c>
    </row>
    <row r="4106" spans="1:2">
      <c r="A4106" s="1" t="str">
        <f>"3301.90.10"</f>
        <v>3301.90.10</v>
      </c>
      <c r="B4106" s="2" t="str">
        <f>"Solucoes concentradas de oleos esse"</f>
        <v>Solucoes concentradas de oleos esse</v>
      </c>
    </row>
    <row r="4107" spans="1:2">
      <c r="A4107" s="1" t="str">
        <f>"3301.90.20"</f>
        <v>3301.90.20</v>
      </c>
      <c r="B4107" s="2" t="str">
        <f>"Subprodutos terpenicos residuais da"</f>
        <v>Subprodutos terpenicos residuais da</v>
      </c>
    </row>
    <row r="4108" spans="1:2">
      <c r="A4108" s="1" t="str">
        <f>"3301.90.30"</f>
        <v>3301.90.30</v>
      </c>
      <c r="B4108" s="2" t="str">
        <f>"Aguas destiladas aromaticas e soluc"</f>
        <v>Aguas destiladas aromaticas e soluc</v>
      </c>
    </row>
    <row r="4109" spans="1:2">
      <c r="A4109" s="1" t="str">
        <f>"3301.90.40"</f>
        <v>3301.90.40</v>
      </c>
      <c r="B4109" s="2" t="str">
        <f>"Oleorresinas de extracao"</f>
        <v>Oleorresinas de extracao</v>
      </c>
    </row>
    <row r="4110" spans="1:2">
      <c r="A4110" s="1" t="str">
        <f>"3302.10.00"</f>
        <v>3302.10.00</v>
      </c>
      <c r="B4110" s="2" t="str">
        <f>"Do tipo utilizado para as industria"</f>
        <v>Do tipo utilizado para as industria</v>
      </c>
    </row>
    <row r="4111" spans="1:2">
      <c r="A4111" s="1" t="str">
        <f>"3302.90.11"</f>
        <v>3302.90.11</v>
      </c>
      <c r="B4111" s="2" t="str">
        <f>"Vetiverol"</f>
        <v>Vetiverol</v>
      </c>
    </row>
    <row r="4112" spans="1:2">
      <c r="A4112" s="1" t="str">
        <f>"3302.90.19"</f>
        <v>3302.90.19</v>
      </c>
      <c r="B4112" s="2" t="str">
        <f>"Outras"</f>
        <v>Outras</v>
      </c>
    </row>
    <row r="4113" spans="1:2">
      <c r="A4113" s="1" t="str">
        <f>"3302.90.90"</f>
        <v>3302.90.90</v>
      </c>
      <c r="B4113" s="2" t="str">
        <f>"Outras"</f>
        <v>Outras</v>
      </c>
    </row>
    <row r="4114" spans="1:2">
      <c r="A4114" s="1" t="str">
        <f>"3303.00.10"</f>
        <v>3303.00.10</v>
      </c>
      <c r="B4114" s="2" t="str">
        <f>"Perfumes (extratos)"</f>
        <v>Perfumes (extratos)</v>
      </c>
    </row>
    <row r="4115" spans="1:2">
      <c r="A4115" s="1" t="str">
        <f>"3303.00.20"</f>
        <v>3303.00.20</v>
      </c>
      <c r="B4115" s="2" t="str">
        <f>"Aguas-de-colonia"</f>
        <v>Aguas-de-colonia</v>
      </c>
    </row>
    <row r="4116" spans="1:2">
      <c r="A4116" s="1" t="str">
        <f>"3304.10.00"</f>
        <v>3304.10.00</v>
      </c>
      <c r="B4116" s="2" t="str">
        <f>"Produtos de maquiagem para os labio"</f>
        <v>Produtos de maquiagem para os labio</v>
      </c>
    </row>
    <row r="4117" spans="1:2">
      <c r="A4117" s="1" t="str">
        <f>"3304.20.10"</f>
        <v>3304.20.10</v>
      </c>
      <c r="B4117" s="2" t="str">
        <f>"Sombra, delineador, lapis para sobr"</f>
        <v>Sombra, delineador, lapis para sobr</v>
      </c>
    </row>
    <row r="4118" spans="1:2">
      <c r="A4118" s="1" t="str">
        <f>"3304.20.90"</f>
        <v>3304.20.90</v>
      </c>
      <c r="B4118" s="2" t="str">
        <f>"Outros"</f>
        <v>Outros</v>
      </c>
    </row>
    <row r="4119" spans="1:2">
      <c r="A4119" s="1" t="str">
        <f>"3304.30.00"</f>
        <v>3304.30.00</v>
      </c>
      <c r="B4119" s="2" t="str">
        <f>"Preparacoes para manicuros e pedicu"</f>
        <v>Preparacoes para manicuros e pedicu</v>
      </c>
    </row>
    <row r="4120" spans="1:2">
      <c r="A4120" s="1" t="str">
        <f>"3304.91.00"</f>
        <v>3304.91.00</v>
      </c>
      <c r="B4120" s="2" t="str">
        <f>"Pos, incluindo os compactos"</f>
        <v>Pos, incluindo os compactos</v>
      </c>
    </row>
    <row r="4121" spans="1:2">
      <c r="A4121" s="1" t="str">
        <f>"3304.99.10"</f>
        <v>3304.99.10</v>
      </c>
      <c r="B4121" s="2" t="str">
        <f>"Cremes de beleza e cremes nutritivo"</f>
        <v>Cremes de beleza e cremes nutritivo</v>
      </c>
    </row>
    <row r="4122" spans="1:2">
      <c r="A4122" s="1" t="str">
        <f>"3304.99.90"</f>
        <v>3304.99.90</v>
      </c>
      <c r="B4122" s="2" t="str">
        <f>"OUTROS"</f>
        <v>OUTROS</v>
      </c>
    </row>
    <row r="4123" spans="1:2">
      <c r="A4123" s="1" t="str">
        <f>"3305.10.00"</f>
        <v>3305.10.00</v>
      </c>
      <c r="B4123" s="2" t="str">
        <f>"Xampus"</f>
        <v>Xampus</v>
      </c>
    </row>
    <row r="4124" spans="1:2">
      <c r="A4124" s="1" t="str">
        <f>"3305.20.00"</f>
        <v>3305.20.00</v>
      </c>
      <c r="B4124" s="2" t="str">
        <f>"Preparacoes para ondulacao ou alisa"</f>
        <v>Preparacoes para ondulacao ou alisa</v>
      </c>
    </row>
    <row r="4125" spans="1:2">
      <c r="A4125" s="1" t="str">
        <f>"3305.30.00"</f>
        <v>3305.30.00</v>
      </c>
      <c r="B4125" s="2" t="str">
        <f>"Laques (Lacas*) para o cabelo"</f>
        <v>Laques (Lacas*) para o cabelo</v>
      </c>
    </row>
    <row r="4126" spans="1:2">
      <c r="A4126" s="1" t="str">
        <f>"3305.90.00"</f>
        <v>3305.90.00</v>
      </c>
      <c r="B4126" s="2" t="str">
        <f>"Outras"</f>
        <v>Outras</v>
      </c>
    </row>
    <row r="4127" spans="1:2">
      <c r="A4127" s="1" t="str">
        <f>"3306.10.00"</f>
        <v>3306.10.00</v>
      </c>
      <c r="B4127" s="2" t="str">
        <f>"Dentifricios (dentifricos)"</f>
        <v>Dentifricios (dentifricos)</v>
      </c>
    </row>
    <row r="4128" spans="1:2">
      <c r="A4128" s="1" t="str">
        <f>"3306.20.00"</f>
        <v>3306.20.00</v>
      </c>
      <c r="B4128" s="2" t="str">
        <f>"Fios utilizados para limpar os espa"</f>
        <v>Fios utilizados para limpar os espa</v>
      </c>
    </row>
    <row r="4129" spans="1:2">
      <c r="A4129" s="1" t="str">
        <f>"3306.90.00"</f>
        <v>3306.90.00</v>
      </c>
      <c r="B4129" s="2" t="str">
        <f>"Outras"</f>
        <v>Outras</v>
      </c>
    </row>
    <row r="4130" spans="1:2">
      <c r="A4130" s="1" t="str">
        <f>"3307.10.00"</f>
        <v>3307.10.00</v>
      </c>
      <c r="B4130" s="2" t="str">
        <f>"Preparacoes para barbear (antes, du"</f>
        <v>Preparacoes para barbear (antes, du</v>
      </c>
    </row>
    <row r="4131" spans="1:2">
      <c r="A4131" s="1" t="str">
        <f>"3307.20.10"</f>
        <v>3307.20.10</v>
      </c>
      <c r="B4131" s="2" t="str">
        <f>"Liquidos"</f>
        <v>Liquidos</v>
      </c>
    </row>
    <row r="4132" spans="1:2">
      <c r="A4132" s="1" t="str">
        <f>"3307.20.90"</f>
        <v>3307.20.90</v>
      </c>
      <c r="B4132" s="2" t="str">
        <f>"Outros"</f>
        <v>Outros</v>
      </c>
    </row>
    <row r="4133" spans="1:2">
      <c r="A4133" s="1" t="str">
        <f>"3307.30.00"</f>
        <v>3307.30.00</v>
      </c>
      <c r="B4133" s="2" t="str">
        <f>"Sais perfumados e outras preparacoe"</f>
        <v>Sais perfumados e outras preparacoe</v>
      </c>
    </row>
    <row r="4134" spans="1:2">
      <c r="A4134" s="1" t="str">
        <f>"3307.41.00"</f>
        <v>3307.41.00</v>
      </c>
      <c r="B4134" s="2" t="str">
        <f>"Agarbate e outras preparacoes odori"</f>
        <v>Agarbate e outras preparacoes odori</v>
      </c>
    </row>
    <row r="4135" spans="1:2">
      <c r="A4135" s="1" t="str">
        <f>"3307.49.00"</f>
        <v>3307.49.00</v>
      </c>
      <c r="B4135" s="2" t="str">
        <f>"Outras"</f>
        <v>Outras</v>
      </c>
    </row>
    <row r="4136" spans="1:2">
      <c r="A4136" s="1" t="str">
        <f>"3307.90.00"</f>
        <v>3307.90.00</v>
      </c>
      <c r="B4136" s="2" t="str">
        <f>"Outros"</f>
        <v>Outros</v>
      </c>
    </row>
    <row r="4137" spans="1:2">
      <c r="A4137" s="1" t="str">
        <f>"3401.11.10"</f>
        <v>3401.11.10</v>
      </c>
      <c r="B4137" s="2" t="str">
        <f>"SABÕES MEDICINAIS"</f>
        <v>SABÕES MEDICINAIS</v>
      </c>
    </row>
    <row r="4138" spans="1:2">
      <c r="A4138" s="1" t="str">
        <f>"3401.11.90"</f>
        <v>3401.11.90</v>
      </c>
      <c r="B4138" s="2" t="str">
        <f>"OUTROS"</f>
        <v>OUTROS</v>
      </c>
    </row>
    <row r="4139" spans="1:2">
      <c r="A4139" s="1" t="str">
        <f>"3401.19.00"</f>
        <v>3401.19.00</v>
      </c>
      <c r="B4139" s="2" t="str">
        <f>"OUTROS"</f>
        <v>OUTROS</v>
      </c>
    </row>
    <row r="4140" spans="1:2">
      <c r="A4140" s="1" t="str">
        <f>"3401.20.10"</f>
        <v>3401.20.10</v>
      </c>
      <c r="B4140" s="2" t="str">
        <f>"De toucador"</f>
        <v>De toucador</v>
      </c>
    </row>
    <row r="4141" spans="1:2">
      <c r="A4141" s="1" t="str">
        <f>"3401.20.90"</f>
        <v>3401.20.90</v>
      </c>
      <c r="B4141" s="2" t="str">
        <f>"OUTROS"</f>
        <v>OUTROS</v>
      </c>
    </row>
    <row r="4142" spans="1:2">
      <c r="A4142" s="1" t="str">
        <f>"3401.30.00"</f>
        <v>3401.30.00</v>
      </c>
      <c r="B4142" s="2" t="str">
        <f>"PRODUTOS E PREPARAÇÕES ORGÂNICOS TE"</f>
        <v>PRODUTOS E PREPARAÇÕES ORGÂNICOS TE</v>
      </c>
    </row>
    <row r="4143" spans="1:2">
      <c r="A4143" s="1" t="str">
        <f>"3402.11.10"</f>
        <v>3402.11.10</v>
      </c>
      <c r="B4143" s="2" t="str">
        <f>"Dibutilnaftalenossulfato de sodio"</f>
        <v>Dibutilnaftalenossulfato de sodio</v>
      </c>
    </row>
    <row r="4144" spans="1:2">
      <c r="A4144" s="1" t="str">
        <f>"3402.11.20"</f>
        <v>3402.11.20</v>
      </c>
      <c r="B4144" s="2" t="str">
        <f>"N-Metil-N-oleiltaurato de sodio"</f>
        <v>N-Metil-N-oleiltaurato de sodio</v>
      </c>
    </row>
    <row r="4145" spans="1:2">
      <c r="A4145" s="1" t="str">
        <f>"3402.11.30"</f>
        <v>3402.11.30</v>
      </c>
      <c r="B4145" s="2" t="str">
        <f>"Alquilsulfonato de sodio, secundari"</f>
        <v>Alquilsulfonato de sodio, secundari</v>
      </c>
    </row>
    <row r="4146" spans="1:2">
      <c r="A4146" s="1" t="str">
        <f>"3402.11.40"</f>
        <v>3402.11.40</v>
      </c>
      <c r="B4146" s="2" t="str">
        <f>"Misturas de ácidos alquilbenzenossu"</f>
        <v>Misturas de ácidos alquilbenzenossu</v>
      </c>
    </row>
    <row r="4147" spans="1:2">
      <c r="A4147" s="1" t="str">
        <f>"3402.11.90"</f>
        <v>3402.11.90</v>
      </c>
      <c r="B4147" s="2" t="str">
        <f>"OUTROS"</f>
        <v>OUTROS</v>
      </c>
    </row>
    <row r="4148" spans="1:2">
      <c r="A4148" s="1" t="str">
        <f>"3402.12.10"</f>
        <v>3402.12.10</v>
      </c>
      <c r="B4148" s="2" t="str">
        <f>"Acetato de oleilamina"</f>
        <v>Acetato de oleilamina</v>
      </c>
    </row>
    <row r="4149" spans="1:2">
      <c r="A4149" s="1" t="str">
        <f>"3402.12.90"</f>
        <v>3402.12.90</v>
      </c>
      <c r="B4149" s="2" t="str">
        <f>"Outros"</f>
        <v>Outros</v>
      </c>
    </row>
    <row r="4150" spans="1:2">
      <c r="A4150" s="1" t="str">
        <f>"3402.13.00"</f>
        <v>3402.13.00</v>
      </c>
      <c r="B4150" s="2" t="str">
        <f>"NAO IONICOS - DISPONIL 23"</f>
        <v>NAO IONICOS - DISPONIL 23</v>
      </c>
    </row>
    <row r="4151" spans="1:2">
      <c r="A4151" s="1" t="str">
        <f>"3402.19.00"</f>
        <v>3402.19.00</v>
      </c>
      <c r="B4151" s="2" t="str">
        <f>"desengraxante"</f>
        <v>desengraxante</v>
      </c>
    </row>
    <row r="4152" spans="1:2">
      <c r="A4152" s="1" t="str">
        <f>"3402.20.00"</f>
        <v>3402.20.00</v>
      </c>
      <c r="B4152" s="2" t="str">
        <f>"PREPARAÇÕES ACONDICIONADAS PARA VEN"</f>
        <v>PREPARAÇÕES ACONDICIONADAS PARA VEN</v>
      </c>
    </row>
    <row r="4153" spans="1:2">
      <c r="A4153" s="1" t="str">
        <f>"3402.31.00"</f>
        <v>3402.31.00</v>
      </c>
      <c r="B4153" s="2" t="str">
        <f>"Ácidos sulfônicos de alquilbenzenos"</f>
        <v>Ácidos sulfônicos de alquilbenzenos</v>
      </c>
    </row>
    <row r="4154" spans="1:2">
      <c r="A4154" s="1" t="str">
        <f>"3402.39.90"</f>
        <v>3402.39.90</v>
      </c>
      <c r="B4154" s="2" t="str">
        <f>"Outros"</f>
        <v>Outros</v>
      </c>
    </row>
    <row r="4155" spans="1:2">
      <c r="A4155" s="1" t="str">
        <f>"3402.50.00"</f>
        <v>3402.50.00</v>
      </c>
      <c r="B4155" s="2" t="str">
        <f>"detergente não biodegradável"</f>
        <v>detergente não biodegradável</v>
      </c>
    </row>
    <row r="4156" spans="1:2">
      <c r="A4156" s="1" t="str">
        <f>"3402.90.11"</f>
        <v>3402.90.11</v>
      </c>
      <c r="B4156" s="2" t="str">
        <f>"hydropalat sus ic8"</f>
        <v>hydropalat sus ic8</v>
      </c>
    </row>
    <row r="4157" spans="1:2">
      <c r="A4157" s="1" t="str">
        <f>"3402.90.19"</f>
        <v>3402.90.19</v>
      </c>
      <c r="B4157" s="2" t="str">
        <f>"OUTRAS - HYDROPALAT"</f>
        <v>OUTRAS - HYDROPALAT</v>
      </c>
    </row>
    <row r="4158" spans="1:2">
      <c r="A4158" s="1" t="str">
        <f>"3402.90.21"</f>
        <v>3402.90.21</v>
      </c>
      <c r="B4158" s="2" t="str">
        <f>"Solucoes ou emulsoes hidroalcoolica"</f>
        <v>Solucoes ou emulsoes hidroalcoolica</v>
      </c>
    </row>
    <row r="4159" spans="1:2">
      <c r="A4159" s="1" t="str">
        <f>"3402.90.22"</f>
        <v>3402.90.22</v>
      </c>
      <c r="B4159" s="2" t="str">
        <f>"A base de nonanoiloxibenzenossulfon"</f>
        <v>A base de nonanoiloxibenzenossulfon</v>
      </c>
    </row>
    <row r="4160" spans="1:2">
      <c r="A4160" s="1" t="str">
        <f>"3402.90.23"</f>
        <v>3402.90.23</v>
      </c>
      <c r="B4160" s="2" t="str">
        <f>"Solucoes ou emulsoes hidroalcoolica"</f>
        <v>Solucoes ou emulsoes hidroalcoolica</v>
      </c>
    </row>
    <row r="4161" spans="1:2">
      <c r="A4161" s="1" t="str">
        <f>"3402.90.29"</f>
        <v>3402.90.29</v>
      </c>
      <c r="B4161" s="2" t="str">
        <f>"OUTRAS"</f>
        <v>OUTRAS</v>
      </c>
    </row>
    <row r="4162" spans="1:2">
      <c r="A4162" s="1" t="str">
        <f>"3402.90.31"</f>
        <v>3402.90.31</v>
      </c>
      <c r="B4162" s="2" t="str">
        <f>"A base de nonilfenol etoxilado"</f>
        <v>A base de nonilfenol etoxilado</v>
      </c>
    </row>
    <row r="4163" spans="1:2">
      <c r="A4163" s="1" t="str">
        <f>"3402.90.39"</f>
        <v>3402.90.39</v>
      </c>
      <c r="B4163" s="2" t="str">
        <f>"OUTRAS - FLICKET"</f>
        <v>OUTRAS - FLICKET</v>
      </c>
    </row>
    <row r="4164" spans="1:2">
      <c r="A4164" s="1" t="str">
        <f>"3402.90.90"</f>
        <v>3402.90.90</v>
      </c>
      <c r="B4164" s="2" t="str">
        <f>"Outras"</f>
        <v>Outras</v>
      </c>
    </row>
    <row r="4165" spans="1:2">
      <c r="A4165" s="1" t="str">
        <f>"3403.11.10"</f>
        <v>3403.11.10</v>
      </c>
      <c r="B4165" s="2" t="str">
        <f>"Para o tratamento de materias texte"</f>
        <v>Para o tratamento de materias texte</v>
      </c>
    </row>
    <row r="4166" spans="1:2">
      <c r="A4166" s="1" t="str">
        <f>"3403.11.20"</f>
        <v>3403.11.20</v>
      </c>
      <c r="B4166" s="2" t="str">
        <f>"Para o tratamento de couros e peles"</f>
        <v>Para o tratamento de couros e peles</v>
      </c>
    </row>
    <row r="4167" spans="1:2">
      <c r="A4167" s="1" t="str">
        <f>"3403.11.90"</f>
        <v>3403.11.90</v>
      </c>
      <c r="B4167" s="2" t="str">
        <f>"Outras"</f>
        <v>Outras</v>
      </c>
    </row>
    <row r="4168" spans="1:2">
      <c r="A4168" s="1" t="str">
        <f>"3403.19.00"</f>
        <v>3403.19.00</v>
      </c>
      <c r="B4168" s="2" t="str">
        <f>"OUTRAS"</f>
        <v>OUTRAS</v>
      </c>
    </row>
    <row r="4169" spans="1:2">
      <c r="A4169" s="1" t="str">
        <f>"3403.91.10"</f>
        <v>3403.91.10</v>
      </c>
      <c r="B4169" s="2" t="str">
        <f>"Para o tratamento de materias texte"</f>
        <v>Para o tratamento de materias texte</v>
      </c>
    </row>
    <row r="4170" spans="1:2">
      <c r="A4170" s="1" t="str">
        <f>"3403.91.20"</f>
        <v>3403.91.20</v>
      </c>
      <c r="B4170" s="2" t="str">
        <f>"Para o tratamento de couros e peles"</f>
        <v>Para o tratamento de couros e peles</v>
      </c>
    </row>
    <row r="4171" spans="1:2">
      <c r="A4171" s="1" t="str">
        <f>"3403.91.90"</f>
        <v>3403.91.90</v>
      </c>
      <c r="B4171" s="2" t="str">
        <f>"Outras"</f>
        <v>Outras</v>
      </c>
    </row>
    <row r="4172" spans="1:2">
      <c r="A4172" s="1" t="str">
        <f>"3403.99.00"</f>
        <v>3403.99.00</v>
      </c>
      <c r="B4172" s="2" t="str">
        <f>"OUTRAS"</f>
        <v>OUTRAS</v>
      </c>
    </row>
    <row r="4173" spans="1:2">
      <c r="A4173" s="1" t="str">
        <f>"3404.20.10"</f>
        <v>3404.20.10</v>
      </c>
      <c r="B4173" s="2" t="str">
        <f>"Ceras artificiais"</f>
        <v>Ceras artificiais</v>
      </c>
    </row>
    <row r="4174" spans="1:2">
      <c r="A4174" s="1" t="str">
        <f>"3404.20.20"</f>
        <v>3404.20.20</v>
      </c>
      <c r="B4174" s="2" t="str">
        <f>"Ceras preparadas"</f>
        <v>Ceras preparadas</v>
      </c>
    </row>
    <row r="4175" spans="1:2">
      <c r="A4175" s="1" t="str">
        <f>"3404.20.90"</f>
        <v>3404.20.90</v>
      </c>
      <c r="B4175" s="2" t="str">
        <f>"INATIVO"</f>
        <v>INATIVO</v>
      </c>
    </row>
    <row r="4176" spans="1:2">
      <c r="A4176" s="1" t="str">
        <f>"3404.90.11"</f>
        <v>3404.90.11</v>
      </c>
      <c r="B4176" s="2" t="str">
        <f>"De polietileno, emulsionaveis"</f>
        <v>De polietileno, emulsionaveis</v>
      </c>
    </row>
    <row r="4177" spans="1:2">
      <c r="A4177" s="1" t="str">
        <f>"3404.90.12"</f>
        <v>3404.90.12</v>
      </c>
      <c r="B4177" s="2" t="str">
        <f>"Outras, de polietileno"</f>
        <v>Outras, de polietileno</v>
      </c>
    </row>
    <row r="4178" spans="1:2">
      <c r="A4178" s="1" t="str">
        <f>"3404.90.13"</f>
        <v>3404.90.13</v>
      </c>
      <c r="B4178" s="2" t="str">
        <f>"De polipropilenoglicois"</f>
        <v>De polipropilenoglicois</v>
      </c>
    </row>
    <row r="4179" spans="1:2">
      <c r="A4179" s="1" t="str">
        <f>"3404.90.14"</f>
        <v>3404.90.14</v>
      </c>
      <c r="B4179" s="2" t="str">
        <f>"De dimero de alquilceteno com dois"</f>
        <v>De dimero de alquilceteno com dois</v>
      </c>
    </row>
    <row r="4180" spans="1:2">
      <c r="A4180" s="1" t="str">
        <f>"3404.90.19"</f>
        <v>3404.90.19</v>
      </c>
      <c r="B4180" s="2" t="str">
        <f>"OUTRAS"</f>
        <v>OUTRAS</v>
      </c>
    </row>
    <row r="4181" spans="1:2">
      <c r="A4181" s="1" t="str">
        <f>"3404.90.21"</f>
        <v>3404.90.21</v>
      </c>
      <c r="B4181" s="2" t="str">
        <f>"A base de vaselina e alcoois de lan"</f>
        <v>A base de vaselina e alcoois de lan</v>
      </c>
    </row>
    <row r="4182" spans="1:2">
      <c r="A4182" s="1" t="str">
        <f>"3404.90.29"</f>
        <v>3404.90.29</v>
      </c>
      <c r="B4182" s="2" t="str">
        <f>"OUTROS - MICROMATTE/POLYFLUO"</f>
        <v>OUTROS - MICROMATTE/POLYFLUO</v>
      </c>
    </row>
    <row r="4183" spans="1:2">
      <c r="A4183" s="1" t="str">
        <f>"3405.10.00"</f>
        <v>3405.10.00</v>
      </c>
      <c r="B4183" s="2" t="str">
        <f>"POMADAS, CREMES P/ CALÇADOS/COURO"</f>
        <v>POMADAS, CREMES P/ CALÇADOS/COURO</v>
      </c>
    </row>
    <row r="4184" spans="1:2">
      <c r="A4184" s="1" t="str">
        <f>"3405.20.00"</f>
        <v>3405.20.00</v>
      </c>
      <c r="B4184" s="2" t="str">
        <f>"LIMPEZA MÓVEIS MAD/ SOALHOS"</f>
        <v>LIMPEZA MÓVEIS MAD/ SOALHOS</v>
      </c>
    </row>
    <row r="4185" spans="1:2">
      <c r="A4185" s="1" t="str">
        <f>"3405.30.00"</f>
        <v>3405.30.00</v>
      </c>
      <c r="B4185" s="2" t="str">
        <f>"Preparacoes para dar brilho a pintu"</f>
        <v>Preparacoes para dar brilho a pintu</v>
      </c>
    </row>
    <row r="4186" spans="1:2">
      <c r="A4186" s="1" t="str">
        <f>"3405.40.00"</f>
        <v>3405.40.00</v>
      </c>
      <c r="B4186" s="2" t="str">
        <f>"PASTAS, PÓS E OUTRAS PREPARAÇÕES PA"</f>
        <v>PASTAS, PÓS E OUTRAS PREPARAÇÕES PA</v>
      </c>
    </row>
    <row r="4187" spans="1:2">
      <c r="A4187" s="1" t="str">
        <f>"3405.90.00"</f>
        <v>3405.90.00</v>
      </c>
      <c r="B4187" s="2" t="str">
        <f>"OUTROS"</f>
        <v>OUTROS</v>
      </c>
    </row>
    <row r="4188" spans="1:2">
      <c r="A4188" s="1" t="str">
        <f>"3406.00.00"</f>
        <v>3406.00.00</v>
      </c>
      <c r="B4188" s="2" t="str">
        <f>"Velas, pavios, cirios e artigos sem"</f>
        <v>Velas, pavios, cirios e artigos sem</v>
      </c>
    </row>
    <row r="4189" spans="1:2">
      <c r="A4189" s="1" t="str">
        <f>"3407.00.10"</f>
        <v>3407.00.10</v>
      </c>
      <c r="B4189" s="2" t="str">
        <f>"Massas ou pastas para modelar"</f>
        <v>Massas ou pastas para modelar</v>
      </c>
    </row>
    <row r="4190" spans="1:2">
      <c r="A4190" s="1" t="str">
        <f>"3407.00.20"</f>
        <v>3407.00.20</v>
      </c>
      <c r="B4190" s="2" t="str">
        <f>"ôCeras para dentistasö"</f>
        <v>ôCeras para dentistasö</v>
      </c>
    </row>
    <row r="4191" spans="1:2">
      <c r="A4191" s="1" t="str">
        <f>"3407.00.90"</f>
        <v>3407.00.90</v>
      </c>
      <c r="B4191" s="2" t="str">
        <f>"Outras"</f>
        <v>Outras</v>
      </c>
    </row>
    <row r="4192" spans="1:2">
      <c r="A4192" s="1" t="str">
        <f>"3473.30.99"</f>
        <v>3473.30.99</v>
      </c>
      <c r="B4192" s="2" t="str">
        <f>"INATIVO"</f>
        <v>INATIVO</v>
      </c>
    </row>
    <row r="4193" spans="1:2">
      <c r="A4193" s="1" t="str">
        <f>"3501.10.00"</f>
        <v>3501.10.00</v>
      </c>
      <c r="B4193" s="2" t="str">
        <f>"CASEINAS"</f>
        <v>CASEINAS</v>
      </c>
    </row>
    <row r="4194" spans="1:2">
      <c r="A4194" s="1" t="str">
        <f>"3501.90.11"</f>
        <v>3501.90.11</v>
      </c>
      <c r="B4194" s="2" t="str">
        <f>"Caseinato de sodio"</f>
        <v>Caseinato de sodio</v>
      </c>
    </row>
    <row r="4195" spans="1:2">
      <c r="A4195" s="1" t="str">
        <f>"3501.90.19"</f>
        <v>3501.90.19</v>
      </c>
      <c r="B4195" s="2" t="str">
        <f>"OUTROS - LURON LIGANTE"</f>
        <v>OUTROS - LURON LIGANTE</v>
      </c>
    </row>
    <row r="4196" spans="1:2">
      <c r="A4196" s="1" t="str">
        <f>"3501.90.20"</f>
        <v>3501.90.20</v>
      </c>
      <c r="B4196" s="2" t="str">
        <f>"Colas de caseina"</f>
        <v>Colas de caseina</v>
      </c>
    </row>
    <row r="4197" spans="1:2">
      <c r="A4197" s="1" t="str">
        <f>"3502.11.00"</f>
        <v>3502.11.00</v>
      </c>
      <c r="B4197" s="2" t="str">
        <f>"Seca"</f>
        <v>Seca</v>
      </c>
    </row>
    <row r="4198" spans="1:2">
      <c r="A4198" s="1" t="str">
        <f>"3502.19.00"</f>
        <v>3502.19.00</v>
      </c>
      <c r="B4198" s="2" t="str">
        <f>"Outra"</f>
        <v>Outra</v>
      </c>
    </row>
    <row r="4199" spans="1:2">
      <c r="A4199" s="1" t="str">
        <f>"3502.20.00"</f>
        <v>3502.20.00</v>
      </c>
      <c r="B4199" s="2" t="str">
        <f>"Lactalbumina, incluindo os concentr"</f>
        <v>Lactalbumina, incluindo os concentr</v>
      </c>
    </row>
    <row r="4200" spans="1:2">
      <c r="A4200" s="1" t="str">
        <f>"3502.90.10"</f>
        <v>3502.90.10</v>
      </c>
      <c r="B4200" s="2" t="str">
        <f>"Soroalbumina"</f>
        <v>Soroalbumina</v>
      </c>
    </row>
    <row r="4201" spans="1:2">
      <c r="A4201" s="1" t="str">
        <f>"3502.90.90"</f>
        <v>3502.90.90</v>
      </c>
      <c r="B4201" s="2" t="str">
        <f>"Outros"</f>
        <v>Outros</v>
      </c>
    </row>
    <row r="4202" spans="1:2">
      <c r="A4202" s="1" t="str">
        <f>"3503.00.11"</f>
        <v>3503.00.11</v>
      </c>
      <c r="B4202" s="2" t="str">
        <f>"De osseina, com grau de pureza igua"</f>
        <v>De osseina, com grau de pureza igua</v>
      </c>
    </row>
    <row r="4203" spans="1:2">
      <c r="A4203" s="1" t="str">
        <f>"3503.00.12"</f>
        <v>3503.00.12</v>
      </c>
      <c r="B4203" s="2" t="str">
        <f>"De osseina, com grau de pureza infe"</f>
        <v>De osseina, com grau de pureza infe</v>
      </c>
    </row>
    <row r="4204" spans="1:2">
      <c r="A4204" s="1" t="str">
        <f>"3503.00.19"</f>
        <v>3503.00.19</v>
      </c>
      <c r="B4204" s="2" t="str">
        <f>"Outros"</f>
        <v>Outros</v>
      </c>
    </row>
    <row r="4205" spans="1:2">
      <c r="A4205" s="1" t="str">
        <f>"3503.00.90"</f>
        <v>3503.00.90</v>
      </c>
      <c r="B4205" s="2" t="str">
        <f>"Outras"</f>
        <v>Outras</v>
      </c>
    </row>
    <row r="4206" spans="1:2">
      <c r="A4206" s="1" t="str">
        <f>"3504.00.11"</f>
        <v>3504.00.11</v>
      </c>
      <c r="B4206" s="2" t="str">
        <f>"Peptonas e peptonatos"</f>
        <v>Peptonas e peptonatos</v>
      </c>
    </row>
    <row r="4207" spans="1:2">
      <c r="A4207" s="1" t="str">
        <f>"3504.00.19"</f>
        <v>3504.00.19</v>
      </c>
      <c r="B4207" s="2" t="str">
        <f>"Outros"</f>
        <v>Outros</v>
      </c>
    </row>
    <row r="4208" spans="1:2">
      <c r="A4208" s="1" t="str">
        <f>"3504.00.20"</f>
        <v>3504.00.20</v>
      </c>
      <c r="B4208" s="2" t="str">
        <f>"Proteinas de soja em po, com um teo"</f>
        <v>Proteinas de soja em po, com um teo</v>
      </c>
    </row>
    <row r="4209" spans="1:2">
      <c r="A4209" s="1" t="str">
        <f>"3504.00.30"</f>
        <v>3504.00.30</v>
      </c>
      <c r="B4209" s="2" t="str">
        <f>"Proteinas de batata em po, com um t"</f>
        <v>Proteinas de batata em po, com um t</v>
      </c>
    </row>
    <row r="4210" spans="1:2">
      <c r="A4210" s="1" t="str">
        <f>"3504.00.90"</f>
        <v>3504.00.90</v>
      </c>
      <c r="B4210" s="2" t="str">
        <f>"Outros"</f>
        <v>Outros</v>
      </c>
    </row>
    <row r="4211" spans="1:2">
      <c r="A4211" s="1" t="str">
        <f>"3505.10.00"</f>
        <v>3505.10.00</v>
      </c>
      <c r="B4211" s="2" t="str">
        <f>"Dextrina e outros amidos e feculas"</f>
        <v>Dextrina e outros amidos e feculas</v>
      </c>
    </row>
    <row r="4212" spans="1:2">
      <c r="A4212" s="1" t="str">
        <f>"3505.20.00"</f>
        <v>3505.20.00</v>
      </c>
      <c r="B4212" s="2" t="str">
        <f>"Colas"</f>
        <v>Colas</v>
      </c>
    </row>
    <row r="4213" spans="1:2">
      <c r="A4213" s="1" t="str">
        <f>"3506.10.10"</f>
        <v>3506.10.10</v>
      </c>
      <c r="B4213" s="2" t="str">
        <f>"À BASE DE CIANOACRILATOS"</f>
        <v>À BASE DE CIANOACRILATOS</v>
      </c>
    </row>
    <row r="4214" spans="1:2">
      <c r="A4214" s="1" t="str">
        <f>"3506.10.90"</f>
        <v>3506.10.90</v>
      </c>
      <c r="B4214" s="2" t="str">
        <f>"Outros"</f>
        <v>Outros</v>
      </c>
    </row>
    <row r="4215" spans="1:2">
      <c r="A4215" s="1" t="str">
        <f>"3506.91.10"</f>
        <v>3506.91.10</v>
      </c>
      <c r="B4215" s="2" t="str">
        <f>"À BASE DE BORRACHA"</f>
        <v>À BASE DE BORRACHA</v>
      </c>
    </row>
    <row r="4216" spans="1:2">
      <c r="A4216" s="1" t="str">
        <f>"3506.91.20"</f>
        <v>3506.91.20</v>
      </c>
      <c r="B4216" s="2" t="str">
        <f>"À BASE DE POLÍMEROS"</f>
        <v>À BASE DE POLÍMEROS</v>
      </c>
    </row>
    <row r="4217" spans="1:2">
      <c r="A4217" s="1" t="str">
        <f>"3506.91.90"</f>
        <v>3506.91.90</v>
      </c>
      <c r="B4217" s="2" t="str">
        <f>"OUTROS ADESIVO"</f>
        <v>OUTROS ADESIVO</v>
      </c>
    </row>
    <row r="4218" spans="1:2">
      <c r="A4218" s="1" t="str">
        <f>"3506.99.00"</f>
        <v>3506.99.00</v>
      </c>
      <c r="B4218" s="2" t="str">
        <f>"ADESIVOS"</f>
        <v>ADESIVOS</v>
      </c>
    </row>
    <row r="4219" spans="1:2">
      <c r="A4219" s="1" t="str">
        <f>"3507.10.00"</f>
        <v>3507.10.00</v>
      </c>
      <c r="B4219" s="2" t="str">
        <f>"Coalho e seus concentrados"</f>
        <v>Coalho e seus concentrados</v>
      </c>
    </row>
    <row r="4220" spans="1:2">
      <c r="A4220" s="1" t="str">
        <f>"3507.90.11"</f>
        <v>3507.90.11</v>
      </c>
      <c r="B4220" s="2" t="str">
        <f>"Alfa-amilase (Aspergillus oryzae)"</f>
        <v>Alfa-amilase (Aspergillus oryzae)</v>
      </c>
    </row>
    <row r="4221" spans="1:2">
      <c r="A4221" s="1" t="str">
        <f>"3507.90.19"</f>
        <v>3507.90.19</v>
      </c>
      <c r="B4221" s="2" t="str">
        <f>"Outros"</f>
        <v>Outros</v>
      </c>
    </row>
    <row r="4222" spans="1:2">
      <c r="A4222" s="1" t="str">
        <f>"3507.90.21"</f>
        <v>3507.90.21</v>
      </c>
      <c r="B4222" s="2" t="str">
        <f>"Fibrinucleases"</f>
        <v>Fibrinucleases</v>
      </c>
    </row>
    <row r="4223" spans="1:2">
      <c r="A4223" s="1" t="str">
        <f>"3507.90.22"</f>
        <v>3507.90.22</v>
      </c>
      <c r="B4223" s="2" t="str">
        <f>"Bromelina"</f>
        <v>Bromelina</v>
      </c>
    </row>
    <row r="4224" spans="1:2">
      <c r="A4224" s="1" t="str">
        <f>"3507.90.23"</f>
        <v>3507.90.23</v>
      </c>
      <c r="B4224" s="2" t="str">
        <f>"Estreptoquinase"</f>
        <v>Estreptoquinase</v>
      </c>
    </row>
    <row r="4225" spans="1:2">
      <c r="A4225" s="1" t="str">
        <f>"3507.90.24"</f>
        <v>3507.90.24</v>
      </c>
      <c r="B4225" s="2" t="str">
        <f>"Estreptodornase"</f>
        <v>Estreptodornase</v>
      </c>
    </row>
    <row r="4226" spans="1:2">
      <c r="A4226" s="1" t="str">
        <f>"3507.90.25"</f>
        <v>3507.90.25</v>
      </c>
      <c r="B4226" s="2" t="str">
        <f>"Mistura de estreptoquinase e estrep"</f>
        <v>Mistura de estreptoquinase e estrep</v>
      </c>
    </row>
    <row r="4227" spans="1:2">
      <c r="A4227" s="1" t="str">
        <f>"3507.90.26"</f>
        <v>3507.90.26</v>
      </c>
      <c r="B4227" s="2" t="str">
        <f>"Papaina"</f>
        <v>Papaina</v>
      </c>
    </row>
    <row r="4228" spans="1:2">
      <c r="A4228" s="1" t="str">
        <f>"3507.90.29"</f>
        <v>3507.90.29</v>
      </c>
      <c r="B4228" s="2" t="str">
        <f>"Outros"</f>
        <v>Outros</v>
      </c>
    </row>
    <row r="4229" spans="1:2">
      <c r="A4229" s="1" t="str">
        <f>"3507.90.31"</f>
        <v>3507.90.31</v>
      </c>
      <c r="B4229" s="2" t="str">
        <f>"Lisozima e seu cloridrato"</f>
        <v>Lisozima e seu cloridrato</v>
      </c>
    </row>
    <row r="4230" spans="1:2">
      <c r="A4230" s="1" t="str">
        <f>"3507.90.32"</f>
        <v>3507.90.32</v>
      </c>
      <c r="B4230" s="2" t="str">
        <f>"L-Asparaginase"</f>
        <v>L-Asparaginase</v>
      </c>
    </row>
    <row r="4231" spans="1:2">
      <c r="A4231" s="1" t="str">
        <f>"3507.90.39"</f>
        <v>3507.90.39</v>
      </c>
      <c r="B4231" s="2" t="str">
        <f>"Outros"</f>
        <v>Outros</v>
      </c>
    </row>
    <row r="4232" spans="1:2">
      <c r="A4232" s="1" t="str">
        <f>"3507.90.41"</f>
        <v>3507.90.41</v>
      </c>
      <c r="B4232" s="2" t="str">
        <f>"A base de celulases"</f>
        <v>A base de celulases</v>
      </c>
    </row>
    <row r="4233" spans="1:2">
      <c r="A4233" s="1" t="str">
        <f>"3507.90.42"</f>
        <v>3507.90.42</v>
      </c>
      <c r="B4233" s="2" t="str">
        <f>"A base de transglutaminase"</f>
        <v>A base de transglutaminase</v>
      </c>
    </row>
    <row r="4234" spans="1:2">
      <c r="A4234" s="1" t="str">
        <f>"3507.90.49"</f>
        <v>3507.90.49</v>
      </c>
      <c r="B4234" s="2" t="str">
        <f>"Outras"</f>
        <v>Outras</v>
      </c>
    </row>
    <row r="4235" spans="1:2">
      <c r="A4235" s="1" t="str">
        <f>"3601.00.00"</f>
        <v>3601.00.00</v>
      </c>
      <c r="B4235" s="2" t="str">
        <f>"Polvoras propulsivas."</f>
        <v>Polvoras propulsivas.</v>
      </c>
    </row>
    <row r="4236" spans="1:2">
      <c r="A4236" s="1" t="str">
        <f>"3602.00.00"</f>
        <v>3602.00.00</v>
      </c>
      <c r="B4236" s="2" t="str">
        <f>"Explosivos preparados, exceto polvo"</f>
        <v>Explosivos preparados, exceto polvo</v>
      </c>
    </row>
    <row r="4237" spans="1:2">
      <c r="A4237" s="1" t="str">
        <f>"3603.00.00"</f>
        <v>3603.00.00</v>
      </c>
      <c r="B4237" s="2" t="str">
        <f>"Estopins e rastilhos, de seguranca;"</f>
        <v>Estopins e rastilhos, de seguranca;</v>
      </c>
    </row>
    <row r="4238" spans="1:2">
      <c r="A4238" s="1" t="str">
        <f>"3604.10.00"</f>
        <v>3604.10.00</v>
      </c>
      <c r="B4238" s="2" t="str">
        <f>"Fogos de artificio"</f>
        <v>Fogos de artificio</v>
      </c>
    </row>
    <row r="4239" spans="1:2">
      <c r="A4239" s="1" t="str">
        <f>"3604.90.10"</f>
        <v>3604.90.10</v>
      </c>
      <c r="B4239" s="2" t="str">
        <f>"Foguetes e cartuchos contra o grani"</f>
        <v>Foguetes e cartuchos contra o grani</v>
      </c>
    </row>
    <row r="4240" spans="1:2">
      <c r="A4240" s="1" t="str">
        <f>"3604.90.90"</f>
        <v>3604.90.90</v>
      </c>
      <c r="B4240" s="2" t="str">
        <f>"Outros"</f>
        <v>Outros</v>
      </c>
    </row>
    <row r="4241" spans="1:2">
      <c r="A4241" s="1" t="str">
        <f>"3605.00.00"</f>
        <v>3605.00.00</v>
      </c>
      <c r="B4241" s="2" t="str">
        <f>"Fosforos, exceto os artigos de piro"</f>
        <v>Fosforos, exceto os artigos de piro</v>
      </c>
    </row>
    <row r="4242" spans="1:2">
      <c r="A4242" s="1" t="str">
        <f>"3606.10.00"</f>
        <v>3606.10.00</v>
      </c>
      <c r="B4242" s="2" t="str">
        <f>"Combustiveis liquidos e combustivei"</f>
        <v>Combustiveis liquidos e combustivei</v>
      </c>
    </row>
    <row r="4243" spans="1:2">
      <c r="A4243" s="1" t="str">
        <f>"3606.90.00"</f>
        <v>3606.90.00</v>
      </c>
      <c r="B4243" s="2" t="str">
        <f>"Outros"</f>
        <v>Outros</v>
      </c>
    </row>
    <row r="4244" spans="1:2">
      <c r="A4244" s="1" t="str">
        <f>"3701.10.10"</f>
        <v>3701.10.10</v>
      </c>
      <c r="B4244" s="2" t="str">
        <f>"Sensibilizados em uma face"</f>
        <v>Sensibilizados em uma face</v>
      </c>
    </row>
    <row r="4245" spans="1:2">
      <c r="A4245" s="1" t="str">
        <f>"3701.10.21"</f>
        <v>3701.10.21</v>
      </c>
      <c r="B4245" s="2" t="str">
        <f>"Proprios para uso odontologico"</f>
        <v>Proprios para uso odontologico</v>
      </c>
    </row>
    <row r="4246" spans="1:2">
      <c r="A4246" s="1" t="str">
        <f>"3701.10.29"</f>
        <v>3701.10.29</v>
      </c>
      <c r="B4246" s="2" t="str">
        <f>"Outros"</f>
        <v>Outros</v>
      </c>
    </row>
    <row r="4247" spans="1:2">
      <c r="A4247" s="1" t="str">
        <f>"3701.20.10"</f>
        <v>3701.20.10</v>
      </c>
      <c r="B4247" s="2" t="str">
        <f>"Para fotografia a cores (policromo)"</f>
        <v>Para fotografia a cores (policromo)</v>
      </c>
    </row>
    <row r="4248" spans="1:2">
      <c r="A4248" s="1" t="str">
        <f>"3701.20.20"</f>
        <v>3701.20.20</v>
      </c>
      <c r="B4248" s="2" t="str">
        <f>"Para fotografia monocromatica"</f>
        <v>Para fotografia monocromatica</v>
      </c>
    </row>
    <row r="4249" spans="1:2">
      <c r="A4249" s="1" t="str">
        <f>"3701.30.10"</f>
        <v>3701.30.10</v>
      </c>
      <c r="B4249" s="2" t="str">
        <f>"Para fotografia a cores (policromo)"</f>
        <v>Para fotografia a cores (policromo)</v>
      </c>
    </row>
    <row r="4250" spans="1:2">
      <c r="A4250" s="1" t="str">
        <f>"3701.30.21"</f>
        <v>3701.30.21</v>
      </c>
      <c r="B4250" s="2" t="str">
        <f>"De aluminio"</f>
        <v>De aluminio</v>
      </c>
    </row>
    <row r="4251" spans="1:2">
      <c r="A4251" s="1" t="str">
        <f>"3701.30.22"</f>
        <v>3701.30.22</v>
      </c>
      <c r="B4251" s="2" t="str">
        <f>"De poliester"</f>
        <v>De poliester</v>
      </c>
    </row>
    <row r="4252" spans="1:2">
      <c r="A4252" s="1" t="str">
        <f>"3701.30.29"</f>
        <v>3701.30.29</v>
      </c>
      <c r="B4252" s="2" t="str">
        <f>"Outras"</f>
        <v>Outras</v>
      </c>
    </row>
    <row r="4253" spans="1:2">
      <c r="A4253" s="1" t="str">
        <f>"3701.30.31"</f>
        <v>3701.30.31</v>
      </c>
      <c r="B4253" s="2" t="str">
        <f>"De aluminio"</f>
        <v>De aluminio</v>
      </c>
    </row>
    <row r="4254" spans="1:2">
      <c r="A4254" s="1" t="str">
        <f>"3701.30.39"</f>
        <v>3701.30.39</v>
      </c>
      <c r="B4254" s="2" t="str">
        <f>"Outras"</f>
        <v>Outras</v>
      </c>
    </row>
    <row r="4255" spans="1:2">
      <c r="A4255" s="1" t="str">
        <f>"3701.30.40"</f>
        <v>3701.30.40</v>
      </c>
      <c r="B4255" s="2" t="str">
        <f>"Filmes para as artes graficas"</f>
        <v>Filmes para as artes graficas</v>
      </c>
    </row>
    <row r="4256" spans="1:2">
      <c r="A4256" s="1" t="str">
        <f>"3701.30.50"</f>
        <v>3701.30.50</v>
      </c>
      <c r="B4256" s="2" t="str">
        <f>"Filmes heliograficos, de poliester"</f>
        <v>Filmes heliograficos, de poliester</v>
      </c>
    </row>
    <row r="4257" spans="1:2">
      <c r="A4257" s="1" t="str">
        <f>"3701.30.90"</f>
        <v>3701.30.90</v>
      </c>
      <c r="B4257" s="2" t="str">
        <f>"Outros"</f>
        <v>Outros</v>
      </c>
    </row>
    <row r="4258" spans="1:2">
      <c r="A4258" s="1" t="str">
        <f>"3701.91.00"</f>
        <v>3701.91.00</v>
      </c>
      <c r="B4258" s="2" t="str">
        <f>"Para fotografia a cores (policromo)"</f>
        <v>Para fotografia a cores (policromo)</v>
      </c>
    </row>
    <row r="4259" spans="1:2">
      <c r="A4259" s="1" t="str">
        <f>"3701.99.00"</f>
        <v>3701.99.00</v>
      </c>
      <c r="B4259" s="2" t="str">
        <f>"Outros"</f>
        <v>Outros</v>
      </c>
    </row>
    <row r="4260" spans="1:2">
      <c r="A4260" s="1" t="str">
        <f>"3702.10.10"</f>
        <v>3702.10.10</v>
      </c>
      <c r="B4260" s="2" t="str">
        <f>"Sensibilizados em uma face"</f>
        <v>Sensibilizados em uma face</v>
      </c>
    </row>
    <row r="4261" spans="1:2">
      <c r="A4261" s="1" t="str">
        <f>"3702.10.20"</f>
        <v>3702.10.20</v>
      </c>
      <c r="B4261" s="2" t="str">
        <f>"Sensibilizados em ambas as faces"</f>
        <v>Sensibilizados em ambas as faces</v>
      </c>
    </row>
    <row r="4262" spans="1:2">
      <c r="A4262" s="1" t="str">
        <f>"3702.31.00"</f>
        <v>3702.31.00</v>
      </c>
      <c r="B4262" s="2" t="str">
        <f>"Para fotografia a cores (policromo)"</f>
        <v>Para fotografia a cores (policromo)</v>
      </c>
    </row>
    <row r="4263" spans="1:2">
      <c r="A4263" s="1" t="str">
        <f>"3702.32.00"</f>
        <v>3702.32.00</v>
      </c>
      <c r="B4263" s="2" t="str">
        <f>"Outros, que contenham uma emulsao d"</f>
        <v>Outros, que contenham uma emulsao d</v>
      </c>
    </row>
    <row r="4264" spans="1:2">
      <c r="A4264" s="1" t="str">
        <f>"3702.39.00"</f>
        <v>3702.39.00</v>
      </c>
      <c r="B4264" s="2" t="str">
        <f>"Outros"</f>
        <v>Outros</v>
      </c>
    </row>
    <row r="4265" spans="1:2">
      <c r="A4265" s="1" t="str">
        <f>"3702.41.00"</f>
        <v>3702.41.00</v>
      </c>
      <c r="B4265" s="2" t="str">
        <f>"De largura superior a 610 mm e comp"</f>
        <v>De largura superior a 610 mm e comp</v>
      </c>
    </row>
    <row r="4266" spans="1:2">
      <c r="A4266" s="1" t="str">
        <f>"3702.42.10"</f>
        <v>3702.42.10</v>
      </c>
      <c r="B4266" s="2" t="str">
        <f>"Para as artes graficas"</f>
        <v>Para as artes graficas</v>
      </c>
    </row>
    <row r="4267" spans="1:2">
      <c r="A4267" s="1" t="str">
        <f>"3702.42.90"</f>
        <v>3702.42.90</v>
      </c>
      <c r="B4267" s="2" t="str">
        <f>"Outros"</f>
        <v>Outros</v>
      </c>
    </row>
    <row r="4268" spans="1:2">
      <c r="A4268" s="1" t="str">
        <f>"3702.43.10"</f>
        <v>3702.43.10</v>
      </c>
      <c r="B4268" s="2" t="str">
        <f>"Para as artes graficas"</f>
        <v>Para as artes graficas</v>
      </c>
    </row>
    <row r="4269" spans="1:2">
      <c r="A4269" s="1" t="str">
        <f>"3702.43.20"</f>
        <v>3702.43.20</v>
      </c>
      <c r="B4269" s="2" t="str">
        <f>"Heliograficos, de poliester"</f>
        <v>Heliograficos, de poliester</v>
      </c>
    </row>
    <row r="4270" spans="1:2">
      <c r="A4270" s="1" t="str">
        <f>"3702.43.90"</f>
        <v>3702.43.90</v>
      </c>
      <c r="B4270" s="2" t="str">
        <f>"Outros"</f>
        <v>Outros</v>
      </c>
    </row>
    <row r="4271" spans="1:2">
      <c r="A4271" s="1" t="str">
        <f>"3702.44.10"</f>
        <v>3702.44.10</v>
      </c>
      <c r="B4271" s="2" t="str">
        <f>"Para fotografia a cores (policromo)"</f>
        <v>Para fotografia a cores (policromo)</v>
      </c>
    </row>
    <row r="4272" spans="1:2">
      <c r="A4272" s="1" t="str">
        <f>"3702.44.21"</f>
        <v>3702.44.21</v>
      </c>
      <c r="B4272" s="2" t="str">
        <f>"Para as artes graficas"</f>
        <v>Para as artes graficas</v>
      </c>
    </row>
    <row r="4273" spans="1:2">
      <c r="A4273" s="1" t="str">
        <f>"3702.44.22"</f>
        <v>3702.44.22</v>
      </c>
      <c r="B4273" s="2" t="str">
        <f>"Fotopolimerizaveis, sensibilizadas"</f>
        <v>Fotopolimerizaveis, sensibilizadas</v>
      </c>
    </row>
    <row r="4274" spans="1:2">
      <c r="A4274" s="1" t="str">
        <f>"3702.44.29"</f>
        <v>3702.44.29</v>
      </c>
      <c r="B4274" s="2" t="str">
        <f>"Outros"</f>
        <v>Outros</v>
      </c>
    </row>
    <row r="4275" spans="1:2">
      <c r="A4275" s="1" t="str">
        <f>"3702.52.00"</f>
        <v>3702.52.00</v>
      </c>
      <c r="B4275" s="2" t="str">
        <f>"De largura nao superior a 16 mm"</f>
        <v>De largura nao superior a 16 mm</v>
      </c>
    </row>
    <row r="4276" spans="1:2">
      <c r="A4276" s="1" t="str">
        <f>"3702.53.00"</f>
        <v>3702.53.00</v>
      </c>
      <c r="B4276" s="2" t="str">
        <f>"De largura superior a 16 mm, mas na"</f>
        <v>De largura superior a 16 mm, mas na</v>
      </c>
    </row>
    <row r="4277" spans="1:2">
      <c r="A4277" s="1" t="str">
        <f>"3702.54.11"</f>
        <v>3702.54.11</v>
      </c>
      <c r="B4277" s="2" t="str">
        <f>"Em bobinas (filmpacks)"</f>
        <v>Em bobinas (filmpacks)</v>
      </c>
    </row>
    <row r="4278" spans="1:2">
      <c r="A4278" s="1" t="str">
        <f>"3702.54.12"</f>
        <v>3702.54.12</v>
      </c>
      <c r="B4278" s="2" t="str">
        <f>"De 12 exposicoes (0,5 m de comprime"</f>
        <v>De 12 exposicoes (0,5 m de comprime</v>
      </c>
    </row>
    <row r="4279" spans="1:2">
      <c r="A4279" s="1" t="str">
        <f>"3702.54.19"</f>
        <v>3702.54.19</v>
      </c>
      <c r="B4279" s="2" t="str">
        <f>"OUTROS"</f>
        <v>OUTROS</v>
      </c>
    </row>
    <row r="4280" spans="1:2">
      <c r="A4280" s="1" t="str">
        <f>"3702.54.91"</f>
        <v>3702.54.91</v>
      </c>
      <c r="B4280" s="2" t="str">
        <f>"Em bobinas (filmpacks)"</f>
        <v>Em bobinas (filmpacks)</v>
      </c>
    </row>
    <row r="4281" spans="1:2">
      <c r="A4281" s="1" t="str">
        <f>"3702.54.99"</f>
        <v>3702.54.99</v>
      </c>
      <c r="B4281" s="2" t="str">
        <f>"Outros"</f>
        <v>Outros</v>
      </c>
    </row>
    <row r="4282" spans="1:2">
      <c r="A4282" s="1" t="str">
        <f>"3702.55.10"</f>
        <v>3702.55.10</v>
      </c>
      <c r="B4282" s="2" t="str">
        <f>"De largura igual a 35 mm"</f>
        <v>De largura igual a 35 mm</v>
      </c>
    </row>
    <row r="4283" spans="1:2">
      <c r="A4283" s="1" t="str">
        <f>"3702.55.90"</f>
        <v>3702.55.90</v>
      </c>
      <c r="B4283" s="2" t="str">
        <f>"Outros"</f>
        <v>Outros</v>
      </c>
    </row>
    <row r="4284" spans="1:2">
      <c r="A4284" s="1" t="str">
        <f>"3702.56.00"</f>
        <v>3702.56.00</v>
      </c>
      <c r="B4284" s="2" t="str">
        <f>"De largura superior a 35 mm"</f>
        <v>De largura superior a 35 mm</v>
      </c>
    </row>
    <row r="4285" spans="1:2">
      <c r="A4285" s="1" t="str">
        <f>"3702.96.00"</f>
        <v>3702.96.00</v>
      </c>
      <c r="B4285" s="2" t="str">
        <f>"De largura nao superior a 35 mm e c"</f>
        <v>De largura nao superior a 35 mm e c</v>
      </c>
    </row>
    <row r="4286" spans="1:2">
      <c r="A4286" s="1" t="str">
        <f>"3702.97.00"</f>
        <v>3702.97.00</v>
      </c>
      <c r="B4286" s="2" t="str">
        <f>"De largura nao superior a 35 mm e c"</f>
        <v>De largura nao superior a 35 mm e c</v>
      </c>
    </row>
    <row r="4287" spans="1:2">
      <c r="A4287" s="1" t="str">
        <f>"3702.98.00"</f>
        <v>3702.98.00</v>
      </c>
      <c r="B4287" s="2" t="str">
        <f>"De largura superior a 35 mm"</f>
        <v>De largura superior a 35 mm</v>
      </c>
    </row>
    <row r="4288" spans="1:2">
      <c r="A4288" s="1" t="str">
        <f>"3703.10.10"</f>
        <v>3703.10.10</v>
      </c>
      <c r="B4288" s="2" t="str">
        <f>"Para fotografia a cores (policromo)"</f>
        <v>Para fotografia a cores (policromo)</v>
      </c>
    </row>
    <row r="4289" spans="1:2">
      <c r="A4289" s="1" t="str">
        <f>"3703.10.21"</f>
        <v>3703.10.21</v>
      </c>
      <c r="B4289" s="2" t="str">
        <f>"Papel heliografico"</f>
        <v>Papel heliografico</v>
      </c>
    </row>
    <row r="4290" spans="1:2">
      <c r="A4290" s="1" t="str">
        <f>"3703.10.29"</f>
        <v>3703.10.29</v>
      </c>
      <c r="B4290" s="2" t="str">
        <f>"Outros"</f>
        <v>Outros</v>
      </c>
    </row>
    <row r="4291" spans="1:2">
      <c r="A4291" s="1" t="str">
        <f>"3703.20.00"</f>
        <v>3703.20.00</v>
      </c>
      <c r="B4291" s="2" t="str">
        <f>"Outros, para fotografia a cores (po"</f>
        <v>Outros, para fotografia a cores (po</v>
      </c>
    </row>
    <row r="4292" spans="1:2">
      <c r="A4292" s="1" t="str">
        <f>"3703.90.10"</f>
        <v>3703.90.10</v>
      </c>
      <c r="B4292" s="2" t="str">
        <f>"Papel para fotocomposicao"</f>
        <v>Papel para fotocomposicao</v>
      </c>
    </row>
    <row r="4293" spans="1:2">
      <c r="A4293" s="1" t="str">
        <f>"3703.90.90"</f>
        <v>3703.90.90</v>
      </c>
      <c r="B4293" s="2" t="str">
        <f>"Outros"</f>
        <v>Outros</v>
      </c>
    </row>
    <row r="4294" spans="1:2">
      <c r="A4294" s="1" t="str">
        <f>"3704.00.00"</f>
        <v>3704.00.00</v>
      </c>
      <c r="B4294" s="2" t="str">
        <f>"Chapas, filmes, papeis, cartoes e t"</f>
        <v>Chapas, filmes, papeis, cartoes e t</v>
      </c>
    </row>
    <row r="4295" spans="1:2">
      <c r="A4295" s="1" t="str">
        <f>"3705.00.10"</f>
        <v>3705.00.10</v>
      </c>
      <c r="B4295" s="2" t="str">
        <f>"Fotomascaras sobre vidro plano, pos"</f>
        <v>Fotomascaras sobre vidro plano, pos</v>
      </c>
    </row>
    <row r="4296" spans="1:2">
      <c r="A4296" s="1" t="str">
        <f>"3705.00.90"</f>
        <v>3705.00.90</v>
      </c>
      <c r="B4296" s="2" t="str">
        <f>"Outros"</f>
        <v>Outros</v>
      </c>
    </row>
    <row r="4297" spans="1:2">
      <c r="A4297" s="1" t="str">
        <f>"3706.10.00"</f>
        <v>3706.10.00</v>
      </c>
      <c r="B4297" s="2" t="str">
        <f>"De largura igual ou superior a 35 m"</f>
        <v>De largura igual ou superior a 35 m</v>
      </c>
    </row>
    <row r="4298" spans="1:2">
      <c r="A4298" s="1" t="str">
        <f>"3706.90.00"</f>
        <v>3706.90.00</v>
      </c>
      <c r="B4298" s="2" t="str">
        <f>"Outros"</f>
        <v>Outros</v>
      </c>
    </row>
    <row r="4299" spans="1:2">
      <c r="A4299" s="1" t="str">
        <f>"3707.10.00"</f>
        <v>3707.10.00</v>
      </c>
      <c r="B4299" s="2" t="str">
        <f>"Emulsoes para sensibilizacao"</f>
        <v>Emulsoes para sensibilizacao</v>
      </c>
    </row>
    <row r="4300" spans="1:2">
      <c r="A4300" s="1" t="str">
        <f>"3707.90.10"</f>
        <v>3707.90.10</v>
      </c>
      <c r="B4300" s="2" t="str">
        <f>"Fixadores"</f>
        <v>Fixadores</v>
      </c>
    </row>
    <row r="4301" spans="1:2">
      <c r="A4301" s="1" t="str">
        <f>"3707.90.21"</f>
        <v>3707.90.21</v>
      </c>
      <c r="B4301" s="2" t="str">
        <f>"A base de negro-de-carbono ou de um"</f>
        <v>A base de negro-de-carbono ou de um</v>
      </c>
    </row>
    <row r="4302" spans="1:2">
      <c r="A4302" s="1" t="str">
        <f>"3707.90.29"</f>
        <v>3707.90.29</v>
      </c>
      <c r="B4302" s="2" t="str">
        <f>"Outros"</f>
        <v>Outros</v>
      </c>
    </row>
    <row r="4303" spans="1:2">
      <c r="A4303" s="1" t="str">
        <f>"3707.90.30"</f>
        <v>3707.90.30</v>
      </c>
      <c r="B4303" s="2" t="str">
        <f>"Compostos diazoicos fotossensiveis"</f>
        <v>Compostos diazoicos fotossensiveis</v>
      </c>
    </row>
    <row r="4304" spans="1:2">
      <c r="A4304" s="1" t="str">
        <f>"3707.90.90"</f>
        <v>3707.90.90</v>
      </c>
      <c r="B4304" s="2" t="str">
        <f>"Outros"</f>
        <v>Outros</v>
      </c>
    </row>
    <row r="4305" spans="1:2">
      <c r="A4305" s="1" t="str">
        <f>"3801.10.00"</f>
        <v>3801.10.00</v>
      </c>
      <c r="B4305" s="2" t="str">
        <f>"GRAFITA ARTIFICIAL"</f>
        <v>GRAFITA ARTIFICIAL</v>
      </c>
    </row>
    <row r="4306" spans="1:2">
      <c r="A4306" s="1" t="str">
        <f>"3801.20.10"</f>
        <v>3801.20.10</v>
      </c>
      <c r="B4306" s="2" t="str">
        <f>"Suspensao semicoloidal em oleos min"</f>
        <v>Suspensao semicoloidal em oleos min</v>
      </c>
    </row>
    <row r="4307" spans="1:2">
      <c r="A4307" s="1" t="str">
        <f>"3801.20.90"</f>
        <v>3801.20.90</v>
      </c>
      <c r="B4307" s="2" t="str">
        <f>"Outros"</f>
        <v>Outros</v>
      </c>
    </row>
    <row r="4308" spans="1:2">
      <c r="A4308" s="1" t="str">
        <f>"3801.30.10"</f>
        <v>3801.30.10</v>
      </c>
      <c r="B4308" s="2" t="str">
        <f>"Pasta carbonada para eletrodos"</f>
        <v>Pasta carbonada para eletrodos</v>
      </c>
    </row>
    <row r="4309" spans="1:2">
      <c r="A4309" s="1" t="str">
        <f>"3801.30.90"</f>
        <v>3801.30.90</v>
      </c>
      <c r="B4309" s="2" t="str">
        <f>"Outras"</f>
        <v>Outras</v>
      </c>
    </row>
    <row r="4310" spans="1:2">
      <c r="A4310" s="1" t="str">
        <f>"3801.90.00"</f>
        <v>3801.90.00</v>
      </c>
      <c r="B4310" s="2" t="str">
        <f>"Outras"</f>
        <v>Outras</v>
      </c>
    </row>
    <row r="4311" spans="1:2">
      <c r="A4311" s="1" t="str">
        <f>"3802.10.00"</f>
        <v>3802.10.00</v>
      </c>
      <c r="B4311" s="2" t="str">
        <f>"Carvoes ativados"</f>
        <v>Carvoes ativados</v>
      </c>
    </row>
    <row r="4312" spans="1:2">
      <c r="A4312" s="1" t="str">
        <f>"3802.90.10"</f>
        <v>3802.90.10</v>
      </c>
      <c r="B4312" s="2" t="str">
        <f>"Farinhas siliciosas fosseis"</f>
        <v>Farinhas siliciosas fosseis</v>
      </c>
    </row>
    <row r="4313" spans="1:2">
      <c r="A4313" s="1" t="str">
        <f>"3802.90.20"</f>
        <v>3802.90.20</v>
      </c>
      <c r="B4313" s="2" t="str">
        <f>"Bentonita"</f>
        <v>Bentonita</v>
      </c>
    </row>
    <row r="4314" spans="1:2">
      <c r="A4314" s="1" t="str">
        <f>"3802.90.30"</f>
        <v>3802.90.30</v>
      </c>
      <c r="B4314" s="2" t="str">
        <f>"Atapulgita"</f>
        <v>Atapulgita</v>
      </c>
    </row>
    <row r="4315" spans="1:2">
      <c r="A4315" s="1" t="str">
        <f>"3802.90.40"</f>
        <v>3802.90.40</v>
      </c>
      <c r="B4315" s="2" t="str">
        <f>"OUTRAS ARGILAS E TERRAS -BENTONE EW"</f>
        <v>OUTRAS ARGILAS E TERRAS -BENTONE EW</v>
      </c>
    </row>
    <row r="4316" spans="1:2">
      <c r="A4316" s="1" t="str">
        <f>"3802.90.50"</f>
        <v>3802.90.50</v>
      </c>
      <c r="B4316" s="2" t="str">
        <f>"Bauxita"</f>
        <v>Bauxita</v>
      </c>
    </row>
    <row r="4317" spans="1:2">
      <c r="A4317" s="1" t="str">
        <f>"3802.90.90"</f>
        <v>3802.90.90</v>
      </c>
      <c r="B4317" s="2" t="str">
        <f>"Outros"</f>
        <v>Outros</v>
      </c>
    </row>
    <row r="4318" spans="1:2">
      <c r="A4318" s="1" t="str">
        <f>"3803.00.10"</f>
        <v>3803.00.10</v>
      </c>
      <c r="B4318" s="2" t="str">
        <f>"Em bruto"</f>
        <v>Em bruto</v>
      </c>
    </row>
    <row r="4319" spans="1:2">
      <c r="A4319" s="1" t="str">
        <f>"3803.00.90"</f>
        <v>3803.00.90</v>
      </c>
      <c r="B4319" s="2" t="str">
        <f>"Outros"</f>
        <v>Outros</v>
      </c>
    </row>
    <row r="4320" spans="1:2">
      <c r="A4320" s="1" t="str">
        <f>"3804.00.11"</f>
        <v>3804.00.11</v>
      </c>
      <c r="B4320" s="2" t="str">
        <f>"Ao sulfito"</f>
        <v>Ao sulfito</v>
      </c>
    </row>
    <row r="4321" spans="1:2">
      <c r="A4321" s="1" t="str">
        <f>"3804.00.12"</f>
        <v>3804.00.12</v>
      </c>
      <c r="B4321" s="2" t="str">
        <f>"A soda ou ao sulfato"</f>
        <v>A soda ou ao sulfato</v>
      </c>
    </row>
    <row r="4322" spans="1:2">
      <c r="A4322" s="1" t="str">
        <f>"3804.00.20"</f>
        <v>3804.00.20</v>
      </c>
      <c r="B4322" s="2" t="str">
        <f>"Lignossulfonatos"</f>
        <v>Lignossulfonatos</v>
      </c>
    </row>
    <row r="4323" spans="1:2">
      <c r="A4323" s="1" t="str">
        <f>"3805.10.00"</f>
        <v>3805.10.00</v>
      </c>
      <c r="B4323" s="2" t="str">
        <f>"Essencias de terebintina, de pinhei"</f>
        <v>Essencias de terebintina, de pinhei</v>
      </c>
    </row>
    <row r="4324" spans="1:2">
      <c r="A4324" s="1" t="str">
        <f>"3805.90.10"</f>
        <v>3805.90.10</v>
      </c>
      <c r="B4324" s="2" t="str">
        <f>"Oleo de pinho"</f>
        <v>Oleo de pinho</v>
      </c>
    </row>
    <row r="4325" spans="1:2">
      <c r="A4325" s="1" t="str">
        <f>"3805.90.90"</f>
        <v>3805.90.90</v>
      </c>
      <c r="B4325" s="2" t="str">
        <f>"Outros"</f>
        <v>Outros</v>
      </c>
    </row>
    <row r="4326" spans="1:2">
      <c r="A4326" s="1" t="str">
        <f>"3806.10.00"</f>
        <v>3806.10.00</v>
      </c>
      <c r="B4326" s="2" t="str">
        <f>"Colofonias e acidos resinicos"</f>
        <v>Colofonias e acidos resinicos</v>
      </c>
    </row>
    <row r="4327" spans="1:2">
      <c r="A4327" s="1" t="str">
        <f>"3806.20.00"</f>
        <v>3806.20.00</v>
      </c>
      <c r="B4327" s="2" t="str">
        <f>"Sais de colofonias, de acidos resin"</f>
        <v>Sais de colofonias, de acidos resin</v>
      </c>
    </row>
    <row r="4328" spans="1:2">
      <c r="A4328" s="1" t="str">
        <f>"3806.30.00"</f>
        <v>3806.30.00</v>
      </c>
      <c r="B4328" s="2" t="str">
        <f>"Gomas esteres"</f>
        <v>Gomas esteres</v>
      </c>
    </row>
    <row r="4329" spans="1:2">
      <c r="A4329" s="1" t="str">
        <f>"3806.90.11"</f>
        <v>3806.90.11</v>
      </c>
      <c r="B4329" s="2" t="str">
        <f>"Colofonias oxidadas, hidrogenadas,"</f>
        <v>Colofonias oxidadas, hidrogenadas,</v>
      </c>
    </row>
    <row r="4330" spans="1:2">
      <c r="A4330" s="1" t="str">
        <f>"3806.90.12"</f>
        <v>3806.90.12</v>
      </c>
      <c r="B4330" s="2" t="str">
        <f>"Abietatos de metila ou de benzila;"</f>
        <v>Abietatos de metila ou de benzila;</v>
      </c>
    </row>
    <row r="4331" spans="1:2">
      <c r="A4331" s="1" t="str">
        <f>"3806.90.19"</f>
        <v>3806.90.19</v>
      </c>
      <c r="B4331" s="2" t="str">
        <f>"Outros"</f>
        <v>Outros</v>
      </c>
    </row>
    <row r="4332" spans="1:2">
      <c r="A4332" s="1" t="str">
        <f>"3806.90.90"</f>
        <v>3806.90.90</v>
      </c>
      <c r="B4332" s="2" t="str">
        <f>"Outros"</f>
        <v>Outros</v>
      </c>
    </row>
    <row r="4333" spans="1:2">
      <c r="A4333" s="1" t="str">
        <f>"3807.00.00"</f>
        <v>3807.00.00</v>
      </c>
      <c r="B4333" s="2" t="str">
        <f>"Alcatroes de madeira; oleos de alca"</f>
        <v>Alcatroes de madeira; oleos de alca</v>
      </c>
    </row>
    <row r="4334" spans="1:2">
      <c r="A4334" s="1" t="str">
        <f>"3808.52.00"</f>
        <v>3808.52.00</v>
      </c>
      <c r="B4334" s="2" t="str">
        <f>"DDT (ISO) (clofenotano (DCI)), acon"</f>
        <v>DDT (ISO) (clofenotano (DCI)), acon</v>
      </c>
    </row>
    <row r="4335" spans="1:2">
      <c r="A4335" s="1" t="str">
        <f>"3808.59.10"</f>
        <v>3808.59.10</v>
      </c>
      <c r="B4335" s="2" t="str">
        <f>"Apresentadas em formas ou embalagen"</f>
        <v>Apresentadas em formas ou embalagen</v>
      </c>
    </row>
    <row r="4336" spans="1:2">
      <c r="A4336" s="1" t="str">
        <f>"3808.59.21"</f>
        <v>3808.59.21</v>
      </c>
      <c r="B4336" s="2" t="str">
        <f>"A base de metamidofos (ISO) ou mono"</f>
        <v>A base de metamidofos (ISO) ou mono</v>
      </c>
    </row>
    <row r="4337" spans="1:2">
      <c r="A4337" s="1" t="str">
        <f>"3808.59.22"</f>
        <v>3808.59.22</v>
      </c>
      <c r="B4337" s="2" t="str">
        <f>"A base de endossulfan (ISO)"</f>
        <v>A base de endossulfan (ISO)</v>
      </c>
    </row>
    <row r="4338" spans="1:2">
      <c r="A4338" s="1" t="str">
        <f>"3808.59.23"</f>
        <v>3808.59.23</v>
      </c>
      <c r="B4338" s="2" t="str">
        <f>"A base de alaclor (ISO)"</f>
        <v>A base de alaclor (ISO)</v>
      </c>
    </row>
    <row r="4339" spans="1:2">
      <c r="A4339" s="1" t="str">
        <f>"3808.59.29"</f>
        <v>3808.59.29</v>
      </c>
      <c r="B4339" s="2" t="str">
        <f>"Outras"</f>
        <v>Outras</v>
      </c>
    </row>
    <row r="4340" spans="1:2">
      <c r="A4340" s="1" t="str">
        <f>"3808.61.00"</f>
        <v>3808.61.00</v>
      </c>
      <c r="B4340" s="2" t="str">
        <f>"Acondicionadas em embalagens com um"</f>
        <v>Acondicionadas em embalagens com um</v>
      </c>
    </row>
    <row r="4341" spans="1:2">
      <c r="A4341" s="1" t="str">
        <f>"3808.62.10"</f>
        <v>3808.62.10</v>
      </c>
      <c r="B4341" s="2" t="str">
        <f>"A base de alfa-cipermetrina (ISO)"</f>
        <v>A base de alfa-cipermetrina (ISO)</v>
      </c>
    </row>
    <row r="4342" spans="1:2">
      <c r="A4342" s="1" t="str">
        <f>"3808.62.90"</f>
        <v>3808.62.90</v>
      </c>
      <c r="B4342" s="2" t="str">
        <f>"Outras"</f>
        <v>Outras</v>
      </c>
    </row>
    <row r="4343" spans="1:2">
      <c r="A4343" s="1" t="str">
        <f>"3808.69.10"</f>
        <v>3808.69.10</v>
      </c>
      <c r="B4343" s="2" t="str">
        <f>"A base de alfa-cipermetrina (ISO)"</f>
        <v>A base de alfa-cipermetrina (ISO)</v>
      </c>
    </row>
    <row r="4344" spans="1:2">
      <c r="A4344" s="1" t="str">
        <f>"3808.69.90"</f>
        <v>3808.69.90</v>
      </c>
      <c r="B4344" s="2" t="str">
        <f>"Outras"</f>
        <v>Outras</v>
      </c>
    </row>
    <row r="4345" spans="1:2">
      <c r="A4345" s="1" t="str">
        <f>"3808.91.11"</f>
        <v>3808.91.11</v>
      </c>
      <c r="B4345" s="2" t="str">
        <f>"Que contenham bromometano (brometo"</f>
        <v>Que contenham bromometano (brometo</v>
      </c>
    </row>
    <row r="4346" spans="1:2">
      <c r="A4346" s="1" t="str">
        <f>"3808.91.19"</f>
        <v>3808.91.19</v>
      </c>
      <c r="B4346" s="2" t="str">
        <f>"Outros"</f>
        <v>Outros</v>
      </c>
    </row>
    <row r="4347" spans="1:2">
      <c r="A4347" s="1" t="str">
        <f>"3808.91.20"</f>
        <v>3808.91.20</v>
      </c>
      <c r="B4347" s="2" t="str">
        <f>"Apresentados de outro modo, contend"</f>
        <v>Apresentados de outro modo, contend</v>
      </c>
    </row>
    <row r="4348" spans="1:2">
      <c r="A4348" s="1" t="str">
        <f>"3808.91.91"</f>
        <v>3808.91.91</v>
      </c>
      <c r="B4348" s="2" t="str">
        <f>"A base de acefato ou de Bacillus th"</f>
        <v>A base de acefato ou de Bacillus th</v>
      </c>
    </row>
    <row r="4349" spans="1:2">
      <c r="A4349" s="1" t="str">
        <f>"3808.91.92"</f>
        <v>3808.91.92</v>
      </c>
      <c r="B4349" s="2" t="str">
        <f>"A base de cipermetrinas ou de perme"</f>
        <v>A base de cipermetrinas ou de perme</v>
      </c>
    </row>
    <row r="4350" spans="1:2">
      <c r="A4350" s="1" t="str">
        <f>"3808.91.93"</f>
        <v>3808.91.93</v>
      </c>
      <c r="B4350" s="2" t="str">
        <f>"A base de dicrotofos"</f>
        <v>A base de dicrotofos</v>
      </c>
    </row>
    <row r="4351" spans="1:2">
      <c r="A4351" s="1" t="str">
        <f>"3808.91.94"</f>
        <v>3808.91.94</v>
      </c>
      <c r="B4351" s="2" t="str">
        <f>"A base de dissulfoton"</f>
        <v>A base de dissulfoton</v>
      </c>
    </row>
    <row r="4352" spans="1:2">
      <c r="A4352" s="1" t="str">
        <f>"3808.91.95"</f>
        <v>3808.91.95</v>
      </c>
      <c r="B4352" s="2" t="str">
        <f>"A base de fosfeto de aluminio"</f>
        <v>A base de fosfeto de aluminio</v>
      </c>
    </row>
    <row r="4353" spans="1:2">
      <c r="A4353" s="1" t="str">
        <f>"3808.91.96"</f>
        <v>3808.91.96</v>
      </c>
      <c r="B4353" s="2" t="str">
        <f>"A base de diclorvos ou de triclorfo"</f>
        <v>A base de diclorvos ou de triclorfo</v>
      </c>
    </row>
    <row r="4354" spans="1:2">
      <c r="A4354" s="1" t="str">
        <f>"3808.91.97"</f>
        <v>3808.91.97</v>
      </c>
      <c r="B4354" s="2" t="str">
        <f>"A base de oleo mineral ou de tiomet"</f>
        <v>A base de oleo mineral ou de tiomet</v>
      </c>
    </row>
    <row r="4355" spans="1:2">
      <c r="A4355" s="1" t="str">
        <f>"3808.91.98"</f>
        <v>3808.91.98</v>
      </c>
      <c r="B4355" s="2" t="str">
        <f>"A base de sulfluramida"</f>
        <v>A base de sulfluramida</v>
      </c>
    </row>
    <row r="4356" spans="1:2">
      <c r="A4356" s="1" t="str">
        <f>"3808.91.99"</f>
        <v>3808.91.99</v>
      </c>
      <c r="B4356" s="2" t="str">
        <f>"Outros"</f>
        <v>Outros</v>
      </c>
    </row>
    <row r="4357" spans="1:2">
      <c r="A4357" s="1" t="str">
        <f>"3808.92.11"</f>
        <v>3808.92.11</v>
      </c>
      <c r="B4357" s="2" t="str">
        <f>"Que contenham bromometano (brometo"</f>
        <v>Que contenham bromometano (brometo</v>
      </c>
    </row>
    <row r="4358" spans="1:2">
      <c r="A4358" s="1" t="str">
        <f>"3808.92.19"</f>
        <v>3808.92.19</v>
      </c>
      <c r="B4358" s="2" t="str">
        <f>"Outros"</f>
        <v>Outros</v>
      </c>
    </row>
    <row r="4359" spans="1:2">
      <c r="A4359" s="1" t="str">
        <f>"3808.92.20"</f>
        <v>3808.92.20</v>
      </c>
      <c r="B4359" s="2" t="str">
        <f>"Apresentados de outro modo, contend"</f>
        <v>Apresentados de outro modo, contend</v>
      </c>
    </row>
    <row r="4360" spans="1:2">
      <c r="A4360" s="1" t="str">
        <f>"3808.92.91"</f>
        <v>3808.92.91</v>
      </c>
      <c r="B4360" s="2" t="str">
        <f>"A base de hidroxido de cobre, de ox"</f>
        <v>A base de hidroxido de cobre, de ox</v>
      </c>
    </row>
    <row r="4361" spans="1:2">
      <c r="A4361" s="1" t="str">
        <f>"3808.92.92"</f>
        <v>3808.92.92</v>
      </c>
      <c r="B4361" s="2" t="str">
        <f>"A base de enxofre ou de ziram"</f>
        <v>A base de enxofre ou de ziram</v>
      </c>
    </row>
    <row r="4362" spans="1:2">
      <c r="A4362" s="1" t="str">
        <f>"3808.92.93"</f>
        <v>3808.92.93</v>
      </c>
      <c r="B4362" s="2" t="str">
        <f>"A base de mancozeb ou de maneb"</f>
        <v>A base de mancozeb ou de maneb</v>
      </c>
    </row>
    <row r="4363" spans="1:2">
      <c r="A4363" s="1" t="str">
        <f>"3808.92.94"</f>
        <v>3808.92.94</v>
      </c>
      <c r="B4363" s="2" t="str">
        <f>"A base de sulfiram"</f>
        <v>A base de sulfiram</v>
      </c>
    </row>
    <row r="4364" spans="1:2">
      <c r="A4364" s="1" t="str">
        <f>"3808.92.95"</f>
        <v>3808.92.95</v>
      </c>
      <c r="B4364" s="2" t="str">
        <f>"A base de compostos de arsenio, cob"</f>
        <v>A base de compostos de arsenio, cob</v>
      </c>
    </row>
    <row r="4365" spans="1:2">
      <c r="A4365" s="1" t="str">
        <f>"3808.92.96"</f>
        <v>3808.92.96</v>
      </c>
      <c r="B4365" s="2" t="str">
        <f>"A base de thiram"</f>
        <v>A base de thiram</v>
      </c>
    </row>
    <row r="4366" spans="1:2">
      <c r="A4366" s="1" t="str">
        <f>"3808.92.97"</f>
        <v>3808.92.97</v>
      </c>
      <c r="B4366" s="2" t="str">
        <f>"A base de propiconazol"</f>
        <v>A base de propiconazol</v>
      </c>
    </row>
    <row r="4367" spans="1:2">
      <c r="A4367" s="1" t="str">
        <f>"3808.92.99"</f>
        <v>3808.92.99</v>
      </c>
      <c r="B4367" s="2" t="str">
        <f>"OUTROS"</f>
        <v>OUTROS</v>
      </c>
    </row>
    <row r="4368" spans="1:2">
      <c r="A4368" s="1" t="str">
        <f>"3808.93.11"</f>
        <v>3808.93.11</v>
      </c>
      <c r="B4368" s="2" t="str">
        <f>"Que contenham bromometano (brometo"</f>
        <v>Que contenham bromometano (brometo</v>
      </c>
    </row>
    <row r="4369" spans="1:2">
      <c r="A4369" s="1" t="str">
        <f>"3808.93.19"</f>
        <v>3808.93.19</v>
      </c>
      <c r="B4369" s="2" t="str">
        <f>"Outros"</f>
        <v>Outros</v>
      </c>
    </row>
    <row r="4370" spans="1:2">
      <c r="A4370" s="1" t="str">
        <f>"3808.93.21"</f>
        <v>3808.93.21</v>
      </c>
      <c r="B4370" s="2" t="str">
        <f>"Que contenham bromometano (brometo"</f>
        <v>Que contenham bromometano (brometo</v>
      </c>
    </row>
    <row r="4371" spans="1:2">
      <c r="A4371" s="1" t="str">
        <f>"3808.93.22"</f>
        <v>3808.93.22</v>
      </c>
      <c r="B4371" s="2" t="str">
        <f>"Outros, a base de acido 2,4-dicloro"</f>
        <v>Outros, a base de acido 2,4-dicloro</v>
      </c>
    </row>
    <row r="4372" spans="1:2">
      <c r="A4372" s="1" t="str">
        <f>"3808.93.23"</f>
        <v>3808.93.23</v>
      </c>
      <c r="B4372" s="2" t="str">
        <f>"Outros, a base de ametrina, de atra"</f>
        <v>Outros, a base de ametrina, de atra</v>
      </c>
    </row>
    <row r="4373" spans="1:2">
      <c r="A4373" s="1" t="str">
        <f>"3808.93.24"</f>
        <v>3808.93.24</v>
      </c>
      <c r="B4373" s="2" t="str">
        <f>"Outros, a base de glifosato ou seus"</f>
        <v>Outros, a base de glifosato ou seus</v>
      </c>
    </row>
    <row r="4374" spans="1:2">
      <c r="A4374" s="1" t="str">
        <f>"3808.93.25"</f>
        <v>3808.93.25</v>
      </c>
      <c r="B4374" s="2" t="str">
        <f>"Outros, a base de dicloreto de para"</f>
        <v>Outros, a base de dicloreto de para</v>
      </c>
    </row>
    <row r="4375" spans="1:2">
      <c r="A4375" s="1" t="str">
        <f>"3808.93.26"</f>
        <v>3808.93.26</v>
      </c>
      <c r="B4375" s="2" t="str">
        <f>"Outros, a base de trifluralina"</f>
        <v>Outros, a base de trifluralina</v>
      </c>
    </row>
    <row r="4376" spans="1:2">
      <c r="A4376" s="1" t="str">
        <f>"3808.93.27"</f>
        <v>3808.93.27</v>
      </c>
      <c r="B4376" s="2" t="str">
        <f>"Outros, a base de imazetapir"</f>
        <v>Outros, a base de imazetapir</v>
      </c>
    </row>
    <row r="4377" spans="1:2">
      <c r="A4377" s="1" t="str">
        <f>"3808.93.28"</f>
        <v>3808.93.28</v>
      </c>
      <c r="B4377" s="2" t="str">
        <f>"Outros, a base de hexazinona"</f>
        <v>Outros, a base de hexazinona</v>
      </c>
    </row>
    <row r="4378" spans="1:2">
      <c r="A4378" s="1" t="str">
        <f>"3808.93.29"</f>
        <v>3808.93.29</v>
      </c>
      <c r="B4378" s="2" t="str">
        <f>"Outros"</f>
        <v>Outros</v>
      </c>
    </row>
    <row r="4379" spans="1:2">
      <c r="A4379" s="1" t="str">
        <f>"3808.93.31"</f>
        <v>3808.93.31</v>
      </c>
      <c r="B4379" s="2" t="str">
        <f>"Que contenham bromometano (brometo"</f>
        <v>Que contenham bromometano (brometo</v>
      </c>
    </row>
    <row r="4380" spans="1:2">
      <c r="A4380" s="1" t="str">
        <f>"3808.93.32"</f>
        <v>3808.93.32</v>
      </c>
      <c r="B4380" s="2" t="str">
        <f>"Outros, apresentados em formas ou e"</f>
        <v>Outros, apresentados em formas ou e</v>
      </c>
    </row>
    <row r="4381" spans="1:2">
      <c r="A4381" s="1" t="str">
        <f>"3808.93.33"</f>
        <v>3808.93.33</v>
      </c>
      <c r="B4381" s="2" t="str">
        <f>"Outros"</f>
        <v>Outros</v>
      </c>
    </row>
    <row r="4382" spans="1:2">
      <c r="A4382" s="1" t="str">
        <f>"3808.93.41"</f>
        <v>3808.93.41</v>
      </c>
      <c r="B4382" s="2" t="str">
        <f>"Que contenham bromometano (brometo"</f>
        <v>Que contenham bromometano (brometo</v>
      </c>
    </row>
    <row r="4383" spans="1:2">
      <c r="A4383" s="1" t="str">
        <f>"3808.93.49"</f>
        <v>3808.93.49</v>
      </c>
      <c r="B4383" s="2" t="str">
        <f>"Outros"</f>
        <v>Outros</v>
      </c>
    </row>
    <row r="4384" spans="1:2">
      <c r="A4384" s="1" t="str">
        <f>"3808.93.51"</f>
        <v>3808.93.51</v>
      </c>
      <c r="B4384" s="2" t="str">
        <f>"Que contenham bromometano (brometo"</f>
        <v>Que contenham bromometano (brometo</v>
      </c>
    </row>
    <row r="4385" spans="1:2">
      <c r="A4385" s="1" t="str">
        <f>"3808.93.52"</f>
        <v>3808.93.52</v>
      </c>
      <c r="B4385" s="2" t="str">
        <f>"Outros, a base de hidrazida maleica"</f>
        <v>Outros, a base de hidrazida maleica</v>
      </c>
    </row>
    <row r="4386" spans="1:2">
      <c r="A4386" s="1" t="str">
        <f>"3808.93.59"</f>
        <v>3808.93.59</v>
      </c>
      <c r="B4386" s="2" t="str">
        <f>"Outros"</f>
        <v>Outros</v>
      </c>
    </row>
    <row r="4387" spans="1:2">
      <c r="A4387" s="1" t="str">
        <f>"3808.94.11"</f>
        <v>3808.94.11</v>
      </c>
      <c r="B4387" s="2" t="str">
        <f>"Que contenham bromometano (brometo"</f>
        <v>Que contenham bromometano (brometo</v>
      </c>
    </row>
    <row r="4388" spans="1:2">
      <c r="A4388" s="1" t="str">
        <f>"3808.94.19"</f>
        <v>3808.94.19</v>
      </c>
      <c r="B4388" s="2" t="str">
        <f>"Outros"</f>
        <v>Outros</v>
      </c>
    </row>
    <row r="4389" spans="1:2">
      <c r="A4389" s="1" t="str">
        <f>"3808.94.21"</f>
        <v>3808.94.21</v>
      </c>
      <c r="B4389" s="2" t="str">
        <f>"Que contenham bromometano (brometo"</f>
        <v>Que contenham bromometano (brometo</v>
      </c>
    </row>
    <row r="4390" spans="1:2">
      <c r="A4390" s="1" t="str">
        <f>"3808.94.22"</f>
        <v>3808.94.22</v>
      </c>
      <c r="B4390" s="2" t="str">
        <f>"Outros, a base de 2-(tiocianometilt"</f>
        <v>Outros, a base de 2-(tiocianometilt</v>
      </c>
    </row>
    <row r="4391" spans="1:2">
      <c r="A4391" s="1" t="str">
        <f>"3808.94.29"</f>
        <v>3808.94.29</v>
      </c>
      <c r="B4391" s="2" t="str">
        <f>"OUTROS"</f>
        <v>OUTROS</v>
      </c>
    </row>
    <row r="4392" spans="1:2">
      <c r="A4392" s="1" t="str">
        <f>"3808.99.11"</f>
        <v>3808.99.11</v>
      </c>
      <c r="B4392" s="2" t="str">
        <f>"Que contenham bromometano (brometo"</f>
        <v>Que contenham bromometano (brometo</v>
      </c>
    </row>
    <row r="4393" spans="1:2">
      <c r="A4393" s="1" t="str">
        <f>"3808.99.19"</f>
        <v>3808.99.19</v>
      </c>
      <c r="B4393" s="2" t="str">
        <f>"Outros"</f>
        <v>Outros</v>
      </c>
    </row>
    <row r="4394" spans="1:2">
      <c r="A4394" s="1" t="str">
        <f>"3808.99.20"</f>
        <v>3808.99.20</v>
      </c>
      <c r="B4394" s="2" t="str">
        <f>"Apresentados de outro modo, contend"</f>
        <v>Apresentados de outro modo, contend</v>
      </c>
    </row>
    <row r="4395" spans="1:2">
      <c r="A4395" s="1" t="str">
        <f>"3808.99.91"</f>
        <v>3808.99.91</v>
      </c>
      <c r="B4395" s="2" t="str">
        <f>"Acaricidas a base de amitraz, de cl"</f>
        <v>Acaricidas a base de amitraz, de cl</v>
      </c>
    </row>
    <row r="4396" spans="1:2">
      <c r="A4396" s="1" t="str">
        <f>"3808.99.92"</f>
        <v>3808.99.92</v>
      </c>
      <c r="B4396" s="2" t="str">
        <f>"Acaricidas a base de ciexatin ou de"</f>
        <v>Acaricidas a base de ciexatin ou de</v>
      </c>
    </row>
    <row r="4397" spans="1:2">
      <c r="A4397" s="1" t="str">
        <f>"3808.99.93"</f>
        <v>3808.99.93</v>
      </c>
      <c r="B4397" s="2" t="str">
        <f>"Outros acaricidas"</f>
        <v>Outros acaricidas</v>
      </c>
    </row>
    <row r="4398" spans="1:2">
      <c r="A4398" s="1" t="str">
        <f>"3808.99.94"</f>
        <v>3808.99.94</v>
      </c>
      <c r="B4398" s="2" t="str">
        <f>"Nematicidas a base de metam sodio"</f>
        <v>Nematicidas a base de metam sodio</v>
      </c>
    </row>
    <row r="4399" spans="1:2">
      <c r="A4399" s="1" t="str">
        <f>"3808.99.95"</f>
        <v>3808.99.95</v>
      </c>
      <c r="B4399" s="2" t="str">
        <f>"Outros nematicidas"</f>
        <v>Outros nematicidas</v>
      </c>
    </row>
    <row r="4400" spans="1:2">
      <c r="A4400" s="1" t="str">
        <f>"3808.99.96"</f>
        <v>3808.99.96</v>
      </c>
      <c r="B4400" s="2" t="str">
        <f>"Raticidas"</f>
        <v>Raticidas</v>
      </c>
    </row>
    <row r="4401" spans="1:2">
      <c r="A4401" s="1" t="str">
        <f>"3808.99.99"</f>
        <v>3808.99.99</v>
      </c>
      <c r="B4401" s="2" t="str">
        <f>"OUTROS"</f>
        <v>OUTROS</v>
      </c>
    </row>
    <row r="4402" spans="1:2">
      <c r="A4402" s="1" t="str">
        <f>"3809.10.10"</f>
        <v>3809.10.10</v>
      </c>
      <c r="B4402" s="2" t="str">
        <f>"Do tipo utilizado na industria text"</f>
        <v>Do tipo utilizado na industria text</v>
      </c>
    </row>
    <row r="4403" spans="1:2">
      <c r="A4403" s="1" t="str">
        <f>"3809.10.90"</f>
        <v>3809.10.90</v>
      </c>
      <c r="B4403" s="2" t="str">
        <f>"Outros"</f>
        <v>Outros</v>
      </c>
    </row>
    <row r="4404" spans="1:2">
      <c r="A4404" s="1" t="str">
        <f>"3809.91.10"</f>
        <v>3809.91.10</v>
      </c>
      <c r="B4404" s="2" t="str">
        <f>"AGENTES DE APRESTO OU ACAB"</f>
        <v>AGENTES DE APRESTO OU ACAB</v>
      </c>
    </row>
    <row r="4405" spans="1:2">
      <c r="A4405" s="1" t="str">
        <f>"3809.91.20"</f>
        <v>3809.91.20</v>
      </c>
      <c r="B4405" s="2" t="str">
        <f>"Preparacoes mordentes"</f>
        <v>Preparacoes mordentes</v>
      </c>
    </row>
    <row r="4406" spans="1:2">
      <c r="A4406" s="1" t="str">
        <f>"3809.91.30"</f>
        <v>3809.91.30</v>
      </c>
      <c r="B4406" s="2" t="str">
        <f>"Produtos ignifugos"</f>
        <v>Produtos ignifugos</v>
      </c>
    </row>
    <row r="4407" spans="1:2">
      <c r="A4407" s="1" t="str">
        <f>"3809.91.41"</f>
        <v>3809.91.41</v>
      </c>
      <c r="B4407" s="2" t="str">
        <f>"A base de parafina ou de derivados"</f>
        <v>A base de parafina ou de derivados</v>
      </c>
    </row>
    <row r="4408" spans="1:2">
      <c r="A4408" s="1" t="str">
        <f>"3809.91.49"</f>
        <v>3809.91.49</v>
      </c>
      <c r="B4408" s="2" t="str">
        <f>"Outros"</f>
        <v>Outros</v>
      </c>
    </row>
    <row r="4409" spans="1:2">
      <c r="A4409" s="1" t="str">
        <f>"3809.91.90"</f>
        <v>3809.91.90</v>
      </c>
      <c r="B4409" s="2" t="str">
        <f>"OUTROS - PRIMAL HA-16"</f>
        <v>OUTROS - PRIMAL HA-16</v>
      </c>
    </row>
    <row r="4410" spans="1:2">
      <c r="A4410" s="1" t="str">
        <f>"3809.92.11"</f>
        <v>3809.92.11</v>
      </c>
      <c r="B4410" s="2" t="str">
        <f>"A base de parafina ou de derivados"</f>
        <v>A base de parafina ou de derivados</v>
      </c>
    </row>
    <row r="4411" spans="1:2">
      <c r="A4411" s="1" t="str">
        <f>"3809.92.19"</f>
        <v>3809.92.19</v>
      </c>
      <c r="B4411" s="2" t="str">
        <f>"OUTROS"</f>
        <v>OUTROS</v>
      </c>
    </row>
    <row r="4412" spans="1:2">
      <c r="A4412" s="1" t="str">
        <f>"3809.92.90"</f>
        <v>3809.92.90</v>
      </c>
      <c r="B4412" s="2" t="str">
        <f>"OUTROS"</f>
        <v>OUTROS</v>
      </c>
    </row>
    <row r="4413" spans="1:2">
      <c r="A4413" s="1" t="str">
        <f>"3809.93.11"</f>
        <v>3809.93.11</v>
      </c>
      <c r="B4413" s="2" t="str">
        <f>"A BASE DE PARAFINA OU DERIVADOS ACI"</f>
        <v>A BASE DE PARAFINA OU DERIVADOS ACI</v>
      </c>
    </row>
    <row r="4414" spans="1:2">
      <c r="A4414" s="1" t="str">
        <f>"3809.93.19"</f>
        <v>3809.93.19</v>
      </c>
      <c r="B4414" s="2" t="str">
        <f>"Outros"</f>
        <v>Outros</v>
      </c>
    </row>
    <row r="4415" spans="1:2">
      <c r="A4415" s="1" t="str">
        <f>"3809.93.90"</f>
        <v>3809.93.90</v>
      </c>
      <c r="B4415" s="2" t="str">
        <f>"OUTROS - LIGANTE LURON"</f>
        <v>OUTROS - LIGANTE LURON</v>
      </c>
    </row>
    <row r="4416" spans="1:2">
      <c r="A4416" s="1" t="str">
        <f>"3810.10.10"</f>
        <v>3810.10.10</v>
      </c>
      <c r="B4416" s="2" t="str">
        <f>"Preparacoes para decapagem de metai"</f>
        <v>Preparacoes para decapagem de metai</v>
      </c>
    </row>
    <row r="4417" spans="1:2">
      <c r="A4417" s="1" t="str">
        <f>"3810.10.20"</f>
        <v>3810.10.20</v>
      </c>
      <c r="B4417" s="2" t="str">
        <f>"Pastas e pos para soldar"</f>
        <v>Pastas e pos para soldar</v>
      </c>
    </row>
    <row r="4418" spans="1:2">
      <c r="A4418" s="1" t="str">
        <f>"3810.90.00"</f>
        <v>3810.90.00</v>
      </c>
      <c r="B4418" s="2" t="str">
        <f>"outros"</f>
        <v>outros</v>
      </c>
    </row>
    <row r="4419" spans="1:2">
      <c r="A4419" s="1" t="str">
        <f>"3811.11.00"</f>
        <v>3811.11.00</v>
      </c>
      <c r="B4419" s="2" t="str">
        <f>"A base de compostos de chumbo"</f>
        <v>A base de compostos de chumbo</v>
      </c>
    </row>
    <row r="4420" spans="1:2">
      <c r="A4420" s="1" t="str">
        <f>"3811.19.00"</f>
        <v>3811.19.00</v>
      </c>
      <c r="B4420" s="2" t="str">
        <f>"Outras"</f>
        <v>Outras</v>
      </c>
    </row>
    <row r="4421" spans="1:2">
      <c r="A4421" s="1" t="str">
        <f>"3811.21.10"</f>
        <v>3811.21.10</v>
      </c>
      <c r="B4421" s="2" t="str">
        <f>"Melhoradores do indice de viscosida"</f>
        <v>Melhoradores do indice de viscosida</v>
      </c>
    </row>
    <row r="4422" spans="1:2">
      <c r="A4422" s="1" t="str">
        <f>"3811.21.20"</f>
        <v>3811.21.20</v>
      </c>
      <c r="B4422" s="2" t="str">
        <f>"ANTIDESGASTES, ANTICORROSIVOS"</f>
        <v>ANTIDESGASTES, ANTICORROSIVOS</v>
      </c>
    </row>
    <row r="4423" spans="1:2">
      <c r="A4423" s="1" t="str">
        <f>"3811.21.30"</f>
        <v>3811.21.30</v>
      </c>
      <c r="B4423" s="2" t="str">
        <f>"Dispersantes sem cinzas"</f>
        <v>Dispersantes sem cinzas</v>
      </c>
    </row>
    <row r="4424" spans="1:2">
      <c r="A4424" s="1" t="str">
        <f>"3811.21.40"</f>
        <v>3811.21.40</v>
      </c>
      <c r="B4424" s="2" t="str">
        <f>"DETERGENTES METÁLICOS"</f>
        <v>DETERGENTES METÁLICOS</v>
      </c>
    </row>
    <row r="4425" spans="1:2">
      <c r="A4425" s="1" t="str">
        <f>"3811.21.50"</f>
        <v>3811.21.50</v>
      </c>
      <c r="B4425" s="2" t="str">
        <f>"Outras preparacoes contendo, pelo m"</f>
        <v>Outras preparacoes contendo, pelo m</v>
      </c>
    </row>
    <row r="4426" spans="1:2">
      <c r="A4426" s="1" t="str">
        <f>"3811.21.90"</f>
        <v>3811.21.90</v>
      </c>
      <c r="B4426" s="2" t="str">
        <f>"OUTROS"</f>
        <v>OUTROS</v>
      </c>
    </row>
    <row r="4427" spans="1:2">
      <c r="A4427" s="1" t="str">
        <f>"3811.29.10"</f>
        <v>3811.29.10</v>
      </c>
      <c r="B4427" s="2" t="str">
        <f>"Dispersantes sem cinzas"</f>
        <v>Dispersantes sem cinzas</v>
      </c>
    </row>
    <row r="4428" spans="1:2">
      <c r="A4428" s="1" t="str">
        <f>"3811.29.20"</f>
        <v>3811.29.20</v>
      </c>
      <c r="B4428" s="2" t="str">
        <f>"Detergentes metalicos"</f>
        <v>Detergentes metalicos</v>
      </c>
    </row>
    <row r="4429" spans="1:2">
      <c r="A4429" s="1" t="str">
        <f>"3811.29.90"</f>
        <v>3811.29.90</v>
      </c>
      <c r="B4429" s="2" t="str">
        <f>"Outros"</f>
        <v>Outros</v>
      </c>
    </row>
    <row r="4430" spans="1:2">
      <c r="A4430" s="1" t="str">
        <f>"3811.90.10"</f>
        <v>3811.90.10</v>
      </c>
      <c r="B4430" s="2" t="str">
        <f>"Dispersantes sem cinzas, para oleos"</f>
        <v>Dispersantes sem cinzas, para oleos</v>
      </c>
    </row>
    <row r="4431" spans="1:2">
      <c r="A4431" s="1" t="str">
        <f>"3811.90.90"</f>
        <v>3811.90.90</v>
      </c>
      <c r="B4431" s="2" t="str">
        <f>"Outros"</f>
        <v>Outros</v>
      </c>
    </row>
    <row r="4432" spans="1:2">
      <c r="A4432" s="1" t="str">
        <f>"3812.10.00"</f>
        <v>3812.10.00</v>
      </c>
      <c r="B4432" s="2" t="str">
        <f>"Preparacoes denominadas ôacelerador"</f>
        <v>Preparacoes denominadas ôacelerador</v>
      </c>
    </row>
    <row r="4433" spans="1:2">
      <c r="A4433" s="1" t="str">
        <f>"3812.20.00"</f>
        <v>3812.20.00</v>
      </c>
      <c r="B4433" s="2" t="str">
        <f>"PLASTIFICANTES COMPOSTOS"</f>
        <v>PLASTIFICANTES COMPOSTOS</v>
      </c>
    </row>
    <row r="4434" spans="1:2">
      <c r="A4434" s="1" t="str">
        <f>"3812.31.00"</f>
        <v>3812.31.00</v>
      </c>
      <c r="B4434" s="2" t="str">
        <f>"Misturas de oligomeros de 2,2,4-tri"</f>
        <v>Misturas de oligomeros de 2,2,4-tri</v>
      </c>
    </row>
    <row r="4435" spans="1:2">
      <c r="A4435" s="1" t="str">
        <f>"3812.39.11"</f>
        <v>3812.39.11</v>
      </c>
      <c r="B4435" s="2" t="str">
        <f>"Que contenham derivados N-substitui"</f>
        <v>Que contenham derivados N-substitui</v>
      </c>
    </row>
    <row r="4436" spans="1:2">
      <c r="A4436" s="1" t="str">
        <f>"3812.39.12"</f>
        <v>3812.39.12</v>
      </c>
      <c r="B4436" s="2" t="str">
        <f>"Que contenham fosfitos de alquila,"</f>
        <v>Que contenham fosfitos de alquila,</v>
      </c>
    </row>
    <row r="4437" spans="1:2">
      <c r="A4437" s="1" t="str">
        <f>"3812.39.19"</f>
        <v>3812.39.19</v>
      </c>
      <c r="B4437" s="2" t="str">
        <f>"Outros"</f>
        <v>Outros</v>
      </c>
    </row>
    <row r="4438" spans="1:2">
      <c r="A4438" s="1" t="str">
        <f>"3812.39.21"</f>
        <v>3812.39.21</v>
      </c>
      <c r="B4438" s="2" t="str">
        <f>"Que contenham derivados N-substitui"</f>
        <v>Que contenham derivados N-substitui</v>
      </c>
    </row>
    <row r="4439" spans="1:2">
      <c r="A4439" s="1" t="str">
        <f>"3812.39.29"</f>
        <v>3812.39.29</v>
      </c>
      <c r="B4439" s="2" t="str">
        <f>"Outros"</f>
        <v>Outros</v>
      </c>
    </row>
    <row r="4440" spans="1:2">
      <c r="A4440" s="1" t="str">
        <f>"3813.00.10"</f>
        <v>3813.00.10</v>
      </c>
      <c r="B4440" s="2" t="str">
        <f>"Que contenham bromoclorodifluoromet"</f>
        <v>Que contenham bromoclorodifluoromet</v>
      </c>
    </row>
    <row r="4441" spans="1:2">
      <c r="A4441" s="1" t="str">
        <f>"3813.00.20"</f>
        <v>3813.00.20</v>
      </c>
      <c r="B4441" s="2" t="str">
        <f>"Que contenham hidrobromofluorcarbon"</f>
        <v>Que contenham hidrobromofluorcarbon</v>
      </c>
    </row>
    <row r="4442" spans="1:2">
      <c r="A4442" s="1" t="str">
        <f>"3813.00.30"</f>
        <v>3813.00.30</v>
      </c>
      <c r="B4442" s="2" t="str">
        <f>"Que contenham hidroclorofluorcarbon"</f>
        <v>Que contenham hidroclorofluorcarbon</v>
      </c>
    </row>
    <row r="4443" spans="1:2">
      <c r="A4443" s="1" t="str">
        <f>"3813.00.40"</f>
        <v>3813.00.40</v>
      </c>
      <c r="B4443" s="2" t="str">
        <f>"Que contenham bromoclorometano"</f>
        <v>Que contenham bromoclorometano</v>
      </c>
    </row>
    <row r="4444" spans="1:2">
      <c r="A4444" s="1" t="str">
        <f>"3813.00.90"</f>
        <v>3813.00.90</v>
      </c>
      <c r="B4444" s="2" t="str">
        <f>"OUTROS"</f>
        <v>OUTROS</v>
      </c>
    </row>
    <row r="4445" spans="1:2">
      <c r="A4445" s="1" t="str">
        <f>"3814.00.00"</f>
        <v>3814.00.00</v>
      </c>
      <c r="B4445" s="2" t="str">
        <f>"INATIVO"</f>
        <v>INATIVO</v>
      </c>
    </row>
    <row r="4446" spans="1:2">
      <c r="A4446" s="1" t="str">
        <f>"3814.00.10"</f>
        <v>3814.00.10</v>
      </c>
      <c r="B4446" s="2" t="str">
        <f>"CLOROFLUORCARBONETOS DO METANO"</f>
        <v>CLOROFLUORCARBONETOS DO METANO</v>
      </c>
    </row>
    <row r="4447" spans="1:2">
      <c r="A4447" s="1" t="str">
        <f>"3814.00.20"</f>
        <v>3814.00.20</v>
      </c>
      <c r="B4447" s="2" t="str">
        <f>"Que contenham hidroclorofluorcarbon"</f>
        <v>Que contenham hidroclorofluorcarbon</v>
      </c>
    </row>
    <row r="4448" spans="1:2">
      <c r="A4448" s="1" t="str">
        <f>"3814.00.30"</f>
        <v>3814.00.30</v>
      </c>
      <c r="B4448" s="2" t="str">
        <f>"Que contenham tetracloreto de carbo"</f>
        <v>Que contenham tetracloreto de carbo</v>
      </c>
    </row>
    <row r="4449" spans="1:2">
      <c r="A4449" s="1" t="str">
        <f>"3814.00.90"</f>
        <v>3814.00.90</v>
      </c>
      <c r="B4449" s="2" t="str">
        <f>"OUTROS"</f>
        <v>OUTROS</v>
      </c>
    </row>
    <row r="4450" spans="1:2">
      <c r="A4450" s="1" t="str">
        <f>"3815.11.00"</f>
        <v>3815.11.00</v>
      </c>
      <c r="B4450" s="2" t="str">
        <f>"Tendo como substancia ativa o nique"</f>
        <v>Tendo como substancia ativa o nique</v>
      </c>
    </row>
    <row r="4451" spans="1:2">
      <c r="A4451" s="1" t="str">
        <f>"3815.12.10"</f>
        <v>3815.12.10</v>
      </c>
      <c r="B4451" s="2" t="str">
        <f>"Em colmeia ceramica ou metalica par"</f>
        <v>Em colmeia ceramica ou metalica par</v>
      </c>
    </row>
    <row r="4452" spans="1:2">
      <c r="A4452" s="1" t="str">
        <f>"3815.12.20"</f>
        <v>3815.12.20</v>
      </c>
      <c r="B4452" s="2" t="str">
        <f>"Com tamanho de particula inferior a"</f>
        <v>Com tamanho de particula inferior a</v>
      </c>
    </row>
    <row r="4453" spans="1:2">
      <c r="A4453" s="1" t="str">
        <f>"3815.12.90"</f>
        <v>3815.12.90</v>
      </c>
      <c r="B4453" s="2" t="str">
        <f>"Outros"</f>
        <v>Outros</v>
      </c>
    </row>
    <row r="4454" spans="1:2">
      <c r="A4454" s="1" t="str">
        <f>"3815.19.00"</f>
        <v>3815.19.00</v>
      </c>
      <c r="B4454" s="2" t="str">
        <f>"OUTROS - CATALISADOR"</f>
        <v>OUTROS - CATALISADOR</v>
      </c>
    </row>
    <row r="4455" spans="1:2">
      <c r="A4455" s="1" t="str">
        <f>"3815.90.10"</f>
        <v>3815.90.10</v>
      </c>
      <c r="B4455" s="2" t="str">
        <f>"Para craqueamento de petroleo"</f>
        <v>Para craqueamento de petroleo</v>
      </c>
    </row>
    <row r="4456" spans="1:2">
      <c r="A4456" s="1" t="str">
        <f>"3815.90.91"</f>
        <v>3815.90.91</v>
      </c>
      <c r="B4456" s="2" t="str">
        <f>"Tendo como substancia ativa o isopr"</f>
        <v>Tendo como substancia ativa o isopr</v>
      </c>
    </row>
    <row r="4457" spans="1:2">
      <c r="A4457" s="1" t="str">
        <f>"3815.90.92"</f>
        <v>3815.90.92</v>
      </c>
      <c r="B4457" s="2" t="str">
        <f>"Tendo como substancia ativa o oxido"</f>
        <v>Tendo como substancia ativa o oxido</v>
      </c>
    </row>
    <row r="4458" spans="1:2">
      <c r="A4458" s="1" t="str">
        <f>"3815.90.99"</f>
        <v>3815.90.99</v>
      </c>
      <c r="B4458" s="2" t="str">
        <f>"OUTROS"</f>
        <v>OUTROS</v>
      </c>
    </row>
    <row r="4459" spans="1:2">
      <c r="A4459" s="1" t="str">
        <f>"3816.00.11"</f>
        <v>3816.00.11</v>
      </c>
      <c r="B4459" s="2" t="str">
        <f>"A base de magnesita calcinada"</f>
        <v>A base de magnesita calcinada</v>
      </c>
    </row>
    <row r="4460" spans="1:2">
      <c r="A4460" s="1" t="str">
        <f>"3816.00.12"</f>
        <v>3816.00.12</v>
      </c>
      <c r="B4460" s="2" t="str">
        <f>"A base de silimanita"</f>
        <v>A base de silimanita</v>
      </c>
    </row>
    <row r="4461" spans="1:2">
      <c r="A4461" s="1" t="str">
        <f>"3816.00.19"</f>
        <v>3816.00.19</v>
      </c>
      <c r="B4461" s="2" t="str">
        <f>"Outros"</f>
        <v>Outros</v>
      </c>
    </row>
    <row r="4462" spans="1:2">
      <c r="A4462" s="1" t="str">
        <f>"3816.00.21"</f>
        <v>3816.00.21</v>
      </c>
      <c r="B4462" s="2" t="str">
        <f>"Que contenham grafita e 50 % ou mai"</f>
        <v>Que contenham grafita e 50 % ou mai</v>
      </c>
    </row>
    <row r="4463" spans="1:2">
      <c r="A4463" s="1" t="str">
        <f>"3816.00.29"</f>
        <v>3816.00.29</v>
      </c>
      <c r="B4463" s="2" t="str">
        <f>"Outras"</f>
        <v>Outras</v>
      </c>
    </row>
    <row r="4464" spans="1:2">
      <c r="A4464" s="1" t="str">
        <f>"3816.00.90"</f>
        <v>3816.00.90</v>
      </c>
      <c r="B4464" s="2" t="str">
        <f>"Outros"</f>
        <v>Outros</v>
      </c>
    </row>
    <row r="4465" spans="1:2">
      <c r="A4465" s="1" t="str">
        <f>"3817.00.10"</f>
        <v>3817.00.10</v>
      </c>
      <c r="B4465" s="2" t="str">
        <f>"Misturas de alquilbenzenos"</f>
        <v>Misturas de alquilbenzenos</v>
      </c>
    </row>
    <row r="4466" spans="1:2">
      <c r="A4466" s="1" t="str">
        <f>"3817.00.20"</f>
        <v>3817.00.20</v>
      </c>
      <c r="B4466" s="2" t="str">
        <f>"Misturas de alquilnaftalenos"</f>
        <v>Misturas de alquilnaftalenos</v>
      </c>
    </row>
    <row r="4467" spans="1:2">
      <c r="A4467" s="1" t="str">
        <f>"3818.00.10"</f>
        <v>3818.00.10</v>
      </c>
      <c r="B4467" s="2" t="str">
        <f>"De silicio"</f>
        <v>De silicio</v>
      </c>
    </row>
    <row r="4468" spans="1:2">
      <c r="A4468" s="1" t="str">
        <f>"3818.00.90"</f>
        <v>3818.00.90</v>
      </c>
      <c r="B4468" s="2" t="str">
        <f>"Outros"</f>
        <v>Outros</v>
      </c>
    </row>
    <row r="4469" spans="1:2">
      <c r="A4469" s="1" t="str">
        <f>"3819.00.00"</f>
        <v>3819.00.00</v>
      </c>
      <c r="B4469" s="2" t="str">
        <f>"FLUIDOS PARA FREIOS HIDRÁULICOS"</f>
        <v>FLUIDOS PARA FREIOS HIDRÁULICOS</v>
      </c>
    </row>
    <row r="4470" spans="1:2">
      <c r="A4470" s="1" t="str">
        <f>"3820.00.00"</f>
        <v>3820.00.00</v>
      </c>
      <c r="B4470" s="2" t="str">
        <f>"PREPARAÇ. ANTICONG/LÍQUI P/ DESCONG"</f>
        <v>PREPARAÇ. ANTICONG/LÍQUI P/ DESCONG</v>
      </c>
    </row>
    <row r="4471" spans="1:2">
      <c r="A4471" s="1" t="str">
        <f>"3821.00.00"</f>
        <v>3821.00.00</v>
      </c>
      <c r="B4471" s="2" t="str">
        <f>"Meios de cultura preparados para o"</f>
        <v>Meios de cultura preparados para o</v>
      </c>
    </row>
    <row r="4472" spans="1:2">
      <c r="A4472" s="1" t="str">
        <f>"3821.63.00"</f>
        <v>3821.63.00</v>
      </c>
      <c r="B4472" s="2" t="str">
        <f>"OUTROS APARELHOS PARA FILTRAR OU DE"</f>
        <v>OUTROS APARELHOS PARA FILTRAR OU DE</v>
      </c>
    </row>
    <row r="4473" spans="1:2">
      <c r="A4473" s="1" t="str">
        <f>"3822.00.10"</f>
        <v>3822.00.10</v>
      </c>
      <c r="B4473" s="2" t="str">
        <f>"Reagentes para determinacao de comp"</f>
        <v>Reagentes para determinacao de comp</v>
      </c>
    </row>
    <row r="4474" spans="1:2">
      <c r="A4474" s="1" t="str">
        <f>"3822.00.90"</f>
        <v>3822.00.90</v>
      </c>
      <c r="B4474" s="2" t="str">
        <f>"teste de dureza"</f>
        <v>teste de dureza</v>
      </c>
    </row>
    <row r="4475" spans="1:2">
      <c r="A4475" s="1" t="str">
        <f>"3822.19.90"</f>
        <v>3822.19.90</v>
      </c>
      <c r="B4475" s="2" t="str">
        <f>"Outros"</f>
        <v>Outros</v>
      </c>
    </row>
    <row r="4476" spans="1:2">
      <c r="A4476" s="1" t="str">
        <f>"3822.90.00"</f>
        <v>3822.90.00</v>
      </c>
      <c r="B4476" s="2" t="str">
        <f>"OUTROS"</f>
        <v>OUTROS</v>
      </c>
    </row>
    <row r="4477" spans="1:2">
      <c r="A4477" s="1" t="str">
        <f>"3823.11.00"</f>
        <v>3823.11.00</v>
      </c>
      <c r="B4477" s="2" t="str">
        <f>"ACIDO ESTEARICO - QGS 64"</f>
        <v>ACIDO ESTEARICO - QGS 64</v>
      </c>
    </row>
    <row r="4478" spans="1:2">
      <c r="A4478" s="1" t="str">
        <f>"3823.12.00"</f>
        <v>3823.12.00</v>
      </c>
      <c r="B4478" s="2" t="str">
        <f>"Acido oleico"</f>
        <v>Acido oleico</v>
      </c>
    </row>
    <row r="4479" spans="1:2">
      <c r="A4479" s="1" t="str">
        <f>"3823.13.00"</f>
        <v>3823.13.00</v>
      </c>
      <c r="B4479" s="2" t="str">
        <f>"Acidos graxos (gordos*) do tall oil"</f>
        <v>Acidos graxos (gordos*) do tall oil</v>
      </c>
    </row>
    <row r="4480" spans="1:2">
      <c r="A4480" s="1" t="str">
        <f>"3823.19.00"</f>
        <v>3823.19.00</v>
      </c>
      <c r="B4480" s="2" t="str">
        <f>"Outros"</f>
        <v>Outros</v>
      </c>
    </row>
    <row r="4481" spans="1:2">
      <c r="A4481" s="1" t="str">
        <f>"3823.70.10"</f>
        <v>3823.70.10</v>
      </c>
      <c r="B4481" s="2" t="str">
        <f>"Estearico"</f>
        <v>Estearico</v>
      </c>
    </row>
    <row r="4482" spans="1:2">
      <c r="A4482" s="1" t="str">
        <f>"3823.70.20"</f>
        <v>3823.70.20</v>
      </c>
      <c r="B4482" s="2" t="str">
        <f>"Laurico"</f>
        <v>Laurico</v>
      </c>
    </row>
    <row r="4483" spans="1:2">
      <c r="A4483" s="1" t="str">
        <f>"3823.70.30"</f>
        <v>3823.70.30</v>
      </c>
      <c r="B4483" s="2" t="str">
        <f>"Outras misturas de alcoois primario"</f>
        <v>Outras misturas de alcoois primario</v>
      </c>
    </row>
    <row r="4484" spans="1:2">
      <c r="A4484" s="1" t="str">
        <f>"3823.70.90"</f>
        <v>3823.70.90</v>
      </c>
      <c r="B4484" s="2" t="str">
        <f>"OUTROS"</f>
        <v>OUTROS</v>
      </c>
    </row>
    <row r="4485" spans="1:2">
      <c r="A4485" s="1" t="str">
        <f>"3824.10.00"</f>
        <v>3824.10.00</v>
      </c>
      <c r="B4485" s="2" t="str">
        <f>"Aglutinantes preparados para moldes"</f>
        <v>Aglutinantes preparados para moldes</v>
      </c>
    </row>
    <row r="4486" spans="1:2">
      <c r="A4486" s="1" t="str">
        <f>"3824.20.20"</f>
        <v>3824.20.20</v>
      </c>
      <c r="B4486" s="2" t="str">
        <f>"INATIVO"</f>
        <v>INATIVO</v>
      </c>
    </row>
    <row r="4487" spans="1:2">
      <c r="A4487" s="1" t="str">
        <f>"3824.30.00"</f>
        <v>3824.30.00</v>
      </c>
      <c r="B4487" s="2" t="str">
        <f>"Carbonetos metalicos nao aglomerado"</f>
        <v>Carbonetos metalicos nao aglomerado</v>
      </c>
    </row>
    <row r="4488" spans="1:2">
      <c r="A4488" s="1" t="str">
        <f>"3824.40.00"</f>
        <v>3824.40.00</v>
      </c>
      <c r="B4488" s="2" t="str">
        <f>"Aditivos preparados para cimentos,"</f>
        <v>Aditivos preparados para cimentos,</v>
      </c>
    </row>
    <row r="4489" spans="1:2">
      <c r="A4489" s="1" t="str">
        <f>"3824.50.00"</f>
        <v>3824.50.00</v>
      </c>
      <c r="B4489" s="2" t="str">
        <f>"Argamassas e concretos (betoes*), n"</f>
        <v>Argamassas e concretos (betoes*), n</v>
      </c>
    </row>
    <row r="4490" spans="1:2">
      <c r="A4490" s="1" t="str">
        <f>"3824.60.00"</f>
        <v>3824.60.00</v>
      </c>
      <c r="B4490" s="2" t="str">
        <f>"Sorbitol, exceto o da subposicao 29"</f>
        <v>Sorbitol, exceto o da subposicao 29</v>
      </c>
    </row>
    <row r="4491" spans="1:2">
      <c r="A4491" s="1" t="str">
        <f>"3824.71.10"</f>
        <v>3824.71.10</v>
      </c>
      <c r="B4491" s="2" t="str">
        <f>"Que contenham triclorotrifluoroetan"</f>
        <v>Que contenham triclorotrifluoroetan</v>
      </c>
    </row>
    <row r="4492" spans="1:2">
      <c r="A4492" s="1" t="str">
        <f>"3824.71.90"</f>
        <v>3824.71.90</v>
      </c>
      <c r="B4492" s="2" t="str">
        <f>"OUTRAS"</f>
        <v>OUTRAS</v>
      </c>
    </row>
    <row r="4493" spans="1:2">
      <c r="A4493" s="1" t="str">
        <f>"3824.72.00"</f>
        <v>3824.72.00</v>
      </c>
      <c r="B4493" s="2" t="str">
        <f>"Que contenham bromoclorodifluoromet"</f>
        <v>Que contenham bromoclorodifluoromet</v>
      </c>
    </row>
    <row r="4494" spans="1:2">
      <c r="A4494" s="1" t="str">
        <f>"3824.73.00"</f>
        <v>3824.73.00</v>
      </c>
      <c r="B4494" s="2" t="str">
        <f>"Que contenham hidrobromofluorcarbon"</f>
        <v>Que contenham hidrobromofluorcarbon</v>
      </c>
    </row>
    <row r="4495" spans="1:2">
      <c r="A4495" s="1" t="str">
        <f>"3824.74.10"</f>
        <v>3824.74.10</v>
      </c>
      <c r="B4495" s="2" t="str">
        <f>"Que contenham clorodifluorometano e"</f>
        <v>Que contenham clorodifluorometano e</v>
      </c>
    </row>
    <row r="4496" spans="1:2">
      <c r="A4496" s="1" t="str">
        <f>"3824.74.20"</f>
        <v>3824.74.20</v>
      </c>
      <c r="B4496" s="2" t="str">
        <f>"Que contenham clorodifluorometano e"</f>
        <v>Que contenham clorodifluorometano e</v>
      </c>
    </row>
    <row r="4497" spans="1:2">
      <c r="A4497" s="1" t="str">
        <f>"3824.74.90"</f>
        <v>3824.74.90</v>
      </c>
      <c r="B4497" s="2" t="str">
        <f>"Outras"</f>
        <v>Outras</v>
      </c>
    </row>
    <row r="4498" spans="1:2">
      <c r="A4498" s="1" t="str">
        <f>"3824.75.00"</f>
        <v>3824.75.00</v>
      </c>
      <c r="B4498" s="2" t="str">
        <f>"Que contenham tetracloreto de carbo"</f>
        <v>Que contenham tetracloreto de carbo</v>
      </c>
    </row>
    <row r="4499" spans="1:2">
      <c r="A4499" s="1" t="str">
        <f>"3824.76.00"</f>
        <v>3824.76.00</v>
      </c>
      <c r="B4499" s="2" t="str">
        <f>"Que contenham 1,1,1-tricloroetano ("</f>
        <v>Que contenham 1,1,1-tricloroetano (</v>
      </c>
    </row>
    <row r="4500" spans="1:2">
      <c r="A4500" s="1" t="str">
        <f>"3824.77.00"</f>
        <v>3824.77.00</v>
      </c>
      <c r="B4500" s="2" t="str">
        <f>"Que contenham bromometano (brometo"</f>
        <v>Que contenham bromometano (brometo</v>
      </c>
    </row>
    <row r="4501" spans="1:2">
      <c r="A4501" s="1" t="str">
        <f>"3824.78.10"</f>
        <v>3824.78.10</v>
      </c>
      <c r="B4501" s="2" t="str">
        <f>"QUE CONTENHAM TETRAFLUORETANO E PEN"</f>
        <v>QUE CONTENHAM TETRAFLUORETANO E PEN</v>
      </c>
    </row>
    <row r="4502" spans="1:2">
      <c r="A4502" s="1" t="str">
        <f>"3824.78.90"</f>
        <v>3824.78.90</v>
      </c>
      <c r="B4502" s="2" t="str">
        <f>"Outras"</f>
        <v>Outras</v>
      </c>
    </row>
    <row r="4503" spans="1:2">
      <c r="A4503" s="1" t="str">
        <f>"3824.79.00"</f>
        <v>3824.79.00</v>
      </c>
      <c r="B4503" s="2" t="str">
        <f>"Outras"</f>
        <v>Outras</v>
      </c>
    </row>
    <row r="4504" spans="1:2">
      <c r="A4504" s="1" t="str">
        <f>"3824.81.10"</f>
        <v>3824.81.10</v>
      </c>
      <c r="B4504" s="2" t="str">
        <f>"Mistura de oxido de propileno com u"</f>
        <v>Mistura de oxido de propileno com u</v>
      </c>
    </row>
    <row r="4505" spans="1:2">
      <c r="A4505" s="1" t="str">
        <f>"3824.81.90"</f>
        <v>3824.81.90</v>
      </c>
      <c r="B4505" s="2" t="str">
        <f>"Outras"</f>
        <v>Outras</v>
      </c>
    </row>
    <row r="4506" spans="1:2">
      <c r="A4506" s="1" t="str">
        <f>"3824.82.00"</f>
        <v>3824.82.00</v>
      </c>
      <c r="B4506" s="2" t="str">
        <f>"Que contenham polibromobifenilas (P"</f>
        <v>Que contenham polibromobifenilas (P</v>
      </c>
    </row>
    <row r="4507" spans="1:2">
      <c r="A4507" s="1" t="str">
        <f>"3824.83.00"</f>
        <v>3824.83.00</v>
      </c>
      <c r="B4507" s="2" t="str">
        <f>"Que contenham fosfato de tris(2,3-d"</f>
        <v>Que contenham fosfato de tris(2,3-d</v>
      </c>
    </row>
    <row r="4508" spans="1:2">
      <c r="A4508" s="1" t="str">
        <f>"3824.84.00"</f>
        <v>3824.84.00</v>
      </c>
      <c r="B4508" s="2" t="str">
        <f>"Que contenham aldrin (ISO), canfecl"</f>
        <v>Que contenham aldrin (ISO), canfecl</v>
      </c>
    </row>
    <row r="4509" spans="1:2">
      <c r="A4509" s="1" t="str">
        <f>"3824.85.00"</f>
        <v>3824.85.00</v>
      </c>
      <c r="B4509" s="2" t="str">
        <f>"Que contenham 1,2,3,4,5,6-hexacloro"</f>
        <v>Que contenham 1,2,3,4,5,6-hexacloro</v>
      </c>
    </row>
    <row r="4510" spans="1:2">
      <c r="A4510" s="1" t="str">
        <f>"3824.86.00"</f>
        <v>3824.86.00</v>
      </c>
      <c r="B4510" s="2" t="str">
        <f>"Que contenham pentaclorobenzeno (IS"</f>
        <v>Que contenham pentaclorobenzeno (IS</v>
      </c>
    </row>
    <row r="4511" spans="1:2">
      <c r="A4511" s="1" t="str">
        <f>"3824.87.00"</f>
        <v>3824.87.00</v>
      </c>
      <c r="B4511" s="2" t="str">
        <f>"Que contenham acido perfluoroctano"</f>
        <v>Que contenham acido perfluoroctano</v>
      </c>
    </row>
    <row r="4512" spans="1:2">
      <c r="A4512" s="1" t="str">
        <f>"3824.88.00"</f>
        <v>3824.88.00</v>
      </c>
      <c r="B4512" s="2" t="str">
        <f>"Que contenham eteres tetra-, penta-"</f>
        <v>Que contenham eteres tetra-, penta-</v>
      </c>
    </row>
    <row r="4513" spans="1:2">
      <c r="A4513" s="1" t="str">
        <f>"3824.89.00"</f>
        <v>3824.89.00</v>
      </c>
      <c r="B4513" s="2" t="str">
        <f>"Que contenham parafinas cloradas de"</f>
        <v>Que contenham parafinas cloradas de</v>
      </c>
    </row>
    <row r="4514" spans="1:2">
      <c r="A4514" s="1" t="str">
        <f>"3824.90.29"</f>
        <v>3824.90.29</v>
      </c>
      <c r="B4514" s="2" t="str">
        <f t="shared" ref="B4514:B4520" si="0">"INATIVO"</f>
        <v>INATIVO</v>
      </c>
    </row>
    <row r="4515" spans="1:2">
      <c r="A4515" s="1" t="str">
        <f>"3824.90.39"</f>
        <v>3824.90.39</v>
      </c>
      <c r="B4515" s="2" t="str">
        <f t="shared" si="0"/>
        <v>INATIVO</v>
      </c>
    </row>
    <row r="4516" spans="1:2">
      <c r="A4516" s="1" t="str">
        <f>"3824.90.41"</f>
        <v>3824.90.41</v>
      </c>
      <c r="B4516" s="2" t="str">
        <f t="shared" si="0"/>
        <v>INATIVO</v>
      </c>
    </row>
    <row r="4517" spans="1:2">
      <c r="A4517" s="1" t="str">
        <f>"3824.90.52"</f>
        <v>3824.90.52</v>
      </c>
      <c r="B4517" s="2" t="str">
        <f t="shared" si="0"/>
        <v>INATIVO</v>
      </c>
    </row>
    <row r="4518" spans="1:2">
      <c r="A4518" s="1" t="str">
        <f>"3824.90.59"</f>
        <v>3824.90.59</v>
      </c>
      <c r="B4518" s="2" t="str">
        <f t="shared" si="0"/>
        <v>INATIVO</v>
      </c>
    </row>
    <row r="4519" spans="1:2">
      <c r="A4519" s="1" t="str">
        <f>"3824.90.79"</f>
        <v>3824.90.79</v>
      </c>
      <c r="B4519" s="2" t="str">
        <f t="shared" si="0"/>
        <v>INATIVO</v>
      </c>
    </row>
    <row r="4520" spans="1:2">
      <c r="A4520" s="1" t="str">
        <f>"3824.90.89"</f>
        <v>3824.90.89</v>
      </c>
      <c r="B4520" s="2" t="str">
        <f t="shared" si="0"/>
        <v>INATIVO</v>
      </c>
    </row>
    <row r="4521" spans="1:2">
      <c r="A4521" s="1" t="str">
        <f>"3824.90.90"</f>
        <v>3824.90.90</v>
      </c>
      <c r="B4521" s="2" t="str">
        <f>"INATIVA - HIDROPALAT TB"</f>
        <v>INATIVA - HIDROPALAT TB</v>
      </c>
    </row>
    <row r="4522" spans="1:2">
      <c r="A4522" s="1" t="str">
        <f>"3824.91.00"</f>
        <v>3824.91.00</v>
      </c>
      <c r="B4522" s="2" t="str">
        <f>"Misturas e preparacoes constituidas"</f>
        <v>Misturas e preparacoes constituidas</v>
      </c>
    </row>
    <row r="4523" spans="1:2">
      <c r="A4523" s="1" t="str">
        <f>"3824.99.11"</f>
        <v>3824.99.11</v>
      </c>
      <c r="B4523" s="2" t="str">
        <f>"Salinomicina micelial"</f>
        <v>Salinomicina micelial</v>
      </c>
    </row>
    <row r="4524" spans="1:2">
      <c r="A4524" s="1" t="str">
        <f>"3824.99.12"</f>
        <v>3824.99.12</v>
      </c>
      <c r="B4524" s="2" t="str">
        <f>"Com um teor de cianocobalamina infe"</f>
        <v>Com um teor de cianocobalamina infe</v>
      </c>
    </row>
    <row r="4525" spans="1:2">
      <c r="A4525" s="1" t="str">
        <f>"3824.99.13"</f>
        <v>3824.99.13</v>
      </c>
      <c r="B4525" s="2" t="str">
        <f>"Da fabricacao da primicina amonica"</f>
        <v>Da fabricacao da primicina amonica</v>
      </c>
    </row>
    <row r="4526" spans="1:2">
      <c r="A4526" s="1" t="str">
        <f>"3824.99.14"</f>
        <v>3824.99.14</v>
      </c>
      <c r="B4526" s="2" t="str">
        <f>"Senduramicina sodica, da fabricacao"</f>
        <v>Senduramicina sodica, da fabricacao</v>
      </c>
    </row>
    <row r="4527" spans="1:2">
      <c r="A4527" s="1" t="str">
        <f>"3824.99.15"</f>
        <v>3824.99.15</v>
      </c>
      <c r="B4527" s="2" t="str">
        <f>"Maduramicina amonica, em solucao al"</f>
        <v>Maduramicina amonica, em solucao al</v>
      </c>
    </row>
    <row r="4528" spans="1:2">
      <c r="A4528" s="1" t="str">
        <f>"3824.99.19"</f>
        <v>3824.99.19</v>
      </c>
      <c r="B4528" s="2" t="str">
        <f>"Outros"</f>
        <v>Outros</v>
      </c>
    </row>
    <row r="4529" spans="1:2">
      <c r="A4529" s="1" t="str">
        <f>"3824.99.21"</f>
        <v>3824.99.21</v>
      </c>
      <c r="B4529" s="2" t="str">
        <f>"Acidos graxos dimerizados; preparac"</f>
        <v>Acidos graxos dimerizados; preparac</v>
      </c>
    </row>
    <row r="4530" spans="1:2">
      <c r="A4530" s="1" t="str">
        <f>"3824.99.22"</f>
        <v>3824.99.22</v>
      </c>
      <c r="B4530" s="2" t="str">
        <f>"Preparacoes contendo estearoilbenzo"</f>
        <v>Preparacoes contendo estearoilbenzo</v>
      </c>
    </row>
    <row r="4531" spans="1:2">
      <c r="A4531" s="1" t="str">
        <f>"3824.99.23"</f>
        <v>3824.99.23</v>
      </c>
      <c r="B4531" s="2" t="str">
        <f>"Preparacoes contendo trigliceridios"</f>
        <v>Preparacoes contendo trigliceridios</v>
      </c>
    </row>
    <row r="4532" spans="1:2">
      <c r="A4532" s="1" t="str">
        <f>"3824.99.24"</f>
        <v>3824.99.24</v>
      </c>
      <c r="B4532" s="2" t="str">
        <f>"Esteres de alcoois graxos de C12 a"</f>
        <v>Esteres de alcoois graxos de C12 a</v>
      </c>
    </row>
    <row r="4533" spans="1:2">
      <c r="A4533" s="1" t="str">
        <f>"3824.99.25"</f>
        <v>3824.99.25</v>
      </c>
      <c r="B4533" s="2" t="str">
        <f>"Misturas de esteres dimetilicos dos"</f>
        <v>Misturas de esteres dimetilicos dos</v>
      </c>
    </row>
    <row r="4534" spans="1:2">
      <c r="A4534" s="1" t="str">
        <f>"3824.99.29"</f>
        <v>3824.99.29</v>
      </c>
      <c r="B4534" s="2" t="str">
        <f>"Outros"</f>
        <v>Outros</v>
      </c>
    </row>
    <row r="4535" spans="1:2">
      <c r="A4535" s="1" t="str">
        <f>"3824.99.31"</f>
        <v>3824.99.31</v>
      </c>
      <c r="B4535" s="2" t="str">
        <f>"Que contenham isocianatos de hexame"</f>
        <v>Que contenham isocianatos de hexame</v>
      </c>
    </row>
    <row r="4536" spans="1:2">
      <c r="A4536" s="1" t="str">
        <f>"3824.99.32"</f>
        <v>3824.99.32</v>
      </c>
      <c r="B4536" s="2" t="str">
        <f>"Que contenham aminas graxas de C8 a"</f>
        <v>Que contenham aminas graxas de C8 a</v>
      </c>
    </row>
    <row r="4537" spans="1:2">
      <c r="A4537" s="1" t="str">
        <f>"3824.99.33"</f>
        <v>3824.99.33</v>
      </c>
      <c r="B4537" s="2" t="str">
        <f>"Que contenham polietilenoaminas e d"</f>
        <v>Que contenham polietilenoaminas e d</v>
      </c>
    </row>
    <row r="4538" spans="1:2">
      <c r="A4538" s="1" t="str">
        <f>"3824.99.34"</f>
        <v>3824.99.34</v>
      </c>
      <c r="B4538" s="2" t="str">
        <f>"Outras, contendo polietilenoaminas"</f>
        <v>Outras, contendo polietilenoaminas</v>
      </c>
    </row>
    <row r="4539" spans="1:2">
      <c r="A4539" s="1" t="str">
        <f>"3824.99.35"</f>
        <v>3824.99.35</v>
      </c>
      <c r="B4539" s="2" t="str">
        <f>"Misturas de mono-, di- e triisoprop"</f>
        <v>Misturas de mono-, di- e triisoprop</v>
      </c>
    </row>
    <row r="4540" spans="1:2">
      <c r="A4540" s="1" t="str">
        <f>"3824.99.36"</f>
        <v>3824.99.36</v>
      </c>
      <c r="B4540" s="2" t="str">
        <f>"Reticulantes para silicones"</f>
        <v>Reticulantes para silicones</v>
      </c>
    </row>
    <row r="4541" spans="1:2">
      <c r="A4541" s="1" t="str">
        <f>"3824.99.39"</f>
        <v>3824.99.39</v>
      </c>
      <c r="B4541" s="2" t="str">
        <f>"Outras"</f>
        <v>Outras</v>
      </c>
    </row>
    <row r="4542" spans="1:2">
      <c r="A4542" s="1" t="str">
        <f>"3824.99.41"</f>
        <v>3824.99.41</v>
      </c>
      <c r="B4542" s="2" t="str">
        <f>"Preparacoes desincrustantes, antico"</f>
        <v>Preparacoes desincrustantes, antico</v>
      </c>
    </row>
    <row r="4543" spans="1:2">
      <c r="A4543" s="1" t="str">
        <f>"3824.99.42"</f>
        <v>3824.99.42</v>
      </c>
      <c r="B4543" s="2" t="str">
        <f>"Mistura eutetica de difenila e oxid"</f>
        <v>Mistura eutetica de difenila e oxid</v>
      </c>
    </row>
    <row r="4544" spans="1:2">
      <c r="A4544" s="1" t="str">
        <f>"3824.99.43"</f>
        <v>3824.99.43</v>
      </c>
      <c r="B4544" s="2" t="str">
        <f>"A base de trimetil-3,9-dietildecano"</f>
        <v>A base de trimetil-3,9-dietildecano</v>
      </c>
    </row>
    <row r="4545" spans="1:2">
      <c r="A4545" s="1" t="str">
        <f>"3824.99.49"</f>
        <v>3824.99.49</v>
      </c>
      <c r="B4545" s="2" t="str">
        <f>"Outros"</f>
        <v>Outros</v>
      </c>
    </row>
    <row r="4546" spans="1:2">
      <c r="A4546" s="1" t="str">
        <f>"3824.99.51"</f>
        <v>3824.99.51</v>
      </c>
      <c r="B4546" s="2" t="str">
        <f>"Antiespumantes contendo fosfato de"</f>
        <v>Antiespumantes contendo fosfato de</v>
      </c>
    </row>
    <row r="4547" spans="1:2">
      <c r="A4547" s="1" t="str">
        <f>"3824.99.52"</f>
        <v>3824.99.52</v>
      </c>
      <c r="B4547" s="2" t="str">
        <f>"Misturas de polietilenoglicois"</f>
        <v>Misturas de polietilenoglicois</v>
      </c>
    </row>
    <row r="4548" spans="1:2">
      <c r="A4548" s="1" t="str">
        <f>"3824.99.53"</f>
        <v>3824.99.53</v>
      </c>
      <c r="B4548" s="2" t="str">
        <f>"Polipropilenoglicol liquido"</f>
        <v>Polipropilenoglicol liquido</v>
      </c>
    </row>
    <row r="4549" spans="1:2">
      <c r="A4549" s="1" t="str">
        <f>"3824.99.54"</f>
        <v>3824.99.54</v>
      </c>
      <c r="B4549" s="2" t="str">
        <f>"Retardante de chama contendo mistur"</f>
        <v>Retardante de chama contendo mistur</v>
      </c>
    </row>
    <row r="4550" spans="1:2">
      <c r="A4550" s="1" t="str">
        <f>"3824.99.59"</f>
        <v>3824.99.59</v>
      </c>
      <c r="B4550" s="2" t="str">
        <f>"Outros"</f>
        <v>Outros</v>
      </c>
    </row>
    <row r="4551" spans="1:2">
      <c r="A4551" s="1" t="str">
        <f>"3824.99.71"</f>
        <v>3824.99.71</v>
      </c>
      <c r="B4551" s="2" t="str">
        <f>"Cal sodada; carbonato de calcio hid"</f>
        <v>Cal sodada; carbonato de calcio hid</v>
      </c>
    </row>
    <row r="4552" spans="1:2">
      <c r="A4552" s="1" t="str">
        <f>"3824.99.72"</f>
        <v>3824.99.72</v>
      </c>
      <c r="B4552" s="2" t="str">
        <f>"Preparacoes a base de silica em sus"</f>
        <v>Preparacoes a base de silica em sus</v>
      </c>
    </row>
    <row r="4553" spans="1:2">
      <c r="A4553" s="1" t="str">
        <f>"3824.99.73"</f>
        <v>3824.99.73</v>
      </c>
      <c r="B4553" s="2" t="str">
        <f>"Preparacoes a base de carbeto de tu"</f>
        <v>Preparacoes a base de carbeto de tu</v>
      </c>
    </row>
    <row r="4554" spans="1:2">
      <c r="A4554" s="1" t="str">
        <f>"3824.99.74"</f>
        <v>3824.99.74</v>
      </c>
      <c r="B4554" s="2" t="str">
        <f>"Preparacoes a base de hidroxido de"</f>
        <v>Preparacoes a base de hidroxido de</v>
      </c>
    </row>
    <row r="4555" spans="1:2">
      <c r="A4555" s="1" t="str">
        <f>"3824.99.75"</f>
        <v>3824.99.75</v>
      </c>
      <c r="B4555" s="2" t="str">
        <f>"Preparacoes utilizadas na elaboraca"</f>
        <v>Preparacoes utilizadas na elaboraca</v>
      </c>
    </row>
    <row r="4556" spans="1:2">
      <c r="A4556" s="1" t="str">
        <f>"3824.99.76"</f>
        <v>3824.99.76</v>
      </c>
      <c r="B4556" s="2" t="str">
        <f>"Compostos absorventes a base de met"</f>
        <v>Compostos absorventes a base de met</v>
      </c>
    </row>
    <row r="4557" spans="1:2">
      <c r="A4557" s="1" t="str">
        <f>"3824.99.77"</f>
        <v>3824.99.77</v>
      </c>
      <c r="B4557" s="2" t="str">
        <f>"Adubos (fertilizantes) foliares con"</f>
        <v>Adubos (fertilizantes) foliares con</v>
      </c>
    </row>
    <row r="4558" spans="1:2">
      <c r="A4558" s="1" t="str">
        <f>"3824.99.78"</f>
        <v>3824.99.78</v>
      </c>
      <c r="B4558" s="2" t="str">
        <f>"Preparacoes a base de oxido de alum"</f>
        <v>Preparacoes a base de oxido de alum</v>
      </c>
    </row>
    <row r="4559" spans="1:2">
      <c r="A4559" s="1" t="str">
        <f>"3824.99.79"</f>
        <v>3824.99.79</v>
      </c>
      <c r="B4559" s="2" t="str">
        <f>"Outros"</f>
        <v>Outros</v>
      </c>
    </row>
    <row r="4560" spans="1:2">
      <c r="A4560" s="1" t="str">
        <f>"3824.99.81"</f>
        <v>3824.99.81</v>
      </c>
      <c r="B4560" s="2" t="str">
        <f>"Preparacoes a base de anidrido poli"</f>
        <v>Preparacoes a base de anidrido poli</v>
      </c>
    </row>
    <row r="4561" spans="1:2">
      <c r="A4561" s="1" t="str">
        <f>"3824.99.82"</f>
        <v>3824.99.82</v>
      </c>
      <c r="B4561" s="2" t="str">
        <f>"Halquinol; tetraclorohidroxiglicina"</f>
        <v>Halquinol; tetraclorohidroxiglicina</v>
      </c>
    </row>
    <row r="4562" spans="1:2">
      <c r="A4562" s="1" t="str">
        <f>"3824.99.83"</f>
        <v>3824.99.83</v>
      </c>
      <c r="B4562" s="2" t="str">
        <f>"Triisocianato de tiofosfato de feni"</f>
        <v>Triisocianato de tiofosfato de feni</v>
      </c>
    </row>
    <row r="4563" spans="1:2">
      <c r="A4563" s="1" t="str">
        <f>"3824.99.85"</f>
        <v>3824.99.85</v>
      </c>
      <c r="B4563" s="2" t="str">
        <f>"Metilato de sodio em metanol"</f>
        <v>Metilato de sodio em metanol</v>
      </c>
    </row>
    <row r="4564" spans="1:2">
      <c r="A4564" s="1" t="str">
        <f>"3824.99.86"</f>
        <v>3824.99.86</v>
      </c>
      <c r="B4564" s="2" t="str">
        <f>"Maneb; mancozeb; cloreto de benzalc"</f>
        <v>Maneb; mancozeb; cloreto de benzalc</v>
      </c>
    </row>
    <row r="4565" spans="1:2">
      <c r="A4565" s="1" t="str">
        <f>"3824.99.87"</f>
        <v>3824.99.87</v>
      </c>
      <c r="B4565" s="2" t="str">
        <f>"Dispersao aquosa de microcapsulas d"</f>
        <v>Dispersao aquosa de microcapsulas d</v>
      </c>
    </row>
    <row r="4566" spans="1:2">
      <c r="A4566" s="1" t="str">
        <f>"3824.99.88"</f>
        <v>3824.99.88</v>
      </c>
      <c r="B4566" s="2" t="str">
        <f>"Misturas constituidas principalment"</f>
        <v>Misturas constituidas principalment</v>
      </c>
    </row>
    <row r="4567" spans="1:2">
      <c r="A4567" s="1" t="str">
        <f>"3824.99.89"</f>
        <v>3824.99.89</v>
      </c>
      <c r="B4567" s="2" t="str">
        <f>"Outros"</f>
        <v>Outros</v>
      </c>
    </row>
    <row r="4568" spans="1:2">
      <c r="A4568" s="1" t="str">
        <f>"3825.10.00"</f>
        <v>3825.10.00</v>
      </c>
      <c r="B4568" s="2" t="str">
        <f>"Residuos municipais"</f>
        <v>Residuos municipais</v>
      </c>
    </row>
    <row r="4569" spans="1:2">
      <c r="A4569" s="1" t="str">
        <f>"3825.20.00"</f>
        <v>3825.20.00</v>
      </c>
      <c r="B4569" s="2" t="str">
        <f>"Lamas de tratamento de esgotos (Lam"</f>
        <v>Lamas de tratamento de esgotos (Lam</v>
      </c>
    </row>
    <row r="4570" spans="1:2">
      <c r="A4570" s="1" t="str">
        <f>"3825.30.00"</f>
        <v>3825.30.00</v>
      </c>
      <c r="B4570" s="2" t="str">
        <f>"Residuos clinicos"</f>
        <v>Residuos clinicos</v>
      </c>
    </row>
    <row r="4571" spans="1:2">
      <c r="A4571" s="1" t="str">
        <f>"3825.41.00"</f>
        <v>3825.41.00</v>
      </c>
      <c r="B4571" s="2" t="str">
        <f>"Halogenados"</f>
        <v>Halogenados</v>
      </c>
    </row>
    <row r="4572" spans="1:2">
      <c r="A4572" s="1" t="str">
        <f>"3825.49.00"</f>
        <v>3825.49.00</v>
      </c>
      <c r="B4572" s="2" t="str">
        <f>"Outros"</f>
        <v>Outros</v>
      </c>
    </row>
    <row r="4573" spans="1:2">
      <c r="A4573" s="1" t="str">
        <f>"3825.50.00"</f>
        <v>3825.50.00</v>
      </c>
      <c r="B4573" s="2" t="str">
        <f>"Resíduos de soluções decapantes"</f>
        <v>Resíduos de soluções decapantes</v>
      </c>
    </row>
    <row r="4574" spans="1:2">
      <c r="A4574" s="1" t="str">
        <f>"3825.61.00"</f>
        <v>3825.61.00</v>
      </c>
      <c r="B4574" s="2" t="str">
        <f>"Que contenham principalmente consti"</f>
        <v>Que contenham principalmente consti</v>
      </c>
    </row>
    <row r="4575" spans="1:2">
      <c r="A4575" s="1" t="str">
        <f>"3825.69.00"</f>
        <v>3825.69.00</v>
      </c>
      <c r="B4575" s="2" t="str">
        <f>"Outros"</f>
        <v>Outros</v>
      </c>
    </row>
    <row r="4576" spans="1:2">
      <c r="A4576" s="1" t="str">
        <f>"3825.90.00"</f>
        <v>3825.90.00</v>
      </c>
      <c r="B4576" s="2" t="str">
        <f>"Outros"</f>
        <v>Outros</v>
      </c>
    </row>
    <row r="4577" spans="1:2">
      <c r="A4577" s="1" t="str">
        <f>"3826.00.00"</f>
        <v>3826.00.00</v>
      </c>
      <c r="B4577" s="2" t="str">
        <f>"Biodiesel e suas misturas, que nao"</f>
        <v>Biodiesel e suas misturas, que nao</v>
      </c>
    </row>
    <row r="4578" spans="1:2">
      <c r="A4578" s="1" t="str">
        <f>"3827.61.00"</f>
        <v>3827.61.00</v>
      </c>
      <c r="B4578" s="2" t="str">
        <f>"Que contenham, em massa, 15 % ou ma"</f>
        <v>Que contenham, em massa, 15 % ou ma</v>
      </c>
    </row>
    <row r="4579" spans="1:2">
      <c r="A4579" s="1" t="str">
        <f>"3827.63.00"</f>
        <v>3827.63.00</v>
      </c>
      <c r="B4579" s="2" t="str">
        <f>"DE ESPESSURA INFERIOR A 4,75 MM"</f>
        <v>DE ESPESSURA INFERIOR A 4,75 MM</v>
      </c>
    </row>
    <row r="4580" spans="1:2">
      <c r="A4580" s="1" t="str">
        <f>"3827.64.00"</f>
        <v>3827.64.00</v>
      </c>
      <c r="B4580" s="2" t="str">
        <f>"Outras"</f>
        <v>Outras</v>
      </c>
    </row>
    <row r="4581" spans="1:2">
      <c r="A4581" s="1" t="str">
        <f>"3901.10.10"</f>
        <v>3901.10.10</v>
      </c>
      <c r="B4581" s="2" t="str">
        <f>"Linear"</f>
        <v>Linear</v>
      </c>
    </row>
    <row r="4582" spans="1:2">
      <c r="A4582" s="1" t="str">
        <f>"3901.10.91"</f>
        <v>3901.10.91</v>
      </c>
      <c r="B4582" s="2" t="str">
        <f>"Com carga"</f>
        <v>Com carga</v>
      </c>
    </row>
    <row r="4583" spans="1:2">
      <c r="A4583" s="1" t="str">
        <f>"3901.10.92"</f>
        <v>3901.10.92</v>
      </c>
      <c r="B4583" s="2" t="str">
        <f>"EM ROLOS DE LARGURA NÃO SUPERIOR A"</f>
        <v>EM ROLOS DE LARGURA NÃO SUPERIOR A</v>
      </c>
    </row>
    <row r="4584" spans="1:2">
      <c r="A4584" s="1" t="str">
        <f>"3901.20.11"</f>
        <v>3901.20.11</v>
      </c>
      <c r="B4584" s="2" t="str">
        <f>"Vulcanizado, de densidade superior"</f>
        <v>Vulcanizado, de densidade superior</v>
      </c>
    </row>
    <row r="4585" spans="1:2">
      <c r="A4585" s="1" t="str">
        <f>"3901.20.19"</f>
        <v>3901.20.19</v>
      </c>
      <c r="B4585" s="2" t="str">
        <f>"Outros"</f>
        <v>Outros</v>
      </c>
    </row>
    <row r="4586" spans="1:2">
      <c r="A4586" s="1" t="str">
        <f>"3901.20.21"</f>
        <v>3901.20.21</v>
      </c>
      <c r="B4586" s="2" t="str">
        <f>"Vulcanizado, de densidade superior"</f>
        <v>Vulcanizado, de densidade superior</v>
      </c>
    </row>
    <row r="4587" spans="1:2">
      <c r="A4587" s="1" t="str">
        <f>"3901.20.29"</f>
        <v>3901.20.29</v>
      </c>
      <c r="B4587" s="2" t="str">
        <f>"Outros"</f>
        <v>Outros</v>
      </c>
    </row>
    <row r="4588" spans="1:2">
      <c r="A4588" s="1" t="str">
        <f>"3901.30.10"</f>
        <v>3901.30.10</v>
      </c>
      <c r="B4588" s="2" t="str">
        <f>"Nas formas previstas na Nota 6 a) d"</f>
        <v>Nas formas previstas na Nota 6 a) d</v>
      </c>
    </row>
    <row r="4589" spans="1:2">
      <c r="A4589" s="1" t="str">
        <f>"3901.30.90"</f>
        <v>3901.30.90</v>
      </c>
      <c r="B4589" s="2" t="str">
        <f>"Outros"</f>
        <v>Outros</v>
      </c>
    </row>
    <row r="4590" spans="1:2">
      <c r="A4590" s="1" t="str">
        <f>"3901.40.00"</f>
        <v>3901.40.00</v>
      </c>
      <c r="B4590" s="2" t="str">
        <f>"Copolimeros de etileno e alfa-olefi"</f>
        <v>Copolimeros de etileno e alfa-olefi</v>
      </c>
    </row>
    <row r="4591" spans="1:2">
      <c r="A4591" s="1" t="str">
        <f>"3901.90.10"</f>
        <v>3901.90.10</v>
      </c>
      <c r="B4591" s="2" t="str">
        <f>"Copolimeros de etileno e acido acri"</f>
        <v>Copolimeros de etileno e acido acri</v>
      </c>
    </row>
    <row r="4592" spans="1:2">
      <c r="A4592" s="1" t="str">
        <f>"3901.90.20"</f>
        <v>3901.90.20</v>
      </c>
      <c r="B4592" s="2" t="str">
        <f>"Copolimeros de etileno e monomeros"</f>
        <v>Copolimeros de etileno e monomeros</v>
      </c>
    </row>
    <row r="4593" spans="1:2">
      <c r="A4593" s="1" t="str">
        <f>"3901.90.30"</f>
        <v>3901.90.30</v>
      </c>
      <c r="B4593" s="2" t="str">
        <f>"Polietileno clorossulfonado"</f>
        <v>Polietileno clorossulfonado</v>
      </c>
    </row>
    <row r="4594" spans="1:2">
      <c r="A4594" s="1" t="str">
        <f>"3901.90.40"</f>
        <v>3901.90.40</v>
      </c>
      <c r="B4594" s="2" t="str">
        <f>"Polietileno clorado"</f>
        <v>Polietileno clorado</v>
      </c>
    </row>
    <row r="4595" spans="1:2">
      <c r="A4595" s="1" t="str">
        <f>"3901.90.50"</f>
        <v>3901.90.50</v>
      </c>
      <c r="B4595" s="2" t="str">
        <f>"Copolimeros de etileno - acido meta"</f>
        <v>Copolimeros de etileno - acido meta</v>
      </c>
    </row>
    <row r="4596" spans="1:2">
      <c r="A4596" s="1" t="str">
        <f>"3901.90.90"</f>
        <v>3901.90.90</v>
      </c>
      <c r="B4596" s="2" t="str">
        <f>"Outros"</f>
        <v>Outros</v>
      </c>
    </row>
    <row r="4597" spans="1:2">
      <c r="A4597" s="1" t="str">
        <f>"3902.04.00"</f>
        <v>3902.04.00</v>
      </c>
      <c r="B4597" s="2" t="str">
        <f>"INATIVA - PELICULA DE POLIETILENO"</f>
        <v>INATIVA - PELICULA DE POLIETILENO</v>
      </c>
    </row>
    <row r="4598" spans="1:2">
      <c r="A4598" s="1" t="str">
        <f>"3902.10.10"</f>
        <v>3902.10.10</v>
      </c>
      <c r="B4598" s="2" t="str">
        <f>"COM CARGA - PROPYLMATTE 31"</f>
        <v>COM CARGA - PROPYLMATTE 31</v>
      </c>
    </row>
    <row r="4599" spans="1:2">
      <c r="A4599" s="1" t="str">
        <f>"3902.10.20"</f>
        <v>3902.10.20</v>
      </c>
      <c r="B4599" s="2" t="str">
        <f>"SEM CARGA"</f>
        <v>SEM CARGA</v>
      </c>
    </row>
    <row r="4600" spans="1:2">
      <c r="A4600" s="1" t="str">
        <f>"3902.20.00"</f>
        <v>3902.20.00</v>
      </c>
      <c r="B4600" s="2" t="str">
        <f>"Poliisobutileno"</f>
        <v>Poliisobutileno</v>
      </c>
    </row>
    <row r="4601" spans="1:2">
      <c r="A4601" s="1" t="str">
        <f>"3902.30.00"</f>
        <v>3902.30.00</v>
      </c>
      <c r="B4601" s="2" t="str">
        <f>"Copolimeros de propileno"</f>
        <v>Copolimeros de propileno</v>
      </c>
    </row>
    <row r="4602" spans="1:2">
      <c r="A4602" s="1" t="str">
        <f>"3902.90.00"</f>
        <v>3902.90.00</v>
      </c>
      <c r="B4602" s="2" t="str">
        <f>"OUTROS"</f>
        <v>OUTROS</v>
      </c>
    </row>
    <row r="4603" spans="1:2">
      <c r="A4603" s="1" t="str">
        <f>"3903.11.10"</f>
        <v>3903.11.10</v>
      </c>
      <c r="B4603" s="2" t="str">
        <f>"Com carga"</f>
        <v>Com carga</v>
      </c>
    </row>
    <row r="4604" spans="1:2">
      <c r="A4604" s="1" t="str">
        <f>"3903.11.20"</f>
        <v>3903.11.20</v>
      </c>
      <c r="B4604" s="2" t="str">
        <f>"Sem carga"</f>
        <v>Sem carga</v>
      </c>
    </row>
    <row r="4605" spans="1:2">
      <c r="A4605" s="1" t="str">
        <f>"3903.19.00"</f>
        <v>3903.19.00</v>
      </c>
      <c r="B4605" s="2" t="str">
        <f>"OUTRAOS"</f>
        <v>OUTRAOS</v>
      </c>
    </row>
    <row r="4606" spans="1:2">
      <c r="A4606" s="1" t="str">
        <f>"3903.20.00"</f>
        <v>3903.20.00</v>
      </c>
      <c r="B4606" s="2" t="str">
        <f>"Copolimeros de estireno-acrilonitri"</f>
        <v>Copolimeros de estireno-acrilonitri</v>
      </c>
    </row>
    <row r="4607" spans="1:2">
      <c r="A4607" s="1" t="str">
        <f>"3903.30.10"</f>
        <v>3903.30.10</v>
      </c>
      <c r="B4607" s="2" t="str">
        <f>"Com carga"</f>
        <v>Com carga</v>
      </c>
    </row>
    <row r="4608" spans="1:2">
      <c r="A4608" s="1" t="str">
        <f>"3903.30.20"</f>
        <v>3903.30.20</v>
      </c>
      <c r="B4608" s="2" t="str">
        <f>"Sem carga"</f>
        <v>Sem carga</v>
      </c>
    </row>
    <row r="4609" spans="1:2">
      <c r="A4609" s="1" t="str">
        <f>"3903.90.10"</f>
        <v>3903.90.10</v>
      </c>
      <c r="B4609" s="2" t="str">
        <f>"Copolimeros de metacrilato de metil"</f>
        <v>Copolimeros de metacrilato de metil</v>
      </c>
    </row>
    <row r="4610" spans="1:2">
      <c r="A4610" s="1" t="str">
        <f>"3903.90.20"</f>
        <v>3903.90.20</v>
      </c>
      <c r="B4610" s="2" t="str">
        <f>"Copolimeros de acrilonitrilo-estire"</f>
        <v>Copolimeros de acrilonitrilo-estire</v>
      </c>
    </row>
    <row r="4611" spans="1:2">
      <c r="A4611" s="1" t="str">
        <f>"3903.90.90"</f>
        <v>3903.90.90</v>
      </c>
      <c r="B4611" s="2" t="str">
        <f>"OUTROS POLIMEROS DE ESTIRENO"</f>
        <v>OUTROS POLIMEROS DE ESTIRENO</v>
      </c>
    </row>
    <row r="4612" spans="1:2">
      <c r="A4612" s="1" t="str">
        <f>"3904.10.10"</f>
        <v>3904.10.10</v>
      </c>
      <c r="B4612" s="2" t="str">
        <f>"Obtido por processo de suspensao"</f>
        <v>Obtido por processo de suspensao</v>
      </c>
    </row>
    <row r="4613" spans="1:2">
      <c r="A4613" s="1" t="str">
        <f>"3904.10.20"</f>
        <v>3904.10.20</v>
      </c>
      <c r="B4613" s="2" t="str">
        <f>"Obtido por processo de emulsao"</f>
        <v>Obtido por processo de emulsao</v>
      </c>
    </row>
    <row r="4614" spans="1:2">
      <c r="A4614" s="1" t="str">
        <f>"3904.10.90"</f>
        <v>3904.10.90</v>
      </c>
      <c r="B4614" s="2" t="str">
        <f>"Outros"</f>
        <v>Outros</v>
      </c>
    </row>
    <row r="4615" spans="1:2">
      <c r="A4615" s="1" t="str">
        <f>"3904.21.00"</f>
        <v>3904.21.00</v>
      </c>
      <c r="B4615" s="2" t="str">
        <f>"Nao plastificado"</f>
        <v>Nao plastificado</v>
      </c>
    </row>
    <row r="4616" spans="1:2">
      <c r="A4616" s="1" t="str">
        <f>"3904.22.00"</f>
        <v>3904.22.00</v>
      </c>
      <c r="B4616" s="2" t="str">
        <f>"Plastificado"</f>
        <v>Plastificado</v>
      </c>
    </row>
    <row r="4617" spans="1:2">
      <c r="A4617" s="1" t="str">
        <f>"3904.30.00"</f>
        <v>3904.30.00</v>
      </c>
      <c r="B4617" s="2" t="str">
        <f>"Copolimeros de cloreto de vinila e"</f>
        <v>Copolimeros de cloreto de vinila e</v>
      </c>
    </row>
    <row r="4618" spans="1:2">
      <c r="A4618" s="1" t="str">
        <f>"3904.40.10"</f>
        <v>3904.40.10</v>
      </c>
      <c r="B4618" s="2" t="str">
        <f>"Com acetato de vinila, com um acido"</f>
        <v>Com acetato de vinila, com um acido</v>
      </c>
    </row>
    <row r="4619" spans="1:2">
      <c r="A4619" s="1" t="str">
        <f>"3904.40.90"</f>
        <v>3904.40.90</v>
      </c>
      <c r="B4619" s="2" t="str">
        <f>"Outros"</f>
        <v>Outros</v>
      </c>
    </row>
    <row r="4620" spans="1:2">
      <c r="A4620" s="1" t="str">
        <f>"3904.50.10"</f>
        <v>3904.50.10</v>
      </c>
      <c r="B4620" s="2" t="str">
        <f>"Copolimeros de cloreto de viniliden"</f>
        <v>Copolimeros de cloreto de viniliden</v>
      </c>
    </row>
    <row r="4621" spans="1:2">
      <c r="A4621" s="1" t="str">
        <f>"3904.50.90"</f>
        <v>3904.50.90</v>
      </c>
      <c r="B4621" s="2" t="str">
        <f>"Outros"</f>
        <v>Outros</v>
      </c>
    </row>
    <row r="4622" spans="1:2">
      <c r="A4622" s="1" t="str">
        <f>"3904.61.10"</f>
        <v>3904.61.10</v>
      </c>
      <c r="B4622" s="2" t="str">
        <f>"Nas formas previstas na Nota 6 a) d"</f>
        <v>Nas formas previstas na Nota 6 a) d</v>
      </c>
    </row>
    <row r="4623" spans="1:2">
      <c r="A4623" s="1" t="str">
        <f>"3904.61.90"</f>
        <v>3904.61.90</v>
      </c>
      <c r="B4623" s="2" t="str">
        <f>"OUTROS - CERA SST"</f>
        <v>OUTROS - CERA SST</v>
      </c>
    </row>
    <row r="4624" spans="1:2">
      <c r="A4624" s="1" t="str">
        <f>"3904.69.10"</f>
        <v>3904.69.10</v>
      </c>
      <c r="B4624" s="2" t="str">
        <f>"Copolimero de fluoreto de viniliden"</f>
        <v>Copolimero de fluoreto de viniliden</v>
      </c>
    </row>
    <row r="4625" spans="1:2">
      <c r="A4625" s="1" t="str">
        <f>"3904.69.90"</f>
        <v>3904.69.90</v>
      </c>
      <c r="B4625" s="2" t="str">
        <f>"Outros"</f>
        <v>Outros</v>
      </c>
    </row>
    <row r="4626" spans="1:2">
      <c r="A4626" s="1" t="str">
        <f>"3904.90.00"</f>
        <v>3904.90.00</v>
      </c>
      <c r="B4626" s="2" t="str">
        <f>"Outros"</f>
        <v>Outros</v>
      </c>
    </row>
    <row r="4627" spans="1:2">
      <c r="A4627" s="1" t="str">
        <f>"3905.12.00"</f>
        <v>3905.12.00</v>
      </c>
      <c r="B4627" s="2" t="str">
        <f>"Em dispersao aquosa"</f>
        <v>Em dispersao aquosa</v>
      </c>
    </row>
    <row r="4628" spans="1:2">
      <c r="A4628" s="1" t="str">
        <f>"3905.19.10"</f>
        <v>3905.19.10</v>
      </c>
      <c r="B4628" s="2" t="str">
        <f>"Com grupos alcool vinilico, nas for"</f>
        <v>Com grupos alcool vinilico, nas for</v>
      </c>
    </row>
    <row r="4629" spans="1:2">
      <c r="A4629" s="1" t="str">
        <f>"3905.19.90"</f>
        <v>3905.19.90</v>
      </c>
      <c r="B4629" s="2" t="str">
        <f>"Outros"</f>
        <v>Outros</v>
      </c>
    </row>
    <row r="4630" spans="1:2">
      <c r="A4630" s="1" t="str">
        <f>"3905.21.00"</f>
        <v>3905.21.00</v>
      </c>
      <c r="B4630" s="2" t="str">
        <f>"Em dispersao aquosa"</f>
        <v>Em dispersao aquosa</v>
      </c>
    </row>
    <row r="4631" spans="1:2">
      <c r="A4631" s="1" t="str">
        <f>"3905.29.00"</f>
        <v>3905.29.00</v>
      </c>
      <c r="B4631" s="2" t="str">
        <f>"Outros"</f>
        <v>Outros</v>
      </c>
    </row>
    <row r="4632" spans="1:2">
      <c r="A4632" s="1" t="str">
        <f>"3905.30.00"</f>
        <v>3905.30.00</v>
      </c>
      <c r="B4632" s="2" t="str">
        <f>"Poli(alcool vinilico), mesmo que co"</f>
        <v>Poli(alcool vinilico), mesmo que co</v>
      </c>
    </row>
    <row r="4633" spans="1:2">
      <c r="A4633" s="1" t="str">
        <f>"3905.91.30"</f>
        <v>3905.91.30</v>
      </c>
      <c r="B4633" s="2" t="str">
        <f>"De vinilpirrolidona e acetato de vi"</f>
        <v>De vinilpirrolidona e acetato de vi</v>
      </c>
    </row>
    <row r="4634" spans="1:2">
      <c r="A4634" s="1" t="str">
        <f>"3905.91.90"</f>
        <v>3905.91.90</v>
      </c>
      <c r="B4634" s="2" t="str">
        <f>"Outros"</f>
        <v>Outros</v>
      </c>
    </row>
    <row r="4635" spans="1:2">
      <c r="A4635" s="1" t="str">
        <f>"3905.99.10"</f>
        <v>3905.99.10</v>
      </c>
      <c r="B4635" s="2" t="str">
        <f>"Poli(vinilformal)"</f>
        <v>Poli(vinilformal)</v>
      </c>
    </row>
    <row r="4636" spans="1:2">
      <c r="A4636" s="1" t="str">
        <f>"3905.99.20"</f>
        <v>3905.99.20</v>
      </c>
      <c r="B4636" s="2" t="str">
        <f>"Poli(butiral de vinila)"</f>
        <v>Poli(butiral de vinila)</v>
      </c>
    </row>
    <row r="4637" spans="1:2">
      <c r="A4637" s="1" t="str">
        <f>"3905.99.30"</f>
        <v>3905.99.30</v>
      </c>
      <c r="B4637" s="2" t="str">
        <f>"Poli(vinilpirrolidona) iodada"</f>
        <v>Poli(vinilpirrolidona) iodada</v>
      </c>
    </row>
    <row r="4638" spans="1:2">
      <c r="A4638" s="1" t="str">
        <f>"3905.99.90"</f>
        <v>3905.99.90</v>
      </c>
      <c r="B4638" s="2" t="str">
        <f>"Outros"</f>
        <v>Outros</v>
      </c>
    </row>
    <row r="4639" spans="1:2">
      <c r="A4639" s="1" t="str">
        <f>"3906.10.00"</f>
        <v>3906.10.00</v>
      </c>
      <c r="B4639" s="2" t="str">
        <f>"Poli(metacrilato de metila)"</f>
        <v>Poli(metacrilato de metila)</v>
      </c>
    </row>
    <row r="4640" spans="1:2">
      <c r="A4640" s="1" t="str">
        <f>"3906.90.11"</f>
        <v>3906.90.11</v>
      </c>
      <c r="B4640" s="2" t="str">
        <f>"ACIDOS POLIACRILICOS - STEROCOLL"</f>
        <v>ACIDOS POLIACRILICOS - STEROCOLL</v>
      </c>
    </row>
    <row r="4641" spans="1:2">
      <c r="A4641" s="1" t="str">
        <f>"3906.90.12"</f>
        <v>3906.90.12</v>
      </c>
      <c r="B4641" s="2" t="str">
        <f>"Sal sodico do poli(acido acrilamidi"</f>
        <v>Sal sodico do poli(acido acrilamidi</v>
      </c>
    </row>
    <row r="4642" spans="1:2">
      <c r="A4642" s="1" t="str">
        <f>"3906.90.19"</f>
        <v>3906.90.19</v>
      </c>
      <c r="B4642" s="2" t="str">
        <f>"OUTROS - ACRYSOL ASE-60"</f>
        <v>OUTROS - ACRYSOL ASE-60</v>
      </c>
    </row>
    <row r="4643" spans="1:2">
      <c r="A4643" s="1" t="str">
        <f>"3906.90.21"</f>
        <v>3906.90.21</v>
      </c>
      <c r="B4643" s="2" t="str">
        <f>"Poli(ácido acrílico) e seus sais"</f>
        <v>Poli(ácido acrílico) e seus sais</v>
      </c>
    </row>
    <row r="4644" spans="1:2">
      <c r="A4644" s="1" t="str">
        <f>"3906.90.22"</f>
        <v>3906.90.22</v>
      </c>
      <c r="B4644" s="2" t="str">
        <f>"Copolimero de metacrilato de 2-diis"</f>
        <v>Copolimero de metacrilato de 2-diis</v>
      </c>
    </row>
    <row r="4645" spans="1:2">
      <c r="A4645" s="1" t="str">
        <f>"3906.90.29"</f>
        <v>3906.90.29</v>
      </c>
      <c r="B4645" s="2" t="str">
        <f>"OUTROS - TEGO DISPERS"</f>
        <v>OUTROS - TEGO DISPERS</v>
      </c>
    </row>
    <row r="4646" spans="1:2">
      <c r="A4646" s="1" t="str">
        <f>"3906.90.31"</f>
        <v>3906.90.31</v>
      </c>
      <c r="B4646" s="2" t="str">
        <f>"Poli(acido acrilico) e seus sais"</f>
        <v>Poli(acido acrilico) e seus sais</v>
      </c>
    </row>
    <row r="4647" spans="1:2">
      <c r="A4647" s="1" t="str">
        <f>"3906.90.32"</f>
        <v>3906.90.32</v>
      </c>
      <c r="B4647" s="2" t="str">
        <f>"Sal sodico do poli(acido acrilamidi"</f>
        <v>Sal sodico do poli(acido acrilamidi</v>
      </c>
    </row>
    <row r="4648" spans="1:2">
      <c r="A4648" s="1" t="str">
        <f>"3906.90.39"</f>
        <v>3906.90.39</v>
      </c>
      <c r="B4648" s="2" t="str">
        <f>"OUTROS - RESINAS"</f>
        <v>OUTROS - RESINAS</v>
      </c>
    </row>
    <row r="4649" spans="1:2">
      <c r="A4649" s="1" t="str">
        <f>"3906.90.41"</f>
        <v>3906.90.41</v>
      </c>
      <c r="B4649" s="2" t="str">
        <f>"Poli(acido acrilico) e seus sais"</f>
        <v>Poli(acido acrilico) e seus sais</v>
      </c>
    </row>
    <row r="4650" spans="1:2">
      <c r="A4650" s="1" t="str">
        <f>"3906.90.42"</f>
        <v>3906.90.42</v>
      </c>
      <c r="B4650" s="2" t="str">
        <f>"Sal sodico do poli(acido acrilamidi"</f>
        <v>Sal sodico do poli(acido acrilamidi</v>
      </c>
    </row>
    <row r="4651" spans="1:2">
      <c r="A4651" s="1" t="str">
        <f>"3906.90.43"</f>
        <v>3906.90.43</v>
      </c>
      <c r="B4651" s="2" t="str">
        <f>"Carboxipolimetileno, em po"</f>
        <v>Carboxipolimetileno, em po</v>
      </c>
    </row>
    <row r="4652" spans="1:2">
      <c r="A4652" s="1" t="str">
        <f>"3906.90.44"</f>
        <v>3906.90.44</v>
      </c>
      <c r="B4652" s="2" t="str">
        <f>"Poli(acrilato de sodio), com capaci"</f>
        <v>Poli(acrilato de sodio), com capaci</v>
      </c>
    </row>
    <row r="4653" spans="1:2">
      <c r="A4653" s="1" t="str">
        <f>"3906.90.45"</f>
        <v>3906.90.45</v>
      </c>
      <c r="B4653" s="2" t="str">
        <f>"Copolimero de poli(acrilato de pota"</f>
        <v>Copolimero de poli(acrilato de pota</v>
      </c>
    </row>
    <row r="4654" spans="1:2">
      <c r="A4654" s="1" t="str">
        <f>"3906.90.46"</f>
        <v>3906.90.46</v>
      </c>
      <c r="B4654" s="2" t="str">
        <f>"Copolimeros de acrilato de metila-e"</f>
        <v>Copolimeros de acrilato de metila-e</v>
      </c>
    </row>
    <row r="4655" spans="1:2">
      <c r="A4655" s="1" t="str">
        <f>"3906.90.47"</f>
        <v>3906.90.47</v>
      </c>
      <c r="B4655" s="2" t="str">
        <f>"Copolimero de acrilato de etila, ac"</f>
        <v>Copolimero de acrilato de etila, ac</v>
      </c>
    </row>
    <row r="4656" spans="1:2">
      <c r="A4656" s="1" t="str">
        <f>"3906.90.49"</f>
        <v>3906.90.49</v>
      </c>
      <c r="B4656" s="2" t="str">
        <f>"OUTROS"</f>
        <v>OUTROS</v>
      </c>
    </row>
    <row r="4657" spans="1:2">
      <c r="A4657" s="1" t="str">
        <f>"3906.90.62"</f>
        <v>3906.90.62</v>
      </c>
      <c r="B4657" s="2" t="str">
        <f>"COPOLÍMEROS DE ACRILATO DE METILA-E"</f>
        <v>COPOLÍMEROS DE ACRILATO DE METILA-E</v>
      </c>
    </row>
    <row r="4658" spans="1:2">
      <c r="A4658" s="1" t="str">
        <f>"3906.90.69"</f>
        <v>3906.90.69</v>
      </c>
      <c r="B4658" s="2" t="str">
        <f>"OUTROS"</f>
        <v>OUTROS</v>
      </c>
    </row>
    <row r="4659" spans="1:2">
      <c r="A4659" s="1" t="str">
        <f>"3907.10.10"</f>
        <v>3907.10.10</v>
      </c>
      <c r="B4659" s="2" t="str">
        <f>"Com carga, nas formas previstas na"</f>
        <v>Com carga, nas formas previstas na</v>
      </c>
    </row>
    <row r="4660" spans="1:2">
      <c r="A4660" s="1" t="str">
        <f>"3907.10.20"</f>
        <v>3907.10.20</v>
      </c>
      <c r="B4660" s="2" t="str">
        <f>"Com carga, nas formas previstas na"</f>
        <v>Com carga, nas formas previstas na</v>
      </c>
    </row>
    <row r="4661" spans="1:2">
      <c r="A4661" s="1" t="str">
        <f>"3907.10.31"</f>
        <v>3907.10.31</v>
      </c>
      <c r="B4661" s="2" t="str">
        <f>"Polidextrose"</f>
        <v>Polidextrose</v>
      </c>
    </row>
    <row r="4662" spans="1:2">
      <c r="A4662" s="1" t="str">
        <f>"3907.10.39"</f>
        <v>3907.10.39</v>
      </c>
      <c r="B4662" s="2" t="str">
        <f>"Outros"</f>
        <v>Outros</v>
      </c>
    </row>
    <row r="4663" spans="1:2">
      <c r="A4663" s="1" t="str">
        <f>"3907.10.41"</f>
        <v>3907.10.41</v>
      </c>
      <c r="B4663" s="2" t="str">
        <f>"Polidextrose"</f>
        <v>Polidextrose</v>
      </c>
    </row>
    <row r="4664" spans="1:2">
      <c r="A4664" s="1" t="str">
        <f>"3907.10.42"</f>
        <v>3907.10.42</v>
      </c>
      <c r="B4664" s="2" t="str">
        <f>"Outros, em po que passe atraves de"</f>
        <v>Outros, em po que passe atraves de</v>
      </c>
    </row>
    <row r="4665" spans="1:2">
      <c r="A4665" s="1" t="str">
        <f>"3907.10.49"</f>
        <v>3907.10.49</v>
      </c>
      <c r="B4665" s="2" t="str">
        <f>"Outros"</f>
        <v>Outros</v>
      </c>
    </row>
    <row r="4666" spans="1:2">
      <c r="A4666" s="1" t="str">
        <f>"3907.10.91"</f>
        <v>3907.10.91</v>
      </c>
      <c r="B4666" s="2" t="str">
        <f>"Em granulos, de diametro de particu"</f>
        <v>Em granulos, de diametro de particu</v>
      </c>
    </row>
    <row r="4667" spans="1:2">
      <c r="A4667" s="1" t="str">
        <f>"3907.10.99"</f>
        <v>3907.10.99</v>
      </c>
      <c r="B4667" s="2" t="str">
        <f>"Outros"</f>
        <v>Outros</v>
      </c>
    </row>
    <row r="4668" spans="1:2">
      <c r="A4668" s="1" t="str">
        <f>"3907.20.11"</f>
        <v>3907.20.11</v>
      </c>
      <c r="B4668" s="2" t="str">
        <f>"Com carga"</f>
        <v>Com carga</v>
      </c>
    </row>
    <row r="4669" spans="1:2">
      <c r="A4669" s="1" t="str">
        <f>"3907.20.12"</f>
        <v>3907.20.12</v>
      </c>
      <c r="B4669" s="2" t="str">
        <f>"Sem carga"</f>
        <v>Sem carga</v>
      </c>
    </row>
    <row r="4670" spans="1:2">
      <c r="A4670" s="1" t="str">
        <f>"3907.20.20"</f>
        <v>3907.20.20</v>
      </c>
      <c r="B4670" s="2" t="str">
        <f>"Politetrametilenoeterglicol"</f>
        <v>Politetrametilenoeterglicol</v>
      </c>
    </row>
    <row r="4671" spans="1:2">
      <c r="A4671" s="1" t="str">
        <f>"3907.20.31"</f>
        <v>3907.20.31</v>
      </c>
      <c r="B4671" s="2" t="str">
        <f>"Polietilenoglicol 400"</f>
        <v>Polietilenoglicol 400</v>
      </c>
    </row>
    <row r="4672" spans="1:2">
      <c r="A4672" s="1" t="str">
        <f>"3907.20.39"</f>
        <v>3907.20.39</v>
      </c>
      <c r="B4672" s="2" t="str">
        <f>"OUTROS"</f>
        <v>OUTROS</v>
      </c>
    </row>
    <row r="4673" spans="1:2">
      <c r="A4673" s="1" t="str">
        <f>"3907.20.41"</f>
        <v>3907.20.41</v>
      </c>
      <c r="B4673" s="2" t="str">
        <f>"Poli(epicloridrina)"</f>
        <v>Poli(epicloridrina)</v>
      </c>
    </row>
    <row r="4674" spans="1:2">
      <c r="A4674" s="1" t="str">
        <f>"3907.20.42"</f>
        <v>3907.20.42</v>
      </c>
      <c r="B4674" s="2" t="str">
        <f>"Copolimeros de oxido de etileno"</f>
        <v>Copolimeros de oxido de etileno</v>
      </c>
    </row>
    <row r="4675" spans="1:2">
      <c r="A4675" s="1" t="str">
        <f>"3907.20.49"</f>
        <v>3907.20.49</v>
      </c>
      <c r="B4675" s="2" t="str">
        <f>"Outros"</f>
        <v>Outros</v>
      </c>
    </row>
    <row r="4676" spans="1:2">
      <c r="A4676" s="1" t="str">
        <f>"3907.20.90"</f>
        <v>3907.20.90</v>
      </c>
      <c r="B4676" s="2" t="str">
        <f>"OUTROS - DISPERBYK - 193"</f>
        <v>OUTROS - DISPERBYK - 193</v>
      </c>
    </row>
    <row r="4677" spans="1:2">
      <c r="A4677" s="1" t="str">
        <f>"3907.29.39"</f>
        <v>3907.29.39</v>
      </c>
      <c r="B4677" s="2" t="str">
        <f>"OUTROS"</f>
        <v>OUTROS</v>
      </c>
    </row>
    <row r="4678" spans="1:2">
      <c r="A4678" s="1" t="str">
        <f>"3907.29.90"</f>
        <v>3907.29.90</v>
      </c>
      <c r="B4678" s="2" t="str">
        <f>"OUTROS"</f>
        <v>OUTROS</v>
      </c>
    </row>
    <row r="4679" spans="1:2">
      <c r="A4679" s="1" t="str">
        <f>"3907.29.99"</f>
        <v>3907.29.99</v>
      </c>
      <c r="B4679" s="2" t="str">
        <f>"Outros"</f>
        <v>Outros</v>
      </c>
    </row>
    <row r="4680" spans="1:2">
      <c r="A4680" s="1" t="str">
        <f>"3907.30.11"</f>
        <v>3907.30.11</v>
      </c>
      <c r="B4680" s="2" t="str">
        <f>"OUTROS - KERASIL SOLUÇÃO"</f>
        <v>OUTROS - KERASIL SOLUÇÃO</v>
      </c>
    </row>
    <row r="4681" spans="1:2">
      <c r="A4681" s="1" t="str">
        <f>"3907.30.19"</f>
        <v>3907.30.19</v>
      </c>
      <c r="B4681" s="2" t="str">
        <f>"OUTRAS - CYMEL 412"</f>
        <v>OUTRAS - CYMEL 412</v>
      </c>
    </row>
    <row r="4682" spans="1:2">
      <c r="A4682" s="1" t="str">
        <f>"3907.30.21"</f>
        <v>3907.30.21</v>
      </c>
      <c r="B4682" s="2" t="str">
        <f>"Copolimero de tetrabromobisfenol A"</f>
        <v>Copolimero de tetrabromobisfenol A</v>
      </c>
    </row>
    <row r="4683" spans="1:2">
      <c r="A4683" s="1" t="str">
        <f>"3907.30.22"</f>
        <v>3907.30.22</v>
      </c>
      <c r="B4683" s="2" t="str">
        <f>"Outras, nas formas previstas na Not"</f>
        <v>Outras, nas formas previstas na Not</v>
      </c>
    </row>
    <row r="4684" spans="1:2">
      <c r="A4684" s="1" t="str">
        <f>"3907.30.29"</f>
        <v>3907.30.29</v>
      </c>
      <c r="B4684" s="2" t="str">
        <f>"OUTROS - EBECRYL EB 3700"</f>
        <v>OUTROS - EBECRYL EB 3700</v>
      </c>
    </row>
    <row r="4685" spans="1:2">
      <c r="A4685" s="1" t="str">
        <f>"3907.40.10"</f>
        <v>3907.40.10</v>
      </c>
      <c r="B4685" s="2" t="str">
        <f>"Nas formas previstas na Nota 6 b) d"</f>
        <v>Nas formas previstas na Nota 6 b) d</v>
      </c>
    </row>
    <row r="4686" spans="1:2">
      <c r="A4686" s="1" t="str">
        <f>"3907.40.90"</f>
        <v>3907.40.90</v>
      </c>
      <c r="B4686" s="2" t="str">
        <f>"Outros"</f>
        <v>Outros</v>
      </c>
    </row>
    <row r="4687" spans="1:2">
      <c r="A4687" s="1" t="str">
        <f>"3907.50.10"</f>
        <v>3907.50.10</v>
      </c>
      <c r="B4687" s="2" t="str">
        <f>"Nas formas previstas na Nota 6 a) d"</f>
        <v>Nas formas previstas na Nota 6 a) d</v>
      </c>
    </row>
    <row r="4688" spans="1:2">
      <c r="A4688" s="1" t="str">
        <f>"3907.50.90"</f>
        <v>3907.50.90</v>
      </c>
      <c r="B4688" s="2" t="str">
        <f>"Outras"</f>
        <v>Outras</v>
      </c>
    </row>
    <row r="4689" spans="1:2">
      <c r="A4689" s="1" t="str">
        <f>"3907.61.00"</f>
        <v>3907.61.00</v>
      </c>
      <c r="B4689" s="2" t="str">
        <f>"De um indice de viscosidade de 78 m"</f>
        <v>De um indice de viscosidade de 78 m</v>
      </c>
    </row>
    <row r="4690" spans="1:2">
      <c r="A4690" s="1" t="str">
        <f>"3907.69.00"</f>
        <v>3907.69.00</v>
      </c>
      <c r="B4690" s="2" t="str">
        <f>"Outros"</f>
        <v>Outros</v>
      </c>
    </row>
    <row r="4691" spans="1:2">
      <c r="A4691" s="1" t="str">
        <f>"3907.70.00"</f>
        <v>3907.70.00</v>
      </c>
      <c r="B4691" s="2" t="str">
        <f>"Poli(acido lactico)"</f>
        <v>Poli(acido lactico)</v>
      </c>
    </row>
    <row r="4692" spans="1:2">
      <c r="A4692" s="1" t="str">
        <f>"3907.91.00"</f>
        <v>3907.91.00</v>
      </c>
      <c r="B4692" s="2" t="str">
        <f>"NAO SATURADOS - EBECRYL 855"</f>
        <v>NAO SATURADOS - EBECRYL 855</v>
      </c>
    </row>
    <row r="4693" spans="1:2">
      <c r="A4693" s="1" t="str">
        <f>"3907.99.11"</f>
        <v>3907.99.11</v>
      </c>
      <c r="B4693" s="2" t="str">
        <f>"Com carga de fibra de vidro"</f>
        <v>Com carga de fibra de vidro</v>
      </c>
    </row>
    <row r="4694" spans="1:2">
      <c r="A4694" s="1" t="str">
        <f>"3907.99.12"</f>
        <v>3907.99.12</v>
      </c>
      <c r="B4694" s="2" t="str">
        <f>"Outros, nas formas previstas na Not"</f>
        <v>Outros, nas formas previstas na Not</v>
      </c>
    </row>
    <row r="4695" spans="1:2">
      <c r="A4695" s="1" t="str">
        <f>"3907.99.19"</f>
        <v>3907.99.19</v>
      </c>
      <c r="B4695" s="2" t="str">
        <f>"Outros"</f>
        <v>Outros</v>
      </c>
    </row>
    <row r="4696" spans="1:2">
      <c r="A4696" s="1" t="str">
        <f>"3907.99.91"</f>
        <v>3907.99.91</v>
      </c>
      <c r="B4696" s="2" t="str">
        <f>"OUTROS - RESINA"</f>
        <v>OUTROS - RESINA</v>
      </c>
    </row>
    <row r="4697" spans="1:2">
      <c r="A4697" s="1" t="str">
        <f>"3907.99.92"</f>
        <v>3907.99.92</v>
      </c>
      <c r="B4697" s="2" t="str">
        <f>"Poli(epsilon caprolactona)"</f>
        <v>Poli(epsilon caprolactona)</v>
      </c>
    </row>
    <row r="4698" spans="1:2">
      <c r="A4698" s="1" t="str">
        <f>"3907.99.99"</f>
        <v>3907.99.99</v>
      </c>
      <c r="B4698" s="2" t="str">
        <f>"OUTROS -POLIESTERES"</f>
        <v>OUTROS -POLIESTERES</v>
      </c>
    </row>
    <row r="4699" spans="1:2">
      <c r="A4699" s="1" t="str">
        <f>"3908.10.11"</f>
        <v>3908.10.11</v>
      </c>
      <c r="B4699" s="2" t="str">
        <f>"Poliamida-11"</f>
        <v>Poliamida-11</v>
      </c>
    </row>
    <row r="4700" spans="1:2">
      <c r="A4700" s="1" t="str">
        <f>"3908.10.12"</f>
        <v>3908.10.12</v>
      </c>
      <c r="B4700" s="2" t="str">
        <f>"Poliamida-12"</f>
        <v>Poliamida-12</v>
      </c>
    </row>
    <row r="4701" spans="1:2">
      <c r="A4701" s="1" t="str">
        <f>"3908.10.13"</f>
        <v>3908.10.13</v>
      </c>
      <c r="B4701" s="2" t="str">
        <f>"Poliamida-6 ou poliamida-6,6, com c"</f>
        <v>Poliamida-6 ou poliamida-6,6, com c</v>
      </c>
    </row>
    <row r="4702" spans="1:2">
      <c r="A4702" s="1" t="str">
        <f>"3908.10.14"</f>
        <v>3908.10.14</v>
      </c>
      <c r="B4702" s="2" t="str">
        <f>"Poliamida-6 ou poliamida-6,6, sem c"</f>
        <v>Poliamida-6 ou poliamida-6,6, sem c</v>
      </c>
    </row>
    <row r="4703" spans="1:2">
      <c r="A4703" s="1" t="str">
        <f>"3908.10.19"</f>
        <v>3908.10.19</v>
      </c>
      <c r="B4703" s="2" t="str">
        <f>"Outras"</f>
        <v>Outras</v>
      </c>
    </row>
    <row r="4704" spans="1:2">
      <c r="A4704" s="1" t="str">
        <f>"3908.10.21"</f>
        <v>3908.10.21</v>
      </c>
      <c r="B4704" s="2" t="str">
        <f>"Poliamida-11"</f>
        <v>Poliamida-11</v>
      </c>
    </row>
    <row r="4705" spans="1:2">
      <c r="A4705" s="1" t="str">
        <f>"3908.10.22"</f>
        <v>3908.10.22</v>
      </c>
      <c r="B4705" s="2" t="str">
        <f>"Poliamida-12"</f>
        <v>Poliamida-12</v>
      </c>
    </row>
    <row r="4706" spans="1:2">
      <c r="A4706" s="1" t="str">
        <f>"3908.10.23"</f>
        <v>3908.10.23</v>
      </c>
      <c r="B4706" s="2" t="str">
        <f>"POLIAMIDA-6 OU POLIAMIDA-6,6, COM C"</f>
        <v>POLIAMIDA-6 OU POLIAMIDA-6,6, COM C</v>
      </c>
    </row>
    <row r="4707" spans="1:2">
      <c r="A4707" s="1" t="str">
        <f>"3908.10.24"</f>
        <v>3908.10.24</v>
      </c>
      <c r="B4707" s="2" t="str">
        <f>"POLIAMIDA - NYLOTEX"</f>
        <v>POLIAMIDA - NYLOTEX</v>
      </c>
    </row>
    <row r="4708" spans="1:2">
      <c r="A4708" s="1" t="str">
        <f>"3908.10.29"</f>
        <v>3908.10.29</v>
      </c>
      <c r="B4708" s="2" t="str">
        <f>"Outras"</f>
        <v>Outras</v>
      </c>
    </row>
    <row r="4709" spans="1:2">
      <c r="A4709" s="1" t="str">
        <f>"3908.90.10"</f>
        <v>3908.90.10</v>
      </c>
      <c r="B4709" s="2" t="str">
        <f>"Copolimero de lauril-lactama"</f>
        <v>Copolimero de lauril-lactama</v>
      </c>
    </row>
    <row r="4710" spans="1:2">
      <c r="A4710" s="1" t="str">
        <f>"3908.90.20"</f>
        <v>3908.90.20</v>
      </c>
      <c r="B4710" s="2" t="str">
        <f>"Obtidas por condensacao de acidos g"</f>
        <v>Obtidas por condensacao de acidos g</v>
      </c>
    </row>
    <row r="4711" spans="1:2">
      <c r="A4711" s="1" t="str">
        <f>"3908.90.90"</f>
        <v>3908.90.90</v>
      </c>
      <c r="B4711" s="2" t="str">
        <f>"Outras"</f>
        <v>Outras</v>
      </c>
    </row>
    <row r="4712" spans="1:2">
      <c r="A4712" s="1" t="str">
        <f>"3909.10.00"</f>
        <v>3909.10.00</v>
      </c>
      <c r="B4712" s="2" t="str">
        <f>"RESINAS UREICAS - CASCAMIT"</f>
        <v>RESINAS UREICAS - CASCAMIT</v>
      </c>
    </row>
    <row r="4713" spans="1:2">
      <c r="A4713" s="1" t="str">
        <f>"3909.20.11"</f>
        <v>3909.20.11</v>
      </c>
      <c r="B4713" s="2" t="str">
        <f>"Melamina-formaldeido, em po"</f>
        <v>Melamina-formaldeido, em po</v>
      </c>
    </row>
    <row r="4714" spans="1:2">
      <c r="A4714" s="1" t="str">
        <f>"3909.20.19"</f>
        <v>3909.20.19</v>
      </c>
      <c r="B4714" s="2" t="str">
        <f>"Outras resinas melaminicas"</f>
        <v>Outras resinas melaminicas</v>
      </c>
    </row>
    <row r="4715" spans="1:2">
      <c r="A4715" s="1" t="str">
        <f>"3909.20.21"</f>
        <v>3909.20.21</v>
      </c>
      <c r="B4715" s="2" t="str">
        <f>"MELAMINA - CYMEL 412"</f>
        <v>MELAMINA - CYMEL 412</v>
      </c>
    </row>
    <row r="4716" spans="1:2">
      <c r="A4716" s="1" t="str">
        <f>"3909.20.29"</f>
        <v>3909.20.29</v>
      </c>
      <c r="B4716" s="2" t="str">
        <f>"OUTRAS - CYMEL 303"</f>
        <v>OUTRAS - CYMEL 303</v>
      </c>
    </row>
    <row r="4717" spans="1:2">
      <c r="A4717" s="1" t="str">
        <f>"3909.31.00"</f>
        <v>3909.31.00</v>
      </c>
      <c r="B4717" s="2" t="str">
        <f>"Poli(isocianato de fenil metileno)"</f>
        <v>Poli(isocianato de fenil metileno)</v>
      </c>
    </row>
    <row r="4718" spans="1:2">
      <c r="A4718" s="1" t="str">
        <f>"3909.39.00"</f>
        <v>3909.39.00</v>
      </c>
      <c r="B4718" s="2" t="str">
        <f>"Outras"</f>
        <v>Outras</v>
      </c>
    </row>
    <row r="4719" spans="1:2">
      <c r="A4719" s="1" t="str">
        <f>"3909.40.11"</f>
        <v>3909.40.11</v>
      </c>
      <c r="B4719" s="2" t="str">
        <f>"Fenol-formaldeido"</f>
        <v>Fenol-formaldeido</v>
      </c>
    </row>
    <row r="4720" spans="1:2">
      <c r="A4720" s="1" t="str">
        <f>"3909.40.19"</f>
        <v>3909.40.19</v>
      </c>
      <c r="B4720" s="2" t="str">
        <f>"Outras"</f>
        <v>Outras</v>
      </c>
    </row>
    <row r="4721" spans="1:2">
      <c r="A4721" s="1" t="str">
        <f>"3909.40.91"</f>
        <v>3909.40.91</v>
      </c>
      <c r="B4721" s="2" t="str">
        <f>"Fenol-formaldeido"</f>
        <v>Fenol-formaldeido</v>
      </c>
    </row>
    <row r="4722" spans="1:2">
      <c r="A4722" s="1" t="str">
        <f>"3909.40.99"</f>
        <v>3909.40.99</v>
      </c>
      <c r="B4722" s="2" t="str">
        <f>"Outras"</f>
        <v>Outras</v>
      </c>
    </row>
    <row r="4723" spans="1:2">
      <c r="A4723" s="1" t="str">
        <f>"3909.50.11"</f>
        <v>3909.50.11</v>
      </c>
      <c r="B4723" s="2" t="str">
        <f>"SOLUCOES EM SOLVENTES - BYK 410"</f>
        <v>SOLUCOES EM SOLVENTES - BYK 410</v>
      </c>
    </row>
    <row r="4724" spans="1:2">
      <c r="A4724" s="1" t="str">
        <f>"3909.50.12"</f>
        <v>3909.50.12</v>
      </c>
      <c r="B4724" s="2" t="str">
        <f>"EM DISPERSAO AQUOSA - BONDTHANE"</f>
        <v>EM DISPERSAO AQUOSA - BONDTHANE</v>
      </c>
    </row>
    <row r="4725" spans="1:2">
      <c r="A4725" s="1" t="str">
        <f>"3909.50.19"</f>
        <v>3909.50.19</v>
      </c>
      <c r="B4725" s="2" t="str">
        <f>"OUTROS - EBECRYL 4827"</f>
        <v>OUTROS - EBECRYL 4827</v>
      </c>
    </row>
    <row r="4726" spans="1:2">
      <c r="A4726" s="1" t="str">
        <f>"3909.50.21"</f>
        <v>3909.50.21</v>
      </c>
      <c r="B4726" s="2" t="str">
        <f>"Hidroxilados, com propriedades ades"</f>
        <v>Hidroxilados, com propriedades ades</v>
      </c>
    </row>
    <row r="4727" spans="1:2">
      <c r="A4727" s="1" t="str">
        <f>"3909.50.29"</f>
        <v>3909.50.29</v>
      </c>
      <c r="B4727" s="2" t="str">
        <f>"OUTROS - RESINAS"</f>
        <v>OUTROS - RESINAS</v>
      </c>
    </row>
    <row r="4728" spans="1:2">
      <c r="A4728" s="1" t="str">
        <f>"3910.00.11"</f>
        <v>3910.00.11</v>
      </c>
      <c r="B4728" s="2" t="str">
        <f>"MISTURA DE PRE POLIMEROS EBECRYL350"</f>
        <v>MISTURA DE PRE POLIMEROS EBECRYL350</v>
      </c>
    </row>
    <row r="4729" spans="1:2">
      <c r="A4729" s="1" t="str">
        <f>"3910.00.12"</f>
        <v>3910.00.12</v>
      </c>
      <c r="B4729" s="2" t="str">
        <f>"POLIDIMETILSILOXANO"</f>
        <v>POLIDIMETILSILOXANO</v>
      </c>
    </row>
    <row r="4730" spans="1:2">
      <c r="A4730" s="1" t="str">
        <f>"3910.00.13"</f>
        <v>3910.00.13</v>
      </c>
      <c r="B4730" s="2" t="str">
        <f>"Copolímeros de dimetilsiloxano com"</f>
        <v>Copolímeros de dimetilsiloxano com</v>
      </c>
    </row>
    <row r="4731" spans="1:2">
      <c r="A4731" s="1" t="str">
        <f>"3910.00.19"</f>
        <v>3910.00.19</v>
      </c>
      <c r="B4731" s="2" t="str">
        <f>"OUTROS - TEGO GLIDE/FOAMEX"</f>
        <v>OUTROS - TEGO GLIDE/FOAMEX</v>
      </c>
    </row>
    <row r="4732" spans="1:2">
      <c r="A4732" s="1" t="str">
        <f>"3910.00.21"</f>
        <v>3910.00.21</v>
      </c>
      <c r="B4732" s="2" t="str">
        <f>"Elastômeros - De vulcanização a que"</f>
        <v>Elastômeros - De vulcanização a que</v>
      </c>
    </row>
    <row r="4733" spans="1:2">
      <c r="A4733" s="1" t="str">
        <f>"3910.00.29"</f>
        <v>3910.00.29</v>
      </c>
      <c r="B4733" s="2" t="str">
        <f>"Outros"</f>
        <v>Outros</v>
      </c>
    </row>
    <row r="4734" spans="1:2">
      <c r="A4734" s="1" t="str">
        <f>"3910.00.30"</f>
        <v>3910.00.30</v>
      </c>
      <c r="B4734" s="2" t="str">
        <f>"RESINAS DE CILICONES"</f>
        <v>RESINAS DE CILICONES</v>
      </c>
    </row>
    <row r="4735" spans="1:2">
      <c r="A4735" s="1" t="str">
        <f>"3910.00.90"</f>
        <v>3910.00.90</v>
      </c>
      <c r="B4735" s="2" t="str">
        <f>"OUTROS - EFKA 3299"</f>
        <v>OUTROS - EFKA 3299</v>
      </c>
    </row>
    <row r="4736" spans="1:2">
      <c r="A4736" s="1" t="str">
        <f>"3911.10.10"</f>
        <v>3911.10.10</v>
      </c>
      <c r="B4736" s="2" t="str">
        <f>"Com carga"</f>
        <v>Com carga</v>
      </c>
    </row>
    <row r="4737" spans="1:2">
      <c r="A4737" s="1" t="str">
        <f>"3911.10.21"</f>
        <v>3911.10.21</v>
      </c>
      <c r="B4737" s="2" t="str">
        <f>"Resinas de petroleo, total ou parci"</f>
        <v>Resinas de petroleo, total ou parci</v>
      </c>
    </row>
    <row r="4738" spans="1:2">
      <c r="A4738" s="1" t="str">
        <f>"3911.10.29"</f>
        <v>3911.10.29</v>
      </c>
      <c r="B4738" s="2" t="str">
        <f>"Outros"</f>
        <v>Outros</v>
      </c>
    </row>
    <row r="4739" spans="1:2">
      <c r="A4739" s="1" t="str">
        <f>"3911.90.11"</f>
        <v>3911.90.11</v>
      </c>
      <c r="B4739" s="2" t="str">
        <f>"Politerpenos modificados quimicamen"</f>
        <v>Politerpenos modificados quimicamen</v>
      </c>
    </row>
    <row r="4740" spans="1:2">
      <c r="A4740" s="1" t="str">
        <f>"3911.90.12"</f>
        <v>3911.90.12</v>
      </c>
      <c r="B4740" s="2" t="str">
        <f>"Polieterimidas (PEI) e seus copolim"</f>
        <v>Polieterimidas (PEI) e seus copolim</v>
      </c>
    </row>
    <row r="4741" spans="1:2">
      <c r="A4741" s="1" t="str">
        <f>"3911.90.13"</f>
        <v>3911.90.13</v>
      </c>
      <c r="B4741" s="2" t="str">
        <f>"Polietersulfonas (PES) e seus copol"</f>
        <v>Polietersulfonas (PES) e seus copol</v>
      </c>
    </row>
    <row r="4742" spans="1:2">
      <c r="A4742" s="1" t="str">
        <f>"3911.90.14"</f>
        <v>3911.90.14</v>
      </c>
      <c r="B4742" s="2" t="str">
        <f>"Poli(sulfeto de fenileno)"</f>
        <v>Poli(sulfeto de fenileno)</v>
      </c>
    </row>
    <row r="4743" spans="1:2">
      <c r="A4743" s="1" t="str">
        <f>"3911.90.19"</f>
        <v>3911.90.19</v>
      </c>
      <c r="B4743" s="2" t="str">
        <f>"Outros"</f>
        <v>Outros</v>
      </c>
    </row>
    <row r="4744" spans="1:2">
      <c r="A4744" s="1" t="str">
        <f>"3911.90.21"</f>
        <v>3911.90.21</v>
      </c>
      <c r="B4744" s="2" t="str">
        <f>"Politerpenos modificados quimicamen"</f>
        <v>Politerpenos modificados quimicamen</v>
      </c>
    </row>
    <row r="4745" spans="1:2">
      <c r="A4745" s="1" t="str">
        <f>"3911.90.22"</f>
        <v>3911.90.22</v>
      </c>
      <c r="B4745" s="2" t="str">
        <f>"Poli(sulfeto de fenileno)"</f>
        <v>Poli(sulfeto de fenileno)</v>
      </c>
    </row>
    <row r="4746" spans="1:2">
      <c r="A4746" s="1" t="str">
        <f>"3911.90.23"</f>
        <v>3911.90.23</v>
      </c>
      <c r="B4746" s="2" t="str">
        <f>"Polietilenaminas"</f>
        <v>Polietilenaminas</v>
      </c>
    </row>
    <row r="4747" spans="1:2">
      <c r="A4747" s="1" t="str">
        <f>"3911.90.24"</f>
        <v>3911.90.24</v>
      </c>
      <c r="B4747" s="2" t="str">
        <f>"Polieterimidas (PEI) e seus copolim"</f>
        <v>Polieterimidas (PEI) e seus copolim</v>
      </c>
    </row>
    <row r="4748" spans="1:2">
      <c r="A4748" s="1" t="str">
        <f>"3911.90.25"</f>
        <v>3911.90.25</v>
      </c>
      <c r="B4748" s="2" t="str">
        <f>"Polietersulfonas (PES) e seus copol"</f>
        <v>Polietersulfonas (PES) e seus copol</v>
      </c>
    </row>
    <row r="4749" spans="1:2">
      <c r="A4749" s="1" t="str">
        <f>"3911.90.26"</f>
        <v>3911.90.26</v>
      </c>
      <c r="B4749" s="2" t="str">
        <f>"Polissulfonas"</f>
        <v>Polissulfonas</v>
      </c>
    </row>
    <row r="4750" spans="1:2">
      <c r="A4750" s="1" t="str">
        <f>"3911.90.27"</f>
        <v>3911.90.27</v>
      </c>
      <c r="B4750" s="2" t="str">
        <f>"Cloreto de hexadimetrina"</f>
        <v>Cloreto de hexadimetrina</v>
      </c>
    </row>
    <row r="4751" spans="1:2">
      <c r="A4751" s="1" t="str">
        <f>"3911.90.29"</f>
        <v>3911.90.29</v>
      </c>
      <c r="B4751" s="2" t="str">
        <f>"OUTROS - JONCRVL"</f>
        <v>OUTROS - JONCRVL</v>
      </c>
    </row>
    <row r="4752" spans="1:2">
      <c r="A4752" s="1" t="str">
        <f>"3912.11.10"</f>
        <v>3912.11.10</v>
      </c>
      <c r="B4752" s="2" t="str">
        <f>"Com carga"</f>
        <v>Com carga</v>
      </c>
    </row>
    <row r="4753" spans="1:2">
      <c r="A4753" s="1" t="str">
        <f>"3912.11.20"</f>
        <v>3912.11.20</v>
      </c>
      <c r="B4753" s="2" t="str">
        <f>"Sem carga"</f>
        <v>Sem carga</v>
      </c>
    </row>
    <row r="4754" spans="1:2">
      <c r="A4754" s="1" t="str">
        <f>"3912.12.00"</f>
        <v>3912.12.00</v>
      </c>
      <c r="B4754" s="2" t="str">
        <f>"Plastificados"</f>
        <v>Plastificados</v>
      </c>
    </row>
    <row r="4755" spans="1:2">
      <c r="A4755" s="1" t="str">
        <f>"3912.20.10"</f>
        <v>3912.20.10</v>
      </c>
      <c r="B4755" s="2" t="str">
        <f>"Com carga"</f>
        <v>Com carga</v>
      </c>
    </row>
    <row r="4756" spans="1:2">
      <c r="A4756" s="1" t="str">
        <f>"3912.20.21"</f>
        <v>3912.20.21</v>
      </c>
      <c r="B4756" s="2" t="str">
        <f>"Em alcool, com um teor de nao volat"</f>
        <v>Em alcool, com um teor de nao volat</v>
      </c>
    </row>
    <row r="4757" spans="1:2">
      <c r="A4757" s="1" t="str">
        <f>"3912.20.29"</f>
        <v>3912.20.29</v>
      </c>
      <c r="B4757" s="2" t="str">
        <f>"Outros"</f>
        <v>Outros</v>
      </c>
    </row>
    <row r="4758" spans="1:2">
      <c r="A4758" s="1" t="str">
        <f>"3912.31.11"</f>
        <v>3912.31.11</v>
      </c>
      <c r="B4758" s="2" t="str">
        <f>"Com um teor de carboximetilcelulose"</f>
        <v>Com um teor de carboximetilcelulose</v>
      </c>
    </row>
    <row r="4759" spans="1:2">
      <c r="A4759" s="1" t="str">
        <f>"3912.31.19"</f>
        <v>3912.31.19</v>
      </c>
      <c r="B4759" s="2" t="str">
        <f>"Outros"</f>
        <v>Outros</v>
      </c>
    </row>
    <row r="4760" spans="1:2">
      <c r="A4760" s="1" t="str">
        <f>"3912.31.21"</f>
        <v>3912.31.21</v>
      </c>
      <c r="B4760" s="2" t="str">
        <f>"Com um teor de sais igual ou superi"</f>
        <v>Com um teor de sais igual ou superi</v>
      </c>
    </row>
    <row r="4761" spans="1:2">
      <c r="A4761" s="1" t="str">
        <f>"3912.31.29"</f>
        <v>3912.31.29</v>
      </c>
      <c r="B4761" s="2" t="str">
        <f>"Outros"</f>
        <v>Outros</v>
      </c>
    </row>
    <row r="4762" spans="1:2">
      <c r="A4762" s="1" t="str">
        <f>"3912.39.10"</f>
        <v>3912.39.10</v>
      </c>
      <c r="B4762" s="2" t="str">
        <f>"METIL-, ETIL- E PROPILCELULOSE, HID"</f>
        <v>METIL-, ETIL- E PROPILCELULOSE, HID</v>
      </c>
    </row>
    <row r="4763" spans="1:2">
      <c r="A4763" s="1" t="str">
        <f>"3912.39.20"</f>
        <v>3912.39.20</v>
      </c>
      <c r="B4763" s="2" t="str">
        <f>"Outras metilceluloses"</f>
        <v>Outras metilceluloses</v>
      </c>
    </row>
    <row r="4764" spans="1:2">
      <c r="A4764" s="1" t="str">
        <f>"3912.39.30"</f>
        <v>3912.39.30</v>
      </c>
      <c r="B4764" s="2" t="str">
        <f>"Outras etilceluloses"</f>
        <v>Outras etilceluloses</v>
      </c>
    </row>
    <row r="4765" spans="1:2">
      <c r="A4765" s="1" t="str">
        <f>"3912.39.90"</f>
        <v>3912.39.90</v>
      </c>
      <c r="B4765" s="2" t="str">
        <f>"Outros"</f>
        <v>Outros</v>
      </c>
    </row>
    <row r="4766" spans="1:2">
      <c r="A4766" s="1" t="str">
        <f>"3912.90.10"</f>
        <v>3912.90.10</v>
      </c>
      <c r="B4766" s="2" t="str">
        <f>"Propionato de celulose"</f>
        <v>Propionato de celulose</v>
      </c>
    </row>
    <row r="4767" spans="1:2">
      <c r="A4767" s="1" t="str">
        <f>"3912.90.20"</f>
        <v>3912.90.20</v>
      </c>
      <c r="B4767" s="2" t="str">
        <f>"Acetobutanoato de celulose"</f>
        <v>Acetobutanoato de celulose</v>
      </c>
    </row>
    <row r="4768" spans="1:2">
      <c r="A4768" s="1" t="str">
        <f>"3912.90.31"</f>
        <v>3912.90.31</v>
      </c>
      <c r="B4768" s="2" t="str">
        <f>"Em po"</f>
        <v>Em po</v>
      </c>
    </row>
    <row r="4769" spans="1:2">
      <c r="A4769" s="1" t="str">
        <f>"3912.90.39"</f>
        <v>3912.90.39</v>
      </c>
      <c r="B4769" s="2" t="str">
        <f>"Outras"</f>
        <v>Outras</v>
      </c>
    </row>
    <row r="4770" spans="1:2">
      <c r="A4770" s="1" t="str">
        <f>"3912.90.40"</f>
        <v>3912.90.40</v>
      </c>
      <c r="B4770" s="2" t="str">
        <f>"Outras celuloses, em po"</f>
        <v>Outras celuloses, em po</v>
      </c>
    </row>
    <row r="4771" spans="1:2">
      <c r="A4771" s="1" t="str">
        <f>"3912.90.90"</f>
        <v>3912.90.90</v>
      </c>
      <c r="B4771" s="2" t="str">
        <f>"Outros"</f>
        <v>Outros</v>
      </c>
    </row>
    <row r="4772" spans="1:2">
      <c r="A4772" s="1" t="str">
        <f>"3913.10.00"</f>
        <v>3913.10.00</v>
      </c>
      <c r="B4772" s="2" t="str">
        <f>"Acido alginico, seus sais e seus es"</f>
        <v>Acido alginico, seus sais e seus es</v>
      </c>
    </row>
    <row r="4773" spans="1:2">
      <c r="A4773" s="1" t="str">
        <f>"3913.90.11"</f>
        <v>3913.90.11</v>
      </c>
      <c r="B4773" s="2" t="str">
        <f>"Borracha clorada ou cloridratada, n"</f>
        <v>Borracha clorada ou cloridratada, n</v>
      </c>
    </row>
    <row r="4774" spans="1:2">
      <c r="A4774" s="1" t="str">
        <f>"3913.90.12"</f>
        <v>3913.90.12</v>
      </c>
      <c r="B4774" s="2" t="str">
        <f>"Borracha clorada, noutras formas"</f>
        <v>Borracha clorada, noutras formas</v>
      </c>
    </row>
    <row r="4775" spans="1:2">
      <c r="A4775" s="1" t="str">
        <f>"3913.90.19"</f>
        <v>3913.90.19</v>
      </c>
      <c r="B4775" s="2" t="str">
        <f>"Outros"</f>
        <v>Outros</v>
      </c>
    </row>
    <row r="4776" spans="1:2">
      <c r="A4776" s="1" t="str">
        <f>"3913.90.20"</f>
        <v>3913.90.20</v>
      </c>
      <c r="B4776" s="2" t="str">
        <f>"GOMA XANTANA"</f>
        <v>GOMA XANTANA</v>
      </c>
    </row>
    <row r="4777" spans="1:2">
      <c r="A4777" s="1" t="str">
        <f>"3913.90.30"</f>
        <v>3913.90.30</v>
      </c>
      <c r="B4777" s="2" t="str">
        <f>"Dextrana"</f>
        <v>Dextrana</v>
      </c>
    </row>
    <row r="4778" spans="1:2">
      <c r="A4778" s="1" t="str">
        <f>"3913.90.40"</f>
        <v>3913.90.40</v>
      </c>
      <c r="B4778" s="2" t="str">
        <f>"Proteinas endurecidas"</f>
        <v>Proteinas endurecidas</v>
      </c>
    </row>
    <row r="4779" spans="1:2">
      <c r="A4779" s="1" t="str">
        <f>"3913.90.50"</f>
        <v>3913.90.50</v>
      </c>
      <c r="B4779" s="2" t="str">
        <f>"Quitosan (Chitosan), seus sais ou s"</f>
        <v>Quitosan (Chitosan), seus sais ou s</v>
      </c>
    </row>
    <row r="4780" spans="1:2">
      <c r="A4780" s="1" t="str">
        <f>"3913.90.60"</f>
        <v>3913.90.60</v>
      </c>
      <c r="B4780" s="2" t="str">
        <f>"Sulfato de condroitina"</f>
        <v>Sulfato de condroitina</v>
      </c>
    </row>
    <row r="4781" spans="1:2">
      <c r="A4781" s="1" t="str">
        <f>"3913.90.90"</f>
        <v>3913.90.90</v>
      </c>
      <c r="B4781" s="2" t="str">
        <f>"Outros"</f>
        <v>Outros</v>
      </c>
    </row>
    <row r="4782" spans="1:2">
      <c r="A4782" s="1" t="str">
        <f>"3914.00.11"</f>
        <v>3914.00.11</v>
      </c>
      <c r="B4782" s="2" t="str">
        <f>"De copolimeros de estireno-divinilb"</f>
        <v>De copolimeros de estireno-divinilb</v>
      </c>
    </row>
    <row r="4783" spans="1:2">
      <c r="A4783" s="1" t="str">
        <f>"3914.00.19"</f>
        <v>3914.00.19</v>
      </c>
      <c r="B4783" s="2" t="str">
        <f>"Outros"</f>
        <v>Outros</v>
      </c>
    </row>
    <row r="4784" spans="1:2">
      <c r="A4784" s="1" t="str">
        <f>"3914.00.90"</f>
        <v>3914.00.90</v>
      </c>
      <c r="B4784" s="2" t="str">
        <f>"Outros"</f>
        <v>Outros</v>
      </c>
    </row>
    <row r="4785" spans="1:2">
      <c r="A4785" s="1" t="str">
        <f>"3915.10.00"</f>
        <v>3915.10.00</v>
      </c>
      <c r="B4785" s="2" t="str">
        <f>"De polimeros de etileno"</f>
        <v>De polimeros de etileno</v>
      </c>
    </row>
    <row r="4786" spans="1:2">
      <c r="A4786" s="1" t="str">
        <f>"3915.20.00"</f>
        <v>3915.20.00</v>
      </c>
      <c r="B4786" s="2" t="str">
        <f>"De polimeros de estireno"</f>
        <v>De polimeros de estireno</v>
      </c>
    </row>
    <row r="4787" spans="1:2">
      <c r="A4787" s="1" t="str">
        <f>"3915.30.00"</f>
        <v>3915.30.00</v>
      </c>
      <c r="B4787" s="2" t="str">
        <f>"De polimeros de cloreto de vinila"</f>
        <v>De polimeros de cloreto de vinila</v>
      </c>
    </row>
    <row r="4788" spans="1:2">
      <c r="A4788" s="1" t="str">
        <f>"3915.90.00"</f>
        <v>3915.90.00</v>
      </c>
      <c r="B4788" s="2" t="str">
        <f>"DESPERDÍCIO, APARAS DE PLÁSTICO"</f>
        <v>DESPERDÍCIO, APARAS DE PLÁSTICO</v>
      </c>
    </row>
    <row r="4789" spans="1:2">
      <c r="A4789" s="1" t="str">
        <f>"3916.10.00"</f>
        <v>3916.10.00</v>
      </c>
      <c r="B4789" s="2" t="str">
        <f>"De polímeros de etileno"</f>
        <v>De polímeros de etileno</v>
      </c>
    </row>
    <row r="4790" spans="1:2">
      <c r="A4790" s="1" t="str">
        <f>"3916.20.00"</f>
        <v>3916.20.00</v>
      </c>
      <c r="B4790" s="2" t="str">
        <f>"DE POLÍMEROS DE CLORETO DE VINILA"</f>
        <v>DE POLÍMEROS DE CLORETO DE VINILA</v>
      </c>
    </row>
    <row r="4791" spans="1:2">
      <c r="A4791" s="1" t="str">
        <f>"3916.90.10"</f>
        <v>3916.90.10</v>
      </c>
      <c r="B4791" s="2" t="str">
        <f>"Monofilamentos"</f>
        <v>Monofilamentos</v>
      </c>
    </row>
    <row r="4792" spans="1:2">
      <c r="A4792" s="1" t="str">
        <f>"3916.90.90"</f>
        <v>3916.90.90</v>
      </c>
      <c r="B4792" s="2" t="str">
        <f>"OUTROS"</f>
        <v>OUTROS</v>
      </c>
    </row>
    <row r="4793" spans="1:2">
      <c r="A4793" s="1" t="str">
        <f>"3917.10.10"</f>
        <v>3917.10.10</v>
      </c>
      <c r="B4793" s="2" t="str">
        <f>"De proteinas endurecidas"</f>
        <v>De proteinas endurecidas</v>
      </c>
    </row>
    <row r="4794" spans="1:2">
      <c r="A4794" s="1" t="str">
        <f>"3917.10.21"</f>
        <v>3917.10.21</v>
      </c>
      <c r="B4794" s="2" t="str">
        <f>"Fibrosas, de celulose regenerada, d"</f>
        <v>Fibrosas, de celulose regenerada, d</v>
      </c>
    </row>
    <row r="4795" spans="1:2">
      <c r="A4795" s="1" t="str">
        <f>"3917.10.29"</f>
        <v>3917.10.29</v>
      </c>
      <c r="B4795" s="2" t="str">
        <f>"Outras"</f>
        <v>Outras</v>
      </c>
    </row>
    <row r="4796" spans="1:2">
      <c r="A4796" s="1" t="str">
        <f>"3917.21.00"</f>
        <v>3917.21.00</v>
      </c>
      <c r="B4796" s="2" t="str">
        <f>"DE POLIMEROS - TUBRO DE POLIETILENO"</f>
        <v>DE POLIMEROS - TUBRO DE POLIETILENO</v>
      </c>
    </row>
    <row r="4797" spans="1:2">
      <c r="A4797" s="1" t="str">
        <f>"3917.22.00"</f>
        <v>3917.22.00</v>
      </c>
      <c r="B4797" s="2" t="str">
        <f>"ppcr verde"</f>
        <v>ppcr verde</v>
      </c>
    </row>
    <row r="4798" spans="1:2">
      <c r="A4798" s="1" t="str">
        <f>"3917.23.00"</f>
        <v>3917.23.00</v>
      </c>
      <c r="B4798" s="2" t="str">
        <f>"DE POLÍMEROS DE CLORETO DE VINILA"</f>
        <v>DE POLÍMEROS DE CLORETO DE VINILA</v>
      </c>
    </row>
    <row r="4799" spans="1:2">
      <c r="A4799" s="1" t="str">
        <f>"3917.29.00"</f>
        <v>3917.29.00</v>
      </c>
      <c r="B4799" s="2" t="str">
        <f>"TUBOS RÍGIDOS DE OUTROS PLÁSTICOS"</f>
        <v>TUBOS RÍGIDOS DE OUTROS PLÁSTICOS</v>
      </c>
    </row>
    <row r="4800" spans="1:2">
      <c r="A4800" s="1" t="str">
        <f>"3917.31.00"</f>
        <v>3917.31.00</v>
      </c>
      <c r="B4800" s="2" t="str">
        <f>"TUBOS FLEXÍVEIS PODENDO SUPORTAR"</f>
        <v>TUBOS FLEXÍVEIS PODENDO SUPORTAR</v>
      </c>
    </row>
    <row r="4801" spans="1:2">
      <c r="A4801" s="1" t="str">
        <f>"3917.32.10"</f>
        <v>3917.32.10</v>
      </c>
      <c r="B4801" s="2" t="str">
        <f>"De copolimeros de etileno"</f>
        <v>De copolimeros de etileno</v>
      </c>
    </row>
    <row r="4802" spans="1:2">
      <c r="A4802" s="1" t="str">
        <f>"3917.32.21"</f>
        <v>3917.32.21</v>
      </c>
      <c r="B4802" s="2" t="str">
        <f>"Tubos capilares, semipermeaveis, pr"</f>
        <v>Tubos capilares, semipermeaveis, pr</v>
      </c>
    </row>
    <row r="4803" spans="1:2">
      <c r="A4803" s="1" t="str">
        <f>"3917.32.29"</f>
        <v>3917.32.29</v>
      </c>
      <c r="B4803" s="2" t="str">
        <f>"Outros"</f>
        <v>Outros</v>
      </c>
    </row>
    <row r="4804" spans="1:2">
      <c r="A4804" s="1" t="str">
        <f>"3917.32.30"</f>
        <v>3917.32.30</v>
      </c>
      <c r="B4804" s="2" t="str">
        <f>"De poli(tereftalato de etileno)"</f>
        <v>De poli(tereftalato de etileno)</v>
      </c>
    </row>
    <row r="4805" spans="1:2">
      <c r="A4805" s="1" t="str">
        <f>"3917.32.40"</f>
        <v>3917.32.40</v>
      </c>
      <c r="B4805" s="2" t="str">
        <f>"De silicones"</f>
        <v>De silicones</v>
      </c>
    </row>
    <row r="4806" spans="1:2">
      <c r="A4806" s="1" t="str">
        <f>"3917.32.51"</f>
        <v>3917.32.51</v>
      </c>
      <c r="B4806" s="2" t="str">
        <f>"Tubos capilares, semipermeaveis, pr"</f>
        <v>Tubos capilares, semipermeaveis, pr</v>
      </c>
    </row>
    <row r="4807" spans="1:2">
      <c r="A4807" s="1" t="str">
        <f>"3917.32.59"</f>
        <v>3917.32.59</v>
      </c>
      <c r="B4807" s="2" t="str">
        <f>"Outros"</f>
        <v>Outros</v>
      </c>
    </row>
    <row r="4808" spans="1:2">
      <c r="A4808" s="1" t="str">
        <f>"3917.32.90"</f>
        <v>3917.32.90</v>
      </c>
      <c r="B4808" s="2" t="str">
        <f>"OUTROS"</f>
        <v>OUTROS</v>
      </c>
    </row>
    <row r="4809" spans="1:2">
      <c r="A4809" s="1" t="str">
        <f>"3917.33.00"</f>
        <v>3917.33.00</v>
      </c>
      <c r="B4809" s="2" t="str">
        <f>"OUTROS Ñ REFORÇ/ASSOC OUTRA MATERIA"</f>
        <v>OUTROS Ñ REFORÇ/ASSOC OUTRA MATERIA</v>
      </c>
    </row>
    <row r="4810" spans="1:2">
      <c r="A4810" s="1" t="str">
        <f>"3917.39.00"</f>
        <v>3917.39.00</v>
      </c>
      <c r="B4810" s="2" t="str">
        <f>"OUTROS"</f>
        <v>OUTROS</v>
      </c>
    </row>
    <row r="4811" spans="1:2">
      <c r="A4811" s="1" t="str">
        <f>"3917.40.10"</f>
        <v>3917.40.10</v>
      </c>
      <c r="B4811" s="2" t="str">
        <f>"UTILIZ. LINHAS SANGUE P/ HEMODIÁLIS"</f>
        <v>UTILIZ. LINHAS SANGUE P/ HEMODIÁLIS</v>
      </c>
    </row>
    <row r="4812" spans="1:2">
      <c r="A4812" s="1" t="str">
        <f>"3917.40.90"</f>
        <v>3917.40.90</v>
      </c>
      <c r="B4812" s="2" t="str">
        <f>"OUTROS - ACESSORIOS PARA TUBO POLIE"</f>
        <v>OUTROS - ACESSORIOS PARA TUBO POLIE</v>
      </c>
    </row>
    <row r="4813" spans="1:2">
      <c r="A4813" s="1" t="str">
        <f>"3918.10.00"</f>
        <v>3918.10.00</v>
      </c>
      <c r="B4813" s="2" t="str">
        <f>"OUTROS"</f>
        <v>OUTROS</v>
      </c>
    </row>
    <row r="4814" spans="1:2">
      <c r="A4814" s="1" t="str">
        <f>"3918.90.00"</f>
        <v>3918.90.00</v>
      </c>
      <c r="B4814" s="2" t="str">
        <f>"DE OUTROS PLÁSTICOS"</f>
        <v>DE OUTROS PLÁSTICOS</v>
      </c>
    </row>
    <row r="4815" spans="1:2">
      <c r="A4815" s="1" t="str">
        <f>"3919.10.00"</f>
        <v>3919.10.00</v>
      </c>
      <c r="B4815" s="2" t="str">
        <f>"INATIVO EM ROLOS -FITA PP FITASA/FI"</f>
        <v>INATIVO EM ROLOS -FITA PP FITASA/FI</v>
      </c>
    </row>
    <row r="4816" spans="1:2">
      <c r="A4816" s="1" t="str">
        <f>"3919.10.10"</f>
        <v>3919.10.10</v>
      </c>
      <c r="B4816" s="2" t="str">
        <f>"De polipropileno"</f>
        <v>De polipropileno</v>
      </c>
    </row>
    <row r="4817" spans="1:2">
      <c r="A4817" s="1" t="str">
        <f>"3919.10.20"</f>
        <v>3919.10.20</v>
      </c>
      <c r="B4817" s="2" t="str">
        <f>"OUTROS"</f>
        <v>OUTROS</v>
      </c>
    </row>
    <row r="4818" spans="1:2">
      <c r="A4818" s="1" t="str">
        <f>"3919.10.90"</f>
        <v>3919.10.90</v>
      </c>
      <c r="B4818" s="2" t="str">
        <f>"Outras"</f>
        <v>Outras</v>
      </c>
    </row>
    <row r="4819" spans="1:2">
      <c r="A4819" s="1" t="str">
        <f>"3919.20.19"</f>
        <v>3919.20.19</v>
      </c>
      <c r="B4819" s="2" t="str">
        <f>"INATIVO"</f>
        <v>INATIVO</v>
      </c>
    </row>
    <row r="4820" spans="1:2">
      <c r="A4820" s="1" t="str">
        <f>"3919.90.00"</f>
        <v>3919.90.00</v>
      </c>
      <c r="B4820" s="2" t="str">
        <f>"INATIVO OUTRAS - FITA SIMPLES4122"</f>
        <v>INATIVO OUTRAS - FITA SIMPLES4122</v>
      </c>
    </row>
    <row r="4821" spans="1:2">
      <c r="A4821" s="1" t="str">
        <f>"3919.90.10"</f>
        <v>3919.90.10</v>
      </c>
      <c r="B4821" s="2" t="str">
        <f>"De polipropileno"</f>
        <v>De polipropileno</v>
      </c>
    </row>
    <row r="4822" spans="1:2">
      <c r="A4822" s="1" t="str">
        <f>"3919.90.20"</f>
        <v>3919.90.20</v>
      </c>
      <c r="B4822" s="2" t="str">
        <f>"De poli(cloreto de vinila)"</f>
        <v>De poli(cloreto de vinila)</v>
      </c>
    </row>
    <row r="4823" spans="1:2">
      <c r="A4823" s="1" t="str">
        <f>"3919.90.90"</f>
        <v>3919.90.90</v>
      </c>
      <c r="B4823" s="2" t="str">
        <f>"Outras Chapas, folhas, tiras, fitas"</f>
        <v>Outras Chapas, folhas, tiras, fitas</v>
      </c>
    </row>
    <row r="4824" spans="1:2">
      <c r="A4824" s="1" t="str">
        <f>"3920.10.00"</f>
        <v>3920.10.00</v>
      </c>
      <c r="B4824" s="2" t="str">
        <f>"INATIVA - FITA PP"</f>
        <v>INATIVA - FITA PP</v>
      </c>
    </row>
    <row r="4825" spans="1:2">
      <c r="A4825" s="1" t="str">
        <f>"3920.10.10"</f>
        <v>3920.10.10</v>
      </c>
      <c r="B4825" s="2" t="str">
        <f>"De densidade igual ou superior a 0,"</f>
        <v>De densidade igual ou superior a 0,</v>
      </c>
    </row>
    <row r="4826" spans="1:2">
      <c r="A4826" s="1" t="str">
        <f>"3920.10.91"</f>
        <v>3920.10.91</v>
      </c>
      <c r="B4826" s="2" t="str">
        <f>"De densidade inferior a 0,94, com o"</f>
        <v>De densidade inferior a 0,94, com o</v>
      </c>
    </row>
    <row r="4827" spans="1:2">
      <c r="A4827" s="1" t="str">
        <f>"3920.10.99"</f>
        <v>3920.10.99</v>
      </c>
      <c r="B4827" s="2" t="str">
        <f>"OUTRAS - FILME STRETCH"</f>
        <v>OUTRAS - FILME STRETCH</v>
      </c>
    </row>
    <row r="4828" spans="1:2">
      <c r="A4828" s="1" t="str">
        <f>"3920.20.11"</f>
        <v>3920.20.11</v>
      </c>
      <c r="B4828" s="2" t="str">
        <f>"FITA PET 18,5X0,9"</f>
        <v>FITA PET 18,5X0,9</v>
      </c>
    </row>
    <row r="4829" spans="1:2">
      <c r="A4829" s="1" t="str">
        <f>"3920.20.12"</f>
        <v>3920.20.12</v>
      </c>
      <c r="B4829" s="2" t="str">
        <f>"De largura inferior ou igual a 50 c"</f>
        <v>De largura inferior ou igual a 50 c</v>
      </c>
    </row>
    <row r="4830" spans="1:2">
      <c r="A4830" s="1" t="str">
        <f>"3920.20.19"</f>
        <v>3920.20.19</v>
      </c>
      <c r="B4830" s="2" t="str">
        <f>"Outros"</f>
        <v>Outros</v>
      </c>
    </row>
    <row r="4831" spans="1:2">
      <c r="A4831" s="1" t="str">
        <f>"3920.20.90"</f>
        <v>3920.20.90</v>
      </c>
      <c r="B4831" s="2" t="str">
        <f>"Protecao para cilindro"</f>
        <v>Protecao para cilindro</v>
      </c>
    </row>
    <row r="4832" spans="1:2">
      <c r="A4832" s="1" t="str">
        <f>"3920.30.00"</f>
        <v>3920.30.00</v>
      </c>
      <c r="B4832" s="2" t="str">
        <f>"DE POLÍMEROS DE ESTIRENO"</f>
        <v>DE POLÍMEROS DE ESTIRENO</v>
      </c>
    </row>
    <row r="4833" spans="1:2">
      <c r="A4833" s="1" t="str">
        <f>"3920.43.10"</f>
        <v>3920.43.10</v>
      </c>
      <c r="B4833" s="2" t="str">
        <f>"De poli(cloreto de vinila), transpa"</f>
        <v>De poli(cloreto de vinila), transpa</v>
      </c>
    </row>
    <row r="4834" spans="1:2">
      <c r="A4834" s="1" t="str">
        <f>"3920.43.90"</f>
        <v>3920.43.90</v>
      </c>
      <c r="B4834" s="2" t="str">
        <f>"OUTRAS"</f>
        <v>OUTRAS</v>
      </c>
    </row>
    <row r="4835" spans="1:2">
      <c r="A4835" s="1" t="str">
        <f>"3920.49.00"</f>
        <v>3920.49.00</v>
      </c>
      <c r="B4835" s="2" t="str">
        <f>"OUTRAS"</f>
        <v>OUTRAS</v>
      </c>
    </row>
    <row r="4836" spans="1:2">
      <c r="A4836" s="1" t="str">
        <f>"3920.51.00"</f>
        <v>3920.51.00</v>
      </c>
      <c r="B4836" s="2" t="str">
        <f>"DE POLI(METACRILATO DE METILA)"</f>
        <v>DE POLI(METACRILATO DE METILA)</v>
      </c>
    </row>
    <row r="4837" spans="1:2">
      <c r="A4837" s="1" t="str">
        <f>"3920.59.00"</f>
        <v>3920.59.00</v>
      </c>
      <c r="B4837" s="2" t="str">
        <f>"Outras"</f>
        <v>Outras</v>
      </c>
    </row>
    <row r="4838" spans="1:2">
      <c r="A4838" s="1" t="str">
        <f>"3920.61.00"</f>
        <v>3920.61.00</v>
      </c>
      <c r="B4838" s="2" t="str">
        <f>"DE POLICARBONATOS"</f>
        <v>DE POLICARBONATOS</v>
      </c>
    </row>
    <row r="4839" spans="1:2">
      <c r="A4839" s="1" t="str">
        <f>"3920.62.11"</f>
        <v>3920.62.11</v>
      </c>
      <c r="B4839" s="2" t="str">
        <f>"De espessura inferior a 5 micrometr"</f>
        <v>De espessura inferior a 5 micrometr</v>
      </c>
    </row>
    <row r="4840" spans="1:2">
      <c r="A4840" s="1" t="str">
        <f>"3920.62.19"</f>
        <v>3920.62.19</v>
      </c>
      <c r="B4840" s="2" t="str">
        <f>"OUTRAS"</f>
        <v>OUTRAS</v>
      </c>
    </row>
    <row r="4841" spans="1:2">
      <c r="A4841" s="1" t="str">
        <f>"3920.62.91"</f>
        <v>3920.62.91</v>
      </c>
      <c r="B4841" s="2" t="str">
        <f>"Com largura superior a 12 cm, sem q"</f>
        <v>Com largura superior a 12 cm, sem q</v>
      </c>
    </row>
    <row r="4842" spans="1:2">
      <c r="A4842" s="1" t="str">
        <f>"3920.62.99"</f>
        <v>3920.62.99</v>
      </c>
      <c r="B4842" s="2" t="str">
        <f>"OUTROS FILME DE POLIESTER"</f>
        <v>OUTROS FILME DE POLIESTER</v>
      </c>
    </row>
    <row r="4843" spans="1:2">
      <c r="A4843" s="1" t="str">
        <f>"3920.63.00"</f>
        <v>3920.63.00</v>
      </c>
      <c r="B4843" s="2" t="str">
        <f>"FITA ARQ. POLIESTER"</f>
        <v>FITA ARQ. POLIESTER</v>
      </c>
    </row>
    <row r="4844" spans="1:2">
      <c r="A4844" s="1" t="str">
        <f>"3920.69.00"</f>
        <v>3920.69.00</v>
      </c>
      <c r="B4844" s="2" t="str">
        <f>"DE OUTROS POLIÉSTERES"</f>
        <v>DE OUTROS POLIÉSTERES</v>
      </c>
    </row>
    <row r="4845" spans="1:2">
      <c r="A4845" s="1" t="str">
        <f>"3920.71.00"</f>
        <v>3920.71.00</v>
      </c>
      <c r="B4845" s="2" t="str">
        <f>"De celulose regenerada"</f>
        <v>De celulose regenerada</v>
      </c>
    </row>
    <row r="4846" spans="1:2">
      <c r="A4846" s="1" t="str">
        <f>"3920.73.10"</f>
        <v>3920.73.10</v>
      </c>
      <c r="B4846" s="2" t="str">
        <f>"De espessura inferior ou igual a 0,"</f>
        <v>De espessura inferior ou igual a 0,</v>
      </c>
    </row>
    <row r="4847" spans="1:2">
      <c r="A4847" s="1" t="str">
        <f>"3920.73.90"</f>
        <v>3920.73.90</v>
      </c>
      <c r="B4847" s="2" t="str">
        <f>"Outras"</f>
        <v>Outras</v>
      </c>
    </row>
    <row r="4848" spans="1:2">
      <c r="A4848" s="1" t="str">
        <f>"3920.79.10"</f>
        <v>3920.79.10</v>
      </c>
      <c r="B4848" s="2" t="str">
        <f>"De fibra vulcanizada, de espessura"</f>
        <v>De fibra vulcanizada, de espessura</v>
      </c>
    </row>
    <row r="4849" spans="1:2">
      <c r="A4849" s="1" t="str">
        <f>"3920.79.90"</f>
        <v>3920.79.90</v>
      </c>
      <c r="B4849" s="2" t="str">
        <f>"Outros"</f>
        <v>Outros</v>
      </c>
    </row>
    <row r="4850" spans="1:2">
      <c r="A4850" s="1" t="str">
        <f>"3920.91.00"</f>
        <v>3920.91.00</v>
      </c>
      <c r="B4850" s="2" t="str">
        <f>"De poli(butiral de vinila)"</f>
        <v>De poli(butiral de vinila)</v>
      </c>
    </row>
    <row r="4851" spans="1:2">
      <c r="A4851" s="1" t="str">
        <f>"3920.92.00"</f>
        <v>3920.92.00</v>
      </c>
      <c r="B4851" s="2" t="str">
        <f>"De poliamidas"</f>
        <v>De poliamidas</v>
      </c>
    </row>
    <row r="4852" spans="1:2">
      <c r="A4852" s="1" t="str">
        <f>"3920.93.00"</f>
        <v>3920.93.00</v>
      </c>
      <c r="B4852" s="2" t="str">
        <f>"De resinas aminicas"</f>
        <v>De resinas aminicas</v>
      </c>
    </row>
    <row r="4853" spans="1:2">
      <c r="A4853" s="1" t="str">
        <f>"3920.94.00"</f>
        <v>3920.94.00</v>
      </c>
      <c r="B4853" s="2" t="str">
        <f>"De resinas fenolicas"</f>
        <v>De resinas fenolicas</v>
      </c>
    </row>
    <row r="4854" spans="1:2">
      <c r="A4854" s="1" t="str">
        <f>"3920.99.10"</f>
        <v>3920.99.10</v>
      </c>
      <c r="B4854" s="2" t="str">
        <f>"De silicone"</f>
        <v>De silicone</v>
      </c>
    </row>
    <row r="4855" spans="1:2">
      <c r="A4855" s="1" t="str">
        <f>"3920.99.20"</f>
        <v>3920.99.20</v>
      </c>
      <c r="B4855" s="2" t="str">
        <f>"De poli(alcool vinilico)"</f>
        <v>De poli(alcool vinilico)</v>
      </c>
    </row>
    <row r="4856" spans="1:2">
      <c r="A4856" s="1" t="str">
        <f>"3920.99.30"</f>
        <v>3920.99.30</v>
      </c>
      <c r="B4856" s="2" t="str">
        <f>"De polimeros de fluoreto de vinila"</f>
        <v>De polimeros de fluoreto de vinila</v>
      </c>
    </row>
    <row r="4857" spans="1:2">
      <c r="A4857" s="1" t="str">
        <f>"3920.99.40"</f>
        <v>3920.99.40</v>
      </c>
      <c r="B4857" s="2" t="str">
        <f>"De poliimida"</f>
        <v>De poliimida</v>
      </c>
    </row>
    <row r="4858" spans="1:2">
      <c r="A4858" s="1" t="str">
        <f>"3920.99.50"</f>
        <v>3920.99.50</v>
      </c>
      <c r="B4858" s="2" t="str">
        <f>"De poli(clorotrifluoretileno)"</f>
        <v>De poli(clorotrifluoretileno)</v>
      </c>
    </row>
    <row r="4859" spans="1:2">
      <c r="A4859" s="1" t="str">
        <f>"3920.99.90"</f>
        <v>3920.99.90</v>
      </c>
      <c r="B4859" s="2" t="str">
        <f>"OUTRAS"</f>
        <v>OUTRAS</v>
      </c>
    </row>
    <row r="4860" spans="1:2">
      <c r="A4860" s="1" t="str">
        <f>"3921.11.00"</f>
        <v>3921.11.00</v>
      </c>
      <c r="B4860" s="2" t="str">
        <f>"De polimeros de estireno"</f>
        <v>De polimeros de estireno</v>
      </c>
    </row>
    <row r="4861" spans="1:2">
      <c r="A4861" s="1" t="str">
        <f>"3921.12.00"</f>
        <v>3921.12.00</v>
      </c>
      <c r="B4861" s="2" t="str">
        <f>"De polimeros de cloreto de vinila"</f>
        <v>De polimeros de cloreto de vinila</v>
      </c>
    </row>
    <row r="4862" spans="1:2">
      <c r="A4862" s="1" t="str">
        <f>"3921.13.10"</f>
        <v>3921.13.10</v>
      </c>
      <c r="B4862" s="2" t="str">
        <f>"Com base poliester, de celulas aber"</f>
        <v>Com base poliester, de celulas aber</v>
      </c>
    </row>
    <row r="4863" spans="1:2">
      <c r="A4863" s="1" t="str">
        <f>"3921.13.90"</f>
        <v>3921.13.90</v>
      </c>
      <c r="B4863" s="2" t="str">
        <f>"OUTROS"</f>
        <v>OUTROS</v>
      </c>
    </row>
    <row r="4864" spans="1:2">
      <c r="A4864" s="1" t="str">
        <f>"3921.14.00"</f>
        <v>3921.14.00</v>
      </c>
      <c r="B4864" s="2" t="str">
        <f>"De celulose regenerada"</f>
        <v>De celulose regenerada</v>
      </c>
    </row>
    <row r="4865" spans="1:2">
      <c r="A4865" s="1" t="str">
        <f>"3921.19.00"</f>
        <v>3921.19.00</v>
      </c>
      <c r="B4865" s="2" t="str">
        <f>"DE OUTROS PLASTICOS"</f>
        <v>DE OUTROS PLASTICOS</v>
      </c>
    </row>
    <row r="4866" spans="1:2">
      <c r="A4866" s="1" t="str">
        <f>"3921.90.11"</f>
        <v>3921.90.11</v>
      </c>
      <c r="B4866" s="2" t="str">
        <f>"RESINA MELAMINA - PP 7926"</f>
        <v>RESINA MELAMINA - PP 7926</v>
      </c>
    </row>
    <row r="4867" spans="1:2">
      <c r="A4867" s="1" t="str">
        <f>"3921.90.12"</f>
        <v>3921.90.12</v>
      </c>
      <c r="B4867" s="2" t="str">
        <f>"De polietileno, com reforco de napa"</f>
        <v>De polietileno, com reforco de napa</v>
      </c>
    </row>
    <row r="4868" spans="1:2">
      <c r="A4868" s="1" t="str">
        <f>"3921.90.19"</f>
        <v>3921.90.19</v>
      </c>
      <c r="B4868" s="2" t="str">
        <f>"OUTRAS"</f>
        <v>OUTRAS</v>
      </c>
    </row>
    <row r="4869" spans="1:2">
      <c r="A4869" s="1" t="str">
        <f>"3921.90.20"</f>
        <v>3921.90.20</v>
      </c>
      <c r="B4869" s="2" t="str">
        <f>"DE POLI(TEREFTALATO DE ETILENO)"</f>
        <v>DE POLI(TEREFTALATO DE ETILENO)</v>
      </c>
    </row>
    <row r="4870" spans="1:2">
      <c r="A4870" s="1" t="str">
        <f>"3921.90.90"</f>
        <v>3921.90.90</v>
      </c>
      <c r="B4870" s="2" t="str">
        <f>"Outras"</f>
        <v>Outras</v>
      </c>
    </row>
    <row r="4871" spans="1:2">
      <c r="A4871" s="1" t="str">
        <f>"3922.10.00"</f>
        <v>3922.10.00</v>
      </c>
      <c r="B4871" s="2" t="str">
        <f>"Banheiras, boxes para chuveiros (po"</f>
        <v>Banheiras, boxes para chuveiros (po</v>
      </c>
    </row>
    <row r="4872" spans="1:2">
      <c r="A4872" s="1" t="str">
        <f>"3922.20.00"</f>
        <v>3922.20.00</v>
      </c>
      <c r="B4872" s="2" t="str">
        <f>"ASSENTOS E TAMPAS, DE SANITÁRIOS"</f>
        <v>ASSENTOS E TAMPAS, DE SANITÁRIOS</v>
      </c>
    </row>
    <row r="4873" spans="1:2">
      <c r="A4873" s="1" t="str">
        <f>"3922.90.00"</f>
        <v>3922.90.00</v>
      </c>
      <c r="B4873" s="2" t="str">
        <f>"OUTROS"</f>
        <v>OUTROS</v>
      </c>
    </row>
    <row r="4874" spans="1:2">
      <c r="A4874" s="1" t="str">
        <f>"3923.10.10"</f>
        <v>3923.10.10</v>
      </c>
      <c r="B4874" s="2" t="str">
        <f>"Estojos de plastico, do tipo utiliz"</f>
        <v>Estojos de plastico, do tipo utiliz</v>
      </c>
    </row>
    <row r="4875" spans="1:2">
      <c r="A4875" s="1" t="str">
        <f>"3923.10.90"</f>
        <v>3923.10.90</v>
      </c>
      <c r="B4875" s="2" t="str">
        <f>"Outros Caixas, caixotes de plástico"</f>
        <v>Outros Caixas, caixotes de plástico</v>
      </c>
    </row>
    <row r="4876" spans="1:2">
      <c r="A4876" s="1" t="str">
        <f>"3923.21.10"</f>
        <v>3923.21.10</v>
      </c>
      <c r="B4876" s="2" t="str">
        <f>"PELICULA DE POLIETILENO"</f>
        <v>PELICULA DE POLIETILENO</v>
      </c>
    </row>
    <row r="4877" spans="1:2">
      <c r="A4877" s="1" t="str">
        <f>"3923.21.90"</f>
        <v>3923.21.90</v>
      </c>
      <c r="B4877" s="2" t="str">
        <f>"OUTROS SACOS DE LIXO"</f>
        <v>OUTROS SACOS DE LIXO</v>
      </c>
    </row>
    <row r="4878" spans="1:2">
      <c r="A4878" s="1" t="str">
        <f>"3923.29.10"</f>
        <v>3923.29.10</v>
      </c>
      <c r="B4878" s="2" t="str">
        <f>"De capacidade inferior ou igual a 1"</f>
        <v>De capacidade inferior ou igual a 1</v>
      </c>
    </row>
    <row r="4879" spans="1:2">
      <c r="A4879" s="1" t="str">
        <f>"3923.29.90"</f>
        <v>3923.29.90</v>
      </c>
      <c r="B4879" s="2" t="str">
        <f>"OUTROS"</f>
        <v>OUTROS</v>
      </c>
    </row>
    <row r="4880" spans="1:2">
      <c r="A4880" s="1" t="str">
        <f>"3923.30.00"</f>
        <v>3923.30.00</v>
      </c>
      <c r="B4880" s="2" t="str">
        <f>"FRASCO, GARRAFAS"</f>
        <v>FRASCO, GARRAFAS</v>
      </c>
    </row>
    <row r="4881" spans="1:2">
      <c r="A4881" s="1" t="str">
        <f>"3923.30.90"</f>
        <v>3923.30.90</v>
      </c>
      <c r="B4881" s="2" t="str">
        <f>"Outros"</f>
        <v>Outros</v>
      </c>
    </row>
    <row r="4882" spans="1:2">
      <c r="A4882" s="1" t="str">
        <f>"3923.40.00"</f>
        <v>3923.40.00</v>
      </c>
      <c r="B4882" s="2" t="str">
        <f>"BOBINA, FUSOS PELICULA DE POLIETILE"</f>
        <v>BOBINA, FUSOS PELICULA DE POLIETILE</v>
      </c>
    </row>
    <row r="4883" spans="1:2">
      <c r="A4883" s="1" t="str">
        <f>"3923.50.00"</f>
        <v>3923.50.00</v>
      </c>
      <c r="B4883" s="2" t="str">
        <f>"ROLHAS, TAMPAS, CÁPSULAS E OUTROS"</f>
        <v>ROLHAS, TAMPAS, CÁPSULAS E OUTROS</v>
      </c>
    </row>
    <row r="4884" spans="1:2">
      <c r="A4884" s="1" t="str">
        <f>"3923.90.00"</f>
        <v>3923.90.00</v>
      </c>
      <c r="B4884" s="2" t="str">
        <f>"OUTROS - PRODUTOS PLASTICOS"</f>
        <v>OUTROS - PRODUTOS PLASTICOS</v>
      </c>
    </row>
    <row r="4885" spans="1:2">
      <c r="A4885" s="1" t="str">
        <f>"3923.90.90"</f>
        <v>3923.90.90</v>
      </c>
      <c r="B4885" s="2" t="str">
        <f>"Outros"</f>
        <v>Outros</v>
      </c>
    </row>
    <row r="4886" spans="1:2">
      <c r="A4886" s="1" t="str">
        <f>"3924.10.00"</f>
        <v>3924.10.00</v>
      </c>
      <c r="B4886" s="2" t="str">
        <f>"COPO P/ ÁGUA 180ML. BRANCO"</f>
        <v>COPO P/ ÁGUA 180ML. BRANCO</v>
      </c>
    </row>
    <row r="4887" spans="1:2">
      <c r="A4887" s="1" t="str">
        <f>"3924.90.00"</f>
        <v>3924.90.00</v>
      </c>
      <c r="B4887" s="2" t="str">
        <f>"OUTROS"</f>
        <v>OUTROS</v>
      </c>
    </row>
    <row r="4888" spans="1:2">
      <c r="A4888" s="1" t="str">
        <f>"3925.10.00"</f>
        <v>3925.10.00</v>
      </c>
      <c r="B4888" s="2" t="str">
        <f>"TANQUE ROTOMOLDADO, CISTERNAS"</f>
        <v>TANQUE ROTOMOLDADO, CISTERNAS</v>
      </c>
    </row>
    <row r="4889" spans="1:2">
      <c r="A4889" s="1" t="str">
        <f>"3925.20.00"</f>
        <v>3925.20.00</v>
      </c>
      <c r="B4889" s="2" t="str">
        <f>"Portas, janelas e seus caixilhos, a"</f>
        <v>Portas, janelas e seus caixilhos, a</v>
      </c>
    </row>
    <row r="4890" spans="1:2">
      <c r="A4890" s="1" t="str">
        <f>"3925.30.00"</f>
        <v>3925.30.00</v>
      </c>
      <c r="B4890" s="2" t="str">
        <f>"Postigos, estores (incluindo as ven"</f>
        <v>Postigos, estores (incluindo as ven</v>
      </c>
    </row>
    <row r="4891" spans="1:2">
      <c r="A4891" s="1" t="str">
        <f>"3925.90.00"</f>
        <v>3925.90.00</v>
      </c>
      <c r="B4891" s="2" t="str">
        <f>"INATIVO"</f>
        <v>INATIVO</v>
      </c>
    </row>
    <row r="4892" spans="1:2">
      <c r="A4892" s="1" t="str">
        <f>"3925.90.10"</f>
        <v>3925.90.10</v>
      </c>
      <c r="B4892" s="2" t="str">
        <f>"DE POLIESTIRENO EXPANDIDO (EPS)"</f>
        <v>DE POLIESTIRENO EXPANDIDO (EPS)</v>
      </c>
    </row>
    <row r="4893" spans="1:2">
      <c r="A4893" s="1" t="str">
        <f>"3925.90.90"</f>
        <v>3925.90.90</v>
      </c>
      <c r="B4893" s="2" t="str">
        <f>"OUTROS"</f>
        <v>OUTROS</v>
      </c>
    </row>
    <row r="4894" spans="1:2">
      <c r="A4894" s="1" t="str">
        <f>"3926.10.00"</f>
        <v>3926.10.00</v>
      </c>
      <c r="B4894" s="2" t="str">
        <f>"ARTIGOS DE ESCRITÓRIO E ARTIGOS ESC"</f>
        <v>ARTIGOS DE ESCRITÓRIO E ARTIGOS ESC</v>
      </c>
    </row>
    <row r="4895" spans="1:2">
      <c r="A4895" s="1" t="str">
        <f>"3926.20.00"</f>
        <v>3926.20.00</v>
      </c>
      <c r="B4895" s="2" t="str">
        <f>"VESTUÁRIO E SEUS ACESSÓRIOS"</f>
        <v>VESTUÁRIO E SEUS ACESSÓRIOS</v>
      </c>
    </row>
    <row r="4896" spans="1:2">
      <c r="A4896" s="1" t="str">
        <f>"3926.30.00"</f>
        <v>3926.30.00</v>
      </c>
      <c r="B4896" s="2" t="str">
        <f>"Guarnicoes para moveis, carrocarias"</f>
        <v>Guarnicoes para moveis, carrocarias</v>
      </c>
    </row>
    <row r="4897" spans="1:2">
      <c r="A4897" s="1" t="str">
        <f>"3926.40.00"</f>
        <v>3926.40.00</v>
      </c>
      <c r="B4897" s="2" t="str">
        <f>"Estatuetas e outros objetos de orna"</f>
        <v>Estatuetas e outros objetos de orna</v>
      </c>
    </row>
    <row r="4898" spans="1:2">
      <c r="A4898" s="1" t="str">
        <f>"3926.90.10"</f>
        <v>3926.90.10</v>
      </c>
      <c r="B4898" s="2" t="str">
        <f>"Arruelas"</f>
        <v>Arruelas</v>
      </c>
    </row>
    <row r="4899" spans="1:2">
      <c r="A4899" s="1" t="str">
        <f>"3926.90.21"</f>
        <v>3926.90.21</v>
      </c>
      <c r="B4899" s="2" t="str">
        <f>"De transmissão"</f>
        <v>De transmissão</v>
      </c>
    </row>
    <row r="4900" spans="1:2">
      <c r="A4900" s="1" t="str">
        <f>"3926.90.22"</f>
        <v>3926.90.22</v>
      </c>
      <c r="B4900" s="2" t="str">
        <f>"Transportadoras"</f>
        <v>Transportadoras</v>
      </c>
    </row>
    <row r="4901" spans="1:2">
      <c r="A4901" s="1" t="str">
        <f>"3926.90.30"</f>
        <v>3926.90.30</v>
      </c>
      <c r="B4901" s="2" t="str">
        <f>"Bolsas para uso em medicina (hemodi"</f>
        <v>Bolsas para uso em medicina (hemodi</v>
      </c>
    </row>
    <row r="4902" spans="1:2">
      <c r="A4902" s="1" t="str">
        <f>"3926.90.40"</f>
        <v>3926.90.40</v>
      </c>
      <c r="B4902" s="2" t="str">
        <f>"ARTIGOS DE LABORATÓRIO OU DE FARMÁC"</f>
        <v>ARTIGOS DE LABORATÓRIO OU DE FARMÁC</v>
      </c>
    </row>
    <row r="4903" spans="1:2">
      <c r="A4903" s="1" t="str">
        <f>"3926.90.50"</f>
        <v>3926.90.50</v>
      </c>
      <c r="B4903" s="2" t="str">
        <f>"Acessorios do tipo utilizado em lin"</f>
        <v>Acessorios do tipo utilizado em lin</v>
      </c>
    </row>
    <row r="4904" spans="1:2">
      <c r="A4904" s="1" t="str">
        <f>"3926.90.61"</f>
        <v>3926.90.61</v>
      </c>
      <c r="B4904" s="2" t="str">
        <f>"DE TETRAFLUORETILENO E ÉTER"</f>
        <v>DE TETRAFLUORETILENO E ÉTER</v>
      </c>
    </row>
    <row r="4905" spans="1:2">
      <c r="A4905" s="1" t="str">
        <f>"3926.90.69"</f>
        <v>3926.90.69</v>
      </c>
      <c r="B4905" s="2" t="str">
        <f>"OUTROS"</f>
        <v>OUTROS</v>
      </c>
    </row>
    <row r="4906" spans="1:2">
      <c r="A4906" s="1" t="str">
        <f>"3926.90.90"</f>
        <v>3926.90.90</v>
      </c>
      <c r="B4906" s="2" t="str">
        <f>"OUTRAS"</f>
        <v>OUTRAS</v>
      </c>
    </row>
    <row r="4907" spans="1:2">
      <c r="A4907" s="1" t="str">
        <f>"4001.10.00"</f>
        <v>4001.10.00</v>
      </c>
      <c r="B4907" s="2" t="str">
        <f>"Latex de borracha natural, mesmo pr"</f>
        <v>Latex de borracha natural, mesmo pr</v>
      </c>
    </row>
    <row r="4908" spans="1:2">
      <c r="A4908" s="1" t="str">
        <f>"4001.21.00"</f>
        <v>4001.21.00</v>
      </c>
      <c r="B4908" s="2" t="str">
        <f>"Folhas fumadas"</f>
        <v>Folhas fumadas</v>
      </c>
    </row>
    <row r="4909" spans="1:2">
      <c r="A4909" s="1" t="str">
        <f>"4001.22.00"</f>
        <v>4001.22.00</v>
      </c>
      <c r="B4909" s="2" t="str">
        <f>"Borracha natural tecnicamente espec"</f>
        <v>Borracha natural tecnicamente espec</v>
      </c>
    </row>
    <row r="4910" spans="1:2">
      <c r="A4910" s="1" t="str">
        <f>"4001.29.10"</f>
        <v>4001.29.10</v>
      </c>
      <c r="B4910" s="2" t="str">
        <f>"Crepadas"</f>
        <v>Crepadas</v>
      </c>
    </row>
    <row r="4911" spans="1:2">
      <c r="A4911" s="1" t="str">
        <f>"4001.29.20"</f>
        <v>4001.29.20</v>
      </c>
      <c r="B4911" s="2" t="str">
        <f>"Granuladas ou prensadas"</f>
        <v>Granuladas ou prensadas</v>
      </c>
    </row>
    <row r="4912" spans="1:2">
      <c r="A4912" s="1" t="str">
        <f>"4001.29.90"</f>
        <v>4001.29.90</v>
      </c>
      <c r="B4912" s="2" t="str">
        <f>"Outras"</f>
        <v>Outras</v>
      </c>
    </row>
    <row r="4913" spans="1:2">
      <c r="A4913" s="1" t="str">
        <f>"4001.30.00"</f>
        <v>4001.30.00</v>
      </c>
      <c r="B4913" s="2" t="str">
        <f>"Balata, guta-percha, guaiule, chicl"</f>
        <v>Balata, guta-percha, guaiule, chicl</v>
      </c>
    </row>
    <row r="4914" spans="1:2">
      <c r="A4914" s="1" t="str">
        <f>"4002.11.10"</f>
        <v>4002.11.10</v>
      </c>
      <c r="B4914" s="2" t="str">
        <f>"De estireno-butadieno (SBR)"</f>
        <v>De estireno-butadieno (SBR)</v>
      </c>
    </row>
    <row r="4915" spans="1:2">
      <c r="A4915" s="1" t="str">
        <f>"4002.11.20"</f>
        <v>4002.11.20</v>
      </c>
      <c r="B4915" s="2" t="str">
        <f>"De estireno-butadieno carboxilada ("</f>
        <v>De estireno-butadieno carboxilada (</v>
      </c>
    </row>
    <row r="4916" spans="1:2">
      <c r="A4916" s="1" t="str">
        <f>"4002.19.11"</f>
        <v>4002.19.11</v>
      </c>
      <c r="B4916" s="2" t="str">
        <f>"Em chapas, folhas ou tiras"</f>
        <v>Em chapas, folhas ou tiras</v>
      </c>
    </row>
    <row r="4917" spans="1:2">
      <c r="A4917" s="1" t="str">
        <f>"4002.19.12"</f>
        <v>4002.19.12</v>
      </c>
      <c r="B4917" s="2" t="str">
        <f>"Grau alimenticio de acordo com o es"</f>
        <v>Grau alimenticio de acordo com o es</v>
      </c>
    </row>
    <row r="4918" spans="1:2">
      <c r="A4918" s="1" t="str">
        <f>"4002.19.19"</f>
        <v>4002.19.19</v>
      </c>
      <c r="B4918" s="2" t="str">
        <f>"Outras"</f>
        <v>Outras</v>
      </c>
    </row>
    <row r="4919" spans="1:2">
      <c r="A4919" s="1" t="str">
        <f>"4002.19.20"</f>
        <v>4002.19.20</v>
      </c>
      <c r="B4919" s="2" t="str">
        <f>"De estireno-butadieno carboxilada ("</f>
        <v>De estireno-butadieno carboxilada (</v>
      </c>
    </row>
    <row r="4920" spans="1:2">
      <c r="A4920" s="1" t="str">
        <f>"4002.20.10"</f>
        <v>4002.20.10</v>
      </c>
      <c r="B4920" s="2" t="str">
        <f>"Oleo"</f>
        <v>Oleo</v>
      </c>
    </row>
    <row r="4921" spans="1:2">
      <c r="A4921" s="1" t="str">
        <f>"4002.20.90"</f>
        <v>4002.20.90</v>
      </c>
      <c r="B4921" s="2" t="str">
        <f>"Outras"</f>
        <v>Outras</v>
      </c>
    </row>
    <row r="4922" spans="1:2">
      <c r="A4922" s="1" t="str">
        <f>"4002.31.00"</f>
        <v>4002.31.00</v>
      </c>
      <c r="B4922" s="2" t="str">
        <f>"Borracha de isobuteno-isopreno (but"</f>
        <v>Borracha de isobuteno-isopreno (but</v>
      </c>
    </row>
    <row r="4923" spans="1:2">
      <c r="A4923" s="1" t="str">
        <f>"4002.39.00"</f>
        <v>4002.39.00</v>
      </c>
      <c r="B4923" s="2" t="str">
        <f>"Outras"</f>
        <v>Outras</v>
      </c>
    </row>
    <row r="4924" spans="1:2">
      <c r="A4924" s="1" t="str">
        <f>"4002.41.00"</f>
        <v>4002.41.00</v>
      </c>
      <c r="B4924" s="2" t="str">
        <f>"Latex"</f>
        <v>Latex</v>
      </c>
    </row>
    <row r="4925" spans="1:2">
      <c r="A4925" s="1" t="str">
        <f>"4002.49.00"</f>
        <v>4002.49.00</v>
      </c>
      <c r="B4925" s="2" t="str">
        <f>"Outras"</f>
        <v>Outras</v>
      </c>
    </row>
    <row r="4926" spans="1:2">
      <c r="A4926" s="1" t="str">
        <f>"4002.51.00"</f>
        <v>4002.51.00</v>
      </c>
      <c r="B4926" s="2" t="str">
        <f>"Latex"</f>
        <v>Latex</v>
      </c>
    </row>
    <row r="4927" spans="1:2">
      <c r="A4927" s="1" t="str">
        <f>"4002.59.00"</f>
        <v>4002.59.00</v>
      </c>
      <c r="B4927" s="2" t="str">
        <f>"Outras"</f>
        <v>Outras</v>
      </c>
    </row>
    <row r="4928" spans="1:2">
      <c r="A4928" s="1" t="str">
        <f>"4002.60.00"</f>
        <v>4002.60.00</v>
      </c>
      <c r="B4928" s="2" t="str">
        <f>"Piso Borracha"</f>
        <v>Piso Borracha</v>
      </c>
    </row>
    <row r="4929" spans="1:2">
      <c r="A4929" s="1" t="str">
        <f>"4002.70.00"</f>
        <v>4002.70.00</v>
      </c>
      <c r="B4929" s="2" t="str">
        <f>"Borracha de etileno-propileno-dieno"</f>
        <v>Borracha de etileno-propileno-dieno</v>
      </c>
    </row>
    <row r="4930" spans="1:2">
      <c r="A4930" s="1" t="str">
        <f>"4002.80.00"</f>
        <v>4002.80.00</v>
      </c>
      <c r="B4930" s="2" t="str">
        <f>"Misturas dos produtos da posicao 40"</f>
        <v>Misturas dos produtos da posicao 40</v>
      </c>
    </row>
    <row r="4931" spans="1:2">
      <c r="A4931" s="1" t="str">
        <f>"4002.91.00"</f>
        <v>4002.91.00</v>
      </c>
      <c r="B4931" s="2" t="str">
        <f>"Latex"</f>
        <v>Latex</v>
      </c>
    </row>
    <row r="4932" spans="1:2">
      <c r="A4932" s="1" t="str">
        <f>"4002.99.10"</f>
        <v>4002.99.10</v>
      </c>
      <c r="B4932" s="2" t="str">
        <f>"Borracha estireno-isopreno-estireno"</f>
        <v>Borracha estireno-isopreno-estireno</v>
      </c>
    </row>
    <row r="4933" spans="1:2">
      <c r="A4933" s="1" t="str">
        <f>"4002.99.20"</f>
        <v>4002.99.20</v>
      </c>
      <c r="B4933" s="2" t="str">
        <f>"Borracha etileno-propileno-dieno na"</f>
        <v>Borracha etileno-propileno-dieno na</v>
      </c>
    </row>
    <row r="4934" spans="1:2">
      <c r="A4934" s="1" t="str">
        <f>"4002.99.30"</f>
        <v>4002.99.30</v>
      </c>
      <c r="B4934" s="2" t="str">
        <f>"Borracha acrilonitrila-butadieno hi"</f>
        <v>Borracha acrilonitrila-butadieno hi</v>
      </c>
    </row>
    <row r="4935" spans="1:2">
      <c r="A4935" s="1" t="str">
        <f>"4002.99.90"</f>
        <v>4002.99.90</v>
      </c>
      <c r="B4935" s="2" t="str">
        <f>"Outras"</f>
        <v>Outras</v>
      </c>
    </row>
    <row r="4936" spans="1:2">
      <c r="A4936" s="1" t="str">
        <f>"4003.00.00"</f>
        <v>4003.00.00</v>
      </c>
      <c r="B4936" s="2" t="str">
        <f>"Borracha regenerada, em formas prim"</f>
        <v>Borracha regenerada, em formas prim</v>
      </c>
    </row>
    <row r="4937" spans="1:2">
      <c r="A4937" s="1" t="str">
        <f>"4004.00.00"</f>
        <v>4004.00.00</v>
      </c>
      <c r="B4937" s="2" t="str">
        <f>"Desperdicios, residuos e aparas, de"</f>
        <v>Desperdicios, residuos e aparas, de</v>
      </c>
    </row>
    <row r="4938" spans="1:2">
      <c r="A4938" s="1" t="str">
        <f>"4005.10.10"</f>
        <v>4005.10.10</v>
      </c>
      <c r="B4938" s="2" t="str">
        <f>"Borracha etileno-propileno-dieno nã"</f>
        <v>Borracha etileno-propileno-dieno nã</v>
      </c>
    </row>
    <row r="4939" spans="1:2">
      <c r="A4939" s="1" t="str">
        <f>"4005.10.90"</f>
        <v>4005.10.90</v>
      </c>
      <c r="B4939" s="2" t="str">
        <f>"Outras"</f>
        <v>Outras</v>
      </c>
    </row>
    <row r="4940" spans="1:2">
      <c r="A4940" s="1" t="str">
        <f>"4005.20.00"</f>
        <v>4005.20.00</v>
      </c>
      <c r="B4940" s="2" t="str">
        <f>"Solucoes; dispersoes, exceto as da"</f>
        <v>Solucoes; dispersoes, exceto as da</v>
      </c>
    </row>
    <row r="4941" spans="1:2">
      <c r="A4941" s="1" t="str">
        <f>"4005.91.10"</f>
        <v>4005.91.10</v>
      </c>
      <c r="B4941" s="2" t="str">
        <f>"Preparacoes base para a fabricacao"</f>
        <v>Preparacoes base para a fabricacao</v>
      </c>
    </row>
    <row r="4942" spans="1:2">
      <c r="A4942" s="1" t="str">
        <f>"4005.91.90"</f>
        <v>4005.91.90</v>
      </c>
      <c r="B4942" s="2" t="str">
        <f>"OUTRAS"</f>
        <v>OUTRAS</v>
      </c>
    </row>
    <row r="4943" spans="1:2">
      <c r="A4943" s="1" t="str">
        <f>"4005.99.10"</f>
        <v>4005.99.10</v>
      </c>
      <c r="B4943" s="2" t="str">
        <f>"Preparacoes base para a fabricacao"</f>
        <v>Preparacoes base para a fabricacao</v>
      </c>
    </row>
    <row r="4944" spans="1:2">
      <c r="A4944" s="1" t="str">
        <f>"4005.99.90"</f>
        <v>4005.99.90</v>
      </c>
      <c r="B4944" s="2" t="str">
        <f>"Outras"</f>
        <v>Outras</v>
      </c>
    </row>
    <row r="4945" spans="1:2">
      <c r="A4945" s="1" t="str">
        <f>"4006.10.00"</f>
        <v>4006.10.00</v>
      </c>
      <c r="B4945" s="2" t="str">
        <f>"Perfis para recauchutagem"</f>
        <v>Perfis para recauchutagem</v>
      </c>
    </row>
    <row r="4946" spans="1:2">
      <c r="A4946" s="1" t="str">
        <f>"4006.90.00"</f>
        <v>4006.90.00</v>
      </c>
      <c r="B4946" s="2" t="str">
        <f>"OUTROS"</f>
        <v>OUTROS</v>
      </c>
    </row>
    <row r="4947" spans="1:2">
      <c r="A4947" s="1" t="str">
        <f>"4007.00.11"</f>
        <v>4007.00.11</v>
      </c>
      <c r="B4947" s="2" t="str">
        <f>"Recobertos com silicone, mesmo para"</f>
        <v>Recobertos com silicone, mesmo para</v>
      </c>
    </row>
    <row r="4948" spans="1:2">
      <c r="A4948" s="1" t="str">
        <f>"4007.00.19"</f>
        <v>4007.00.19</v>
      </c>
      <c r="B4948" s="2" t="str">
        <f>"OUTROS"</f>
        <v>OUTROS</v>
      </c>
    </row>
    <row r="4949" spans="1:2">
      <c r="A4949" s="1" t="str">
        <f>"4007.00.20"</f>
        <v>4007.00.20</v>
      </c>
      <c r="B4949" s="2" t="str">
        <f>"Cordas"</f>
        <v>Cordas</v>
      </c>
    </row>
    <row r="4950" spans="1:2">
      <c r="A4950" s="1" t="str">
        <f>"4008.11.00"</f>
        <v>4008.11.00</v>
      </c>
      <c r="B4950" s="2" t="str">
        <f>"OUTROS"</f>
        <v>OUTROS</v>
      </c>
    </row>
    <row r="4951" spans="1:2">
      <c r="A4951" s="1" t="str">
        <f>"4008.19.00"</f>
        <v>4008.19.00</v>
      </c>
      <c r="B4951" s="2" t="str">
        <f>"Outros"</f>
        <v>Outros</v>
      </c>
    </row>
    <row r="4952" spans="1:2">
      <c r="A4952" s="1" t="str">
        <f>"4008.21.00"</f>
        <v>4008.21.00</v>
      </c>
      <c r="B4952" s="2" t="str">
        <f>"CHAPAS, FOLHAS E TIRAS"</f>
        <v>CHAPAS, FOLHAS E TIRAS</v>
      </c>
    </row>
    <row r="4953" spans="1:2">
      <c r="A4953" s="1" t="str">
        <f>"4008.29.00"</f>
        <v>4008.29.00</v>
      </c>
      <c r="B4953" s="2" t="str">
        <f>"Outros"</f>
        <v>Outros</v>
      </c>
    </row>
    <row r="4954" spans="1:2">
      <c r="A4954" s="1" t="str">
        <f>"4009.11.00"</f>
        <v>4009.11.00</v>
      </c>
      <c r="B4954" s="2" t="str">
        <f>"SEM ACESSÓRIOS"</f>
        <v>SEM ACESSÓRIOS</v>
      </c>
    </row>
    <row r="4955" spans="1:2">
      <c r="A4955" s="1" t="str">
        <f>"4009.12.10"</f>
        <v>4009.12.10</v>
      </c>
      <c r="B4955" s="2" t="str">
        <f>"Com uma pressao de ruptura igual ou"</f>
        <v>Com uma pressao de ruptura igual ou</v>
      </c>
    </row>
    <row r="4956" spans="1:2">
      <c r="A4956" s="1" t="str">
        <f>"4009.12.90"</f>
        <v>4009.12.90</v>
      </c>
      <c r="B4956" s="2" t="str">
        <f>"OUTROS"</f>
        <v>OUTROS</v>
      </c>
    </row>
    <row r="4957" spans="1:2">
      <c r="A4957" s="1" t="str">
        <f>"4009.21.10"</f>
        <v>4009.21.10</v>
      </c>
      <c r="B4957" s="2" t="str">
        <f>"C/ PRESSÃO RUPT SUPER/IGUAL 17,3MPA"</f>
        <v>C/ PRESSÃO RUPT SUPER/IGUAL 17,3MPA</v>
      </c>
    </row>
    <row r="4958" spans="1:2">
      <c r="A4958" s="1" t="str">
        <f>"4009.21.90"</f>
        <v>4009.21.90</v>
      </c>
      <c r="B4958" s="2" t="str">
        <f>"OUTROS"</f>
        <v>OUTROS</v>
      </c>
    </row>
    <row r="4959" spans="1:2">
      <c r="A4959" s="1" t="str">
        <f>"4009.22.10"</f>
        <v>4009.22.10</v>
      </c>
      <c r="B4959" s="2" t="str">
        <f>"C/ PRESSÃO RUPT SUPER/IGUAL 17,3MPA"</f>
        <v>C/ PRESSÃO RUPT SUPER/IGUAL 17,3MPA</v>
      </c>
    </row>
    <row r="4960" spans="1:2">
      <c r="A4960" s="1" t="str">
        <f>"4009.22.90"</f>
        <v>4009.22.90</v>
      </c>
      <c r="B4960" s="2" t="str">
        <f>"OUTROS"</f>
        <v>OUTROS</v>
      </c>
    </row>
    <row r="4961" spans="1:2">
      <c r="A4961" s="1" t="str">
        <f>"4009.31.00"</f>
        <v>4009.31.00</v>
      </c>
      <c r="B4961" s="2" t="str">
        <f>"SEM ACESSÓRIOS"</f>
        <v>SEM ACESSÓRIOS</v>
      </c>
    </row>
    <row r="4962" spans="1:2">
      <c r="A4962" s="1" t="str">
        <f>"4009.32.10"</f>
        <v>4009.32.10</v>
      </c>
      <c r="B4962" s="2" t="str">
        <f>"Com uma pressao de ruptura igual ou"</f>
        <v>Com uma pressao de ruptura igual ou</v>
      </c>
    </row>
    <row r="4963" spans="1:2">
      <c r="A4963" s="1" t="str">
        <f>"4009.32.90"</f>
        <v>4009.32.90</v>
      </c>
      <c r="B4963" s="2" t="str">
        <f>"OUTROS"</f>
        <v>OUTROS</v>
      </c>
    </row>
    <row r="4964" spans="1:2">
      <c r="A4964" s="1" t="str">
        <f>"4009.41.00"</f>
        <v>4009.41.00</v>
      </c>
      <c r="B4964" s="2" t="str">
        <f>"OUTROS"</f>
        <v>OUTROS</v>
      </c>
    </row>
    <row r="4965" spans="1:2">
      <c r="A4965" s="1" t="str">
        <f>"4009.42.10"</f>
        <v>4009.42.10</v>
      </c>
      <c r="B4965" s="2" t="str">
        <f>"Com uma pressao de ruptura igual ou"</f>
        <v>Com uma pressao de ruptura igual ou</v>
      </c>
    </row>
    <row r="4966" spans="1:2">
      <c r="A4966" s="1" t="str">
        <f>"4009.42.90"</f>
        <v>4009.42.90</v>
      </c>
      <c r="B4966" s="2" t="str">
        <f>"MANGUEIRAS"</f>
        <v>MANGUEIRAS</v>
      </c>
    </row>
    <row r="4967" spans="1:2">
      <c r="A4967" s="1" t="str">
        <f>"4010.11.00"</f>
        <v>4010.11.00</v>
      </c>
      <c r="B4967" s="2" t="str">
        <f>"Reforcadas apenas com metal"</f>
        <v>Reforcadas apenas com metal</v>
      </c>
    </row>
    <row r="4968" spans="1:2">
      <c r="A4968" s="1" t="str">
        <f>"4010.12.00"</f>
        <v>4010.12.00</v>
      </c>
      <c r="B4968" s="2" t="str">
        <f>"Reforcadas apenas com materias text"</f>
        <v>Reforcadas apenas com materias text</v>
      </c>
    </row>
    <row r="4969" spans="1:2">
      <c r="A4969" s="1" t="str">
        <f>"4010.19.00"</f>
        <v>4010.19.00</v>
      </c>
      <c r="B4969" s="2" t="str">
        <f>"OUTRAS"</f>
        <v>OUTRAS</v>
      </c>
    </row>
    <row r="4970" spans="1:2">
      <c r="A4970" s="1" t="str">
        <f>"4010.31.00"</f>
        <v>4010.31.00</v>
      </c>
      <c r="B4970" s="2" t="str">
        <f>"CORREIAS DE TRANSMISSÃO SEM FIM"</f>
        <v>CORREIAS DE TRANSMISSÃO SEM FIM</v>
      </c>
    </row>
    <row r="4971" spans="1:2">
      <c r="A4971" s="1" t="str">
        <f>"4010.32.00"</f>
        <v>4010.32.00</v>
      </c>
      <c r="B4971" s="2" t="str">
        <f>"CORREIAS DE TRANSMISSÃO SEM FIM"</f>
        <v>CORREIAS DE TRANSMISSÃO SEM FIM</v>
      </c>
    </row>
    <row r="4972" spans="1:2">
      <c r="A4972" s="1" t="str">
        <f>"4010.33.00"</f>
        <v>4010.33.00</v>
      </c>
      <c r="B4972" s="2" t="str">
        <f>"Correias de transmissao sem fim, de"</f>
        <v>Correias de transmissao sem fim, de</v>
      </c>
    </row>
    <row r="4973" spans="1:2">
      <c r="A4973" s="1" t="str">
        <f>"4010.34.00"</f>
        <v>4010.34.00</v>
      </c>
      <c r="B4973" s="2" t="str">
        <f>"Correias de transmissao sem fim, de"</f>
        <v>Correias de transmissao sem fim, de</v>
      </c>
    </row>
    <row r="4974" spans="1:2">
      <c r="A4974" s="1" t="str">
        <f>"4010.35.00"</f>
        <v>4010.35.00</v>
      </c>
      <c r="B4974" s="2" t="str">
        <f>"CORREIAS DE TRANSMISSÃO SEM FIM"</f>
        <v>CORREIAS DE TRANSMISSÃO SEM FIM</v>
      </c>
    </row>
    <row r="4975" spans="1:2">
      <c r="A4975" s="1" t="str">
        <f>"4010.36.00"</f>
        <v>4010.36.00</v>
      </c>
      <c r="B4975" s="2" t="str">
        <f>"Correias de transmissao sem fim, si"</f>
        <v>Correias de transmissao sem fim, si</v>
      </c>
    </row>
    <row r="4976" spans="1:2">
      <c r="A4976" s="1" t="str">
        <f>"4010.39.00"</f>
        <v>4010.39.00</v>
      </c>
      <c r="B4976" s="2" t="str">
        <f>"OUTRAS"</f>
        <v>OUTRAS</v>
      </c>
    </row>
    <row r="4977" spans="1:2">
      <c r="A4977" s="1" t="str">
        <f>"4011.10.00"</f>
        <v>4011.10.00</v>
      </c>
      <c r="B4977" s="2" t="str">
        <f>"UTILIZADOS AUTOMOVEIS DE PASSAGEIRO"</f>
        <v>UTILIZADOS AUTOMOVEIS DE PASSAGEIRO</v>
      </c>
    </row>
    <row r="4978" spans="1:2">
      <c r="A4978" s="1" t="str">
        <f>"4011.20.10"</f>
        <v>4011.20.10</v>
      </c>
      <c r="B4978" s="2" t="str">
        <f>"De medida 11,00-24"</f>
        <v>De medida 11,00-24</v>
      </c>
    </row>
    <row r="4979" spans="1:2">
      <c r="A4979" s="1" t="str">
        <f>"4011.20.90"</f>
        <v>4011.20.90</v>
      </c>
      <c r="B4979" s="2" t="str">
        <f>"Outros"</f>
        <v>Outros</v>
      </c>
    </row>
    <row r="4980" spans="1:2">
      <c r="A4980" s="1" t="str">
        <f>"4011.30.00"</f>
        <v>4011.30.00</v>
      </c>
      <c r="B4980" s="2" t="str">
        <f>"Do tipo utilizado em veiculos aereo"</f>
        <v>Do tipo utilizado em veiculos aereo</v>
      </c>
    </row>
    <row r="4981" spans="1:2">
      <c r="A4981" s="1" t="str">
        <f>"4011.40.00"</f>
        <v>4011.40.00</v>
      </c>
      <c r="B4981" s="2" t="str">
        <f>"Do tipo utilizado em motocicletas"</f>
        <v>Do tipo utilizado em motocicletas</v>
      </c>
    </row>
    <row r="4982" spans="1:2">
      <c r="A4982" s="1" t="str">
        <f>"4011.50.00"</f>
        <v>4011.50.00</v>
      </c>
      <c r="B4982" s="2" t="str">
        <f>"Do tipo utilizado em bicicletas"</f>
        <v>Do tipo utilizado em bicicletas</v>
      </c>
    </row>
    <row r="4983" spans="1:2">
      <c r="A4983" s="1" t="str">
        <f>"4011.62.00"</f>
        <v>4011.62.00</v>
      </c>
      <c r="B4983" s="2" t="str">
        <f>"INATIVO"</f>
        <v>INATIVO</v>
      </c>
    </row>
    <row r="4984" spans="1:2">
      <c r="A4984" s="1" t="str">
        <f>"4011.70.10"</f>
        <v>4011.70.10</v>
      </c>
      <c r="B4984" s="9" t="s">
        <v>3</v>
      </c>
    </row>
    <row r="4985" spans="1:2">
      <c r="A4985" s="1" t="str">
        <f>"4011.70.90"</f>
        <v>4011.70.90</v>
      </c>
      <c r="B4985" s="2" t="str">
        <f>"Outros"</f>
        <v>Outros</v>
      </c>
    </row>
    <row r="4986" spans="1:2">
      <c r="A4986" s="1" t="str">
        <f>"4011.80.10"</f>
        <v>4011.80.10</v>
      </c>
      <c r="B4986" s="2" t="str">
        <f>"Radiais, para dumpers concebidos pa"</f>
        <v>Radiais, para dumpers concebidos pa</v>
      </c>
    </row>
    <row r="4987" spans="1:2">
      <c r="A4987" s="1" t="str">
        <f>"4011.80.20"</f>
        <v>4011.80.20</v>
      </c>
      <c r="B4987" s="2" t="str">
        <f>"Outros, com secao de largura igual"</f>
        <v>Outros, com secao de largura igual</v>
      </c>
    </row>
    <row r="4988" spans="1:2">
      <c r="A4988" s="1" t="str">
        <f>"4011.80.90"</f>
        <v>4011.80.90</v>
      </c>
      <c r="B4988" s="2" t="str">
        <f>"Outros"</f>
        <v>Outros</v>
      </c>
    </row>
    <row r="4989" spans="1:2">
      <c r="A4989" s="1" t="str">
        <f>"4011.90.10"</f>
        <v>4011.90.10</v>
      </c>
      <c r="B4989" s="2" t="str">
        <f>"Com secao de largura igual ou super"</f>
        <v>Com secao de largura igual ou super</v>
      </c>
    </row>
    <row r="4990" spans="1:2">
      <c r="A4990" s="1" t="str">
        <f>"4011.90.90"</f>
        <v>4011.90.90</v>
      </c>
      <c r="B4990" s="2" t="str">
        <f>"OUTROS"</f>
        <v>OUTROS</v>
      </c>
    </row>
    <row r="4991" spans="1:2">
      <c r="A4991" s="1" t="str">
        <f>"4011.93.00"</f>
        <v>4011.93.00</v>
      </c>
      <c r="B4991" s="2" t="str">
        <f>"INATIVO"</f>
        <v>INATIVO</v>
      </c>
    </row>
    <row r="4992" spans="1:2">
      <c r="A4992" s="1" t="str">
        <f>"4011.99.90"</f>
        <v>4011.99.90</v>
      </c>
      <c r="B4992" s="2" t="str">
        <f>"INATIVO"</f>
        <v>INATIVO</v>
      </c>
    </row>
    <row r="4993" spans="1:2">
      <c r="A4993" s="1" t="str">
        <f>"4012.11.00"</f>
        <v>4012.11.00</v>
      </c>
      <c r="B4993" s="2" t="str">
        <f>"Do tipo utilizado em automoveis de"</f>
        <v>Do tipo utilizado em automoveis de</v>
      </c>
    </row>
    <row r="4994" spans="1:2">
      <c r="A4994" s="1" t="str">
        <f>"4012.12.00"</f>
        <v>4012.12.00</v>
      </c>
      <c r="B4994" s="2" t="str">
        <f>"Do tipo utilizado em onibus (autoca"</f>
        <v>Do tipo utilizado em onibus (autoca</v>
      </c>
    </row>
    <row r="4995" spans="1:2">
      <c r="A4995" s="1" t="str">
        <f>"4012.13.00"</f>
        <v>4012.13.00</v>
      </c>
      <c r="B4995" s="2" t="str">
        <f>"Do tipo utilizado em veiculos aereo"</f>
        <v>Do tipo utilizado em veiculos aereo</v>
      </c>
    </row>
    <row r="4996" spans="1:2">
      <c r="A4996" s="1" t="str">
        <f>"4012.19.00"</f>
        <v>4012.19.00</v>
      </c>
      <c r="B4996" s="2" t="str">
        <f>"Outros"</f>
        <v>Outros</v>
      </c>
    </row>
    <row r="4997" spans="1:2">
      <c r="A4997" s="1" t="str">
        <f>"4012.20.00"</f>
        <v>4012.20.00</v>
      </c>
      <c r="B4997" s="2" t="str">
        <f>"Pneumaticos usados"</f>
        <v>Pneumaticos usados</v>
      </c>
    </row>
    <row r="4998" spans="1:2">
      <c r="A4998" s="1" t="str">
        <f>"4012.90.10"</f>
        <v>4012.90.10</v>
      </c>
      <c r="B4998" s="2" t="str">
        <f>"Flaps"</f>
        <v>Flaps</v>
      </c>
    </row>
    <row r="4999" spans="1:2">
      <c r="A4999" s="1" t="str">
        <f>"4012.90.90"</f>
        <v>4012.90.90</v>
      </c>
      <c r="B4999" s="2" t="str">
        <f>"OUTROS"</f>
        <v>OUTROS</v>
      </c>
    </row>
    <row r="5000" spans="1:2">
      <c r="A5000" s="1" t="str">
        <f>"4013.10.10"</f>
        <v>4013.10.10</v>
      </c>
      <c r="B5000" s="2" t="str">
        <f>"Para pneumaticos do tipo utilizado"</f>
        <v>Para pneumaticos do tipo utilizado</v>
      </c>
    </row>
    <row r="5001" spans="1:2">
      <c r="A5001" s="1" t="str">
        <f>"4013.10.90"</f>
        <v>4013.10.90</v>
      </c>
      <c r="B5001" s="2" t="str">
        <f>"Outras"</f>
        <v>Outras</v>
      </c>
    </row>
    <row r="5002" spans="1:2">
      <c r="A5002" s="1" t="str">
        <f>"4013.20.00"</f>
        <v>4013.20.00</v>
      </c>
      <c r="B5002" s="2" t="str">
        <f>"Do tipo utilizado em bicicletas"</f>
        <v>Do tipo utilizado em bicicletas</v>
      </c>
    </row>
    <row r="5003" spans="1:2">
      <c r="A5003" s="1" t="str">
        <f>"4013.90.00"</f>
        <v>4013.90.00</v>
      </c>
      <c r="B5003" s="2" t="str">
        <f>"OUTRAS"</f>
        <v>OUTRAS</v>
      </c>
    </row>
    <row r="5004" spans="1:2">
      <c r="A5004" s="1" t="str">
        <f>"4014.10.00"</f>
        <v>4014.10.00</v>
      </c>
      <c r="B5004" s="2" t="str">
        <f>"Preservativos"</f>
        <v>Preservativos</v>
      </c>
    </row>
    <row r="5005" spans="1:2">
      <c r="A5005" s="1" t="str">
        <f>"4014.90.10"</f>
        <v>4014.90.10</v>
      </c>
      <c r="B5005" s="2" t="str">
        <f>"Bolsas para gelo ou para agua quent"</f>
        <v>Bolsas para gelo ou para agua quent</v>
      </c>
    </row>
    <row r="5006" spans="1:2">
      <c r="A5006" s="1" t="str">
        <f>"4014.90.90"</f>
        <v>4014.90.90</v>
      </c>
      <c r="B5006" s="2" t="str">
        <f>"Outros"</f>
        <v>Outros</v>
      </c>
    </row>
    <row r="5007" spans="1:2">
      <c r="A5007" s="1" t="str">
        <f>"4015.11.00"</f>
        <v>4015.11.00</v>
      </c>
      <c r="B5007" s="2" t="str">
        <f>"Para cirurgia"</f>
        <v>Para cirurgia</v>
      </c>
    </row>
    <row r="5008" spans="1:2">
      <c r="A5008" s="1" t="str">
        <f>"4015.19.00"</f>
        <v>4015.19.00</v>
      </c>
      <c r="B5008" s="2" t="str">
        <f>"LUVA LATEX"</f>
        <v>LUVA LATEX</v>
      </c>
    </row>
    <row r="5009" spans="1:2">
      <c r="A5009" s="1" t="str">
        <f>"4015.90.00"</f>
        <v>4015.90.00</v>
      </c>
      <c r="B5009" s="2" t="str">
        <f>"OUTROS"</f>
        <v>OUTROS</v>
      </c>
    </row>
    <row r="5010" spans="1:2">
      <c r="A5010" s="1" t="str">
        <f>"4016.10.10"</f>
        <v>4016.10.10</v>
      </c>
      <c r="B5010" s="2" t="str">
        <f>"BEXIGA"</f>
        <v>BEXIGA</v>
      </c>
    </row>
    <row r="5011" spans="1:2">
      <c r="A5011" s="1" t="str">
        <f>"4016.10.90"</f>
        <v>4016.10.90</v>
      </c>
      <c r="B5011" s="2" t="str">
        <f>"OUTROS - CILINDROS PRESSORES"</f>
        <v>OUTROS - CILINDROS PRESSORES</v>
      </c>
    </row>
    <row r="5012" spans="1:2">
      <c r="A5012" s="1" t="str">
        <f>"4016.91.00"</f>
        <v>4016.91.00</v>
      </c>
      <c r="B5012" s="2" t="str">
        <f>"Revestimentos para pisos (pavimento"</f>
        <v>Revestimentos para pisos (pavimento</v>
      </c>
    </row>
    <row r="5013" spans="1:2">
      <c r="A5013" s="1" t="str">
        <f>"4016.92.00"</f>
        <v>4016.92.00</v>
      </c>
      <c r="B5013" s="2" t="str">
        <f>"BORRACHAS DE APAGAR"</f>
        <v>BORRACHAS DE APAGAR</v>
      </c>
    </row>
    <row r="5014" spans="1:2">
      <c r="A5014" s="1" t="str">
        <f>"4016.93.00"</f>
        <v>4016.93.00</v>
      </c>
      <c r="B5014" s="2" t="str">
        <f>"JUNTAS, VEDAÇÃO, GAVETAS"</f>
        <v>JUNTAS, VEDAÇÃO, GAVETAS</v>
      </c>
    </row>
    <row r="5015" spans="1:2">
      <c r="A5015" s="1" t="str">
        <f>"4016.94.00"</f>
        <v>4016.94.00</v>
      </c>
      <c r="B5015" s="2" t="str">
        <f>"Defensas, mesmo inflaveis, para atr"</f>
        <v>Defensas, mesmo inflaveis, para atr</v>
      </c>
    </row>
    <row r="5016" spans="1:2">
      <c r="A5016" s="1" t="str">
        <f>"4016.95.10"</f>
        <v>4016.95.10</v>
      </c>
      <c r="B5016" s="2" t="str">
        <f>"De salvamento"</f>
        <v>De salvamento</v>
      </c>
    </row>
    <row r="5017" spans="1:2">
      <c r="A5017" s="1" t="str">
        <f>"4016.95.90"</f>
        <v>4016.95.90</v>
      </c>
      <c r="B5017" s="2" t="str">
        <f>"Outros"</f>
        <v>Outros</v>
      </c>
    </row>
    <row r="5018" spans="1:2">
      <c r="A5018" s="1" t="str">
        <f>"4016.99.10"</f>
        <v>4016.99.10</v>
      </c>
      <c r="B5018" s="2" t="str">
        <f>"Tampoes vedadores para capacitores,"</f>
        <v>Tampoes vedadores para capacitores,</v>
      </c>
    </row>
    <row r="5019" spans="1:2">
      <c r="A5019" s="1" t="str">
        <f>"4016.99.90"</f>
        <v>4016.99.90</v>
      </c>
      <c r="B5019" s="2" t="str">
        <f>"Outras"</f>
        <v>Outras</v>
      </c>
    </row>
    <row r="5020" spans="1:2">
      <c r="A5020" s="1" t="str">
        <f>"4017.00.00"</f>
        <v>4017.00.00</v>
      </c>
      <c r="B5020" s="2" t="str">
        <f>"Borracha endurecida (ebonite, por e"</f>
        <v>Borracha endurecida (ebonite, por e</v>
      </c>
    </row>
    <row r="5021" spans="1:2">
      <c r="A5021" s="1" t="str">
        <f>"4101.20.00"</f>
        <v>4101.20.00</v>
      </c>
      <c r="B5021" s="2" t="str">
        <f>"Couros e peles em bruto, inteiros,"</f>
        <v>Couros e peles em bruto, inteiros,</v>
      </c>
    </row>
    <row r="5022" spans="1:2">
      <c r="A5022" s="1" t="str">
        <f>"4101.50.10"</f>
        <v>4101.50.10</v>
      </c>
      <c r="B5022" s="2" t="str">
        <f>"Sem dividir"</f>
        <v>Sem dividir</v>
      </c>
    </row>
    <row r="5023" spans="1:2">
      <c r="A5023" s="1" t="str">
        <f>"4101.50.20"</f>
        <v>4101.50.20</v>
      </c>
      <c r="B5023" s="2" t="str">
        <f>"Divididos, com o lado flor"</f>
        <v>Divididos, com o lado flor</v>
      </c>
    </row>
    <row r="5024" spans="1:2">
      <c r="A5024" s="1" t="str">
        <f>"4101.50.30"</f>
        <v>4101.50.30</v>
      </c>
      <c r="B5024" s="2" t="str">
        <f>"Divididos, sem o lado flor"</f>
        <v>Divididos, sem o lado flor</v>
      </c>
    </row>
    <row r="5025" spans="1:2">
      <c r="A5025" s="1" t="str">
        <f>"4101.90.10"</f>
        <v>4101.90.10</v>
      </c>
      <c r="B5025" s="2" t="str">
        <f>"Sem dividir"</f>
        <v>Sem dividir</v>
      </c>
    </row>
    <row r="5026" spans="1:2">
      <c r="A5026" s="1" t="str">
        <f>"4101.90.20"</f>
        <v>4101.90.20</v>
      </c>
      <c r="B5026" s="2" t="str">
        <f>"Divididos, com o lado flor"</f>
        <v>Divididos, com o lado flor</v>
      </c>
    </row>
    <row r="5027" spans="1:2">
      <c r="A5027" s="1" t="str">
        <f>"4101.90.30"</f>
        <v>4101.90.30</v>
      </c>
      <c r="B5027" s="2" t="str">
        <f>"Divididos, sem o lado flor"</f>
        <v>Divididos, sem o lado flor</v>
      </c>
    </row>
    <row r="5028" spans="1:2">
      <c r="A5028" s="1" t="str">
        <f>"4102.00.85"</f>
        <v>4102.00.85</v>
      </c>
      <c r="B5028" s="2" t="str">
        <f>"INATIVA - FACAS CIRCULAR"</f>
        <v>INATIVA - FACAS CIRCULAR</v>
      </c>
    </row>
    <row r="5029" spans="1:2">
      <c r="A5029" s="1" t="str">
        <f>"4102.01.06"</f>
        <v>4102.01.06</v>
      </c>
      <c r="B5029" s="2" t="str">
        <f>"INATIVA - CONTRA FACAS"</f>
        <v>INATIVA - CONTRA FACAS</v>
      </c>
    </row>
    <row r="5030" spans="1:2">
      <c r="A5030" s="1" t="str">
        <f>"4102.10.00"</f>
        <v>4102.10.00</v>
      </c>
      <c r="B5030" s="2" t="str">
        <f>"Com la (nao depiladas)"</f>
        <v>Com la (nao depiladas)</v>
      </c>
    </row>
    <row r="5031" spans="1:2">
      <c r="A5031" s="1" t="str">
        <f>"4102.21.00"</f>
        <v>4102.21.00</v>
      </c>
      <c r="B5031" s="2" t="str">
        <f>"Piqueladas"</f>
        <v>Piqueladas</v>
      </c>
    </row>
    <row r="5032" spans="1:2">
      <c r="A5032" s="1" t="str">
        <f>"4102.29.00"</f>
        <v>4102.29.00</v>
      </c>
      <c r="B5032" s="2" t="str">
        <f>"Outras"</f>
        <v>Outras</v>
      </c>
    </row>
    <row r="5033" spans="1:2">
      <c r="A5033" s="1" t="str">
        <f>"4103.20.00"</f>
        <v>4103.20.00</v>
      </c>
      <c r="B5033" s="2" t="str">
        <f>"De repteis"</f>
        <v>De repteis</v>
      </c>
    </row>
    <row r="5034" spans="1:2">
      <c r="A5034" s="1" t="str">
        <f>"4103.30.00"</f>
        <v>4103.30.00</v>
      </c>
      <c r="B5034" s="2" t="str">
        <f>"De suinos"</f>
        <v>De suinos</v>
      </c>
    </row>
    <row r="5035" spans="1:2">
      <c r="A5035" s="1" t="str">
        <f>"4103.90.00"</f>
        <v>4103.90.00</v>
      </c>
      <c r="B5035" s="2" t="str">
        <f>"Outros"</f>
        <v>Outros</v>
      </c>
    </row>
    <row r="5036" spans="1:2">
      <c r="A5036" s="1" t="str">
        <f>"4104.11.11"</f>
        <v>4104.11.11</v>
      </c>
      <c r="B5036" s="2" t="str">
        <f>"Couros e peles inteiros, de bovinos"</f>
        <v>Couros e peles inteiros, de bovinos</v>
      </c>
    </row>
    <row r="5037" spans="1:2">
      <c r="A5037" s="1" t="str">
        <f>"4104.11.12"</f>
        <v>4104.11.12</v>
      </c>
      <c r="B5037" s="2" t="str">
        <f>"Outros couros e peles inteiros, de"</f>
        <v>Outros couros e peles inteiros, de</v>
      </c>
    </row>
    <row r="5038" spans="1:2">
      <c r="A5038" s="1" t="str">
        <f>"4104.11.13"</f>
        <v>4104.11.13</v>
      </c>
      <c r="B5038" s="2" t="str">
        <f>"Outros couros e peles de bovinos (i"</f>
        <v>Outros couros e peles de bovinos (i</v>
      </c>
    </row>
    <row r="5039" spans="1:2">
      <c r="A5039" s="1" t="str">
        <f>"4104.11.14"</f>
        <v>4104.11.14</v>
      </c>
      <c r="B5039" s="2" t="str">
        <f>"Outros couros e peles de bovinos (i"</f>
        <v>Outros couros e peles de bovinos (i</v>
      </c>
    </row>
    <row r="5040" spans="1:2">
      <c r="A5040" s="1" t="str">
        <f>"4104.11.19"</f>
        <v>4104.11.19</v>
      </c>
      <c r="B5040" s="2" t="str">
        <f>"Outros"</f>
        <v>Outros</v>
      </c>
    </row>
    <row r="5041" spans="1:2">
      <c r="A5041" s="1" t="str">
        <f>"4104.11.21"</f>
        <v>4104.11.21</v>
      </c>
      <c r="B5041" s="2" t="str">
        <f>"Couros e peles inteiros, de bovinos"</f>
        <v>Couros e peles inteiros, de bovinos</v>
      </c>
    </row>
    <row r="5042" spans="1:2">
      <c r="A5042" s="1" t="str">
        <f>"4104.11.22"</f>
        <v>4104.11.22</v>
      </c>
      <c r="B5042" s="2" t="str">
        <f>"Outros couros e peles inteiros, de"</f>
        <v>Outros couros e peles inteiros, de</v>
      </c>
    </row>
    <row r="5043" spans="1:2">
      <c r="A5043" s="1" t="str">
        <f>"4104.11.23"</f>
        <v>4104.11.23</v>
      </c>
      <c r="B5043" s="2" t="str">
        <f>"Outros couros e peles de bovinos (i"</f>
        <v>Outros couros e peles de bovinos (i</v>
      </c>
    </row>
    <row r="5044" spans="1:2">
      <c r="A5044" s="1" t="str">
        <f>"4104.11.24"</f>
        <v>4104.11.24</v>
      </c>
      <c r="B5044" s="2" t="str">
        <f>"Outros couros e peles de bovinos (i"</f>
        <v>Outros couros e peles de bovinos (i</v>
      </c>
    </row>
    <row r="5045" spans="1:2">
      <c r="A5045" s="1" t="str">
        <f>"4104.11.29"</f>
        <v>4104.11.29</v>
      </c>
      <c r="B5045" s="2" t="str">
        <f>"Outros"</f>
        <v>Outros</v>
      </c>
    </row>
    <row r="5046" spans="1:2">
      <c r="A5046" s="1" t="str">
        <f>"4104.19.10"</f>
        <v>4104.19.10</v>
      </c>
      <c r="B5046" s="2" t="str">
        <f>"Couros e peles inteiros, de bovinos"</f>
        <v>Couros e peles inteiros, de bovinos</v>
      </c>
    </row>
    <row r="5047" spans="1:2">
      <c r="A5047" s="1" t="str">
        <f>"4104.19.20"</f>
        <v>4104.19.20</v>
      </c>
      <c r="B5047" s="2" t="str">
        <f>"Outros couros e peles inteiros, de"</f>
        <v>Outros couros e peles inteiros, de</v>
      </c>
    </row>
    <row r="5048" spans="1:2">
      <c r="A5048" s="1" t="str">
        <f>"4104.19.30"</f>
        <v>4104.19.30</v>
      </c>
      <c r="B5048" s="2" t="str">
        <f>"Outros couros e peles de bovinos (i"</f>
        <v>Outros couros e peles de bovinos (i</v>
      </c>
    </row>
    <row r="5049" spans="1:2">
      <c r="A5049" s="1" t="str">
        <f>"4104.19.40"</f>
        <v>4104.19.40</v>
      </c>
      <c r="B5049" s="2" t="str">
        <f>"Outros couros e peles de bovinos (i"</f>
        <v>Outros couros e peles de bovinos (i</v>
      </c>
    </row>
    <row r="5050" spans="1:2">
      <c r="A5050" s="1" t="str">
        <f>"4104.19.90"</f>
        <v>4104.19.90</v>
      </c>
      <c r="B5050" s="2" t="str">
        <f>"Outros"</f>
        <v>Outros</v>
      </c>
    </row>
    <row r="5051" spans="1:2">
      <c r="A5051" s="1" t="str">
        <f>"4104.41.10"</f>
        <v>4104.41.10</v>
      </c>
      <c r="B5051" s="2" t="str">
        <f>"Couros e peles inteiros, de bovinos"</f>
        <v>Couros e peles inteiros, de bovinos</v>
      </c>
    </row>
    <row r="5052" spans="1:2">
      <c r="A5052" s="1" t="str">
        <f>"4104.41.20"</f>
        <v>4104.41.20</v>
      </c>
      <c r="B5052" s="2" t="str">
        <f>"Outros couros e peles de bovinos (i"</f>
        <v>Outros couros e peles de bovinos (i</v>
      </c>
    </row>
    <row r="5053" spans="1:2">
      <c r="A5053" s="1" t="str">
        <f>"4104.41.30"</f>
        <v>4104.41.30</v>
      </c>
      <c r="B5053" s="2" t="str">
        <f>"Outros couros e peles de bovinos (i"</f>
        <v>Outros couros e peles de bovinos (i</v>
      </c>
    </row>
    <row r="5054" spans="1:2">
      <c r="A5054" s="1" t="str">
        <f>"4104.41.90"</f>
        <v>4104.41.90</v>
      </c>
      <c r="B5054" s="2" t="str">
        <f>"Outros"</f>
        <v>Outros</v>
      </c>
    </row>
    <row r="5055" spans="1:2">
      <c r="A5055" s="1" t="str">
        <f>"4104.49.10"</f>
        <v>4104.49.10</v>
      </c>
      <c r="B5055" s="2" t="str">
        <f>"Couros e peles inteiros, de bovinos"</f>
        <v>Couros e peles inteiros, de bovinos</v>
      </c>
    </row>
    <row r="5056" spans="1:2">
      <c r="A5056" s="1" t="str">
        <f>"4104.49.20"</f>
        <v>4104.49.20</v>
      </c>
      <c r="B5056" s="2" t="str">
        <f>"Outros couros e peles de bovinos (i"</f>
        <v>Outros couros e peles de bovinos (i</v>
      </c>
    </row>
    <row r="5057" spans="1:2">
      <c r="A5057" s="1" t="str">
        <f>"4104.49.90"</f>
        <v>4104.49.90</v>
      </c>
      <c r="B5057" s="2" t="str">
        <f>"Outros"</f>
        <v>Outros</v>
      </c>
    </row>
    <row r="5058" spans="1:2">
      <c r="A5058" s="1" t="str">
        <f>"4105.10.10"</f>
        <v>4105.10.10</v>
      </c>
      <c r="B5058" s="2" t="str">
        <f>"Com pre-curtimenta vegetal"</f>
        <v>Com pre-curtimenta vegetal</v>
      </c>
    </row>
    <row r="5059" spans="1:2">
      <c r="A5059" s="1" t="str">
        <f>"4105.10.21"</f>
        <v>4105.10.21</v>
      </c>
      <c r="B5059" s="2" t="str">
        <f>"Ao cromo (wet-blue)"</f>
        <v>Ao cromo (wet-blue)</v>
      </c>
    </row>
    <row r="5060" spans="1:2">
      <c r="A5060" s="1" t="str">
        <f>"4105.10.29"</f>
        <v>4105.10.29</v>
      </c>
      <c r="B5060" s="2" t="str">
        <f>"Outras"</f>
        <v>Outras</v>
      </c>
    </row>
    <row r="5061" spans="1:2">
      <c r="A5061" s="1" t="str">
        <f>"4105.10.90"</f>
        <v>4105.10.90</v>
      </c>
      <c r="B5061" s="2" t="str">
        <f>"Outras"</f>
        <v>Outras</v>
      </c>
    </row>
    <row r="5062" spans="1:2">
      <c r="A5062" s="1" t="str">
        <f>"4105.30.00"</f>
        <v>4105.30.00</v>
      </c>
      <c r="B5062" s="2" t="str">
        <f>"No estado seco (crust)"</f>
        <v>No estado seco (crust)</v>
      </c>
    </row>
    <row r="5063" spans="1:2">
      <c r="A5063" s="1" t="str">
        <f>"4106.21.10"</f>
        <v>4106.21.10</v>
      </c>
      <c r="B5063" s="2" t="str">
        <f>"Com pre-curtimenta vegetal"</f>
        <v>Com pre-curtimenta vegetal</v>
      </c>
    </row>
    <row r="5064" spans="1:2">
      <c r="A5064" s="1" t="str">
        <f>"4106.21.21"</f>
        <v>4106.21.21</v>
      </c>
      <c r="B5064" s="2" t="str">
        <f>"Ao cromo (wet-blue)"</f>
        <v>Ao cromo (wet-blue)</v>
      </c>
    </row>
    <row r="5065" spans="1:2">
      <c r="A5065" s="1" t="str">
        <f>"4106.21.29"</f>
        <v>4106.21.29</v>
      </c>
      <c r="B5065" s="2" t="str">
        <f>"Outros"</f>
        <v>Outros</v>
      </c>
    </row>
    <row r="5066" spans="1:2">
      <c r="A5066" s="1" t="str">
        <f>"4106.21.90"</f>
        <v>4106.21.90</v>
      </c>
      <c r="B5066" s="2" t="str">
        <f>"Outros"</f>
        <v>Outros</v>
      </c>
    </row>
    <row r="5067" spans="1:2">
      <c r="A5067" s="1" t="str">
        <f>"4106.22.00"</f>
        <v>4106.22.00</v>
      </c>
      <c r="B5067" s="2" t="str">
        <f>"No estado seco (crust)"</f>
        <v>No estado seco (crust)</v>
      </c>
    </row>
    <row r="5068" spans="1:2">
      <c r="A5068" s="1" t="str">
        <f>"4106.31.10"</f>
        <v>4106.31.10</v>
      </c>
      <c r="B5068" s="2" t="str">
        <f>"Simplesmente curtidos ao cromo (wet"</f>
        <v>Simplesmente curtidos ao cromo (wet</v>
      </c>
    </row>
    <row r="5069" spans="1:2">
      <c r="A5069" s="1" t="str">
        <f>"4106.31.90"</f>
        <v>4106.31.90</v>
      </c>
      <c r="B5069" s="2" t="str">
        <f>"Outros"</f>
        <v>Outros</v>
      </c>
    </row>
    <row r="5070" spans="1:2">
      <c r="A5070" s="1" t="str">
        <f>"4106.32.00"</f>
        <v>4106.32.00</v>
      </c>
      <c r="B5070" s="2" t="str">
        <f>"No estado seco (crust)"</f>
        <v>No estado seco (crust)</v>
      </c>
    </row>
    <row r="5071" spans="1:2">
      <c r="A5071" s="1" t="str">
        <f>"4106.40.00"</f>
        <v>4106.40.00</v>
      </c>
      <c r="B5071" s="2" t="str">
        <f>"De repteis"</f>
        <v>De repteis</v>
      </c>
    </row>
    <row r="5072" spans="1:2">
      <c r="A5072" s="1" t="str">
        <f>"4106.91.00"</f>
        <v>4106.91.00</v>
      </c>
      <c r="B5072" s="2" t="str">
        <f>"No estado umido (incluindo wet-blue"</f>
        <v>No estado umido (incluindo wet-blue</v>
      </c>
    </row>
    <row r="5073" spans="1:2">
      <c r="A5073" s="1" t="str">
        <f>"4106.92.00"</f>
        <v>4106.92.00</v>
      </c>
      <c r="B5073" s="2" t="str">
        <f>"No estado seco (crust)"</f>
        <v>No estado seco (crust)</v>
      </c>
    </row>
    <row r="5074" spans="1:2">
      <c r="A5074" s="1" t="str">
        <f>"4107.11.10"</f>
        <v>4107.11.10</v>
      </c>
      <c r="B5074" s="2" t="str">
        <f>"Couros e peles de bovinos (incluind"</f>
        <v>Couros e peles de bovinos (incluind</v>
      </c>
    </row>
    <row r="5075" spans="1:2">
      <c r="A5075" s="1" t="str">
        <f>"4107.11.20"</f>
        <v>4107.11.20</v>
      </c>
      <c r="B5075" s="2" t="str">
        <f>"Outros couros e peles de bovinos (i"</f>
        <v>Outros couros e peles de bovinos (i</v>
      </c>
    </row>
    <row r="5076" spans="1:2">
      <c r="A5076" s="1" t="str">
        <f>"4107.11.90"</f>
        <v>4107.11.90</v>
      </c>
      <c r="B5076" s="2" t="str">
        <f>"Outros"</f>
        <v>Outros</v>
      </c>
    </row>
    <row r="5077" spans="1:2">
      <c r="A5077" s="1" t="str">
        <f>"4107.12.10"</f>
        <v>4107.12.10</v>
      </c>
      <c r="B5077" s="2" t="str">
        <f>"Couros e peles de bovinos (incluind"</f>
        <v>Couros e peles de bovinos (incluind</v>
      </c>
    </row>
    <row r="5078" spans="1:2">
      <c r="A5078" s="1" t="str">
        <f>"4107.12.20"</f>
        <v>4107.12.20</v>
      </c>
      <c r="B5078" s="2" t="str">
        <f>"Outros couros e peles de bovinos (i"</f>
        <v>Outros couros e peles de bovinos (i</v>
      </c>
    </row>
    <row r="5079" spans="1:2">
      <c r="A5079" s="1" t="str">
        <f>"4107.12.90"</f>
        <v>4107.12.90</v>
      </c>
      <c r="B5079" s="2" t="str">
        <f>"Outros"</f>
        <v>Outros</v>
      </c>
    </row>
    <row r="5080" spans="1:2">
      <c r="A5080" s="1" t="str">
        <f>"4107.19.10"</f>
        <v>4107.19.10</v>
      </c>
      <c r="B5080" s="2" t="str">
        <f>"Couros e peles de bovinos (incluind"</f>
        <v>Couros e peles de bovinos (incluind</v>
      </c>
    </row>
    <row r="5081" spans="1:2">
      <c r="A5081" s="1" t="str">
        <f>"4107.19.20"</f>
        <v>4107.19.20</v>
      </c>
      <c r="B5081" s="2" t="str">
        <f>"Outros couros e peles de bovinos (i"</f>
        <v>Outros couros e peles de bovinos (i</v>
      </c>
    </row>
    <row r="5082" spans="1:2">
      <c r="A5082" s="1" t="str">
        <f>"4107.19.90"</f>
        <v>4107.19.90</v>
      </c>
      <c r="B5082" s="2" t="str">
        <f>"Outros"</f>
        <v>Outros</v>
      </c>
    </row>
    <row r="5083" spans="1:2">
      <c r="A5083" s="1" t="str">
        <f>"4107.91.10"</f>
        <v>4107.91.10</v>
      </c>
      <c r="B5083" s="2" t="str">
        <f>"De bovinos (incluindo os bufalos)"</f>
        <v>De bovinos (incluindo os bufalos)</v>
      </c>
    </row>
    <row r="5084" spans="1:2">
      <c r="A5084" s="1" t="str">
        <f>"4107.91.90"</f>
        <v>4107.91.90</v>
      </c>
      <c r="B5084" s="2" t="str">
        <f>"Outros"</f>
        <v>Outros</v>
      </c>
    </row>
    <row r="5085" spans="1:2">
      <c r="A5085" s="1" t="str">
        <f>"4107.92.10"</f>
        <v>4107.92.10</v>
      </c>
      <c r="B5085" s="2" t="str">
        <f>"De bovinos (incluindo os bufalos)"</f>
        <v>De bovinos (incluindo os bufalos)</v>
      </c>
    </row>
    <row r="5086" spans="1:2">
      <c r="A5086" s="1" t="str">
        <f>"4107.92.90"</f>
        <v>4107.92.90</v>
      </c>
      <c r="B5086" s="2" t="str">
        <f>"Outros"</f>
        <v>Outros</v>
      </c>
    </row>
    <row r="5087" spans="1:2">
      <c r="A5087" s="1" t="str">
        <f>"4107.99.10"</f>
        <v>4107.99.10</v>
      </c>
      <c r="B5087" s="2" t="str">
        <f>"De bovinos (incluindo os bufalos)"</f>
        <v>De bovinos (incluindo os bufalos)</v>
      </c>
    </row>
    <row r="5088" spans="1:2">
      <c r="A5088" s="1" t="str">
        <f>"4107.99.90"</f>
        <v>4107.99.90</v>
      </c>
      <c r="B5088" s="2" t="str">
        <f>"Outros"</f>
        <v>Outros</v>
      </c>
    </row>
    <row r="5089" spans="1:2">
      <c r="A5089" s="1" t="str">
        <f>"4112.00.00"</f>
        <v>4112.00.00</v>
      </c>
      <c r="B5089" s="2" t="str">
        <f>"Couros preparados apos curtimenta o"</f>
        <v>Couros preparados apos curtimenta o</v>
      </c>
    </row>
    <row r="5090" spans="1:2">
      <c r="A5090" s="1" t="str">
        <f>"4113.10.10"</f>
        <v>4113.10.10</v>
      </c>
      <c r="B5090" s="2" t="str">
        <f>"Curtidos ao cromo, com acabamento"</f>
        <v>Curtidos ao cromo, com acabamento</v>
      </c>
    </row>
    <row r="5091" spans="1:2">
      <c r="A5091" s="1" t="str">
        <f>"4113.10.90"</f>
        <v>4113.10.90</v>
      </c>
      <c r="B5091" s="2" t="str">
        <f>"Outros"</f>
        <v>Outros</v>
      </c>
    </row>
    <row r="5092" spans="1:2">
      <c r="A5092" s="1" t="str">
        <f>"4113.20.00"</f>
        <v>4113.20.00</v>
      </c>
      <c r="B5092" s="2" t="str">
        <f>"De suinos"</f>
        <v>De suinos</v>
      </c>
    </row>
    <row r="5093" spans="1:2">
      <c r="A5093" s="1" t="str">
        <f>"4113.30.00"</f>
        <v>4113.30.00</v>
      </c>
      <c r="B5093" s="2" t="str">
        <f>"De repteis"</f>
        <v>De repteis</v>
      </c>
    </row>
    <row r="5094" spans="1:2">
      <c r="A5094" s="1" t="str">
        <f>"4113.90.00"</f>
        <v>4113.90.00</v>
      </c>
      <c r="B5094" s="2" t="str">
        <f>"Outros"</f>
        <v>Outros</v>
      </c>
    </row>
    <row r="5095" spans="1:2">
      <c r="A5095" s="1" t="str">
        <f>"4114.10.00"</f>
        <v>4114.10.00</v>
      </c>
      <c r="B5095" s="2" t="str">
        <f>"Couros e peles acamurcados (incluin"</f>
        <v>Couros e peles acamurcados (incluin</v>
      </c>
    </row>
    <row r="5096" spans="1:2">
      <c r="A5096" s="1" t="str">
        <f>"4114.20.10"</f>
        <v>4114.20.10</v>
      </c>
      <c r="B5096" s="2" t="str">
        <f>"Envernizados ou revestidos"</f>
        <v>Envernizados ou revestidos</v>
      </c>
    </row>
    <row r="5097" spans="1:2">
      <c r="A5097" s="1" t="str">
        <f>"4114.20.20"</f>
        <v>4114.20.20</v>
      </c>
      <c r="B5097" s="2" t="str">
        <f>"Metalizados"</f>
        <v>Metalizados</v>
      </c>
    </row>
    <row r="5098" spans="1:2">
      <c r="A5098" s="1" t="str">
        <f>"4115.10.00"</f>
        <v>4115.10.00</v>
      </c>
      <c r="B5098" s="2" t="str">
        <f>"Couro reconstituido a base de couro"</f>
        <v>Couro reconstituido a base de couro</v>
      </c>
    </row>
    <row r="5099" spans="1:2">
      <c r="A5099" s="1" t="str">
        <f>"4115.20.00"</f>
        <v>4115.20.00</v>
      </c>
      <c r="B5099" s="2" t="str">
        <f>"Aparas e outros desperdicios de cou"</f>
        <v>Aparas e outros desperdicios de cou</v>
      </c>
    </row>
    <row r="5100" spans="1:2">
      <c r="A5100" s="1" t="str">
        <f>"4121.90.00"</f>
        <v>4121.90.00</v>
      </c>
      <c r="B5100" s="2" t="str">
        <f>"INATIVO"</f>
        <v>INATIVO</v>
      </c>
    </row>
    <row r="5101" spans="1:2">
      <c r="A5101" s="1" t="str">
        <f>"4201.00.10"</f>
        <v>4201.00.10</v>
      </c>
      <c r="B5101" s="2" t="str">
        <f>"De couro natural ou reconstituido"</f>
        <v>De couro natural ou reconstituido</v>
      </c>
    </row>
    <row r="5102" spans="1:2">
      <c r="A5102" s="1" t="str">
        <f>"4201.00.90"</f>
        <v>4201.00.90</v>
      </c>
      <c r="B5102" s="2" t="str">
        <f>"Outros"</f>
        <v>Outros</v>
      </c>
    </row>
    <row r="5103" spans="1:2">
      <c r="A5103" s="1" t="str">
        <f>"4202.11.00"</f>
        <v>4202.11.00</v>
      </c>
      <c r="B5103" s="2" t="str">
        <f>"COM A SUPERFÍCIE EXTERIOR DE COURO"</f>
        <v>COM A SUPERFÍCIE EXTERIOR DE COURO</v>
      </c>
    </row>
    <row r="5104" spans="1:2">
      <c r="A5104" s="1" t="str">
        <f>"4202.12.10"</f>
        <v>4202.12.10</v>
      </c>
      <c r="B5104" s="2" t="str">
        <f>"DE PLASTICOS - PASTAS"</f>
        <v>DE PLASTICOS - PASTAS</v>
      </c>
    </row>
    <row r="5105" spans="1:2">
      <c r="A5105" s="1" t="str">
        <f>"4202.12.20"</f>
        <v>4202.12.20</v>
      </c>
      <c r="B5105" s="2" t="str">
        <f>"DE MATÉRIAS TÊXTEIS"</f>
        <v>DE MATÉRIAS TÊXTEIS</v>
      </c>
    </row>
    <row r="5106" spans="1:2">
      <c r="A5106" s="1" t="str">
        <f>"4202.19.00"</f>
        <v>4202.19.00</v>
      </c>
      <c r="B5106" s="2" t="str">
        <f>"SACOLAS"</f>
        <v>SACOLAS</v>
      </c>
    </row>
    <row r="5107" spans="1:2">
      <c r="A5107" s="1" t="str">
        <f>"4202.21.00"</f>
        <v>4202.21.00</v>
      </c>
      <c r="B5107" s="2" t="str">
        <f>"Com a superficie exterior de couro"</f>
        <v>Com a superficie exterior de couro</v>
      </c>
    </row>
    <row r="5108" spans="1:2">
      <c r="A5108" s="1" t="str">
        <f>"4202.22.10"</f>
        <v>4202.22.10</v>
      </c>
      <c r="B5108" s="2" t="str">
        <f>"DE FOLHAS DE PLÁSTICOS"</f>
        <v>DE FOLHAS DE PLÁSTICOS</v>
      </c>
    </row>
    <row r="5109" spans="1:2">
      <c r="A5109" s="1" t="str">
        <f>"4202.22.20"</f>
        <v>4202.22.20</v>
      </c>
      <c r="B5109" s="2" t="str">
        <f>"DE MATÉRIAS TÊXTEIS"</f>
        <v>DE MATÉRIAS TÊXTEIS</v>
      </c>
    </row>
    <row r="5110" spans="1:2">
      <c r="A5110" s="1" t="str">
        <f>"4202.29.00"</f>
        <v>4202.29.00</v>
      </c>
      <c r="B5110" s="2" t="str">
        <f>"OUTRAS - MOCHILAS"</f>
        <v>OUTRAS - MOCHILAS</v>
      </c>
    </row>
    <row r="5111" spans="1:2">
      <c r="A5111" s="1" t="str">
        <f>"4202.31.00"</f>
        <v>4202.31.00</v>
      </c>
      <c r="B5111" s="2" t="str">
        <f>"Com a superficie exterior de couro"</f>
        <v>Com a superficie exterior de couro</v>
      </c>
    </row>
    <row r="5112" spans="1:2">
      <c r="A5112" s="1" t="str">
        <f>"4202.32.00"</f>
        <v>4202.32.00</v>
      </c>
      <c r="B5112" s="2" t="str">
        <f>"CASE PARA NOTBOOK 15"" REALIZA"</f>
        <v>CASE PARA NOTBOOK 15" REALIZA</v>
      </c>
    </row>
    <row r="5113" spans="1:2">
      <c r="A5113" s="1" t="str">
        <f>"4202.39.00"</f>
        <v>4202.39.00</v>
      </c>
      <c r="B5113" s="2" t="str">
        <f>"Outros"</f>
        <v>Outros</v>
      </c>
    </row>
    <row r="5114" spans="1:2">
      <c r="A5114" s="1" t="str">
        <f>"4202.91.00"</f>
        <v>4202.91.00</v>
      </c>
      <c r="B5114" s="2" t="str">
        <f>"COM A SUPERFÍCIE EXTERIOR DE COURO"</f>
        <v>COM A SUPERFÍCIE EXTERIOR DE COURO</v>
      </c>
    </row>
    <row r="5115" spans="1:2">
      <c r="A5115" s="1" t="str">
        <f>"4202.92.00"</f>
        <v>4202.92.00</v>
      </c>
      <c r="B5115" s="2" t="str">
        <f>"COM A SUPERFÍCIE EXTERIOR DE FOLHAS"</f>
        <v>COM A SUPERFÍCIE EXTERIOR DE FOLHAS</v>
      </c>
    </row>
    <row r="5116" spans="1:2">
      <c r="A5116" s="1" t="str">
        <f>"4202.99.00"</f>
        <v>4202.99.00</v>
      </c>
      <c r="B5116" s="2" t="str">
        <f>"OUTROS"</f>
        <v>OUTROS</v>
      </c>
    </row>
    <row r="5117" spans="1:2">
      <c r="A5117" s="1" t="str">
        <f>"4203.10.00"</f>
        <v>4203.10.00</v>
      </c>
      <c r="B5117" s="2" t="str">
        <f>"VESTUÁRIO"</f>
        <v>VESTUÁRIO</v>
      </c>
    </row>
    <row r="5118" spans="1:2">
      <c r="A5118" s="1" t="str">
        <f>"4203.21.00"</f>
        <v>4203.21.00</v>
      </c>
      <c r="B5118" s="2" t="str">
        <f>"Especialmente concebidas para a pra"</f>
        <v>Especialmente concebidas para a pra</v>
      </c>
    </row>
    <row r="5119" spans="1:2">
      <c r="A5119" s="1" t="str">
        <f>"4203.29.00"</f>
        <v>4203.29.00</v>
      </c>
      <c r="B5119" s="2" t="str">
        <f>"OUTRAS"</f>
        <v>OUTRAS</v>
      </c>
    </row>
    <row r="5120" spans="1:2">
      <c r="A5120" s="1" t="str">
        <f>"4203.30.00"</f>
        <v>4203.30.00</v>
      </c>
      <c r="B5120" s="2" t="str">
        <f>"Cintos, cinturoes e bandoleiras ou"</f>
        <v>Cintos, cinturoes e bandoleiras ou</v>
      </c>
    </row>
    <row r="5121" spans="1:2">
      <c r="A5121" s="1" t="str">
        <f>"4203.40.00"</f>
        <v>4203.40.00</v>
      </c>
      <c r="B5121" s="2" t="str">
        <f>"Outros acessorios de vestuario"</f>
        <v>Outros acessorios de vestuario</v>
      </c>
    </row>
    <row r="5122" spans="1:2">
      <c r="A5122" s="1" t="str">
        <f>"4205.00.00"</f>
        <v>4205.00.00</v>
      </c>
      <c r="B5122" s="2" t="str">
        <f>"Outras obras de couro natural ou re"</f>
        <v>Outras obras de couro natural ou re</v>
      </c>
    </row>
    <row r="5123" spans="1:2">
      <c r="A5123" s="1" t="str">
        <f>"4206.00.00"</f>
        <v>4206.00.00</v>
      </c>
      <c r="B5123" s="2" t="str">
        <f>"Obras de tripa, de baudruches, de b"</f>
        <v>Obras de tripa, de baudruches, de b</v>
      </c>
    </row>
    <row r="5124" spans="1:2">
      <c r="A5124" s="1" t="str">
        <f>"4301.10.00"</f>
        <v>4301.10.00</v>
      </c>
      <c r="B5124" s="2" t="str">
        <f>"De visons, inteiras, mesmo com cabe"</f>
        <v>De visons, inteiras, mesmo com cabe</v>
      </c>
    </row>
    <row r="5125" spans="1:2">
      <c r="A5125" s="1" t="str">
        <f>"4301.30.00"</f>
        <v>4301.30.00</v>
      </c>
      <c r="B5125" s="2" t="str">
        <f>"De cordeiros denominados astraca, b"</f>
        <v>De cordeiros denominados astraca, b</v>
      </c>
    </row>
    <row r="5126" spans="1:2">
      <c r="A5126" s="1" t="str">
        <f>"4301.60.00"</f>
        <v>4301.60.00</v>
      </c>
      <c r="B5126" s="2" t="str">
        <f>"De raposas, inteiras, mesmo com cab"</f>
        <v>De raposas, inteiras, mesmo com cab</v>
      </c>
    </row>
    <row r="5127" spans="1:2">
      <c r="A5127" s="1" t="str">
        <f>"4301.80.00"</f>
        <v>4301.80.00</v>
      </c>
      <c r="B5127" s="2" t="str">
        <f>"De outros animais, inteiras, mesmo"</f>
        <v>De outros animais, inteiras, mesmo</v>
      </c>
    </row>
    <row r="5128" spans="1:2">
      <c r="A5128" s="1" t="str">
        <f>"4301.90.00"</f>
        <v>4301.90.00</v>
      </c>
      <c r="B5128" s="2" t="str">
        <f>"Cabecas, caudas, patas e outras par"</f>
        <v>Cabecas, caudas, patas e outras par</v>
      </c>
    </row>
    <row r="5129" spans="1:2">
      <c r="A5129" s="1" t="str">
        <f>"4302.11.00"</f>
        <v>4302.11.00</v>
      </c>
      <c r="B5129" s="2" t="str">
        <f>"De visons"</f>
        <v>De visons</v>
      </c>
    </row>
    <row r="5130" spans="1:2">
      <c r="A5130" s="1" t="str">
        <f>"4302.19.10"</f>
        <v>4302.19.10</v>
      </c>
      <c r="B5130" s="2" t="str">
        <f>"De ovinos"</f>
        <v>De ovinos</v>
      </c>
    </row>
    <row r="5131" spans="1:2">
      <c r="A5131" s="1" t="str">
        <f>"4302.19.90"</f>
        <v>4302.19.90</v>
      </c>
      <c r="B5131" s="2" t="str">
        <f>"Outras"</f>
        <v>Outras</v>
      </c>
    </row>
    <row r="5132" spans="1:2">
      <c r="A5132" s="1" t="str">
        <f>"4302.20.00"</f>
        <v>4302.20.00</v>
      </c>
      <c r="B5132" s="2" t="str">
        <f>"Cabecas, caudas, patas e outras par"</f>
        <v>Cabecas, caudas, patas e outras par</v>
      </c>
    </row>
    <row r="5133" spans="1:2">
      <c r="A5133" s="1" t="str">
        <f>"4302.30.00"</f>
        <v>4302.30.00</v>
      </c>
      <c r="B5133" s="2" t="str">
        <f>"Peles com pelo inteiras e respectiv"</f>
        <v>Peles com pelo inteiras e respectiv</v>
      </c>
    </row>
    <row r="5134" spans="1:2">
      <c r="A5134" s="1" t="str">
        <f>"4303.10.00"</f>
        <v>4303.10.00</v>
      </c>
      <c r="B5134" s="2" t="str">
        <f>"Vestuario e seus acessorios"</f>
        <v>Vestuario e seus acessorios</v>
      </c>
    </row>
    <row r="5135" spans="1:2">
      <c r="A5135" s="1" t="str">
        <f>"4303.90.00"</f>
        <v>4303.90.00</v>
      </c>
      <c r="B5135" s="2" t="str">
        <f>"Outros"</f>
        <v>Outros</v>
      </c>
    </row>
    <row r="5136" spans="1:2">
      <c r="A5136" s="1" t="str">
        <f>"4304.00.00"</f>
        <v>4304.00.00</v>
      </c>
      <c r="B5136" s="2" t="str">
        <f>"Peles com pelo artificiais, e suas"</f>
        <v>Peles com pelo artificiais, e suas</v>
      </c>
    </row>
    <row r="5137" spans="1:2">
      <c r="A5137" s="1" t="str">
        <f>"4401.11.00"</f>
        <v>4401.11.00</v>
      </c>
      <c r="B5137" s="2" t="str">
        <f>"De coniferas"</f>
        <v>De coniferas</v>
      </c>
    </row>
    <row r="5138" spans="1:2">
      <c r="A5138" s="1" t="str">
        <f>"4401.12.00"</f>
        <v>4401.12.00</v>
      </c>
      <c r="B5138" s="2" t="str">
        <f>"De nao coniferas"</f>
        <v>De nao coniferas</v>
      </c>
    </row>
    <row r="5139" spans="1:2">
      <c r="A5139" s="1" t="str">
        <f>"4401.21.00"</f>
        <v>4401.21.00</v>
      </c>
      <c r="B5139" s="2" t="str">
        <f>"De coniferas"</f>
        <v>De coniferas</v>
      </c>
    </row>
    <row r="5140" spans="1:2">
      <c r="A5140" s="1" t="str">
        <f>"4401.22.00"</f>
        <v>4401.22.00</v>
      </c>
      <c r="B5140" s="2" t="str">
        <f>"De nao coniferas"</f>
        <v>De nao coniferas</v>
      </c>
    </row>
    <row r="5141" spans="1:2">
      <c r="A5141" s="1" t="str">
        <f>"4401.31.00"</f>
        <v>4401.31.00</v>
      </c>
      <c r="B5141" s="2" t="str">
        <f>"Pellets de madeira"</f>
        <v>Pellets de madeira</v>
      </c>
    </row>
    <row r="5142" spans="1:2">
      <c r="A5142" s="1" t="str">
        <f>"4401.39.00"</f>
        <v>4401.39.00</v>
      </c>
      <c r="B5142" s="2" t="str">
        <f>"Outros"</f>
        <v>Outros</v>
      </c>
    </row>
    <row r="5143" spans="1:2">
      <c r="A5143" s="1" t="str">
        <f>"4401.40.00"</f>
        <v>4401.40.00</v>
      </c>
      <c r="B5143" s="2" t="str">
        <f>"Serragem (serradura), desperdicios"</f>
        <v>Serragem (serradura), desperdicios</v>
      </c>
    </row>
    <row r="5144" spans="1:2">
      <c r="A5144" s="1" t="str">
        <f>"4402.10.00"</f>
        <v>4402.10.00</v>
      </c>
      <c r="B5144" s="2" t="str">
        <f>"De bambu"</f>
        <v>De bambu</v>
      </c>
    </row>
    <row r="5145" spans="1:2">
      <c r="A5145" s="1" t="str">
        <f>"4402.90.00"</f>
        <v>4402.90.00</v>
      </c>
      <c r="B5145" s="2" t="str">
        <f>"OUTROS"</f>
        <v>OUTROS</v>
      </c>
    </row>
    <row r="5146" spans="1:2">
      <c r="A5146" s="1" t="str">
        <f>"4403.11.00"</f>
        <v>4403.11.00</v>
      </c>
      <c r="B5146" s="2" t="str">
        <f>"De coniferas"</f>
        <v>De coniferas</v>
      </c>
    </row>
    <row r="5147" spans="1:2">
      <c r="A5147" s="1" t="str">
        <f>"4403.12.00"</f>
        <v>4403.12.00</v>
      </c>
      <c r="B5147" s="2" t="str">
        <f>"De nao coniferas"</f>
        <v>De nao coniferas</v>
      </c>
    </row>
    <row r="5148" spans="1:2">
      <c r="A5148" s="1" t="str">
        <f>"4403.21.00"</f>
        <v>4403.21.00</v>
      </c>
      <c r="B5148" s="2" t="str">
        <f>"De pinheiro (Pinus spp.), cuja maio"</f>
        <v>De pinheiro (Pinus spp.), cuja maio</v>
      </c>
    </row>
    <row r="5149" spans="1:2">
      <c r="A5149" s="1" t="str">
        <f>"4403.22.00"</f>
        <v>4403.22.00</v>
      </c>
      <c r="B5149" s="2" t="str">
        <f>"De pinheiro (Pinus spp.), outras"</f>
        <v>De pinheiro (Pinus spp.), outras</v>
      </c>
    </row>
    <row r="5150" spans="1:2">
      <c r="A5150" s="1" t="str">
        <f>"4403.23.00"</f>
        <v>4403.23.00</v>
      </c>
      <c r="B5150" s="2" t="str">
        <f>"De abeto (Abies spp.) e de espruce"</f>
        <v>De abeto (Abies spp.) e de espruce</v>
      </c>
    </row>
    <row r="5151" spans="1:2">
      <c r="A5151" s="1" t="str">
        <f>"4403.24.00"</f>
        <v>4403.24.00</v>
      </c>
      <c r="B5151" s="2" t="str">
        <f>"De abeto (Abies spp.) e de espruce"</f>
        <v>De abeto (Abies spp.) e de espruce</v>
      </c>
    </row>
    <row r="5152" spans="1:2">
      <c r="A5152" s="1" t="str">
        <f>"4403.25.00"</f>
        <v>4403.25.00</v>
      </c>
      <c r="B5152" s="2" t="str">
        <f>"Outras, cuja maior dimensao da seca"</f>
        <v>Outras, cuja maior dimensao da seca</v>
      </c>
    </row>
    <row r="5153" spans="1:2">
      <c r="A5153" s="1" t="str">
        <f>"4403.26.00"</f>
        <v>4403.26.00</v>
      </c>
      <c r="B5153" s="2" t="str">
        <f>"Outras"</f>
        <v>Outras</v>
      </c>
    </row>
    <row r="5154" spans="1:2">
      <c r="A5154" s="1" t="str">
        <f>"4403.41.00"</f>
        <v>4403.41.00</v>
      </c>
      <c r="B5154" s="2" t="str">
        <f>"Dark Red Meranti, Light Red Meranti"</f>
        <v>Dark Red Meranti, Light Red Meranti</v>
      </c>
    </row>
    <row r="5155" spans="1:2">
      <c r="A5155" s="1" t="str">
        <f>"4403.49.00"</f>
        <v>4403.49.00</v>
      </c>
      <c r="B5155" s="2" t="str">
        <f>"Outras"</f>
        <v>Outras</v>
      </c>
    </row>
    <row r="5156" spans="1:2">
      <c r="A5156" s="1" t="str">
        <f>"4403.91.00"</f>
        <v>4403.91.00</v>
      </c>
      <c r="B5156" s="2" t="str">
        <f>"De carvalho (Quercus spp.)"</f>
        <v>De carvalho (Quercus spp.)</v>
      </c>
    </row>
    <row r="5157" spans="1:2">
      <c r="A5157" s="1" t="str">
        <f>"4403.93.00"</f>
        <v>4403.93.00</v>
      </c>
      <c r="B5157" s="2" t="str">
        <f>"De faia (Fagus spp.), cuja maior di"</f>
        <v>De faia (Fagus spp.), cuja maior di</v>
      </c>
    </row>
    <row r="5158" spans="1:2">
      <c r="A5158" s="1" t="str">
        <f>"4403.94.00"</f>
        <v>4403.94.00</v>
      </c>
      <c r="B5158" s="2" t="str">
        <f>"De faia (Fagus spp.), outras"</f>
        <v>De faia (Fagus spp.), outras</v>
      </c>
    </row>
    <row r="5159" spans="1:2">
      <c r="A5159" s="1" t="str">
        <f>"4403.95.00"</f>
        <v>4403.95.00</v>
      </c>
      <c r="B5159" s="2" t="str">
        <f>"De betula (vidoeiro) (Betula spp.),"</f>
        <v>De betula (vidoeiro) (Betula spp.),</v>
      </c>
    </row>
    <row r="5160" spans="1:2">
      <c r="A5160" s="1" t="str">
        <f>"4403.96.00"</f>
        <v>4403.96.00</v>
      </c>
      <c r="B5160" s="2" t="str">
        <f>"De betula (vidoeiro) (Betula spp.),"</f>
        <v>De betula (vidoeiro) (Betula spp.),</v>
      </c>
    </row>
    <row r="5161" spans="1:2">
      <c r="A5161" s="1" t="str">
        <f>"4403.97.00"</f>
        <v>4403.97.00</v>
      </c>
      <c r="B5161" s="2" t="str">
        <f>"De choupo (alamo) (Populus spp.)"</f>
        <v>De choupo (alamo) (Populus spp.)</v>
      </c>
    </row>
    <row r="5162" spans="1:2">
      <c r="A5162" s="1" t="str">
        <f>"4403.98.00"</f>
        <v>4403.98.00</v>
      </c>
      <c r="B5162" s="2" t="str">
        <f>"De eucalipto (Eucalyptus spp.)"</f>
        <v>De eucalipto (Eucalyptus spp.)</v>
      </c>
    </row>
    <row r="5163" spans="1:2">
      <c r="A5163" s="1" t="str">
        <f>"4403.99.00"</f>
        <v>4403.99.00</v>
      </c>
      <c r="B5163" s="2" t="str">
        <f>"Outras"</f>
        <v>Outras</v>
      </c>
    </row>
    <row r="5164" spans="1:2">
      <c r="A5164" s="1" t="str">
        <f>"4404.10.00"</f>
        <v>4404.10.00</v>
      </c>
      <c r="B5164" s="2" t="str">
        <f>"De coniferas"</f>
        <v>De coniferas</v>
      </c>
    </row>
    <row r="5165" spans="1:2">
      <c r="A5165" s="1" t="str">
        <f>"4404.20.00"</f>
        <v>4404.20.00</v>
      </c>
      <c r="B5165" s="2" t="str">
        <f>"De nao coniferas"</f>
        <v>De nao coniferas</v>
      </c>
    </row>
    <row r="5166" spans="1:2">
      <c r="A5166" s="1" t="str">
        <f>"4405.00.00"</f>
        <v>4405.00.00</v>
      </c>
      <c r="B5166" s="2" t="str">
        <f>"La de madeira; farinha de madeira."</f>
        <v>La de madeira; farinha de madeira.</v>
      </c>
    </row>
    <row r="5167" spans="1:2">
      <c r="A5167" s="1" t="str">
        <f>"4406.11.00"</f>
        <v>4406.11.00</v>
      </c>
      <c r="B5167" s="2" t="str">
        <f>"De coniferas"</f>
        <v>De coniferas</v>
      </c>
    </row>
    <row r="5168" spans="1:2">
      <c r="A5168" s="1" t="str">
        <f>"4406.12.00"</f>
        <v>4406.12.00</v>
      </c>
      <c r="B5168" s="2" t="str">
        <f>"De nao coniferas"</f>
        <v>De nao coniferas</v>
      </c>
    </row>
    <row r="5169" spans="1:2">
      <c r="A5169" s="1" t="str">
        <f>"4406.91.00"</f>
        <v>4406.91.00</v>
      </c>
      <c r="B5169" s="2" t="str">
        <f>"De coniferas"</f>
        <v>De coniferas</v>
      </c>
    </row>
    <row r="5170" spans="1:2">
      <c r="A5170" s="1" t="str">
        <f>"4406.92.00"</f>
        <v>4406.92.00</v>
      </c>
      <c r="B5170" s="2" t="str">
        <f>"De nao coniferas"</f>
        <v>De nao coniferas</v>
      </c>
    </row>
    <row r="5171" spans="1:2">
      <c r="A5171" s="1" t="str">
        <f>"4407.10.00"</f>
        <v>4407.10.00</v>
      </c>
      <c r="B5171" s="2" t="str">
        <f>"INATIVO"</f>
        <v>INATIVO</v>
      </c>
    </row>
    <row r="5172" spans="1:2">
      <c r="A5172" s="1" t="str">
        <f>"4407.11.00"</f>
        <v>4407.11.00</v>
      </c>
      <c r="B5172" s="2" t="str">
        <f>"De pinheiro (Pinus spp.)"</f>
        <v>De pinheiro (Pinus spp.)</v>
      </c>
    </row>
    <row r="5173" spans="1:2">
      <c r="A5173" s="1" t="str">
        <f>"4407.12.00"</f>
        <v>4407.12.00</v>
      </c>
      <c r="B5173" s="2" t="str">
        <f>"De abeto (Abies spp.) e de espruce"</f>
        <v>De abeto (Abies spp.) e de espruce</v>
      </c>
    </row>
    <row r="5174" spans="1:2">
      <c r="A5174" s="1" t="str">
        <f>"4407.19.00"</f>
        <v>4407.19.00</v>
      </c>
      <c r="B5174" s="2" t="str">
        <f>"Outras"</f>
        <v>Outras</v>
      </c>
    </row>
    <row r="5175" spans="1:2">
      <c r="A5175" s="1" t="str">
        <f>"4407.21.00"</f>
        <v>4407.21.00</v>
      </c>
      <c r="B5175" s="2" t="str">
        <f>"Mahogany (Mogno) (Swietenia spp.)"</f>
        <v>Mahogany (Mogno) (Swietenia spp.)</v>
      </c>
    </row>
    <row r="5176" spans="1:2">
      <c r="A5176" s="1" t="str">
        <f>"4407.22.00"</f>
        <v>4407.22.00</v>
      </c>
      <c r="B5176" s="2" t="str">
        <f>"Virola, Imbuia e Balsa"</f>
        <v>Virola, Imbuia e Balsa</v>
      </c>
    </row>
    <row r="5177" spans="1:2">
      <c r="A5177" s="1" t="str">
        <f>"4407.25.00"</f>
        <v>4407.25.00</v>
      </c>
      <c r="B5177" s="2" t="str">
        <f>"Dark Red Meranti, Light Red Meranti"</f>
        <v>Dark Red Meranti, Light Red Meranti</v>
      </c>
    </row>
    <row r="5178" spans="1:2">
      <c r="A5178" s="1" t="str">
        <f>"4407.26.00"</f>
        <v>4407.26.00</v>
      </c>
      <c r="B5178" s="2" t="str">
        <f>"White Lauan, White Meranti, White S"</f>
        <v>White Lauan, White Meranti, White S</v>
      </c>
    </row>
    <row r="5179" spans="1:2">
      <c r="A5179" s="1" t="str">
        <f>"4407.27.00"</f>
        <v>4407.27.00</v>
      </c>
      <c r="B5179" s="2" t="str">
        <f>"Sapelli"</f>
        <v>Sapelli</v>
      </c>
    </row>
    <row r="5180" spans="1:2">
      <c r="A5180" s="1" t="str">
        <f>"4407.28.00"</f>
        <v>4407.28.00</v>
      </c>
      <c r="B5180" s="2" t="str">
        <f>"Iroko"</f>
        <v>Iroko</v>
      </c>
    </row>
    <row r="5181" spans="1:2">
      <c r="A5181" s="1" t="str">
        <f>"4407.29.10"</f>
        <v>4407.29.10</v>
      </c>
      <c r="B5181" s="2" t="str">
        <f>"De cedro"</f>
        <v>De cedro</v>
      </c>
    </row>
    <row r="5182" spans="1:2">
      <c r="A5182" s="1" t="str">
        <f>"4407.29.20"</f>
        <v>4407.29.20</v>
      </c>
      <c r="B5182" s="2" t="str">
        <f>"De ipe"</f>
        <v>De ipe</v>
      </c>
    </row>
    <row r="5183" spans="1:2">
      <c r="A5183" s="1" t="str">
        <f>"4407.29.30"</f>
        <v>4407.29.30</v>
      </c>
      <c r="B5183" s="2" t="str">
        <f>"De pau-marfim"</f>
        <v>De pau-marfim</v>
      </c>
    </row>
    <row r="5184" spans="1:2">
      <c r="A5184" s="1" t="str">
        <f>"4407.29.40"</f>
        <v>4407.29.40</v>
      </c>
      <c r="B5184" s="2" t="str">
        <f>"De louro"</f>
        <v>De louro</v>
      </c>
    </row>
    <row r="5185" spans="1:2">
      <c r="A5185" s="1" t="str">
        <f>"4407.29.50"</f>
        <v>4407.29.50</v>
      </c>
      <c r="B5185" s="2" t="str">
        <f>"De canafistula (Peltophorum vogelia"</f>
        <v>De canafistula (Peltophorum vogelia</v>
      </c>
    </row>
    <row r="5186" spans="1:2">
      <c r="A5186" s="1" t="str">
        <f>"4407.29.60"</f>
        <v>4407.29.60</v>
      </c>
      <c r="B5186" s="2" t="str">
        <f>"De cabreuva Parda (Myrocarpus spp.)"</f>
        <v>De cabreuva Parda (Myrocarpus spp.)</v>
      </c>
    </row>
    <row r="5187" spans="1:2">
      <c r="A5187" s="1" t="str">
        <f>"4407.29.70"</f>
        <v>4407.29.70</v>
      </c>
      <c r="B5187" s="2" t="str">
        <f>"De urundei (Astronium balansae)"</f>
        <v>De urundei (Astronium balansae)</v>
      </c>
    </row>
    <row r="5188" spans="1:2">
      <c r="A5188" s="1" t="str">
        <f>"4407.29.90"</f>
        <v>4407.29.90</v>
      </c>
      <c r="B5188" s="2" t="str">
        <f>"Outras"</f>
        <v>Outras</v>
      </c>
    </row>
    <row r="5189" spans="1:2">
      <c r="A5189" s="1" t="str">
        <f>"4407.91.00"</f>
        <v>4407.91.00</v>
      </c>
      <c r="B5189" s="2" t="str">
        <f>"De carvalho (Quercus spp.)"</f>
        <v>De carvalho (Quercus spp.)</v>
      </c>
    </row>
    <row r="5190" spans="1:2">
      <c r="A5190" s="1" t="str">
        <f>"4407.92.00"</f>
        <v>4407.92.00</v>
      </c>
      <c r="B5190" s="2" t="str">
        <f>"De faia (Fagus spp.)"</f>
        <v>De faia (Fagus spp.)</v>
      </c>
    </row>
    <row r="5191" spans="1:2">
      <c r="A5191" s="1" t="str">
        <f>"4407.93.00"</f>
        <v>4407.93.00</v>
      </c>
      <c r="B5191" s="2" t="str">
        <f>"De acer (Acer spp.)"</f>
        <v>De acer (Acer spp.)</v>
      </c>
    </row>
    <row r="5192" spans="1:2">
      <c r="A5192" s="1" t="str">
        <f>"4407.94.00"</f>
        <v>4407.94.00</v>
      </c>
      <c r="B5192" s="2" t="str">
        <f>"De prunoidea (Prunus spp.)"</f>
        <v>De prunoidea (Prunus spp.)</v>
      </c>
    </row>
    <row r="5193" spans="1:2">
      <c r="A5193" s="1" t="str">
        <f>"4407.95.00"</f>
        <v>4407.95.00</v>
      </c>
      <c r="B5193" s="2" t="str">
        <f>"De freixo (Fraxinus spp.)"</f>
        <v>De freixo (Fraxinus spp.)</v>
      </c>
    </row>
    <row r="5194" spans="1:2">
      <c r="A5194" s="1" t="str">
        <f>"4407.96.00"</f>
        <v>4407.96.00</v>
      </c>
      <c r="B5194" s="2" t="str">
        <f>"De betula (vidoeiro) (Betula spp.)"</f>
        <v>De betula (vidoeiro) (Betula spp.)</v>
      </c>
    </row>
    <row r="5195" spans="1:2">
      <c r="A5195" s="1" t="str">
        <f>"4407.97.00"</f>
        <v>4407.97.00</v>
      </c>
      <c r="B5195" s="2" t="str">
        <f>"De choupo (alamo) (Populus spp.)"</f>
        <v>De choupo (alamo) (Populus spp.)</v>
      </c>
    </row>
    <row r="5196" spans="1:2">
      <c r="A5196" s="1" t="str">
        <f>"4407.99.20"</f>
        <v>4407.99.20</v>
      </c>
      <c r="B5196" s="2" t="str">
        <f>"De peroba (Paratecoma peroba)"</f>
        <v>De peroba (Paratecoma peroba)</v>
      </c>
    </row>
    <row r="5197" spans="1:2">
      <c r="A5197" s="1" t="str">
        <f>"4407.99.30"</f>
        <v>4407.99.30</v>
      </c>
      <c r="B5197" s="2" t="str">
        <f>"De guaiuvira (Patagonula americana)"</f>
        <v>De guaiuvira (Patagonula americana)</v>
      </c>
    </row>
    <row r="5198" spans="1:2">
      <c r="A5198" s="1" t="str">
        <f>"4407.99.60"</f>
        <v>4407.99.60</v>
      </c>
      <c r="B5198" s="2" t="str">
        <f>"De amendoim (Pterogyne nitens)"</f>
        <v>De amendoim (Pterogyne nitens)</v>
      </c>
    </row>
    <row r="5199" spans="1:2">
      <c r="A5199" s="1" t="str">
        <f>"4407.99.70"</f>
        <v>4407.99.70</v>
      </c>
      <c r="B5199" s="2" t="str">
        <f>"De angico preto (Piptadenia macroca"</f>
        <v>De angico preto (Piptadenia macroca</v>
      </c>
    </row>
    <row r="5200" spans="1:2">
      <c r="A5200" s="1" t="str">
        <f>"4407.99.90"</f>
        <v>4407.99.90</v>
      </c>
      <c r="B5200" s="2" t="str">
        <f>"Outras"</f>
        <v>Outras</v>
      </c>
    </row>
    <row r="5201" spans="1:2">
      <c r="A5201" s="1" t="str">
        <f>"4408.10.10"</f>
        <v>4408.10.10</v>
      </c>
      <c r="B5201" s="2" t="str">
        <f>"Obtidas por corte de madeira estrat"</f>
        <v>Obtidas por corte de madeira estrat</v>
      </c>
    </row>
    <row r="5202" spans="1:2">
      <c r="A5202" s="1" t="str">
        <f>"4408.10.91"</f>
        <v>4408.10.91</v>
      </c>
      <c r="B5202" s="2" t="str">
        <f>"De pinho brasil (Araucaria angustif"</f>
        <v>De pinho brasil (Araucaria angustif</v>
      </c>
    </row>
    <row r="5203" spans="1:2">
      <c r="A5203" s="1" t="str">
        <f>"4408.10.99"</f>
        <v>4408.10.99</v>
      </c>
      <c r="B5203" s="2" t="str">
        <f>"Outras"</f>
        <v>Outras</v>
      </c>
    </row>
    <row r="5204" spans="1:2">
      <c r="A5204" s="1" t="str">
        <f>"4408.31.10"</f>
        <v>4408.31.10</v>
      </c>
      <c r="B5204" s="2" t="str">
        <f>"Obtidas por corte de madeira estrat"</f>
        <v>Obtidas por corte de madeira estrat</v>
      </c>
    </row>
    <row r="5205" spans="1:2">
      <c r="A5205" s="1" t="str">
        <f>"4408.31.90"</f>
        <v>4408.31.90</v>
      </c>
      <c r="B5205" s="2" t="str">
        <f>"Outras"</f>
        <v>Outras</v>
      </c>
    </row>
    <row r="5206" spans="1:2">
      <c r="A5206" s="1" t="str">
        <f>"4408.39.10"</f>
        <v>4408.39.10</v>
      </c>
      <c r="B5206" s="2" t="str">
        <f>"Obtidas por corte de madeira estrat"</f>
        <v>Obtidas por corte de madeira estrat</v>
      </c>
    </row>
    <row r="5207" spans="1:2">
      <c r="A5207" s="1" t="str">
        <f>"4408.39.91"</f>
        <v>4408.39.91</v>
      </c>
      <c r="B5207" s="2" t="str">
        <f>"De cedro"</f>
        <v>De cedro</v>
      </c>
    </row>
    <row r="5208" spans="1:2">
      <c r="A5208" s="1" t="str">
        <f>"4408.39.92"</f>
        <v>4408.39.92</v>
      </c>
      <c r="B5208" s="2" t="str">
        <f>"De pau-marfim"</f>
        <v>De pau-marfim</v>
      </c>
    </row>
    <row r="5209" spans="1:2">
      <c r="A5209" s="1" t="str">
        <f>"4408.39.99"</f>
        <v>4408.39.99</v>
      </c>
      <c r="B5209" s="2" t="str">
        <f>"Outras"</f>
        <v>Outras</v>
      </c>
    </row>
    <row r="5210" spans="1:2">
      <c r="A5210" s="1" t="str">
        <f>"4408.90.10"</f>
        <v>4408.90.10</v>
      </c>
      <c r="B5210" s="2" t="str">
        <f>"Obtidas por corte de madeira estrat"</f>
        <v>Obtidas por corte de madeira estrat</v>
      </c>
    </row>
    <row r="5211" spans="1:2">
      <c r="A5211" s="1" t="str">
        <f>"4408.90.90"</f>
        <v>4408.90.90</v>
      </c>
      <c r="B5211" s="2" t="str">
        <f>"Outras"</f>
        <v>Outras</v>
      </c>
    </row>
    <row r="5212" spans="1:2">
      <c r="A5212" s="1" t="str">
        <f>"4409.10.00"</f>
        <v>4409.10.00</v>
      </c>
      <c r="B5212" s="2" t="str">
        <f>"De coniferas"</f>
        <v>De coniferas</v>
      </c>
    </row>
    <row r="5213" spans="1:2">
      <c r="A5213" s="1" t="str">
        <f>"4409.21.00"</f>
        <v>4409.21.00</v>
      </c>
      <c r="B5213" s="2" t="str">
        <f>"De bambu"</f>
        <v>De bambu</v>
      </c>
    </row>
    <row r="5214" spans="1:2">
      <c r="A5214" s="1" t="str">
        <f>"4409.22.00"</f>
        <v>4409.22.00</v>
      </c>
      <c r="B5214" s="2" t="str">
        <f>"De madeiras tropicais"</f>
        <v>De madeiras tropicais</v>
      </c>
    </row>
    <row r="5215" spans="1:2">
      <c r="A5215" s="1" t="str">
        <f>"4409.29.00"</f>
        <v>4409.29.00</v>
      </c>
      <c r="B5215" s="2" t="str">
        <f>"Outras"</f>
        <v>Outras</v>
      </c>
    </row>
    <row r="5216" spans="1:2">
      <c r="A5216" s="1" t="str">
        <f>"4410.11.10"</f>
        <v>4410.11.10</v>
      </c>
      <c r="B5216" s="2" t="str">
        <f>"EM BRUTO, POLIDOS, AGLOMERADOS"</f>
        <v>EM BRUTO, POLIDOS, AGLOMERADOS</v>
      </c>
    </row>
    <row r="5217" spans="1:2">
      <c r="A5217" s="1" t="str">
        <f>"4410.11.21"</f>
        <v>4410.11.21</v>
      </c>
      <c r="B5217" s="2" t="str">
        <f>"Em ambas as faces, com pelicula pro"</f>
        <v>Em ambas as faces, com pelicula pro</v>
      </c>
    </row>
    <row r="5218" spans="1:2">
      <c r="A5218" s="1" t="str">
        <f>"4410.11.29"</f>
        <v>4410.11.29</v>
      </c>
      <c r="B5218" s="2" t="str">
        <f>"OUTROS - PAINEIS"</f>
        <v>OUTROS - PAINEIS</v>
      </c>
    </row>
    <row r="5219" spans="1:2">
      <c r="A5219" s="1" t="str">
        <f>"4410.11.90"</f>
        <v>4410.11.90</v>
      </c>
      <c r="B5219" s="2" t="str">
        <f>"Outros"</f>
        <v>Outros</v>
      </c>
    </row>
    <row r="5220" spans="1:2">
      <c r="A5220" s="1" t="str">
        <f>"4410.12.10"</f>
        <v>4410.12.10</v>
      </c>
      <c r="B5220" s="2" t="str">
        <f>"Em bruto ou simplesmente polidos"</f>
        <v>Em bruto ou simplesmente polidos</v>
      </c>
    </row>
    <row r="5221" spans="1:2">
      <c r="A5221" s="1" t="str">
        <f>"4410.12.90"</f>
        <v>4410.12.90</v>
      </c>
      <c r="B5221" s="2" t="str">
        <f>"Outros"</f>
        <v>Outros</v>
      </c>
    </row>
    <row r="5222" spans="1:2">
      <c r="A5222" s="1" t="str">
        <f>"4410.19.11"</f>
        <v>4410.19.11</v>
      </c>
      <c r="B5222" s="2" t="str">
        <f>"Em bruto ou simplesmente polidos"</f>
        <v>Em bruto ou simplesmente polidos</v>
      </c>
    </row>
    <row r="5223" spans="1:2">
      <c r="A5223" s="1" t="str">
        <f>"4410.19.19"</f>
        <v>4410.19.19</v>
      </c>
      <c r="B5223" s="2" t="str">
        <f>"Outros"</f>
        <v>Outros</v>
      </c>
    </row>
    <row r="5224" spans="1:2">
      <c r="A5224" s="1" t="str">
        <f>"4410.19.91"</f>
        <v>4410.19.91</v>
      </c>
      <c r="B5224" s="2" t="str">
        <f>"Em bruto ou simplesmente polidos"</f>
        <v>Em bruto ou simplesmente polidos</v>
      </c>
    </row>
    <row r="5225" spans="1:2">
      <c r="A5225" s="1" t="str">
        <f>"4410.19.92"</f>
        <v>4410.19.92</v>
      </c>
      <c r="B5225" s="2" t="str">
        <f>"Recobertos na superficie com papel"</f>
        <v>Recobertos na superficie com papel</v>
      </c>
    </row>
    <row r="5226" spans="1:2">
      <c r="A5226" s="1" t="str">
        <f>"4410.19.99"</f>
        <v>4410.19.99</v>
      </c>
      <c r="B5226" s="2" t="str">
        <f>"Outros"</f>
        <v>Outros</v>
      </c>
    </row>
    <row r="5227" spans="1:2">
      <c r="A5227" s="1" t="str">
        <f>"4410.32.00"</f>
        <v>4410.32.00</v>
      </c>
      <c r="B5227" s="2" t="str">
        <f>"INATIVA - PAINEIS DE MADEIRA"</f>
        <v>INATIVA - PAINEIS DE MADEIRA</v>
      </c>
    </row>
    <row r="5228" spans="1:2">
      <c r="A5228" s="1" t="str">
        <f>"4410.33.00"</f>
        <v>4410.33.00</v>
      </c>
      <c r="B5228" s="2" t="str">
        <f>"Outros Paineis De Madeira,"</f>
        <v>Outros Paineis De Madeira,</v>
      </c>
    </row>
    <row r="5229" spans="1:2">
      <c r="A5229" s="1" t="str">
        <f>"4410.90.00"</f>
        <v>4410.90.00</v>
      </c>
      <c r="B5229" s="2" t="str">
        <f>"OUTROS - AGLOMERADO PRI"</f>
        <v>OUTROS - AGLOMERADO PRI</v>
      </c>
    </row>
    <row r="5230" spans="1:2">
      <c r="A5230" s="1" t="str">
        <f>"4411.12.10"</f>
        <v>4411.12.10</v>
      </c>
      <c r="B5230" s="2" t="str">
        <f>"NÃO TRAB MECANICAM NEM RECOB A SUPE"</f>
        <v>NÃO TRAB MECANICAM NEM RECOB A SUPE</v>
      </c>
    </row>
    <row r="5231" spans="1:2">
      <c r="A5231" s="1" t="str">
        <f>"4411.12.90"</f>
        <v>4411.12.90</v>
      </c>
      <c r="B5231" s="2" t="str">
        <f>"Outros Painéis de média densidade"</f>
        <v>Outros Painéis de média densidade</v>
      </c>
    </row>
    <row r="5232" spans="1:2">
      <c r="A5232" s="1" t="str">
        <f>"4411.13.10"</f>
        <v>4411.13.10</v>
      </c>
      <c r="B5232" s="2" t="str">
        <f>"MDF"</f>
        <v>MDF</v>
      </c>
    </row>
    <row r="5233" spans="1:2">
      <c r="A5233" s="1" t="str">
        <f>"4411.13.91"</f>
        <v>4411.13.91</v>
      </c>
      <c r="B5233" s="2" t="str">
        <f>"PISO LAMINADO DE MADEIRA"</f>
        <v>PISO LAMINADO DE MADEIRA</v>
      </c>
    </row>
    <row r="5234" spans="1:2">
      <c r="A5234" s="1" t="str">
        <f>"4411.13.99"</f>
        <v>4411.13.99</v>
      </c>
      <c r="B5234" s="2" t="str">
        <f>"OUTROS"</f>
        <v>OUTROS</v>
      </c>
    </row>
    <row r="5235" spans="1:2">
      <c r="A5235" s="1" t="str">
        <f>"4411.14.10"</f>
        <v>4411.14.10</v>
      </c>
      <c r="B5235" s="2" t="str">
        <f>"NÃO TRABALHADOS MECANICAMENTE NEM R"</f>
        <v>NÃO TRABALHADOS MECANICAMENTE NEM R</v>
      </c>
    </row>
    <row r="5236" spans="1:2">
      <c r="A5236" s="1" t="str">
        <f>"4411.14.90"</f>
        <v>4411.14.90</v>
      </c>
      <c r="B5236" s="2" t="str">
        <f>"PAINEIS DE MAEIRA"</f>
        <v>PAINEIS DE MAEIRA</v>
      </c>
    </row>
    <row r="5237" spans="1:2">
      <c r="A5237" s="1" t="str">
        <f>"4411.19.00"</f>
        <v>4411.19.00</v>
      </c>
      <c r="B5237" s="2" t="str">
        <f>"INATIVA - POLIFACE REVESTIMENTO"</f>
        <v>INATIVA - POLIFACE REVESTIMENTO</v>
      </c>
    </row>
    <row r="5238" spans="1:2">
      <c r="A5238" s="1" t="str">
        <f>"4411.21.00"</f>
        <v>4411.21.00</v>
      </c>
      <c r="B5238" s="2" t="str">
        <f>"INATIVA - TAFIBRA"</f>
        <v>INATIVA - TAFIBRA</v>
      </c>
    </row>
    <row r="5239" spans="1:2">
      <c r="A5239" s="1" t="str">
        <f>"4411.92.10"</f>
        <v>4411.92.10</v>
      </c>
      <c r="B5239" s="2" t="str">
        <f>"NAO TRABALHADOS MECANICA- CHAPAS"</f>
        <v>NAO TRABALHADOS MECANICA- CHAPAS</v>
      </c>
    </row>
    <row r="5240" spans="1:2">
      <c r="A5240" s="1" t="str">
        <f>"4411.92.90"</f>
        <v>4411.92.90</v>
      </c>
      <c r="B5240" s="2" t="str">
        <f>"painel decorativo"</f>
        <v>painel decorativo</v>
      </c>
    </row>
    <row r="5241" spans="1:2">
      <c r="A5241" s="1" t="str">
        <f>"4411.93.10"</f>
        <v>4411.93.10</v>
      </c>
      <c r="B5241" s="2" t="str">
        <f>"Nao trabalhados mecanicamente nem r"</f>
        <v>Nao trabalhados mecanicamente nem r</v>
      </c>
    </row>
    <row r="5242" spans="1:2">
      <c r="A5242" s="1" t="str">
        <f>"4411.93.90"</f>
        <v>4411.93.90</v>
      </c>
      <c r="B5242" s="2" t="str">
        <f>"UTROS"</f>
        <v>UTROS</v>
      </c>
    </row>
    <row r="5243" spans="1:2">
      <c r="A5243" s="1" t="str">
        <f>"4411.94.10"</f>
        <v>4411.94.10</v>
      </c>
      <c r="B5243" s="2" t="str">
        <f>"Nao trabalhados mecanicamente nem r"</f>
        <v>Nao trabalhados mecanicamente nem r</v>
      </c>
    </row>
    <row r="5244" spans="1:2">
      <c r="A5244" s="1" t="str">
        <f>"4411.94.90"</f>
        <v>4411.94.90</v>
      </c>
      <c r="B5244" s="2" t="str">
        <f>"Outros"</f>
        <v>Outros</v>
      </c>
    </row>
    <row r="5245" spans="1:2">
      <c r="A5245" s="1" t="str">
        <f>"4412.10.00"</f>
        <v>4412.10.00</v>
      </c>
      <c r="B5245" s="2" t="str">
        <f>"De bambu"</f>
        <v>De bambu</v>
      </c>
    </row>
    <row r="5246" spans="1:2">
      <c r="A5246" s="1" t="str">
        <f>"4412.31.00"</f>
        <v>4412.31.00</v>
      </c>
      <c r="B5246" s="2" t="str">
        <f>"Com, pelo menos, uma camada exterio"</f>
        <v>Com, pelo menos, uma camada exterio</v>
      </c>
    </row>
    <row r="5247" spans="1:2">
      <c r="A5247" s="1" t="str">
        <f>"4412.33.00"</f>
        <v>4412.33.00</v>
      </c>
      <c r="B5247" s="2" t="str">
        <f>"Outras, com, pelo menos, uma camada"</f>
        <v>Outras, com, pelo menos, uma camada</v>
      </c>
    </row>
    <row r="5248" spans="1:2">
      <c r="A5248" s="1" t="str">
        <f>"4412.34.00"</f>
        <v>4412.34.00</v>
      </c>
      <c r="B5248" s="2" t="str">
        <f>"Outras, com, pelo menos, uma camada"</f>
        <v>Outras, com, pelo menos, uma camada</v>
      </c>
    </row>
    <row r="5249" spans="1:2">
      <c r="A5249" s="1" t="str">
        <f>"4412.39.00"</f>
        <v>4412.39.00</v>
      </c>
      <c r="B5249" s="2" t="str">
        <f>"OUTRAS"</f>
        <v>OUTRAS</v>
      </c>
    </row>
    <row r="5250" spans="1:2">
      <c r="A5250" s="1" t="str">
        <f>"4412.94.00"</f>
        <v>4412.94.00</v>
      </c>
      <c r="B5250" s="2" t="str">
        <f>"Com alma aglomerada, alveolada ou l"</f>
        <v>Com alma aglomerada, alveolada ou l</v>
      </c>
    </row>
    <row r="5251" spans="1:2">
      <c r="A5251" s="1" t="str">
        <f>"4412.99.00"</f>
        <v>4412.99.00</v>
      </c>
      <c r="B5251" s="2" t="str">
        <f>"Outras"</f>
        <v>Outras</v>
      </c>
    </row>
    <row r="5252" spans="1:2">
      <c r="A5252" s="1" t="str">
        <f>"4413.00.00"</f>
        <v>4413.00.00</v>
      </c>
      <c r="B5252" s="2" t="str">
        <f>"Madeira densificada, em blocos, pra"</f>
        <v>Madeira densificada, em blocos, pra</v>
      </c>
    </row>
    <row r="5253" spans="1:2">
      <c r="A5253" s="1" t="str">
        <f>"4414.00.00"</f>
        <v>4414.00.00</v>
      </c>
      <c r="B5253" s="2" t="str">
        <f>"Molduras de madeira para quadros, f"</f>
        <v>Molduras de madeira para quadros, f</v>
      </c>
    </row>
    <row r="5254" spans="1:2">
      <c r="A5254" s="1" t="str">
        <f>"4415.10.00"</f>
        <v>4415.10.00</v>
      </c>
      <c r="B5254" s="2" t="str">
        <f>"CAIXAS, EMBALAGENS OU SACARIA"</f>
        <v>CAIXAS, EMBALAGENS OU SACARIA</v>
      </c>
    </row>
    <row r="5255" spans="1:2">
      <c r="A5255" s="1" t="str">
        <f>"4415.20.00"</f>
        <v>4415.20.00</v>
      </c>
      <c r="B5255" s="2" t="str">
        <f>"PALETES, CAIXAS DE MADEIRA"</f>
        <v>PALETES, CAIXAS DE MADEIRA</v>
      </c>
    </row>
    <row r="5256" spans="1:2">
      <c r="A5256" s="1" t="str">
        <f>"4416.00.10"</f>
        <v>4416.00.10</v>
      </c>
      <c r="B5256" s="2" t="str">
        <f>"De carvalho (Quercus spp.)"</f>
        <v>De carvalho (Quercus spp.)</v>
      </c>
    </row>
    <row r="5257" spans="1:2">
      <c r="A5257" s="1" t="str">
        <f>"4416.00.90"</f>
        <v>4416.00.90</v>
      </c>
      <c r="B5257" s="2" t="str">
        <f>"Outros"</f>
        <v>Outros</v>
      </c>
    </row>
    <row r="5258" spans="1:2">
      <c r="A5258" s="1" t="str">
        <f>"4417.00.10"</f>
        <v>4417.00.10</v>
      </c>
      <c r="B5258" s="2" t="str">
        <f>"OUTROS"</f>
        <v>OUTROS</v>
      </c>
    </row>
    <row r="5259" spans="1:2">
      <c r="A5259" s="1" t="str">
        <f>"4417.00.20"</f>
        <v>4417.00.20</v>
      </c>
      <c r="B5259" s="2" t="str">
        <f>"Formas, alargadeiras e esticadores,"</f>
        <v>Formas, alargadeiras e esticadores,</v>
      </c>
    </row>
    <row r="5260" spans="1:2">
      <c r="A5260" s="1" t="str">
        <f>"4417.00.90"</f>
        <v>4417.00.90</v>
      </c>
      <c r="B5260" s="2" t="str">
        <f>"Outros"</f>
        <v>Outros</v>
      </c>
    </row>
    <row r="5261" spans="1:2">
      <c r="A5261" s="1" t="str">
        <f>"4418.10.00"</f>
        <v>4418.10.00</v>
      </c>
      <c r="B5261" s="2" t="str">
        <f>"Janelas, janelas de sacada e respec"</f>
        <v>Janelas, janelas de sacada e respec</v>
      </c>
    </row>
    <row r="5262" spans="1:2">
      <c r="A5262" s="1" t="str">
        <f>"4418.20.00"</f>
        <v>4418.20.00</v>
      </c>
      <c r="B5262" s="2" t="str">
        <f>"Portas e respectivos caixilhos, ali"</f>
        <v>Portas e respectivos caixilhos, ali</v>
      </c>
    </row>
    <row r="5263" spans="1:2">
      <c r="A5263" s="1" t="str">
        <f>"4418.40.00"</f>
        <v>4418.40.00</v>
      </c>
      <c r="B5263" s="2" t="str">
        <f>"Armacoes para concreto (Confragens"</f>
        <v>Armacoes para concreto (Confragens</v>
      </c>
    </row>
    <row r="5264" spans="1:2">
      <c r="A5264" s="1" t="str">
        <f>"4418.50.00"</f>
        <v>4418.50.00</v>
      </c>
      <c r="B5264" s="2" t="str">
        <f>"Fasquias para telhados (shingles e"</f>
        <v>Fasquias para telhados (shingles e</v>
      </c>
    </row>
    <row r="5265" spans="1:2">
      <c r="A5265" s="1" t="str">
        <f>"4418.60.00"</f>
        <v>4418.60.00</v>
      </c>
      <c r="B5265" s="2" t="str">
        <f>"Postes e vigas"</f>
        <v>Postes e vigas</v>
      </c>
    </row>
    <row r="5266" spans="1:2">
      <c r="A5266" s="1" t="str">
        <f>"4418.73.00"</f>
        <v>4418.73.00</v>
      </c>
      <c r="B5266" s="2" t="str">
        <f>"De bambu ou com, pelo menos, a cama"</f>
        <v>De bambu ou com, pelo menos, a cama</v>
      </c>
    </row>
    <row r="5267" spans="1:2">
      <c r="A5267" s="1" t="str">
        <f>"4418.74.00"</f>
        <v>4418.74.00</v>
      </c>
      <c r="B5267" s="2" t="str">
        <f>"Outros, para pisos (pavimentos) em"</f>
        <v>Outros, para pisos (pavimentos) em</v>
      </c>
    </row>
    <row r="5268" spans="1:2">
      <c r="A5268" s="1" t="str">
        <f>"4418.75.00"</f>
        <v>4418.75.00</v>
      </c>
      <c r="B5268" s="2" t="str">
        <f>"Outros, de camadas multiplas"</f>
        <v>Outros, de camadas multiplas</v>
      </c>
    </row>
    <row r="5269" spans="1:2">
      <c r="A5269" s="1" t="str">
        <f>"4418.79.00"</f>
        <v>4418.79.00</v>
      </c>
      <c r="B5269" s="2" t="str">
        <f>"Outros"</f>
        <v>Outros</v>
      </c>
    </row>
    <row r="5270" spans="1:2">
      <c r="A5270" s="1" t="str">
        <f>"4418.90.00"</f>
        <v>4418.90.00</v>
      </c>
      <c r="B5270" s="2" t="str">
        <f>"INATIVO"</f>
        <v>INATIVO</v>
      </c>
    </row>
    <row r="5271" spans="1:2">
      <c r="A5271" s="1" t="str">
        <f>"4418.91.00"</f>
        <v>4418.91.00</v>
      </c>
      <c r="B5271" s="2" t="str">
        <f>"De bambu"</f>
        <v>De bambu</v>
      </c>
    </row>
    <row r="5272" spans="1:2">
      <c r="A5272" s="1" t="str">
        <f>"4418.99.00"</f>
        <v>4418.99.00</v>
      </c>
      <c r="B5272" s="2" t="str">
        <f>"Outras"</f>
        <v>Outras</v>
      </c>
    </row>
    <row r="5273" spans="1:2">
      <c r="A5273" s="1" t="str">
        <f>"4419.11.00"</f>
        <v>4419.11.00</v>
      </c>
      <c r="B5273" s="2" t="str">
        <f>"Tabuas para cortar pao, outras tabu"</f>
        <v>Tabuas para cortar pao, outras tabu</v>
      </c>
    </row>
    <row r="5274" spans="1:2">
      <c r="A5274" s="1" t="str">
        <f>"4419.12.00"</f>
        <v>4419.12.00</v>
      </c>
      <c r="B5274" s="2" t="str">
        <f>"Pauzinhos (hashi ou fachi)"</f>
        <v>Pauzinhos (hashi ou fachi)</v>
      </c>
    </row>
    <row r="5275" spans="1:2">
      <c r="A5275" s="1" t="str">
        <f>"4419.19.00"</f>
        <v>4419.19.00</v>
      </c>
      <c r="B5275" s="2" t="str">
        <f>"Outros"</f>
        <v>Outros</v>
      </c>
    </row>
    <row r="5276" spans="1:2">
      <c r="A5276" s="1" t="str">
        <f>"4419.90.00"</f>
        <v>4419.90.00</v>
      </c>
      <c r="B5276" s="2" t="str">
        <f>"Outros"</f>
        <v>Outros</v>
      </c>
    </row>
    <row r="5277" spans="1:2">
      <c r="A5277" s="1" t="str">
        <f>"4420.10.00"</f>
        <v>4420.10.00</v>
      </c>
      <c r="B5277" s="2" t="str">
        <f>"ARTEFATOS EM MADEIRA"</f>
        <v>ARTEFATOS EM MADEIRA</v>
      </c>
    </row>
    <row r="5278" spans="1:2">
      <c r="A5278" s="1" t="str">
        <f>"4420.19.00"</f>
        <v>4420.19.00</v>
      </c>
      <c r="B5278" s="2" t="str">
        <f>"OUTROS"</f>
        <v>OUTROS</v>
      </c>
    </row>
    <row r="5279" spans="1:2">
      <c r="A5279" s="1" t="str">
        <f>"4420.90.00"</f>
        <v>4420.90.00</v>
      </c>
      <c r="B5279" s="2" t="str">
        <f>"Outros"</f>
        <v>Outros</v>
      </c>
    </row>
    <row r="5280" spans="1:2">
      <c r="A5280" s="1" t="str">
        <f>"4421.10.00"</f>
        <v>4421.10.00</v>
      </c>
      <c r="B5280" s="2" t="str">
        <f>"CABIDES PARA VESTUÁRIO"</f>
        <v>CABIDES PARA VESTUÁRIO</v>
      </c>
    </row>
    <row r="5281" spans="1:2">
      <c r="A5281" s="1" t="str">
        <f>"4421.90.00"</f>
        <v>4421.90.00</v>
      </c>
      <c r="B5281" s="2" t="str">
        <f>"INATIVO"</f>
        <v>INATIVO</v>
      </c>
    </row>
    <row r="5282" spans="1:2">
      <c r="A5282" s="1" t="str">
        <f>"4421.91.00"</f>
        <v>4421.91.00</v>
      </c>
      <c r="B5282" s="2" t="str">
        <f>"De bambu"</f>
        <v>De bambu</v>
      </c>
    </row>
    <row r="5283" spans="1:2">
      <c r="A5283" s="1" t="str">
        <f>"4421.99.00"</f>
        <v>4421.99.00</v>
      </c>
      <c r="B5283" s="2" t="str">
        <f>"Outras"</f>
        <v>Outras</v>
      </c>
    </row>
    <row r="5284" spans="1:2">
      <c r="A5284" s="1" t="str">
        <f>"4501.10.00"</f>
        <v>4501.10.00</v>
      </c>
      <c r="B5284" s="2" t="str">
        <f>"Cortica natural, em bruto ou simple"</f>
        <v>Cortica natural, em bruto ou simple</v>
      </c>
    </row>
    <row r="5285" spans="1:2">
      <c r="A5285" s="1" t="str">
        <f>"4501.90.00"</f>
        <v>4501.90.00</v>
      </c>
      <c r="B5285" s="2" t="str">
        <f>"Outros"</f>
        <v>Outros</v>
      </c>
    </row>
    <row r="5286" spans="1:2">
      <c r="A5286" s="1" t="str">
        <f>"4502.00.00"</f>
        <v>4502.00.00</v>
      </c>
      <c r="B5286" s="2" t="str">
        <f>"Cortica natural, sem a crosta ou si"</f>
        <v>Cortica natural, sem a crosta ou si</v>
      </c>
    </row>
    <row r="5287" spans="1:2">
      <c r="A5287" s="1" t="str">
        <f>"4503.10.00"</f>
        <v>4503.10.00</v>
      </c>
      <c r="B5287" s="2" t="str">
        <f>"Rolhas"</f>
        <v>Rolhas</v>
      </c>
    </row>
    <row r="5288" spans="1:2">
      <c r="A5288" s="1" t="str">
        <f>"4503.90.00"</f>
        <v>4503.90.00</v>
      </c>
      <c r="B5288" s="2" t="str">
        <f>"Outras"</f>
        <v>Outras</v>
      </c>
    </row>
    <row r="5289" spans="1:2">
      <c r="A5289" s="1" t="str">
        <f>"4504.10.00"</f>
        <v>4504.10.00</v>
      </c>
      <c r="B5289" s="2" t="str">
        <f>"Cubos, blocos, chapas, folhas e tir"</f>
        <v>Cubos, blocos, chapas, folhas e tir</v>
      </c>
    </row>
    <row r="5290" spans="1:2">
      <c r="A5290" s="1" t="str">
        <f>"4504.90.00"</f>
        <v>4504.90.00</v>
      </c>
      <c r="B5290" s="2" t="str">
        <f>"Outras"</f>
        <v>Outras</v>
      </c>
    </row>
    <row r="5291" spans="1:2">
      <c r="A5291" s="1" t="str">
        <f>"4601.21.00"</f>
        <v>4601.21.00</v>
      </c>
      <c r="B5291" s="2" t="str">
        <f>"De bambu"</f>
        <v>De bambu</v>
      </c>
    </row>
    <row r="5292" spans="1:2">
      <c r="A5292" s="1" t="str">
        <f>"4601.22.00"</f>
        <v>4601.22.00</v>
      </c>
      <c r="B5292" s="2" t="str">
        <f>"De rotim"</f>
        <v>De rotim</v>
      </c>
    </row>
    <row r="5293" spans="1:2">
      <c r="A5293" s="1" t="str">
        <f>"4601.29.00"</f>
        <v>4601.29.00</v>
      </c>
      <c r="B5293" s="2" t="str">
        <f>"OUTRAS"</f>
        <v>OUTRAS</v>
      </c>
    </row>
    <row r="5294" spans="1:2">
      <c r="A5294" s="1" t="str">
        <f>"4601.92.00"</f>
        <v>4601.92.00</v>
      </c>
      <c r="B5294" s="2" t="str">
        <f>"De bambu"</f>
        <v>De bambu</v>
      </c>
    </row>
    <row r="5295" spans="1:2">
      <c r="A5295" s="1" t="str">
        <f>"4601.93.00"</f>
        <v>4601.93.00</v>
      </c>
      <c r="B5295" s="2" t="str">
        <f>"De rotim"</f>
        <v>De rotim</v>
      </c>
    </row>
    <row r="5296" spans="1:2">
      <c r="A5296" s="1" t="str">
        <f>"4601.94.00"</f>
        <v>4601.94.00</v>
      </c>
      <c r="B5296" s="2" t="str">
        <f>"De outras materias vegetais"</f>
        <v>De outras materias vegetais</v>
      </c>
    </row>
    <row r="5297" spans="1:2">
      <c r="A5297" s="1" t="str">
        <f>"4601.99.00"</f>
        <v>4601.99.00</v>
      </c>
      <c r="B5297" s="2" t="str">
        <f>"Outras"</f>
        <v>Outras</v>
      </c>
    </row>
    <row r="5298" spans="1:2">
      <c r="A5298" s="1" t="str">
        <f>"4602.11.00"</f>
        <v>4602.11.00</v>
      </c>
      <c r="B5298" s="2" t="str">
        <f>"De bambu"</f>
        <v>De bambu</v>
      </c>
    </row>
    <row r="5299" spans="1:2">
      <c r="A5299" s="1" t="str">
        <f>"4602.12.00"</f>
        <v>4602.12.00</v>
      </c>
      <c r="B5299" s="2" t="str">
        <f>"De rotim"</f>
        <v>De rotim</v>
      </c>
    </row>
    <row r="5300" spans="1:2">
      <c r="A5300" s="1" t="str">
        <f>"4602.19.00"</f>
        <v>4602.19.00</v>
      </c>
      <c r="B5300" s="2" t="str">
        <f>"outros"</f>
        <v>outros</v>
      </c>
    </row>
    <row r="5301" spans="1:2">
      <c r="A5301" s="1" t="str">
        <f>"4602.90.00"</f>
        <v>4602.90.00</v>
      </c>
      <c r="B5301" s="2" t="str">
        <f>"Outras"</f>
        <v>Outras</v>
      </c>
    </row>
    <row r="5302" spans="1:2">
      <c r="A5302" s="1" t="str">
        <f>"4701.00.00"</f>
        <v>4701.00.00</v>
      </c>
      <c r="B5302" s="2" t="str">
        <f>"Pastas mecanicas de madeira."</f>
        <v>Pastas mecanicas de madeira.</v>
      </c>
    </row>
    <row r="5303" spans="1:2">
      <c r="A5303" s="1" t="str">
        <f>"4702.00.00"</f>
        <v>4702.00.00</v>
      </c>
      <c r="B5303" s="2" t="str">
        <f>"Pastas quimicas de madeira, para di"</f>
        <v>Pastas quimicas de madeira, para di</v>
      </c>
    </row>
    <row r="5304" spans="1:2">
      <c r="A5304" s="1" t="str">
        <f>"4703.11.00"</f>
        <v>4703.11.00</v>
      </c>
      <c r="B5304" s="2" t="str">
        <f>"De coniferas"</f>
        <v>De coniferas</v>
      </c>
    </row>
    <row r="5305" spans="1:2">
      <c r="A5305" s="1" t="str">
        <f>"4703.19.00"</f>
        <v>4703.19.00</v>
      </c>
      <c r="B5305" s="2" t="str">
        <f>"De nao coniferas"</f>
        <v>De nao coniferas</v>
      </c>
    </row>
    <row r="5306" spans="1:2">
      <c r="A5306" s="1" t="str">
        <f>"4703.21.00"</f>
        <v>4703.21.00</v>
      </c>
      <c r="B5306" s="2" t="str">
        <f>"De coniferas"</f>
        <v>De coniferas</v>
      </c>
    </row>
    <row r="5307" spans="1:2">
      <c r="A5307" s="1" t="str">
        <f>"4703.29.00"</f>
        <v>4703.29.00</v>
      </c>
      <c r="B5307" s="2" t="str">
        <f>"De nao coniferas"</f>
        <v>De nao coniferas</v>
      </c>
    </row>
    <row r="5308" spans="1:2">
      <c r="A5308" s="1" t="str">
        <f>"4704.11.00"</f>
        <v>4704.11.00</v>
      </c>
      <c r="B5308" s="2" t="str">
        <f>"De coniferas"</f>
        <v>De coniferas</v>
      </c>
    </row>
    <row r="5309" spans="1:2">
      <c r="A5309" s="1" t="str">
        <f>"4704.19.00"</f>
        <v>4704.19.00</v>
      </c>
      <c r="B5309" s="2" t="str">
        <f>"De nao coniferas"</f>
        <v>De nao coniferas</v>
      </c>
    </row>
    <row r="5310" spans="1:2">
      <c r="A5310" s="1" t="str">
        <f>"4704.21.00"</f>
        <v>4704.21.00</v>
      </c>
      <c r="B5310" s="2" t="str">
        <f>"De coniferas"</f>
        <v>De coniferas</v>
      </c>
    </row>
    <row r="5311" spans="1:2">
      <c r="A5311" s="1" t="str">
        <f>"4704.29.00"</f>
        <v>4704.29.00</v>
      </c>
      <c r="B5311" s="2" t="str">
        <f>"De nao coniferas"</f>
        <v>De nao coniferas</v>
      </c>
    </row>
    <row r="5312" spans="1:2">
      <c r="A5312" s="1" t="str">
        <f>"4705.00.00"</f>
        <v>4705.00.00</v>
      </c>
      <c r="B5312" s="2" t="str">
        <f>"Pastas de madeira obtidas por combi"</f>
        <v>Pastas de madeira obtidas por combi</v>
      </c>
    </row>
    <row r="5313" spans="1:2">
      <c r="A5313" s="1" t="str">
        <f>"4706.10.00"</f>
        <v>4706.10.00</v>
      </c>
      <c r="B5313" s="2" t="str">
        <f>"Pastas de linteres de algodao"</f>
        <v>Pastas de linteres de algodao</v>
      </c>
    </row>
    <row r="5314" spans="1:2">
      <c r="A5314" s="1" t="str">
        <f>"4706.20.00"</f>
        <v>4706.20.00</v>
      </c>
      <c r="B5314" s="2" t="str">
        <f>"Pastas de fibras obtidas a partir d"</f>
        <v>Pastas de fibras obtidas a partir d</v>
      </c>
    </row>
    <row r="5315" spans="1:2">
      <c r="A5315" s="1" t="str">
        <f>"4706.30.00"</f>
        <v>4706.30.00</v>
      </c>
      <c r="B5315" s="2" t="str">
        <f>"Outras, de bambu"</f>
        <v>Outras, de bambu</v>
      </c>
    </row>
    <row r="5316" spans="1:2">
      <c r="A5316" s="1" t="str">
        <f>"4706.91.00"</f>
        <v>4706.91.00</v>
      </c>
      <c r="B5316" s="2" t="str">
        <f>"Mecanicas"</f>
        <v>Mecanicas</v>
      </c>
    </row>
    <row r="5317" spans="1:2">
      <c r="A5317" s="1" t="str">
        <f>"4706.92.00"</f>
        <v>4706.92.00</v>
      </c>
      <c r="B5317" s="2" t="str">
        <f>"Quimicas"</f>
        <v>Quimicas</v>
      </c>
    </row>
    <row r="5318" spans="1:2">
      <c r="A5318" s="1" t="str">
        <f>"4706.93.00"</f>
        <v>4706.93.00</v>
      </c>
      <c r="B5318" s="2" t="str">
        <f>"Obtidas por combinacao de um tratam"</f>
        <v>Obtidas por combinacao de um tratam</v>
      </c>
    </row>
    <row r="5319" spans="1:2">
      <c r="A5319" s="1" t="str">
        <f>"4707.10.00"</f>
        <v>4707.10.00</v>
      </c>
      <c r="B5319" s="2" t="str">
        <f>"Papeis ou cartoes, Kraft, crus, ou"</f>
        <v>Papeis ou cartoes, Kraft, crus, ou</v>
      </c>
    </row>
    <row r="5320" spans="1:2">
      <c r="A5320" s="1" t="str">
        <f>"4707.20.00"</f>
        <v>4707.20.00</v>
      </c>
      <c r="B5320" s="2" t="str">
        <f>"Outros papeis ou cartoes, obtidos p"</f>
        <v>Outros papeis ou cartoes, obtidos p</v>
      </c>
    </row>
    <row r="5321" spans="1:2">
      <c r="A5321" s="1" t="str">
        <f>"4707.30.00"</f>
        <v>4707.30.00</v>
      </c>
      <c r="B5321" s="2" t="str">
        <f>"Papeis ou cartoes, obtidos principa"</f>
        <v>Papeis ou cartoes, obtidos principa</v>
      </c>
    </row>
    <row r="5322" spans="1:2">
      <c r="A5322" s="1" t="str">
        <f>"4707.90.00"</f>
        <v>4707.90.00</v>
      </c>
      <c r="B5322" s="2" t="str">
        <f>"OUTROS- APARAS OU DESPERDÍCIOS"</f>
        <v>OUTROS- APARAS OU DESPERDÍCIOS</v>
      </c>
    </row>
    <row r="5323" spans="1:2">
      <c r="A5323" s="1" t="str">
        <f>"4801.00.20"</f>
        <v>4801.00.20</v>
      </c>
      <c r="B5323" s="2" t="str">
        <f>"Em folhas, nas que nenhum lado exce"</f>
        <v>Em folhas, nas que nenhum lado exce</v>
      </c>
    </row>
    <row r="5324" spans="1:2">
      <c r="A5324" s="1" t="str">
        <f>"4801.00.30"</f>
        <v>4801.00.30</v>
      </c>
      <c r="B5324" s="2" t="str">
        <f>"Outros, de peso inferior ou igual a"</f>
        <v>Outros, de peso inferior ou igual a</v>
      </c>
    </row>
    <row r="5325" spans="1:2">
      <c r="A5325" s="1" t="str">
        <f>"4801.00.90"</f>
        <v>4801.00.90</v>
      </c>
      <c r="B5325" s="2" t="str">
        <f>"Outros"</f>
        <v>Outros</v>
      </c>
    </row>
    <row r="5326" spans="1:2">
      <c r="A5326" s="1" t="str">
        <f>"4802.10.00"</f>
        <v>4802.10.00</v>
      </c>
      <c r="B5326" s="2" t="str">
        <f>"Papel e cartao feitos a mao (folha"</f>
        <v>Papel e cartao feitos a mao (folha</v>
      </c>
    </row>
    <row r="5327" spans="1:2">
      <c r="A5327" s="1" t="str">
        <f>"4802.20.10"</f>
        <v>4802.20.10</v>
      </c>
      <c r="B5327" s="2" t="str">
        <f>"Em tiras ou rolos de largura nao su"</f>
        <v>Em tiras ou rolos de largura nao su</v>
      </c>
    </row>
    <row r="5328" spans="1:2">
      <c r="A5328" s="1" t="str">
        <f>"4802.20.90"</f>
        <v>4802.20.90</v>
      </c>
      <c r="B5328" s="2" t="str">
        <f>"Outros"</f>
        <v>Outros</v>
      </c>
    </row>
    <row r="5329" spans="1:2">
      <c r="A5329" s="1" t="str">
        <f>"4802.30.99"</f>
        <v>4802.30.99</v>
      </c>
      <c r="B5329" s="2" t="str">
        <f>"INATIVA - DECORFINISH LUTEPEL"</f>
        <v>INATIVA - DECORFINISH LUTEPEL</v>
      </c>
    </row>
    <row r="5330" spans="1:2">
      <c r="A5330" s="1" t="str">
        <f>"4802.40.10"</f>
        <v>4802.40.10</v>
      </c>
      <c r="B5330" s="2" t="str">
        <f>"Em tiras ou rolos de largura nao su"</f>
        <v>Em tiras ou rolos de largura nao su</v>
      </c>
    </row>
    <row r="5331" spans="1:2">
      <c r="A5331" s="1" t="str">
        <f>"4802.40.90"</f>
        <v>4802.40.90</v>
      </c>
      <c r="B5331" s="2" t="str">
        <f>"Outros"</f>
        <v>Outros</v>
      </c>
    </row>
    <row r="5332" spans="1:2">
      <c r="A5332" s="1" t="str">
        <f>"4802.54.10"</f>
        <v>4802.54.10</v>
      </c>
      <c r="B5332" s="2" t="str">
        <f>"ROLOS DE PAPEL TENTOK CMPC"</f>
        <v>ROLOS DE PAPEL TENTOK CMPC</v>
      </c>
    </row>
    <row r="5333" spans="1:2">
      <c r="A5333" s="1" t="str">
        <f>"4802.54.90"</f>
        <v>4802.54.90</v>
      </c>
      <c r="B5333" s="2" t="str">
        <f>"INATIVA - FINISH FOIL"</f>
        <v>INATIVA - FINISH FOIL</v>
      </c>
    </row>
    <row r="5334" spans="1:2">
      <c r="A5334" s="1" t="str">
        <f>"4802.54.91"</f>
        <v>4802.54.91</v>
      </c>
      <c r="B5334" s="2" t="str">
        <f>"Fabricado principalmente a partir d"</f>
        <v>Fabricado principalmente a partir d</v>
      </c>
    </row>
    <row r="5335" spans="1:2">
      <c r="A5335" s="1" t="str">
        <f>"4802.54.99"</f>
        <v>4802.54.99</v>
      </c>
      <c r="B5335" s="2" t="str">
        <f>"outros"</f>
        <v>outros</v>
      </c>
    </row>
    <row r="5336" spans="1:2">
      <c r="A5336" s="1" t="str">
        <f>"4802.55.10"</f>
        <v>4802.55.10</v>
      </c>
      <c r="B5336" s="2" t="str">
        <f>"De largura nao superior a 15 cm"</f>
        <v>De largura nao superior a 15 cm</v>
      </c>
    </row>
    <row r="5337" spans="1:2">
      <c r="A5337" s="1" t="str">
        <f>"4802.55.91"</f>
        <v>4802.55.91</v>
      </c>
      <c r="B5337" s="2" t="str">
        <f>"De desenho"</f>
        <v>De desenho</v>
      </c>
    </row>
    <row r="5338" spans="1:2">
      <c r="A5338" s="1" t="str">
        <f>"4802.55.92"</f>
        <v>4802.55.92</v>
      </c>
      <c r="B5338" s="2" t="str">
        <f>"PAPEL KRAFT"</f>
        <v>PAPEL KRAFT</v>
      </c>
    </row>
    <row r="5339" spans="1:2">
      <c r="A5339" s="1" t="str">
        <f>"4802.55.99"</f>
        <v>4802.55.99</v>
      </c>
      <c r="B5339" s="2" t="str">
        <f>"OUTROS PAPEL ALTA OPACIDADE TIPO PP"</f>
        <v>OUTROS PAPEL ALTA OPACIDADE TIPO PP</v>
      </c>
    </row>
    <row r="5340" spans="1:2">
      <c r="A5340" s="1" t="str">
        <f>"4802.56.10"</f>
        <v>4802.56.10</v>
      </c>
      <c r="B5340" s="2" t="str">
        <f>"NAS QUAIS NENHUM LADO EXCEDA 360MM,"</f>
        <v>NAS QUAIS NENHUM LADO EXCEDA 360MM,</v>
      </c>
    </row>
    <row r="5341" spans="1:2">
      <c r="A5341" s="1" t="str">
        <f>"4802.56.91"</f>
        <v>4802.56.91</v>
      </c>
      <c r="B5341" s="2" t="str">
        <f>"Para impressao de papel-moeda"</f>
        <v>Para impressao de papel-moeda</v>
      </c>
    </row>
    <row r="5342" spans="1:2">
      <c r="A5342" s="1" t="str">
        <f>"4802.56.92"</f>
        <v>4802.56.92</v>
      </c>
      <c r="B5342" s="2" t="str">
        <f>"De desenho"</f>
        <v>De desenho</v>
      </c>
    </row>
    <row r="5343" spans="1:2">
      <c r="A5343" s="1" t="str">
        <f>"4802.56.93"</f>
        <v>4802.56.93</v>
      </c>
      <c r="B5343" s="2" t="str">
        <f>"KRAFT"</f>
        <v>KRAFT</v>
      </c>
    </row>
    <row r="5344" spans="1:2">
      <c r="A5344" s="1" t="str">
        <f>"4802.56.99"</f>
        <v>4802.56.99</v>
      </c>
      <c r="B5344" s="2" t="str">
        <f>"Outros"</f>
        <v>Outros</v>
      </c>
    </row>
    <row r="5345" spans="1:2">
      <c r="A5345" s="1" t="str">
        <f>"4802.57.10"</f>
        <v>4802.57.10</v>
      </c>
      <c r="B5345" s="2" t="str">
        <f>"Em tiras de largura nao superior a"</f>
        <v>Em tiras de largura nao superior a</v>
      </c>
    </row>
    <row r="5346" spans="1:2">
      <c r="A5346" s="1" t="str">
        <f>"4802.57.91"</f>
        <v>4802.57.91</v>
      </c>
      <c r="B5346" s="2" t="str">
        <f>"Para impressao de papel-moeda"</f>
        <v>Para impressao de papel-moeda</v>
      </c>
    </row>
    <row r="5347" spans="1:2">
      <c r="A5347" s="1" t="str">
        <f>"4802.57.92"</f>
        <v>4802.57.92</v>
      </c>
      <c r="B5347" s="2" t="str">
        <f>"De desenho"</f>
        <v>De desenho</v>
      </c>
    </row>
    <row r="5348" spans="1:2">
      <c r="A5348" s="1" t="str">
        <f>"4802.57.93"</f>
        <v>4802.57.93</v>
      </c>
      <c r="B5348" s="2" t="str">
        <f>"Kraft"</f>
        <v>Kraft</v>
      </c>
    </row>
    <row r="5349" spans="1:2">
      <c r="A5349" s="1" t="str">
        <f>"4802.57.99"</f>
        <v>4802.57.99</v>
      </c>
      <c r="B5349" s="2" t="str">
        <f>"OUTROS -PAPEL BASE EM ROLO CKZC 40G"</f>
        <v>OUTROS -PAPEL BASE EM ROLO CKZC 40G</v>
      </c>
    </row>
    <row r="5350" spans="1:2">
      <c r="A5350" s="1" t="str">
        <f>"4802.58.10"</f>
        <v>4802.58.10</v>
      </c>
      <c r="B5350" s="2" t="str">
        <f>"Em tiras ou rolos de largura nao su"</f>
        <v>Em tiras ou rolos de largura nao su</v>
      </c>
    </row>
    <row r="5351" spans="1:2">
      <c r="A5351" s="1" t="str">
        <f>"4802.58.91"</f>
        <v>4802.58.91</v>
      </c>
      <c r="B5351" s="2" t="str">
        <f>"De desenho"</f>
        <v>De desenho</v>
      </c>
    </row>
    <row r="5352" spans="1:2">
      <c r="A5352" s="1" t="str">
        <f>"4802.58.92"</f>
        <v>4802.58.92</v>
      </c>
      <c r="B5352" s="2" t="str">
        <f>"Kraft"</f>
        <v>Kraft</v>
      </c>
    </row>
    <row r="5353" spans="1:2">
      <c r="A5353" s="1" t="str">
        <f>"4802.58.99"</f>
        <v>4802.58.99</v>
      </c>
      <c r="B5353" s="2" t="str">
        <f>"OUTROS"</f>
        <v>OUTROS</v>
      </c>
    </row>
    <row r="5354" spans="1:2">
      <c r="A5354" s="1" t="str">
        <f>"4802.61.10"</f>
        <v>4802.61.10</v>
      </c>
      <c r="B5354" s="2" t="str">
        <f>"De largura nao superior a 15 cm"</f>
        <v>De largura nao superior a 15 cm</v>
      </c>
    </row>
    <row r="5355" spans="1:2">
      <c r="A5355" s="1" t="str">
        <f>"4802.61.91"</f>
        <v>4802.61.91</v>
      </c>
      <c r="B5355" s="2" t="str">
        <f>"De peso inferior ou igual a 57 g/m2"</f>
        <v>De peso inferior ou igual a 57 g/m2</v>
      </c>
    </row>
    <row r="5356" spans="1:2">
      <c r="A5356" s="1" t="str">
        <f>"4802.61.92"</f>
        <v>4802.61.92</v>
      </c>
      <c r="B5356" s="2" t="str">
        <f>"Kraft"</f>
        <v>Kraft</v>
      </c>
    </row>
    <row r="5357" spans="1:2">
      <c r="A5357" s="1" t="str">
        <f>"4802.61.99"</f>
        <v>4802.61.99</v>
      </c>
      <c r="B5357" s="2" t="str">
        <f>"OUTROS -PAPEL TENTOK CKZC"</f>
        <v>OUTROS -PAPEL TENTOK CKZC</v>
      </c>
    </row>
    <row r="5358" spans="1:2">
      <c r="A5358" s="1" t="str">
        <f>"4802.62.10"</f>
        <v>4802.62.10</v>
      </c>
      <c r="B5358" s="2" t="str">
        <f>"Em que nenhum lado exceda 360 mm, q"</f>
        <v>Em que nenhum lado exceda 360 mm, q</v>
      </c>
    </row>
    <row r="5359" spans="1:2">
      <c r="A5359" s="1" t="str">
        <f>"4802.62.91"</f>
        <v>4802.62.91</v>
      </c>
      <c r="B5359" s="2" t="str">
        <f>"De peso inferior ou igual a 57 g/m2"</f>
        <v>De peso inferior ou igual a 57 g/m2</v>
      </c>
    </row>
    <row r="5360" spans="1:2">
      <c r="A5360" s="1" t="str">
        <f>"4802.62.92"</f>
        <v>4802.62.92</v>
      </c>
      <c r="B5360" s="2" t="str">
        <f>"Kraft"</f>
        <v>Kraft</v>
      </c>
    </row>
    <row r="5361" spans="1:2">
      <c r="A5361" s="1" t="str">
        <f>"4802.62.99"</f>
        <v>4802.62.99</v>
      </c>
      <c r="B5361" s="2" t="str">
        <f>"Outros"</f>
        <v>Outros</v>
      </c>
    </row>
    <row r="5362" spans="1:2">
      <c r="A5362" s="1" t="str">
        <f>"4802.69.10"</f>
        <v>4802.69.10</v>
      </c>
      <c r="B5362" s="2" t="str">
        <f>"Em tiras de largura nao superior a"</f>
        <v>Em tiras de largura nao superior a</v>
      </c>
    </row>
    <row r="5363" spans="1:2">
      <c r="A5363" s="1" t="str">
        <f>"4802.69.91"</f>
        <v>4802.69.91</v>
      </c>
      <c r="B5363" s="2" t="str">
        <f>"De peso inferior ou igual a 57 g/m2"</f>
        <v>De peso inferior ou igual a 57 g/m2</v>
      </c>
    </row>
    <row r="5364" spans="1:2">
      <c r="A5364" s="1" t="str">
        <f>"4802.69.92"</f>
        <v>4802.69.92</v>
      </c>
      <c r="B5364" s="2" t="str">
        <f>"Kraft"</f>
        <v>Kraft</v>
      </c>
    </row>
    <row r="5365" spans="1:2">
      <c r="A5365" s="1" t="str">
        <f>"4802.69.99"</f>
        <v>4802.69.99</v>
      </c>
      <c r="B5365" s="2" t="str">
        <f>"Outros"</f>
        <v>Outros</v>
      </c>
    </row>
    <row r="5366" spans="1:2">
      <c r="A5366" s="1" t="str">
        <f>"4803.00.10"</f>
        <v>4803.00.10</v>
      </c>
      <c r="B5366" s="2" t="str">
        <f>"Pasta (ouate) de celulose e mantas"</f>
        <v>Pasta (ouate) de celulose e mantas</v>
      </c>
    </row>
    <row r="5367" spans="1:2">
      <c r="A5367" s="1" t="str">
        <f>"4803.00.90"</f>
        <v>4803.00.90</v>
      </c>
      <c r="B5367" s="2" t="str">
        <f>"OUTROS - PAPEL REF. 8838"</f>
        <v>OUTROS - PAPEL REF. 8838</v>
      </c>
    </row>
    <row r="5368" spans="1:2">
      <c r="A5368" s="1" t="str">
        <f>"4804.11.00"</f>
        <v>4804.11.00</v>
      </c>
      <c r="B5368" s="2" t="str">
        <f>"Crus"</f>
        <v>Crus</v>
      </c>
    </row>
    <row r="5369" spans="1:2">
      <c r="A5369" s="1" t="str">
        <f>"4804.19.00"</f>
        <v>4804.19.00</v>
      </c>
      <c r="B5369" s="2" t="str">
        <f>"Outros"</f>
        <v>Outros</v>
      </c>
    </row>
    <row r="5370" spans="1:2">
      <c r="A5370" s="1" t="str">
        <f>"4804.21.00"</f>
        <v>4804.21.00</v>
      </c>
      <c r="B5370" s="2" t="str">
        <f>"CRUS"</f>
        <v>CRUS</v>
      </c>
    </row>
    <row r="5371" spans="1:2">
      <c r="A5371" s="1" t="str">
        <f>"4804.29.00"</f>
        <v>4804.29.00</v>
      </c>
      <c r="B5371" s="2" t="str">
        <f>"Outros"</f>
        <v>Outros</v>
      </c>
    </row>
    <row r="5372" spans="1:2">
      <c r="A5372" s="1" t="str">
        <f>"4804.31.10"</f>
        <v>4804.31.10</v>
      </c>
      <c r="B5372" s="2" t="str">
        <f>"De rigidez dieletrica igual ou supe"</f>
        <v>De rigidez dieletrica igual ou supe</v>
      </c>
    </row>
    <row r="5373" spans="1:2">
      <c r="A5373" s="1" t="str">
        <f>"4804.31.90"</f>
        <v>4804.31.90</v>
      </c>
      <c r="B5373" s="2" t="str">
        <f>"Outros"</f>
        <v>Outros</v>
      </c>
    </row>
    <row r="5374" spans="1:2">
      <c r="A5374" s="1" t="str">
        <f>"4804.39.10"</f>
        <v>4804.39.10</v>
      </c>
      <c r="B5374" s="2" t="str">
        <f>"De rigidez dieletrica igual ou supe"</f>
        <v>De rigidez dieletrica igual ou supe</v>
      </c>
    </row>
    <row r="5375" spans="1:2">
      <c r="A5375" s="1" t="str">
        <f>"4804.39.90"</f>
        <v>4804.39.90</v>
      </c>
      <c r="B5375" s="2" t="str">
        <f>"OUTROS PAPEIS KRAFT"</f>
        <v>OUTROS PAPEIS KRAFT</v>
      </c>
    </row>
    <row r="5376" spans="1:2">
      <c r="A5376" s="1" t="str">
        <f>"4804.41.00"</f>
        <v>4804.41.00</v>
      </c>
      <c r="B5376" s="2" t="str">
        <f>"Crus"</f>
        <v>Crus</v>
      </c>
    </row>
    <row r="5377" spans="1:2">
      <c r="A5377" s="1" t="str">
        <f>"4804.42.00"</f>
        <v>4804.42.00</v>
      </c>
      <c r="B5377" s="2" t="str">
        <f>"BRANQUEADOS - MGBF 40G 190MM"</f>
        <v>BRANQUEADOS - MGBF 40G 190MM</v>
      </c>
    </row>
    <row r="5378" spans="1:2">
      <c r="A5378" s="1" t="str">
        <f>"4804.49.00"</f>
        <v>4804.49.00</v>
      </c>
      <c r="B5378" s="2" t="str">
        <f>"Outros"</f>
        <v>Outros</v>
      </c>
    </row>
    <row r="5379" spans="1:2">
      <c r="A5379" s="1" t="str">
        <f>"4804.51.00"</f>
        <v>4804.51.00</v>
      </c>
      <c r="B5379" s="2" t="str">
        <f>"Crus"</f>
        <v>Crus</v>
      </c>
    </row>
    <row r="5380" spans="1:2">
      <c r="A5380" s="1" t="str">
        <f>"4804.52.00"</f>
        <v>4804.52.00</v>
      </c>
      <c r="B5380" s="2" t="str">
        <f>"Branqueados uniformemente na massa"</f>
        <v>Branqueados uniformemente na massa</v>
      </c>
    </row>
    <row r="5381" spans="1:2">
      <c r="A5381" s="1" t="str">
        <f>"4804.59.10"</f>
        <v>4804.59.10</v>
      </c>
      <c r="B5381" s="2" t="str">
        <f>"Semibranqueados, com um conteudo de"</f>
        <v>Semibranqueados, com um conteudo de</v>
      </c>
    </row>
    <row r="5382" spans="1:2">
      <c r="A5382" s="1" t="str">
        <f>"4804.59.90"</f>
        <v>4804.59.90</v>
      </c>
      <c r="B5382" s="2" t="str">
        <f>"Outros"</f>
        <v>Outros</v>
      </c>
    </row>
    <row r="5383" spans="1:2">
      <c r="A5383" s="1" t="str">
        <f>"4805.11.00"</f>
        <v>4805.11.00</v>
      </c>
      <c r="B5383" s="2" t="str">
        <f>"Papel semiquimico para ondular (can"</f>
        <v>Papel semiquimico para ondular (can</v>
      </c>
    </row>
    <row r="5384" spans="1:2">
      <c r="A5384" s="1" t="str">
        <f>"4805.12.00"</f>
        <v>4805.12.00</v>
      </c>
      <c r="B5384" s="2" t="str">
        <f>"Papel palha para ondular (canelar*)"</f>
        <v>Papel palha para ondular (canelar*)</v>
      </c>
    </row>
    <row r="5385" spans="1:2">
      <c r="A5385" s="1" t="str">
        <f>"4805.19.00"</f>
        <v>4805.19.00</v>
      </c>
      <c r="B5385" s="2" t="str">
        <f>"OUTROS FOAM CHAPA PRETO"</f>
        <v>OUTROS FOAM CHAPA PRETO</v>
      </c>
    </row>
    <row r="5386" spans="1:2">
      <c r="A5386" s="1" t="str">
        <f>"4805.24.00"</f>
        <v>4805.24.00</v>
      </c>
      <c r="B5386" s="2" t="str">
        <f>"De peso nao superior a 150 g/m2"</f>
        <v>De peso nao superior a 150 g/m2</v>
      </c>
    </row>
    <row r="5387" spans="1:2">
      <c r="A5387" s="1" t="str">
        <f>"4805.25.00"</f>
        <v>4805.25.00</v>
      </c>
      <c r="B5387" s="2" t="str">
        <f>"De peso superior a 150 g/m2"</f>
        <v>De peso superior a 150 g/m2</v>
      </c>
    </row>
    <row r="5388" spans="1:2">
      <c r="A5388" s="1" t="str">
        <f>"4805.30.00"</f>
        <v>4805.30.00</v>
      </c>
      <c r="B5388" s="2" t="str">
        <f>"Papel sulfite de embalagem"</f>
        <v>Papel sulfite de embalagem</v>
      </c>
    </row>
    <row r="5389" spans="1:2">
      <c r="A5389" s="1" t="str">
        <f>"4805.40.10"</f>
        <v>4805.40.10</v>
      </c>
      <c r="B5389" s="2" t="str">
        <f>"De peso superior a 15 g/m2, mas nao"</f>
        <v>De peso superior a 15 g/m2, mas nao</v>
      </c>
    </row>
    <row r="5390" spans="1:2">
      <c r="A5390" s="1" t="str">
        <f>"4805.40.90"</f>
        <v>4805.40.90</v>
      </c>
      <c r="B5390" s="2" t="str">
        <f>"OUTROS"</f>
        <v>OUTROS</v>
      </c>
    </row>
    <row r="5391" spans="1:2">
      <c r="A5391" s="1" t="str">
        <f>"4805.50.00"</f>
        <v>4805.50.00</v>
      </c>
      <c r="B5391" s="2" t="str">
        <f>"Papel-feltro e cartao-feltro, papel"</f>
        <v>Papel-feltro e cartao-feltro, papel</v>
      </c>
    </row>
    <row r="5392" spans="1:2">
      <c r="A5392" s="1" t="str">
        <f>"4805.91.00"</f>
        <v>4805.91.00</v>
      </c>
      <c r="B5392" s="2" t="str">
        <f>"PAPEL OUTROS-DE PESO NÃO SUP 150M2"</f>
        <v>PAPEL OUTROS-DE PESO NÃO SUP 150M2</v>
      </c>
    </row>
    <row r="5393" spans="1:2">
      <c r="A5393" s="1" t="str">
        <f>"4805.92.10"</f>
        <v>4805.92.10</v>
      </c>
      <c r="B5393" s="2" t="str">
        <f>"Com fibras de vidro"</f>
        <v>Com fibras de vidro</v>
      </c>
    </row>
    <row r="5394" spans="1:2">
      <c r="A5394" s="1" t="str">
        <f>"4805.92.90"</f>
        <v>4805.92.90</v>
      </c>
      <c r="B5394" s="2" t="str">
        <f>"OUTROS PAPEIS NAO REVESTIDOS"</f>
        <v>OUTROS PAPEIS NAO REVESTIDOS</v>
      </c>
    </row>
    <row r="5395" spans="1:2">
      <c r="A5395" s="1" t="str">
        <f>"4805.93.00"</f>
        <v>4805.93.00</v>
      </c>
      <c r="B5395" s="2" t="str">
        <f>"De peso igual ou superior a 225 g/m"</f>
        <v>De peso igual ou superior a 225 g/m</v>
      </c>
    </row>
    <row r="5396" spans="1:2">
      <c r="A5396" s="1" t="str">
        <f>"4806.10.00"</f>
        <v>4806.10.00</v>
      </c>
      <c r="B5396" s="2" t="str">
        <f>"Papel-pergaminho e cartao-pergaminh"</f>
        <v>Papel-pergaminho e cartao-pergaminh</v>
      </c>
    </row>
    <row r="5397" spans="1:2">
      <c r="A5397" s="1" t="str">
        <f>"4806.20.00"</f>
        <v>4806.20.00</v>
      </c>
      <c r="B5397" s="2" t="str">
        <f>"Papel impermeavel a gorduras"</f>
        <v>Papel impermeavel a gorduras</v>
      </c>
    </row>
    <row r="5398" spans="1:2">
      <c r="A5398" s="1" t="str">
        <f>"4806.30.00"</f>
        <v>4806.30.00</v>
      </c>
      <c r="B5398" s="2" t="str">
        <f>"Papel vegetal"</f>
        <v>Papel vegetal</v>
      </c>
    </row>
    <row r="5399" spans="1:2">
      <c r="A5399" s="1" t="str">
        <f>"4806.40.00"</f>
        <v>4806.40.00</v>
      </c>
      <c r="B5399" s="2" t="str">
        <f>"PAPEL CRISTAL; CROMOPEL"</f>
        <v>PAPEL CRISTAL; CROMOPEL</v>
      </c>
    </row>
    <row r="5400" spans="1:2">
      <c r="A5400" s="1" t="str">
        <f>"4807.00.00"</f>
        <v>4807.00.00</v>
      </c>
      <c r="B5400" s="2" t="str">
        <f>"PAPEL E CARTÃO OBTIDOS POR COLAGEM"</f>
        <v>PAPEL E CARTÃO OBTIDOS POR COLAGEM</v>
      </c>
    </row>
    <row r="5401" spans="1:2">
      <c r="A5401" s="1" t="str">
        <f>"4808.10.00"</f>
        <v>4808.10.00</v>
      </c>
      <c r="B5401" s="2" t="str">
        <f>"PAPEL E CARTÃO ONDULAD MESMO PERFUR"</f>
        <v>PAPEL E CARTÃO ONDULAD MESMO PERFUR</v>
      </c>
    </row>
    <row r="5402" spans="1:2">
      <c r="A5402" s="1" t="str">
        <f>"4808.40.00"</f>
        <v>4808.40.00</v>
      </c>
      <c r="B5402" s="2" t="str">
        <f>"Papeis Kraft, encrespados ou plissa"</f>
        <v>Papeis Kraft, encrespados ou plissa</v>
      </c>
    </row>
    <row r="5403" spans="1:2">
      <c r="A5403" s="1" t="str">
        <f>"4808.90.00"</f>
        <v>4808.90.00</v>
      </c>
      <c r="B5403" s="2" t="str">
        <f>"Outros"</f>
        <v>Outros</v>
      </c>
    </row>
    <row r="5404" spans="1:2">
      <c r="A5404" s="1" t="str">
        <f>"4809.20.00"</f>
        <v>4809.20.00</v>
      </c>
      <c r="B5404" s="2" t="str">
        <f>"Papel autocopiativo"</f>
        <v>Papel autocopiativo</v>
      </c>
    </row>
    <row r="5405" spans="1:2">
      <c r="A5405" s="1" t="str">
        <f>"4809.90.00"</f>
        <v>4809.90.00</v>
      </c>
      <c r="B5405" s="2" t="str">
        <f>"Outros"</f>
        <v>Outros</v>
      </c>
    </row>
    <row r="5406" spans="1:2">
      <c r="A5406" s="1" t="str">
        <f>"4810.13.10"</f>
        <v>4810.13.10</v>
      </c>
      <c r="B5406" s="2" t="str">
        <f>"De largura nao superior a 15 cm"</f>
        <v>De largura nao superior a 15 cm</v>
      </c>
    </row>
    <row r="5407" spans="1:2">
      <c r="A5407" s="1" t="str">
        <f>"4810.13.81"</f>
        <v>4810.13.81</v>
      </c>
      <c r="B5407" s="2" t="str">
        <f>"Metalizados"</f>
        <v>Metalizados</v>
      </c>
    </row>
    <row r="5408" spans="1:2">
      <c r="A5408" s="1" t="str">
        <f>"4810.13.82"</f>
        <v>4810.13.82</v>
      </c>
      <c r="B5408" s="2" t="str">
        <f>"Baritados (revestidos de oxido ou s"</f>
        <v>Baritados (revestidos de oxido ou s</v>
      </c>
    </row>
    <row r="5409" spans="1:2">
      <c r="A5409" s="1" t="str">
        <f>"4810.13.89"</f>
        <v>4810.13.89</v>
      </c>
      <c r="B5409" s="2" t="str">
        <f>"Outros"</f>
        <v>Outros</v>
      </c>
    </row>
    <row r="5410" spans="1:2">
      <c r="A5410" s="1" t="str">
        <f>"4810.13.90"</f>
        <v>4810.13.90</v>
      </c>
      <c r="B5410" s="2" t="str">
        <f>"OUTROS"</f>
        <v>OUTROS</v>
      </c>
    </row>
    <row r="5411" spans="1:2">
      <c r="A5411" s="1" t="str">
        <f>"4810.14.10"</f>
        <v>4810.14.10</v>
      </c>
      <c r="B5411" s="2" t="str">
        <f>"Em que nenhum lado exceda 360 mm, q"</f>
        <v>Em que nenhum lado exceda 360 mm, q</v>
      </c>
    </row>
    <row r="5412" spans="1:2">
      <c r="A5412" s="1" t="str">
        <f>"4810.14.81"</f>
        <v>4810.14.81</v>
      </c>
      <c r="B5412" s="2" t="str">
        <f>"Metalizados"</f>
        <v>Metalizados</v>
      </c>
    </row>
    <row r="5413" spans="1:2">
      <c r="A5413" s="1" t="str">
        <f>"4810.14.82"</f>
        <v>4810.14.82</v>
      </c>
      <c r="B5413" s="2" t="str">
        <f>"Baritados (revestidos de oxido ou s"</f>
        <v>Baritados (revestidos de oxido ou s</v>
      </c>
    </row>
    <row r="5414" spans="1:2">
      <c r="A5414" s="1" t="str">
        <f>"4810.14.89"</f>
        <v>4810.14.89</v>
      </c>
      <c r="B5414" s="2" t="str">
        <f>"Outros"</f>
        <v>Outros</v>
      </c>
    </row>
    <row r="5415" spans="1:2">
      <c r="A5415" s="1" t="str">
        <f>"4810.14.90"</f>
        <v>4810.14.90</v>
      </c>
      <c r="B5415" s="2" t="str">
        <f>"Outros"</f>
        <v>Outros</v>
      </c>
    </row>
    <row r="5416" spans="1:2">
      <c r="A5416" s="1" t="str">
        <f>"4810.19.10"</f>
        <v>4810.19.10</v>
      </c>
      <c r="B5416" s="2" t="str">
        <f>"EM TIRAS DE LARGURA NÃO SUPER 15CM"</f>
        <v>EM TIRAS DE LARGURA NÃO SUPER 15CM</v>
      </c>
    </row>
    <row r="5417" spans="1:2">
      <c r="A5417" s="1" t="str">
        <f>"4810.19.81"</f>
        <v>4810.19.81</v>
      </c>
      <c r="B5417" s="2" t="str">
        <f>"Metalizados"</f>
        <v>Metalizados</v>
      </c>
    </row>
    <row r="5418" spans="1:2">
      <c r="A5418" s="1" t="str">
        <f>"4810.19.82"</f>
        <v>4810.19.82</v>
      </c>
      <c r="B5418" s="2" t="str">
        <f>"Baritados (revestidos de oxido ou s"</f>
        <v>Baritados (revestidos de oxido ou s</v>
      </c>
    </row>
    <row r="5419" spans="1:2">
      <c r="A5419" s="1" t="str">
        <f>"4810.19.89"</f>
        <v>4810.19.89</v>
      </c>
      <c r="B5419" s="2" t="str">
        <f>"Outros"</f>
        <v>Outros</v>
      </c>
    </row>
    <row r="5420" spans="1:2">
      <c r="A5420" s="1" t="str">
        <f>"4810.19.90"</f>
        <v>4810.19.90</v>
      </c>
      <c r="B5420" s="2" t="str">
        <f>"Outros"</f>
        <v>Outros</v>
      </c>
    </row>
    <row r="5421" spans="1:2">
      <c r="A5421" s="1" t="str">
        <f>"4810.22.10"</f>
        <v>4810.22.10</v>
      </c>
      <c r="B5421" s="2" t="str">
        <f>"Em tiras ou rolos de largura nao su"</f>
        <v>Em tiras ou rolos de largura nao su</v>
      </c>
    </row>
    <row r="5422" spans="1:2">
      <c r="A5422" s="1" t="str">
        <f>"4810.22.90"</f>
        <v>4810.22.90</v>
      </c>
      <c r="B5422" s="2" t="str">
        <f>"Outros"</f>
        <v>Outros</v>
      </c>
    </row>
    <row r="5423" spans="1:2">
      <c r="A5423" s="1" t="str">
        <f>"4810.29.10"</f>
        <v>4810.29.10</v>
      </c>
      <c r="B5423" s="2" t="str">
        <f>"Em tiras ou rolos de largura nao su"</f>
        <v>Em tiras ou rolos de largura nao su</v>
      </c>
    </row>
    <row r="5424" spans="1:2">
      <c r="A5424" s="1" t="str">
        <f>"4810.29.90"</f>
        <v>4810.29.90</v>
      </c>
      <c r="B5424" s="2" t="str">
        <f>"Outros"</f>
        <v>Outros</v>
      </c>
    </row>
    <row r="5425" spans="1:2">
      <c r="A5425" s="1" t="str">
        <f>"4810.31.10"</f>
        <v>4810.31.10</v>
      </c>
      <c r="B5425" s="2" t="str">
        <f>"Em tiras ou rolos de largura nao su"</f>
        <v>Em tiras ou rolos de largura nao su</v>
      </c>
    </row>
    <row r="5426" spans="1:2">
      <c r="A5426" s="1" t="str">
        <f>"4810.31.90"</f>
        <v>4810.31.90</v>
      </c>
      <c r="B5426" s="2" t="str">
        <f>"Outros"</f>
        <v>Outros</v>
      </c>
    </row>
    <row r="5427" spans="1:2">
      <c r="A5427" s="1" t="str">
        <f>"4810.32.10"</f>
        <v>4810.32.10</v>
      </c>
      <c r="B5427" s="2" t="str">
        <f>"Em tiras ou rolos de largura nao su"</f>
        <v>Em tiras ou rolos de largura nao su</v>
      </c>
    </row>
    <row r="5428" spans="1:2">
      <c r="A5428" s="1" t="str">
        <f>"4810.32.90"</f>
        <v>4810.32.90</v>
      </c>
      <c r="B5428" s="2" t="str">
        <f>"Outros"</f>
        <v>Outros</v>
      </c>
    </row>
    <row r="5429" spans="1:2">
      <c r="A5429" s="1" t="str">
        <f>"4810.39.10"</f>
        <v>4810.39.10</v>
      </c>
      <c r="B5429" s="2" t="str">
        <f>"Em tiras ou rolos de largura nao su"</f>
        <v>Em tiras ou rolos de largura nao su</v>
      </c>
    </row>
    <row r="5430" spans="1:2">
      <c r="A5430" s="1" t="str">
        <f>"4810.39.90"</f>
        <v>4810.39.90</v>
      </c>
      <c r="B5430" s="2" t="str">
        <f>"Outros"</f>
        <v>Outros</v>
      </c>
    </row>
    <row r="5431" spans="1:2">
      <c r="A5431" s="1" t="str">
        <f>"4810.92.10"</f>
        <v>4810.92.10</v>
      </c>
      <c r="B5431" s="2" t="str">
        <f>"Em tiras ou rolos de largura nao su"</f>
        <v>Em tiras ou rolos de largura nao su</v>
      </c>
    </row>
    <row r="5432" spans="1:2">
      <c r="A5432" s="1" t="str">
        <f>"4810.92.90"</f>
        <v>4810.92.90</v>
      </c>
      <c r="B5432" s="2" t="str">
        <f>"Outros"</f>
        <v>Outros</v>
      </c>
    </row>
    <row r="5433" spans="1:2">
      <c r="A5433" s="1" t="str">
        <f>"4810.99.10"</f>
        <v>4810.99.10</v>
      </c>
      <c r="B5433" s="2" t="str">
        <f>"Em tiras ou rolos de largura nao su"</f>
        <v>Em tiras ou rolos de largura nao su</v>
      </c>
    </row>
    <row r="5434" spans="1:2">
      <c r="A5434" s="1" t="str">
        <f>"4810.99.90"</f>
        <v>4810.99.90</v>
      </c>
      <c r="B5434" s="2" t="str">
        <f>"Outros"</f>
        <v>Outros</v>
      </c>
    </row>
    <row r="5435" spans="1:2">
      <c r="A5435" s="1" t="str">
        <f>"4811.10.10"</f>
        <v>4811.10.10</v>
      </c>
      <c r="B5435" s="2" t="str">
        <f>"Em tiras ou rolos de largura nao su"</f>
        <v>Em tiras ou rolos de largura nao su</v>
      </c>
    </row>
    <row r="5436" spans="1:2">
      <c r="A5436" s="1" t="str">
        <f>"4811.10.90"</f>
        <v>4811.10.90</v>
      </c>
      <c r="B5436" s="2" t="str">
        <f>"Outros"</f>
        <v>Outros</v>
      </c>
    </row>
    <row r="5437" spans="1:2">
      <c r="A5437" s="1" t="str">
        <f>"4811.31.20"</f>
        <v>4811.31.20</v>
      </c>
      <c r="B5437" s="2" t="str">
        <f>"INATIVA - SL  FL KRAFT"</f>
        <v>INATIVA - SL  FL KRAFT</v>
      </c>
    </row>
    <row r="5438" spans="1:2">
      <c r="A5438" s="1" t="str">
        <f>"4811.39.19"</f>
        <v>4811.39.19</v>
      </c>
      <c r="B5438" s="2" t="str">
        <f>"INATIVA - KRAFT"</f>
        <v>INATIVA - KRAFT</v>
      </c>
    </row>
    <row r="5439" spans="1:2">
      <c r="A5439" s="1" t="str">
        <f>"4811.39.20"</f>
        <v>4811.39.20</v>
      </c>
      <c r="B5439" s="2" t="str">
        <f>"INATIVA - PAPEL FF MOGNO COLONIAL"</f>
        <v>INATIVA - PAPEL FF MOGNO COLONIAL</v>
      </c>
    </row>
    <row r="5440" spans="1:2">
      <c r="A5440" s="1" t="str">
        <f>"4811.41.10"</f>
        <v>4811.41.10</v>
      </c>
      <c r="B5440" s="2" t="str">
        <f>"ROLES FITA DUPLA FACE"</f>
        <v>ROLES FITA DUPLA FACE</v>
      </c>
    </row>
    <row r="5441" spans="1:2">
      <c r="A5441" s="1" t="str">
        <f>"4811.41.90"</f>
        <v>4811.41.90</v>
      </c>
      <c r="B5441" s="2" t="str">
        <f>"OUTROS"</f>
        <v>OUTROS</v>
      </c>
    </row>
    <row r="5442" spans="1:2">
      <c r="A5442" s="1" t="str">
        <f>"4811.49.10"</f>
        <v>4811.49.10</v>
      </c>
      <c r="B5442" s="2" t="str">
        <f>"ROLOS FITA ADES CREPE"</f>
        <v>ROLOS FITA ADES CREPE</v>
      </c>
    </row>
    <row r="5443" spans="1:2">
      <c r="A5443" s="1" t="str">
        <f>"4811.49.90"</f>
        <v>4811.49.90</v>
      </c>
      <c r="B5443" s="2" t="str">
        <f>"OUTROS"</f>
        <v>OUTROS</v>
      </c>
    </row>
    <row r="5444" spans="1:2">
      <c r="A5444" s="1" t="str">
        <f>"4811.51.10"</f>
        <v>4811.51.10</v>
      </c>
      <c r="B5444" s="2" t="str">
        <f>"Em tiras ou rolos de largura nao su"</f>
        <v>Em tiras ou rolos de largura nao su</v>
      </c>
    </row>
    <row r="5445" spans="1:2">
      <c r="A5445" s="1" t="str">
        <f>"4811.51.21"</f>
        <v>4811.51.21</v>
      </c>
      <c r="B5445" s="2" t="str">
        <f>"De silicone, exceto gofrados na fac"</f>
        <v>De silicone, exceto gofrados na fac</v>
      </c>
    </row>
    <row r="5446" spans="1:2">
      <c r="A5446" s="1" t="str">
        <f>"4811.51.22"</f>
        <v>4811.51.22</v>
      </c>
      <c r="B5446" s="2" t="str">
        <f>"De polietileno, estratificado com a"</f>
        <v>De polietileno, estratificado com a</v>
      </c>
    </row>
    <row r="5447" spans="1:2">
      <c r="A5447" s="1" t="str">
        <f>"4811.51.23"</f>
        <v>4811.51.23</v>
      </c>
      <c r="B5447" s="2" t="str">
        <f>"DE POLIET/POLIPROP BASE PAPEL FOTOG"</f>
        <v>DE POLIET/POLIPROP BASE PAPEL FOTOG</v>
      </c>
    </row>
    <row r="5448" spans="1:2">
      <c r="A5448" s="1" t="str">
        <f>"4811.51.28"</f>
        <v>4811.51.28</v>
      </c>
      <c r="B5448" s="2" t="str">
        <f>"Outros, gofrados na face recoberta"</f>
        <v>Outros, gofrados na face recoberta</v>
      </c>
    </row>
    <row r="5449" spans="1:2">
      <c r="A5449" s="1" t="str">
        <f>"4811.51.29"</f>
        <v>4811.51.29</v>
      </c>
      <c r="B5449" s="2" t="str">
        <f>"OUTROS"</f>
        <v>OUTROS</v>
      </c>
    </row>
    <row r="5450" spans="1:2">
      <c r="A5450" s="1" t="str">
        <f>"4811.51.30"</f>
        <v>4811.51.30</v>
      </c>
      <c r="B5450" s="2" t="str">
        <f>"OUTROS, IMPREGNADOS"</f>
        <v>OUTROS, IMPREGNADOS</v>
      </c>
    </row>
    <row r="5451" spans="1:2">
      <c r="A5451" s="1" t="str">
        <f>"4811.59.00"</f>
        <v>4811.59.00</v>
      </c>
      <c r="B5451" s="2" t="str">
        <f>"INATIVA - PAPEL IMPREGNADO"</f>
        <v>INATIVA - PAPEL IMPREGNADO</v>
      </c>
    </row>
    <row r="5452" spans="1:2">
      <c r="A5452" s="1" t="str">
        <f>"4811.59.10"</f>
        <v>4811.59.10</v>
      </c>
      <c r="B5452" s="2" t="str">
        <f>"Em tiras ou rolos de largura nao su"</f>
        <v>Em tiras ou rolos de largura nao su</v>
      </c>
    </row>
    <row r="5453" spans="1:2">
      <c r="A5453" s="1" t="str">
        <f>"4811.59.21"</f>
        <v>4811.59.21</v>
      </c>
      <c r="B5453" s="2" t="str">
        <f>"De polietileno ou polipropileno, em"</f>
        <v>De polietileno ou polipropileno, em</v>
      </c>
    </row>
    <row r="5454" spans="1:2">
      <c r="A5454" s="1" t="str">
        <f>"4811.59.22"</f>
        <v>4811.59.22</v>
      </c>
      <c r="B5454" s="2" t="str">
        <f>"DE SILICONE"</f>
        <v>DE SILICONE</v>
      </c>
    </row>
    <row r="5455" spans="1:2">
      <c r="A5455" s="1" t="str">
        <f>"4811.59.23"</f>
        <v>4811.59.23</v>
      </c>
      <c r="B5455" s="2" t="str">
        <f>"De polietileno, estratificado com a"</f>
        <v>De polietileno, estratificado com a</v>
      </c>
    </row>
    <row r="5456" spans="1:2">
      <c r="A5456" s="1" t="str">
        <f>"4811.59.29"</f>
        <v>4811.59.29</v>
      </c>
      <c r="B5456" s="2" t="str">
        <f>"OUTROS - P.KF"</f>
        <v>OUTROS - P.KF</v>
      </c>
    </row>
    <row r="5457" spans="1:2">
      <c r="A5457" s="1" t="str">
        <f>"4811.59.30"</f>
        <v>4811.59.30</v>
      </c>
      <c r="B5457" s="2" t="str">
        <f>"OUTROS IMPREGNADOS PAPEL KAEMMERER"</f>
        <v>OUTROS IMPREGNADOS PAPEL KAEMMERER</v>
      </c>
    </row>
    <row r="5458" spans="1:2">
      <c r="A5458" s="1" t="str">
        <f>"4811.60.10"</f>
        <v>4811.60.10</v>
      </c>
      <c r="B5458" s="2" t="str">
        <f>"Em tiras ou rolos de largura nao su"</f>
        <v>Em tiras ou rolos de largura nao su</v>
      </c>
    </row>
    <row r="5459" spans="1:2">
      <c r="A5459" s="1" t="str">
        <f>"4811.60.90"</f>
        <v>4811.60.90</v>
      </c>
      <c r="B5459" s="2" t="str">
        <f>"OUTROS"</f>
        <v>OUTROS</v>
      </c>
    </row>
    <row r="5460" spans="1:2">
      <c r="A5460" s="1" t="str">
        <f>"4811.90.00"</f>
        <v>4811.90.00</v>
      </c>
      <c r="B5460" s="2" t="str">
        <f>"INATIVA - PAPEL FF"</f>
        <v>INATIVA - PAPEL FF</v>
      </c>
    </row>
    <row r="5461" spans="1:2">
      <c r="A5461" s="1" t="str">
        <f>"4811.90.10"</f>
        <v>4811.90.10</v>
      </c>
      <c r="B5461" s="2" t="str">
        <f>"Em tiras ou rolos de largura nao su"</f>
        <v>Em tiras ou rolos de largura nao su</v>
      </c>
    </row>
    <row r="5462" spans="1:2">
      <c r="A5462" s="1" t="str">
        <f>"4811.90.19"</f>
        <v>4811.90.19</v>
      </c>
      <c r="B5462" s="2" t="str">
        <f>"outros"</f>
        <v>outros</v>
      </c>
    </row>
    <row r="5463" spans="1:2">
      <c r="A5463" s="1" t="str">
        <f>"4811.90.90"</f>
        <v>4811.90.90</v>
      </c>
      <c r="B5463" s="2" t="str">
        <f>"OUTROS - PAPEL IMPRESSO PARA REVEST"</f>
        <v>OUTROS - PAPEL IMPRESSO PARA REVEST</v>
      </c>
    </row>
    <row r="5464" spans="1:2">
      <c r="A5464" s="1" t="str">
        <f>"4811.91.90"</f>
        <v>4811.91.90</v>
      </c>
      <c r="B5464" s="2" t="str">
        <f>"INATIVA - PAPEL OVERLEY"</f>
        <v>INATIVA - PAPEL OVERLEY</v>
      </c>
    </row>
    <row r="5465" spans="1:2">
      <c r="A5465" s="1" t="str">
        <f>"4812.00.00"</f>
        <v>4812.00.00</v>
      </c>
      <c r="B5465" s="2" t="str">
        <f>"Blocos e chapas, filtrantes, de pas"</f>
        <v>Blocos e chapas, filtrantes, de pas</v>
      </c>
    </row>
    <row r="5466" spans="1:2">
      <c r="A5466" s="1" t="str">
        <f>"4813.10.00"</f>
        <v>4813.10.00</v>
      </c>
      <c r="B5466" s="2" t="str">
        <f>"Em cadernos ou em tubos"</f>
        <v>Em cadernos ou em tubos</v>
      </c>
    </row>
    <row r="5467" spans="1:2">
      <c r="A5467" s="1" t="str">
        <f>"4813.20.00"</f>
        <v>4813.20.00</v>
      </c>
      <c r="B5467" s="2" t="str">
        <f>"Em rolos de largura nao superior a"</f>
        <v>Em rolos de largura nao superior a</v>
      </c>
    </row>
    <row r="5468" spans="1:2">
      <c r="A5468" s="1" t="str">
        <f>"4813.90.00"</f>
        <v>4813.90.00</v>
      </c>
      <c r="B5468" s="2" t="str">
        <f>"Outros"</f>
        <v>Outros</v>
      </c>
    </row>
    <row r="5469" spans="1:2">
      <c r="A5469" s="1" t="str">
        <f>"4814.20.00"</f>
        <v>4814.20.00</v>
      </c>
      <c r="B5469" s="2" t="str">
        <f>"Papel de parede e revestimentos de"</f>
        <v>Papel de parede e revestimentos de</v>
      </c>
    </row>
    <row r="5470" spans="1:2">
      <c r="A5470" s="1" t="str">
        <f>"4814.90.00"</f>
        <v>4814.90.00</v>
      </c>
      <c r="B5470" s="2" t="str">
        <f>"Outros"</f>
        <v>Outros</v>
      </c>
    </row>
    <row r="5471" spans="1:2">
      <c r="A5471" s="1" t="str">
        <f>"4816.20.00"</f>
        <v>4816.20.00</v>
      </c>
      <c r="B5471" s="2" t="str">
        <f>"Papel autocopiativo"</f>
        <v>Papel autocopiativo</v>
      </c>
    </row>
    <row r="5472" spans="1:2">
      <c r="A5472" s="1" t="str">
        <f>"4816.90.10"</f>
        <v>4816.90.10</v>
      </c>
      <c r="B5472" s="2" t="str">
        <f>"Papel-carbono e semelhantes"</f>
        <v>Papel-carbono e semelhantes</v>
      </c>
    </row>
    <row r="5473" spans="1:2">
      <c r="A5473" s="1" t="str">
        <f>"4816.90.90"</f>
        <v>4816.90.90</v>
      </c>
      <c r="B5473" s="2" t="str">
        <f>"Outros"</f>
        <v>Outros</v>
      </c>
    </row>
    <row r="5474" spans="1:2">
      <c r="A5474" s="1" t="str">
        <f>"4817.10.00"</f>
        <v>4817.10.00</v>
      </c>
      <c r="B5474" s="2" t="str">
        <f>"ENVELOPES"</f>
        <v>ENVELOPES</v>
      </c>
    </row>
    <row r="5475" spans="1:2">
      <c r="A5475" s="1" t="str">
        <f>"4817.20.00"</f>
        <v>4817.20.00</v>
      </c>
      <c r="B5475" s="2" t="str">
        <f>"Aerogramas, bilhetes-postais nao il"</f>
        <v>Aerogramas, bilhetes-postais nao il</v>
      </c>
    </row>
    <row r="5476" spans="1:2">
      <c r="A5476" s="1" t="str">
        <f>"4817.30.00"</f>
        <v>4817.30.00</v>
      </c>
      <c r="B5476" s="2" t="str">
        <f>"Caixas, sacos e semelhantes, de pap"</f>
        <v>Caixas, sacos e semelhantes, de pap</v>
      </c>
    </row>
    <row r="5477" spans="1:2">
      <c r="A5477" s="1" t="str">
        <f>"4818.10.00"</f>
        <v>4818.10.00</v>
      </c>
      <c r="B5477" s="2" t="str">
        <f>"PAPEL HIGIENICO"</f>
        <v>PAPEL HIGIENICO</v>
      </c>
    </row>
    <row r="5478" spans="1:2">
      <c r="A5478" s="1" t="str">
        <f>"4818.20.00"</f>
        <v>4818.20.00</v>
      </c>
      <c r="B5478" s="2" t="str">
        <f>"LENÇOS (INCLUÍDOS OS DE MAQUILAGEM)"</f>
        <v>LENÇOS (INCLUÍDOS OS DE MAQUILAGEM)</v>
      </c>
    </row>
    <row r="5479" spans="1:2">
      <c r="A5479" s="1" t="str">
        <f>"4818.30.00"</f>
        <v>4818.30.00</v>
      </c>
      <c r="B5479" s="2" t="str">
        <f>"Toalhas de mesa e guardanapos"</f>
        <v>Toalhas de mesa e guardanapos</v>
      </c>
    </row>
    <row r="5480" spans="1:2">
      <c r="A5480" s="1" t="str">
        <f>"4818.50.00"</f>
        <v>4818.50.00</v>
      </c>
      <c r="B5480" s="2" t="str">
        <f>"Vestuario e seus acessorios"</f>
        <v>Vestuario e seus acessorios</v>
      </c>
    </row>
    <row r="5481" spans="1:2">
      <c r="A5481" s="1" t="str">
        <f>"4818.90.10"</f>
        <v>4818.90.10</v>
      </c>
      <c r="B5481" s="2" t="str">
        <f>"Almofadas absorventes do tipo utili"</f>
        <v>Almofadas absorventes do tipo utili</v>
      </c>
    </row>
    <row r="5482" spans="1:2">
      <c r="A5482" s="1" t="str">
        <f>"4818.90.90"</f>
        <v>4818.90.90</v>
      </c>
      <c r="B5482" s="2" t="str">
        <f>"Outros"</f>
        <v>Outros</v>
      </c>
    </row>
    <row r="5483" spans="1:2">
      <c r="A5483" s="1" t="str">
        <f>"4819.10.00"</f>
        <v>4819.10.00</v>
      </c>
      <c r="B5483" s="2" t="str">
        <f>"CAIXAS DE PAPEL MODELO 01/03"</f>
        <v>CAIXAS DE PAPEL MODELO 01/03</v>
      </c>
    </row>
    <row r="5484" spans="1:2">
      <c r="A5484" s="1" t="str">
        <f>"4819.20.00"</f>
        <v>4819.20.00</v>
      </c>
      <c r="B5484" s="2" t="str">
        <f>"CAIXA DE CARTONAG DOBRAV"</f>
        <v>CAIXA DE CARTONAG DOBRAV</v>
      </c>
    </row>
    <row r="5485" spans="1:2">
      <c r="A5485" s="1" t="str">
        <f>"4819.30.00"</f>
        <v>4819.30.00</v>
      </c>
      <c r="B5485" s="2" t="str">
        <f>"Sacos cuja base tenha largura igual"</f>
        <v>Sacos cuja base tenha largura igual</v>
      </c>
    </row>
    <row r="5486" spans="1:2">
      <c r="A5486" s="1" t="str">
        <f>"4819.40.00"</f>
        <v>4819.40.00</v>
      </c>
      <c r="B5486" s="2" t="str">
        <f>"Outros sacos; bolsas e cartuchos"</f>
        <v>Outros sacos; bolsas e cartuchos</v>
      </c>
    </row>
    <row r="5487" spans="1:2">
      <c r="A5487" s="1" t="str">
        <f>"4819.50.00"</f>
        <v>4819.50.00</v>
      </c>
      <c r="B5487" s="2" t="str">
        <f>"cantoneira"</f>
        <v>cantoneira</v>
      </c>
    </row>
    <row r="5488" spans="1:2">
      <c r="A5488" s="1" t="str">
        <f>"4819.60.00"</f>
        <v>4819.60.00</v>
      </c>
      <c r="B5488" s="2" t="str">
        <f>"CARTONAGEM PARA ESCRIT"</f>
        <v>CARTONAGEM PARA ESCRIT</v>
      </c>
    </row>
    <row r="5489" spans="1:2">
      <c r="A5489" s="1" t="str">
        <f>"4820.10.00"</f>
        <v>4820.10.00</v>
      </c>
      <c r="B5489" s="2" t="str">
        <f>"LIVROS DE REGISTROS - AGENDAS"</f>
        <v>LIVROS DE REGISTROS - AGENDAS</v>
      </c>
    </row>
    <row r="5490" spans="1:2">
      <c r="A5490" s="1" t="str">
        <f>"4820.20.00"</f>
        <v>4820.20.00</v>
      </c>
      <c r="B5490" s="2" t="str">
        <f>"CADERNOS"</f>
        <v>CADERNOS</v>
      </c>
    </row>
    <row r="5491" spans="1:2">
      <c r="A5491" s="1" t="str">
        <f>"4820.30.00"</f>
        <v>4820.30.00</v>
      </c>
      <c r="B5491" s="2" t="str">
        <f>"CLASSIFIC. CAPAS P/ ENCADER. E CAPA"</f>
        <v>CLASSIFIC. CAPAS P/ ENCADER. E CAPA</v>
      </c>
    </row>
    <row r="5492" spans="1:2">
      <c r="A5492" s="1" t="str">
        <f>"4820.40.00"</f>
        <v>4820.40.00</v>
      </c>
      <c r="B5492" s="2" t="str">
        <f>"Formularios em blocos tipo manifold"</f>
        <v>Formularios em blocos tipo manifold</v>
      </c>
    </row>
    <row r="5493" spans="1:2">
      <c r="A5493" s="1" t="str">
        <f>"4820.50.00"</f>
        <v>4820.50.00</v>
      </c>
      <c r="B5493" s="2" t="str">
        <f>"Albuns para amostras ou para coleco"</f>
        <v>Albuns para amostras ou para coleco</v>
      </c>
    </row>
    <row r="5494" spans="1:2">
      <c r="A5494" s="1" t="str">
        <f>"4820.90.00"</f>
        <v>4820.90.00</v>
      </c>
      <c r="B5494" s="2" t="str">
        <f>"ETIQUETA ADESIVA POST IT"</f>
        <v>ETIQUETA ADESIVA POST IT</v>
      </c>
    </row>
    <row r="5495" spans="1:2">
      <c r="A5495" s="1" t="str">
        <f>"4821.10.00"</f>
        <v>4821.10.00</v>
      </c>
      <c r="B5495" s="2" t="str">
        <f>"ETIQUETA"</f>
        <v>ETIQUETA</v>
      </c>
    </row>
    <row r="5496" spans="1:2">
      <c r="A5496" s="1" t="str">
        <f>"4821.90.00"</f>
        <v>4821.90.00</v>
      </c>
      <c r="B5496" s="2" t="str">
        <f>"OUTRAS ETIQUETA ADESIVA"</f>
        <v>OUTRAS ETIQUETA ADESIVA</v>
      </c>
    </row>
    <row r="5497" spans="1:2">
      <c r="A5497" s="1" t="str">
        <f>"4822.10.00"</f>
        <v>4822.10.00</v>
      </c>
      <c r="B5497" s="2" t="str">
        <f>"TIPOS UTILIZ P/ ENROLAMEN FIOS TEXT"</f>
        <v>TIPOS UTILIZ P/ ENROLAMEN FIOS TEXT</v>
      </c>
    </row>
    <row r="5498" spans="1:2">
      <c r="A5498" s="1" t="str">
        <f>"4822.90.00"</f>
        <v>4822.90.00</v>
      </c>
      <c r="B5498" s="2" t="str">
        <f>"OUTROS - TUBETE"</f>
        <v>OUTROS - TUBETE</v>
      </c>
    </row>
    <row r="5499" spans="1:2">
      <c r="A5499" s="1" t="str">
        <f>"4823.11.00"</f>
        <v>4823.11.00</v>
      </c>
      <c r="B5499" s="2" t="str">
        <f>"INATIVO"</f>
        <v>INATIVO</v>
      </c>
    </row>
    <row r="5500" spans="1:2">
      <c r="A5500" s="1" t="str">
        <f>"4823.20.10"</f>
        <v>4823.20.10</v>
      </c>
      <c r="B5500" s="2" t="str">
        <f>"De peso superior a 15 g/m2, mas nao"</f>
        <v>De peso superior a 15 g/m2, mas nao</v>
      </c>
    </row>
    <row r="5501" spans="1:2">
      <c r="A5501" s="1" t="str">
        <f>"4823.20.91"</f>
        <v>4823.20.91</v>
      </c>
      <c r="B5501" s="2" t="str">
        <f>"Em tiras ou rolos de largura superi"</f>
        <v>Em tiras ou rolos de largura superi</v>
      </c>
    </row>
    <row r="5502" spans="1:2">
      <c r="A5502" s="1" t="str">
        <f>"4823.20.99"</f>
        <v>4823.20.99</v>
      </c>
      <c r="B5502" s="2" t="str">
        <f>"Outros"</f>
        <v>Outros</v>
      </c>
    </row>
    <row r="5503" spans="1:2">
      <c r="A5503" s="1" t="str">
        <f>"4823.40.00"</f>
        <v>4823.40.00</v>
      </c>
      <c r="B5503" s="2" t="str">
        <f>"Papeis-diagrama para aparelhos regi"</f>
        <v>Papeis-diagrama para aparelhos regi</v>
      </c>
    </row>
    <row r="5504" spans="1:2">
      <c r="A5504" s="1" t="str">
        <f>"4823.61.00"</f>
        <v>4823.61.00</v>
      </c>
      <c r="B5504" s="2" t="str">
        <f>"De bambu"</f>
        <v>De bambu</v>
      </c>
    </row>
    <row r="5505" spans="1:2">
      <c r="A5505" s="1" t="str">
        <f>"4823.69.00"</f>
        <v>4823.69.00</v>
      </c>
      <c r="B5505" s="2" t="str">
        <f>"Outros"</f>
        <v>Outros</v>
      </c>
    </row>
    <row r="5506" spans="1:2">
      <c r="A5506" s="1" t="str">
        <f>"4823.70.00"</f>
        <v>4823.70.00</v>
      </c>
      <c r="B5506" s="2" t="str">
        <f>"ARTIGOS MOLDADOS; CADKP EMBALAGENS"</f>
        <v>ARTIGOS MOLDADOS; CADKP EMBALAGENS</v>
      </c>
    </row>
    <row r="5507" spans="1:2">
      <c r="A5507" s="1" t="str">
        <f>"4823.90.10"</f>
        <v>4823.90.10</v>
      </c>
      <c r="B5507" s="2" t="str">
        <f>"Cartoes perfurados para mecanismos"</f>
        <v>Cartoes perfurados para mecanismos</v>
      </c>
    </row>
    <row r="5508" spans="1:2">
      <c r="A5508" s="1" t="str">
        <f>"4823.90.20"</f>
        <v>4823.90.20</v>
      </c>
      <c r="B5508" s="2" t="str">
        <f>"De rigidez dieletrica igual ou supe"</f>
        <v>De rigidez dieletrica igual ou supe</v>
      </c>
    </row>
    <row r="5509" spans="1:2">
      <c r="A5509" s="1" t="str">
        <f>"4823.90.91"</f>
        <v>4823.90.91</v>
      </c>
      <c r="B5509" s="2" t="str">
        <f>"Em tiras ou rolos de largura superi"</f>
        <v>Em tiras ou rolos de largura superi</v>
      </c>
    </row>
    <row r="5510" spans="1:2">
      <c r="A5510" s="1" t="str">
        <f>"4823.90.99"</f>
        <v>4823.90.99</v>
      </c>
      <c r="B5510" s="2" t="str">
        <f>"OUTROS - TAG 5302 CARTERLA DE APLIC"</f>
        <v>OUTROS - TAG 5302 CARTERLA DE APLIC</v>
      </c>
    </row>
    <row r="5511" spans="1:2">
      <c r="A5511" s="1" t="str">
        <f>"4901.10.00"</f>
        <v>4901.10.00</v>
      </c>
      <c r="B5511" s="2" t="str">
        <f>"EM FOLHAS SOLTAS, MESMO DOBRADAS"</f>
        <v>EM FOLHAS SOLTAS, MESMO DOBRADAS</v>
      </c>
    </row>
    <row r="5512" spans="1:2">
      <c r="A5512" s="1" t="str">
        <f>"4901.91.00"</f>
        <v>4901.91.00</v>
      </c>
      <c r="B5512" s="2" t="str">
        <f>"Dicionarios e enciclopedias, mesmo"</f>
        <v>Dicionarios e enciclopedias, mesmo</v>
      </c>
    </row>
    <row r="5513" spans="1:2">
      <c r="A5513" s="1" t="str">
        <f>"4901.99.00"</f>
        <v>4901.99.00</v>
      </c>
      <c r="B5513" s="2" t="str">
        <f>"OUTROS"</f>
        <v>OUTROS</v>
      </c>
    </row>
    <row r="5514" spans="1:2">
      <c r="A5514" s="1" t="str">
        <f>"4902.10.00"</f>
        <v>4902.10.00</v>
      </c>
      <c r="B5514" s="2" t="str">
        <f>"Que se publiquem pelo menos quatro"</f>
        <v>Que se publiquem pelo menos quatro</v>
      </c>
    </row>
    <row r="5515" spans="1:2">
      <c r="A5515" s="1" t="str">
        <f>"4902.90.00"</f>
        <v>4902.90.00</v>
      </c>
      <c r="B5515" s="2" t="str">
        <f>"PERIODICOS E BOLETINS"</f>
        <v>PERIODICOS E BOLETINS</v>
      </c>
    </row>
    <row r="5516" spans="1:2">
      <c r="A5516" s="1" t="str">
        <f>"4903.00.00"</f>
        <v>4903.00.00</v>
      </c>
      <c r="B5516" s="2" t="str">
        <f>"Albuns ou livros de ilustracoes e a"</f>
        <v>Albuns ou livros de ilustracoes e a</v>
      </c>
    </row>
    <row r="5517" spans="1:2">
      <c r="A5517" s="1" t="str">
        <f>"4904.00.00"</f>
        <v>4904.00.00</v>
      </c>
      <c r="B5517" s="2" t="str">
        <f>"Musica manuscrita ou impressa, ilus"</f>
        <v>Musica manuscrita ou impressa, ilus</v>
      </c>
    </row>
    <row r="5518" spans="1:2">
      <c r="A5518" s="1" t="str">
        <f>"4905.10.00"</f>
        <v>4905.10.00</v>
      </c>
      <c r="B5518" s="2" t="str">
        <f>"Globos"</f>
        <v>Globos</v>
      </c>
    </row>
    <row r="5519" spans="1:2">
      <c r="A5519" s="1" t="str">
        <f>"4905.91.00"</f>
        <v>4905.91.00</v>
      </c>
      <c r="B5519" s="2" t="str">
        <f>"Sob a forma de livros ou brochuras"</f>
        <v>Sob a forma de livros ou brochuras</v>
      </c>
    </row>
    <row r="5520" spans="1:2">
      <c r="A5520" s="1" t="str">
        <f>"4905.99.00"</f>
        <v>4905.99.00</v>
      </c>
      <c r="B5520" s="2" t="str">
        <f>"Outros"</f>
        <v>Outros</v>
      </c>
    </row>
    <row r="5521" spans="1:2">
      <c r="A5521" s="1" t="str">
        <f>"4906.00.00"</f>
        <v>4906.00.00</v>
      </c>
      <c r="B5521" s="2" t="str">
        <f>"Planos, plantas e desenhos, de arqu"</f>
        <v>Planos, plantas e desenhos, de arqu</v>
      </c>
    </row>
    <row r="5522" spans="1:2">
      <c r="A5522" s="1" t="str">
        <f>"4907.00.10"</f>
        <v>4907.00.10</v>
      </c>
      <c r="B5522" s="2" t="str">
        <f>"Papeis-moeda"</f>
        <v>Papeis-moeda</v>
      </c>
    </row>
    <row r="5523" spans="1:2">
      <c r="A5523" s="1" t="str">
        <f>"4907.00.20"</f>
        <v>4907.00.20</v>
      </c>
      <c r="B5523" s="2" t="str">
        <f>"Cheques de viagem"</f>
        <v>Cheques de viagem</v>
      </c>
    </row>
    <row r="5524" spans="1:2">
      <c r="A5524" s="1" t="str">
        <f>"4907.00.30"</f>
        <v>4907.00.30</v>
      </c>
      <c r="B5524" s="2" t="str">
        <f>"Titulos de acoes ou de obrigacoes e"</f>
        <v>Titulos de acoes ou de obrigacoes e</v>
      </c>
    </row>
    <row r="5525" spans="1:2">
      <c r="A5525" s="1" t="str">
        <f>"4907.00.90"</f>
        <v>4907.00.90</v>
      </c>
      <c r="B5525" s="2" t="str">
        <f>"OUTROS"</f>
        <v>OUTROS</v>
      </c>
    </row>
    <row r="5526" spans="1:2">
      <c r="A5526" s="1" t="str">
        <f>"4908.10.00"</f>
        <v>4908.10.00</v>
      </c>
      <c r="B5526" s="2" t="str">
        <f>"Decalcomanias vitrificaveis"</f>
        <v>Decalcomanias vitrificaveis</v>
      </c>
    </row>
    <row r="5527" spans="1:2">
      <c r="A5527" s="1" t="str">
        <f>"4908.90.00"</f>
        <v>4908.90.00</v>
      </c>
      <c r="B5527" s="2" t="str">
        <f>"Outras"</f>
        <v>Outras</v>
      </c>
    </row>
    <row r="5528" spans="1:2">
      <c r="A5528" s="1" t="str">
        <f>"4909.00.00"</f>
        <v>4909.00.00</v>
      </c>
      <c r="B5528" s="2" t="str">
        <f>"CARTAO POSTAL"</f>
        <v>CARTAO POSTAL</v>
      </c>
    </row>
    <row r="5529" spans="1:2">
      <c r="A5529" s="1" t="str">
        <f>"4910.00.00"</f>
        <v>4910.00.00</v>
      </c>
      <c r="B5529" s="2" t="str">
        <f>"CALENDARIOS DE QUALQUER ESPECIE"</f>
        <v>CALENDARIOS DE QUALQUER ESPECIE</v>
      </c>
    </row>
    <row r="5530" spans="1:2">
      <c r="A5530" s="1" t="str">
        <f>"4911.10.10"</f>
        <v>4911.10.10</v>
      </c>
      <c r="B5530" s="2" t="str">
        <f>"CATALAGO AMOSTRAS, INFORM. FUNCION."</f>
        <v>CATALAGO AMOSTRAS, INFORM. FUNCION.</v>
      </c>
    </row>
    <row r="5531" spans="1:2">
      <c r="A5531" s="1" t="str">
        <f>"4911.10.90"</f>
        <v>4911.10.90</v>
      </c>
      <c r="B5531" s="2" t="str">
        <f>"OUTROS - AMOSTRAS DE DESENHO"</f>
        <v>OUTROS - AMOSTRAS DE DESENHO</v>
      </c>
    </row>
    <row r="5532" spans="1:2">
      <c r="A5532" s="1" t="str">
        <f>"4911.91.00"</f>
        <v>4911.91.00</v>
      </c>
      <c r="B5532" s="2" t="str">
        <f>"Estampas, gravuras e fotografias"</f>
        <v>Estampas, gravuras e fotografias</v>
      </c>
    </row>
    <row r="5533" spans="1:2">
      <c r="A5533" s="1" t="str">
        <f>"4911.99.00"</f>
        <v>4911.99.00</v>
      </c>
      <c r="B5533" s="2" t="str">
        <f>"OUTROS -BLOCOS NOTAS FISCAIS MOD 01"</f>
        <v>OUTROS -BLOCOS NOTAS FISCAIS MOD 01</v>
      </c>
    </row>
    <row r="5534" spans="1:2">
      <c r="A5534" s="1" t="str">
        <f>"5001.00.00"</f>
        <v>5001.00.00</v>
      </c>
      <c r="B5534" s="2" t="str">
        <f>"Casulos de bicho-da-seda proprios p"</f>
        <v>Casulos de bicho-da-seda proprios p</v>
      </c>
    </row>
    <row r="5535" spans="1:2">
      <c r="A5535" s="1" t="str">
        <f>"5002.00.00"</f>
        <v>5002.00.00</v>
      </c>
      <c r="B5535" s="2" t="str">
        <f>"Seda crua (nao fiada)."</f>
        <v>Seda crua (nao fiada).</v>
      </c>
    </row>
    <row r="5536" spans="1:2">
      <c r="A5536" s="1" t="str">
        <f>"5003.00.10"</f>
        <v>5003.00.10</v>
      </c>
      <c r="B5536" s="2" t="str">
        <f>"Nao cardados nem penteados"</f>
        <v>Nao cardados nem penteados</v>
      </c>
    </row>
    <row r="5537" spans="1:2">
      <c r="A5537" s="1" t="str">
        <f>"5003.00.90"</f>
        <v>5003.00.90</v>
      </c>
      <c r="B5537" s="2" t="str">
        <f>"Outros"</f>
        <v>Outros</v>
      </c>
    </row>
    <row r="5538" spans="1:2">
      <c r="A5538" s="1" t="str">
        <f>"5004.00.00"</f>
        <v>5004.00.00</v>
      </c>
      <c r="B5538" s="2" t="str">
        <f>"Fios de seda (exceto fios de desper"</f>
        <v>Fios de seda (exceto fios de desper</v>
      </c>
    </row>
    <row r="5539" spans="1:2">
      <c r="A5539" s="1" t="str">
        <f>"5005.00.00"</f>
        <v>5005.00.00</v>
      </c>
      <c r="B5539" s="2" t="str">
        <f>"Fios de desperdicios de seda, nao a"</f>
        <v>Fios de desperdicios de seda, nao a</v>
      </c>
    </row>
    <row r="5540" spans="1:2">
      <c r="A5540" s="1" t="str">
        <f>"5006.00.00"</f>
        <v>5006.00.00</v>
      </c>
      <c r="B5540" s="2" t="str">
        <f>"Fios de seda ou de desperdicios de"</f>
        <v>Fios de seda ou de desperdicios de</v>
      </c>
    </row>
    <row r="5541" spans="1:2">
      <c r="A5541" s="1" t="str">
        <f>"5007.10.10"</f>
        <v>5007.10.10</v>
      </c>
      <c r="B5541" s="2" t="str">
        <f>"ESTAMPAD., TINTOS, DE FIOS DIVERSOS"</f>
        <v>ESTAMPAD., TINTOS, DE FIOS DIVERSOS</v>
      </c>
    </row>
    <row r="5542" spans="1:2">
      <c r="A5542" s="1" t="str">
        <f>"5007.10.90"</f>
        <v>5007.10.90</v>
      </c>
      <c r="B5542" s="2" t="str">
        <f>"Outros"</f>
        <v>Outros</v>
      </c>
    </row>
    <row r="5543" spans="1:2">
      <c r="A5543" s="1" t="str">
        <f>"5007.20.10"</f>
        <v>5007.20.10</v>
      </c>
      <c r="B5543" s="2" t="str">
        <f>"Estampados, tintos ou de fios de di"</f>
        <v>Estampados, tintos ou de fios de di</v>
      </c>
    </row>
    <row r="5544" spans="1:2">
      <c r="A5544" s="1" t="str">
        <f>"5007.20.90"</f>
        <v>5007.20.90</v>
      </c>
      <c r="B5544" s="2" t="str">
        <f>"Outros"</f>
        <v>Outros</v>
      </c>
    </row>
    <row r="5545" spans="1:2">
      <c r="A5545" s="1" t="str">
        <f>"5007.90.00"</f>
        <v>5007.90.00</v>
      </c>
      <c r="B5545" s="2" t="str">
        <f>"Outros tecidos"</f>
        <v>Outros tecidos</v>
      </c>
    </row>
    <row r="5546" spans="1:2">
      <c r="A5546" s="1" t="str">
        <f>"5101.11.10"</f>
        <v>5101.11.10</v>
      </c>
      <c r="B5546" s="2" t="str">
        <f>"De finura igual ou superior 22,05 m"</f>
        <v>De finura igual ou superior 22,05 m</v>
      </c>
    </row>
    <row r="5547" spans="1:2">
      <c r="A5547" s="1" t="str">
        <f>"5101.11.90"</f>
        <v>5101.11.90</v>
      </c>
      <c r="B5547" s="2" t="str">
        <f>"Outra"</f>
        <v>Outra</v>
      </c>
    </row>
    <row r="5548" spans="1:2">
      <c r="A5548" s="1" t="str">
        <f>"5101.19.00"</f>
        <v>5101.19.00</v>
      </c>
      <c r="B5548" s="2" t="str">
        <f>"Outra"</f>
        <v>Outra</v>
      </c>
    </row>
    <row r="5549" spans="1:2">
      <c r="A5549" s="1" t="str">
        <f>"5101.21.00"</f>
        <v>5101.21.00</v>
      </c>
      <c r="B5549" s="2" t="str">
        <f>"La de tosquia"</f>
        <v>La de tosquia</v>
      </c>
    </row>
    <row r="5550" spans="1:2">
      <c r="A5550" s="1" t="str">
        <f>"5101.29.00"</f>
        <v>5101.29.00</v>
      </c>
      <c r="B5550" s="2" t="str">
        <f>"Outra"</f>
        <v>Outra</v>
      </c>
    </row>
    <row r="5551" spans="1:2">
      <c r="A5551" s="1" t="str">
        <f>"5101.30.00"</f>
        <v>5101.30.00</v>
      </c>
      <c r="B5551" s="2" t="str">
        <f>"Carbonizada"</f>
        <v>Carbonizada</v>
      </c>
    </row>
    <row r="5552" spans="1:2">
      <c r="A5552" s="1" t="str">
        <f>"5102.11.00"</f>
        <v>5102.11.00</v>
      </c>
      <c r="B5552" s="2" t="str">
        <f>"De cabra de Caxemira"</f>
        <v>De cabra de Caxemira</v>
      </c>
    </row>
    <row r="5553" spans="1:2">
      <c r="A5553" s="1" t="str">
        <f>"5102.19.00"</f>
        <v>5102.19.00</v>
      </c>
      <c r="B5553" s="2" t="str">
        <f>"Outros"</f>
        <v>Outros</v>
      </c>
    </row>
    <row r="5554" spans="1:2">
      <c r="A5554" s="1" t="str">
        <f>"5102.20.00"</f>
        <v>5102.20.00</v>
      </c>
      <c r="B5554" s="2" t="str">
        <f>"Pelos grosseiros"</f>
        <v>Pelos grosseiros</v>
      </c>
    </row>
    <row r="5555" spans="1:2">
      <c r="A5555" s="1" t="str">
        <f>"5103.10.00"</f>
        <v>5103.10.00</v>
      </c>
      <c r="B5555" s="2" t="str">
        <f>"Desperdicios da penteacao de la ou"</f>
        <v>Desperdicios da penteacao de la ou</v>
      </c>
    </row>
    <row r="5556" spans="1:2">
      <c r="A5556" s="1" t="str">
        <f>"5103.20.00"</f>
        <v>5103.20.00</v>
      </c>
      <c r="B5556" s="2" t="str">
        <f>"Outros desperdicios de la ou de pel"</f>
        <v>Outros desperdicios de la ou de pel</v>
      </c>
    </row>
    <row r="5557" spans="1:2">
      <c r="A5557" s="1" t="str">
        <f>"5103.30.00"</f>
        <v>5103.30.00</v>
      </c>
      <c r="B5557" s="2" t="str">
        <f>"Desperdicios de pelos grosseiros"</f>
        <v>Desperdicios de pelos grosseiros</v>
      </c>
    </row>
    <row r="5558" spans="1:2">
      <c r="A5558" s="1" t="str">
        <f>"5104.00.00"</f>
        <v>5104.00.00</v>
      </c>
      <c r="B5558" s="2" t="str">
        <f>"Fiapos de la ou de pelos finos ou g"</f>
        <v>Fiapos de la ou de pelos finos ou g</v>
      </c>
    </row>
    <row r="5559" spans="1:2">
      <c r="A5559" s="1" t="str">
        <f>"5105.10.00"</f>
        <v>5105.10.00</v>
      </c>
      <c r="B5559" s="2" t="str">
        <f>"La cardada"</f>
        <v>La cardada</v>
      </c>
    </row>
    <row r="5560" spans="1:2">
      <c r="A5560" s="1" t="str">
        <f>"5105.21.00"</f>
        <v>5105.21.00</v>
      </c>
      <c r="B5560" s="2" t="str">
        <f>"ôLa penteada a granelö"</f>
        <v>ôLa penteada a granelö</v>
      </c>
    </row>
    <row r="5561" spans="1:2">
      <c r="A5561" s="1" t="str">
        <f>"5105.29.10"</f>
        <v>5105.29.10</v>
      </c>
      <c r="B5561" s="2" t="str">
        <f>"Tops"</f>
        <v>Tops</v>
      </c>
    </row>
    <row r="5562" spans="1:2">
      <c r="A5562" s="1" t="str">
        <f>"5105.29.91"</f>
        <v>5105.29.91</v>
      </c>
      <c r="B5562" s="2" t="str">
        <f>"De finura inferior a 22,5 micrometr"</f>
        <v>De finura inferior a 22,5 micrometr</v>
      </c>
    </row>
    <row r="5563" spans="1:2">
      <c r="A5563" s="1" t="str">
        <f>"5105.29.99"</f>
        <v>5105.29.99</v>
      </c>
      <c r="B5563" s="2" t="str">
        <f>"Outras"</f>
        <v>Outras</v>
      </c>
    </row>
    <row r="5564" spans="1:2">
      <c r="A5564" s="1" t="str">
        <f>"5105.31.00"</f>
        <v>5105.31.00</v>
      </c>
      <c r="B5564" s="2" t="str">
        <f>"De cabra de Caxemira"</f>
        <v>De cabra de Caxemira</v>
      </c>
    </row>
    <row r="5565" spans="1:2">
      <c r="A5565" s="1" t="str">
        <f>"5105.39.00"</f>
        <v>5105.39.00</v>
      </c>
      <c r="B5565" s="2" t="str">
        <f>"Outros"</f>
        <v>Outros</v>
      </c>
    </row>
    <row r="5566" spans="1:2">
      <c r="A5566" s="1" t="str">
        <f>"5105.40.00"</f>
        <v>5105.40.00</v>
      </c>
      <c r="B5566" s="2" t="str">
        <f>"Pelos grosseiros, cardados ou pente"</f>
        <v>Pelos grosseiros, cardados ou pente</v>
      </c>
    </row>
    <row r="5567" spans="1:2">
      <c r="A5567" s="1" t="str">
        <f>"5106.10.00"</f>
        <v>5106.10.00</v>
      </c>
      <c r="B5567" s="2" t="str">
        <f>"Que contenham pelo menos 85 %, em p"</f>
        <v>Que contenham pelo menos 85 %, em p</v>
      </c>
    </row>
    <row r="5568" spans="1:2">
      <c r="A5568" s="1" t="str">
        <f>"5106.20.00"</f>
        <v>5106.20.00</v>
      </c>
      <c r="B5568" s="2" t="str">
        <f>"Que contenham menos de 85 %, em pes"</f>
        <v>Que contenham menos de 85 %, em pes</v>
      </c>
    </row>
    <row r="5569" spans="1:2">
      <c r="A5569" s="1" t="str">
        <f>"5107.10.11"</f>
        <v>5107.10.11</v>
      </c>
      <c r="B5569" s="2" t="str">
        <f>"De dois cabos, de titulo inferior o"</f>
        <v>De dois cabos, de titulo inferior o</v>
      </c>
    </row>
    <row r="5570" spans="1:2">
      <c r="A5570" s="1" t="str">
        <f>"5107.10.19"</f>
        <v>5107.10.19</v>
      </c>
      <c r="B5570" s="2" t="str">
        <f>"Outros"</f>
        <v>Outros</v>
      </c>
    </row>
    <row r="5571" spans="1:2">
      <c r="A5571" s="1" t="str">
        <f>"5107.10.90"</f>
        <v>5107.10.90</v>
      </c>
      <c r="B5571" s="2" t="str">
        <f>"Outros"</f>
        <v>Outros</v>
      </c>
    </row>
    <row r="5572" spans="1:2">
      <c r="A5572" s="1" t="str">
        <f>"5107.20.00"</f>
        <v>5107.20.00</v>
      </c>
      <c r="B5572" s="2" t="str">
        <f>"Que contenham menos de 85 %, em pes"</f>
        <v>Que contenham menos de 85 %, em pes</v>
      </c>
    </row>
    <row r="5573" spans="1:2">
      <c r="A5573" s="1" t="str">
        <f>"5108.10.00"</f>
        <v>5108.10.00</v>
      </c>
      <c r="B5573" s="2" t="str">
        <f>"Cardados"</f>
        <v>Cardados</v>
      </c>
    </row>
    <row r="5574" spans="1:2">
      <c r="A5574" s="1" t="str">
        <f>"5108.20.00"</f>
        <v>5108.20.00</v>
      </c>
      <c r="B5574" s="2" t="str">
        <f>"Penteados"</f>
        <v>Penteados</v>
      </c>
    </row>
    <row r="5575" spans="1:2">
      <c r="A5575" s="1" t="str">
        <f>"5109.10.00"</f>
        <v>5109.10.00</v>
      </c>
      <c r="B5575" s="2" t="str">
        <f>"Que contenham pelo menos 85 %, em p"</f>
        <v>Que contenham pelo menos 85 %, em p</v>
      </c>
    </row>
    <row r="5576" spans="1:2">
      <c r="A5576" s="1" t="str">
        <f>"5109.90.00"</f>
        <v>5109.90.00</v>
      </c>
      <c r="B5576" s="2" t="str">
        <f>"Outros"</f>
        <v>Outros</v>
      </c>
    </row>
    <row r="5577" spans="1:2">
      <c r="A5577" s="1" t="str">
        <f>"5110.00.00"</f>
        <v>5110.00.00</v>
      </c>
      <c r="B5577" s="2" t="str">
        <f>"Fios de pelos grosseiros ou de crin"</f>
        <v>Fios de pelos grosseiros ou de crin</v>
      </c>
    </row>
    <row r="5578" spans="1:2">
      <c r="A5578" s="1" t="str">
        <f>"5111.11.10"</f>
        <v>5111.11.10</v>
      </c>
      <c r="B5578" s="2" t="str">
        <f>"De la"</f>
        <v>De la</v>
      </c>
    </row>
    <row r="5579" spans="1:2">
      <c r="A5579" s="1" t="str">
        <f>"5111.11.20"</f>
        <v>5111.11.20</v>
      </c>
      <c r="B5579" s="2" t="str">
        <f>"De pelos finos"</f>
        <v>De pelos finos</v>
      </c>
    </row>
    <row r="5580" spans="1:2">
      <c r="A5580" s="1" t="str">
        <f>"5111.19.00"</f>
        <v>5111.19.00</v>
      </c>
      <c r="B5580" s="2" t="str">
        <f>"Outros"</f>
        <v>Outros</v>
      </c>
    </row>
    <row r="5581" spans="1:2">
      <c r="A5581" s="1" t="str">
        <f>"5111.20.00"</f>
        <v>5111.20.00</v>
      </c>
      <c r="B5581" s="2" t="str">
        <f>"Outros, combinados, principal ou un"</f>
        <v>Outros, combinados, principal ou un</v>
      </c>
    </row>
    <row r="5582" spans="1:2">
      <c r="A5582" s="1" t="str">
        <f>"5111.30.10"</f>
        <v>5111.30.10</v>
      </c>
      <c r="B5582" s="2" t="str">
        <f>"De la, feltrados, com trama combina"</f>
        <v>De la, feltrados, com trama combina</v>
      </c>
    </row>
    <row r="5583" spans="1:2">
      <c r="A5583" s="1" t="str">
        <f>"5111.30.90"</f>
        <v>5111.30.90</v>
      </c>
      <c r="B5583" s="2" t="str">
        <f>"Outros"</f>
        <v>Outros</v>
      </c>
    </row>
    <row r="5584" spans="1:2">
      <c r="A5584" s="1" t="str">
        <f>"5111.90.00"</f>
        <v>5111.90.00</v>
      </c>
      <c r="B5584" s="2" t="str">
        <f>"Outros"</f>
        <v>Outros</v>
      </c>
    </row>
    <row r="5585" spans="1:2">
      <c r="A5585" s="1" t="str">
        <f>"5112.11.00"</f>
        <v>5112.11.00</v>
      </c>
      <c r="B5585" s="2" t="str">
        <f>"De peso nao superior a 200 g/m2"</f>
        <v>De peso nao superior a 200 g/m2</v>
      </c>
    </row>
    <row r="5586" spans="1:2">
      <c r="A5586" s="1" t="str">
        <f>"5112.19.10"</f>
        <v>5112.19.10</v>
      </c>
      <c r="B5586" s="2" t="str">
        <f>"De la"</f>
        <v>De la</v>
      </c>
    </row>
    <row r="5587" spans="1:2">
      <c r="A5587" s="1" t="str">
        <f>"5112.19.20"</f>
        <v>5112.19.20</v>
      </c>
      <c r="B5587" s="2" t="str">
        <f>"De pelos finos"</f>
        <v>De pelos finos</v>
      </c>
    </row>
    <row r="5588" spans="1:2">
      <c r="A5588" s="1" t="str">
        <f>"5112.20.10"</f>
        <v>5112.20.10</v>
      </c>
      <c r="B5588" s="2" t="str">
        <f>"De la"</f>
        <v>De la</v>
      </c>
    </row>
    <row r="5589" spans="1:2">
      <c r="A5589" s="1" t="str">
        <f>"5112.20.20"</f>
        <v>5112.20.20</v>
      </c>
      <c r="B5589" s="2" t="str">
        <f>"De pelos finos"</f>
        <v>De pelos finos</v>
      </c>
    </row>
    <row r="5590" spans="1:2">
      <c r="A5590" s="1" t="str">
        <f>"5112.30.10"</f>
        <v>5112.30.10</v>
      </c>
      <c r="B5590" s="2" t="str">
        <f>"De la"</f>
        <v>De la</v>
      </c>
    </row>
    <row r="5591" spans="1:2">
      <c r="A5591" s="1" t="str">
        <f>"5112.30.20"</f>
        <v>5112.30.20</v>
      </c>
      <c r="B5591" s="2" t="str">
        <f>"De pelos finos"</f>
        <v>De pelos finos</v>
      </c>
    </row>
    <row r="5592" spans="1:2">
      <c r="A5592" s="1" t="str">
        <f>"5112.90.00"</f>
        <v>5112.90.00</v>
      </c>
      <c r="B5592" s="2" t="str">
        <f>"Outros"</f>
        <v>Outros</v>
      </c>
    </row>
    <row r="5593" spans="1:2">
      <c r="A5593" s="1" t="str">
        <f>"5113.00.11"</f>
        <v>5113.00.11</v>
      </c>
      <c r="B5593" s="2" t="str">
        <f>"Que contenham pelo menos 85 %, em p"</f>
        <v>Que contenham pelo menos 85 %, em p</v>
      </c>
    </row>
    <row r="5594" spans="1:2">
      <c r="A5594" s="1" t="str">
        <f>"5113.00.12"</f>
        <v>5113.00.12</v>
      </c>
      <c r="B5594" s="2" t="str">
        <f>"Que contenham menos de 85 %, em pes"</f>
        <v>Que contenham menos de 85 %, em pes</v>
      </c>
    </row>
    <row r="5595" spans="1:2">
      <c r="A5595" s="1" t="str">
        <f>"5113.00.13"</f>
        <v>5113.00.13</v>
      </c>
      <c r="B5595" s="2" t="str">
        <f>"Que contenham menos de 85 %, em pes"</f>
        <v>Que contenham menos de 85 %, em pes</v>
      </c>
    </row>
    <row r="5596" spans="1:2">
      <c r="A5596" s="1" t="str">
        <f>"5113.00.20"</f>
        <v>5113.00.20</v>
      </c>
      <c r="B5596" s="2" t="str">
        <f>"De crina"</f>
        <v>De crina</v>
      </c>
    </row>
    <row r="5597" spans="1:2">
      <c r="A5597" s="1" t="str">
        <f>"5201.00.10"</f>
        <v>5201.00.10</v>
      </c>
      <c r="B5597" s="2" t="str">
        <f>"Nao debulhado"</f>
        <v>Nao debulhado</v>
      </c>
    </row>
    <row r="5598" spans="1:2">
      <c r="A5598" s="1" t="str">
        <f>"5201.00.20"</f>
        <v>5201.00.20</v>
      </c>
      <c r="B5598" s="2" t="str">
        <f>"Simplesmente debulhado"</f>
        <v>Simplesmente debulhado</v>
      </c>
    </row>
    <row r="5599" spans="1:2">
      <c r="A5599" s="1" t="str">
        <f>"5201.00.90"</f>
        <v>5201.00.90</v>
      </c>
      <c r="B5599" s="2" t="str">
        <f>"OUTROS"</f>
        <v>OUTROS</v>
      </c>
    </row>
    <row r="5600" spans="1:2">
      <c r="A5600" s="1" t="str">
        <f>"5202.10.00"</f>
        <v>5202.10.00</v>
      </c>
      <c r="B5600" s="2" t="str">
        <f>"Desperdicios de fios"</f>
        <v>Desperdicios de fios</v>
      </c>
    </row>
    <row r="5601" spans="1:2">
      <c r="A5601" s="1" t="str">
        <f>"5202.91.00"</f>
        <v>5202.91.00</v>
      </c>
      <c r="B5601" s="2" t="str">
        <f>"Fiapos"</f>
        <v>Fiapos</v>
      </c>
    </row>
    <row r="5602" spans="1:2">
      <c r="A5602" s="1" t="str">
        <f>"5202.99.00"</f>
        <v>5202.99.00</v>
      </c>
      <c r="B5602" s="2" t="str">
        <f>"Outros"</f>
        <v>Outros</v>
      </c>
    </row>
    <row r="5603" spans="1:2">
      <c r="A5603" s="1" t="str">
        <f>"5203.00.00"</f>
        <v>5203.00.00</v>
      </c>
      <c r="B5603" s="2" t="str">
        <f>"Algodao cardado ou penteado."</f>
        <v>Algodao cardado ou penteado.</v>
      </c>
    </row>
    <row r="5604" spans="1:2">
      <c r="A5604" s="1" t="str">
        <f>"5204.11.11"</f>
        <v>5204.11.11</v>
      </c>
      <c r="B5604" s="2" t="str">
        <f>"De dois cabos"</f>
        <v>De dois cabos</v>
      </c>
    </row>
    <row r="5605" spans="1:2">
      <c r="A5605" s="1" t="str">
        <f>"5204.11.12"</f>
        <v>5204.11.12</v>
      </c>
      <c r="B5605" s="2" t="str">
        <f>"De tres ou mais cabos"</f>
        <v>De tres ou mais cabos</v>
      </c>
    </row>
    <row r="5606" spans="1:2">
      <c r="A5606" s="1" t="str">
        <f>"5204.11.20"</f>
        <v>5204.11.20</v>
      </c>
      <c r="B5606" s="2" t="str">
        <f>"De algodao cru, de titulo superior"</f>
        <v>De algodao cru, de titulo superior</v>
      </c>
    </row>
    <row r="5607" spans="1:2">
      <c r="A5607" s="1" t="str">
        <f>"5204.11.31"</f>
        <v>5204.11.31</v>
      </c>
      <c r="B5607" s="2" t="str">
        <f>"De dois cabos"</f>
        <v>De dois cabos</v>
      </c>
    </row>
    <row r="5608" spans="1:2">
      <c r="A5608" s="1" t="str">
        <f>"5204.11.32"</f>
        <v>5204.11.32</v>
      </c>
      <c r="B5608" s="2" t="str">
        <f>"De tres ou mais cabos"</f>
        <v>De tres ou mais cabos</v>
      </c>
    </row>
    <row r="5609" spans="1:2">
      <c r="A5609" s="1" t="str">
        <f>"5204.11.40"</f>
        <v>5204.11.40</v>
      </c>
      <c r="B5609" s="2" t="str">
        <f>"De algodao branqueado ou colorido,"</f>
        <v>De algodao branqueado ou colorido,</v>
      </c>
    </row>
    <row r="5610" spans="1:2">
      <c r="A5610" s="1" t="str">
        <f>"5204.19.11"</f>
        <v>5204.19.11</v>
      </c>
      <c r="B5610" s="2" t="str">
        <f>"De dois cabos"</f>
        <v>De dois cabos</v>
      </c>
    </row>
    <row r="5611" spans="1:2">
      <c r="A5611" s="1" t="str">
        <f>"5204.19.12"</f>
        <v>5204.19.12</v>
      </c>
      <c r="B5611" s="2" t="str">
        <f>"De tres ou mais cabos"</f>
        <v>De tres ou mais cabos</v>
      </c>
    </row>
    <row r="5612" spans="1:2">
      <c r="A5612" s="1" t="str">
        <f>"5204.19.20"</f>
        <v>5204.19.20</v>
      </c>
      <c r="B5612" s="2" t="str">
        <f>"De algodao cru, de titulo superior"</f>
        <v>De algodao cru, de titulo superior</v>
      </c>
    </row>
    <row r="5613" spans="1:2">
      <c r="A5613" s="1" t="str">
        <f>"5204.19.31"</f>
        <v>5204.19.31</v>
      </c>
      <c r="B5613" s="2" t="str">
        <f>"De dois cabos"</f>
        <v>De dois cabos</v>
      </c>
    </row>
    <row r="5614" spans="1:2">
      <c r="A5614" s="1" t="str">
        <f>"5204.19.32"</f>
        <v>5204.19.32</v>
      </c>
      <c r="B5614" s="2" t="str">
        <f>"De tres ou mais cabos"</f>
        <v>De tres ou mais cabos</v>
      </c>
    </row>
    <row r="5615" spans="1:2">
      <c r="A5615" s="1" t="str">
        <f>"5204.19.40"</f>
        <v>5204.19.40</v>
      </c>
      <c r="B5615" s="2" t="str">
        <f>"De algodao branqueado ou colorido,"</f>
        <v>De algodao branqueado ou colorido,</v>
      </c>
    </row>
    <row r="5616" spans="1:2">
      <c r="A5616" s="1" t="str">
        <f>"5204.20.00"</f>
        <v>5204.20.00</v>
      </c>
      <c r="B5616" s="2" t="str">
        <f>"Acondicionadas para venda a retalho"</f>
        <v>Acondicionadas para venda a retalho</v>
      </c>
    </row>
    <row r="5617" spans="1:2">
      <c r="A5617" s="1" t="str">
        <f>"5205.11.00"</f>
        <v>5205.11.00</v>
      </c>
      <c r="B5617" s="2" t="str">
        <f>"De titulo igual ou superior a 714,2"</f>
        <v>De titulo igual ou superior a 714,2</v>
      </c>
    </row>
    <row r="5618" spans="1:2">
      <c r="A5618" s="1" t="str">
        <f>"5205.12.00"</f>
        <v>5205.12.00</v>
      </c>
      <c r="B5618" s="2" t="str">
        <f>"De titulo inferior a 714,29 decitex"</f>
        <v>De titulo inferior a 714,29 decitex</v>
      </c>
    </row>
    <row r="5619" spans="1:2">
      <c r="A5619" s="1" t="str">
        <f>"5205.13.10"</f>
        <v>5205.13.10</v>
      </c>
      <c r="B5619" s="2" t="str">
        <f>"Crus"</f>
        <v>Crus</v>
      </c>
    </row>
    <row r="5620" spans="1:2">
      <c r="A5620" s="1" t="str">
        <f>"5205.13.90"</f>
        <v>5205.13.90</v>
      </c>
      <c r="B5620" s="2" t="str">
        <f>"Outros"</f>
        <v>Outros</v>
      </c>
    </row>
    <row r="5621" spans="1:2">
      <c r="A5621" s="1" t="str">
        <f>"5205.14.00"</f>
        <v>5205.14.00</v>
      </c>
      <c r="B5621" s="2" t="str">
        <f>"De titulo inferior a 192,31 decitex"</f>
        <v>De titulo inferior a 192,31 decitex</v>
      </c>
    </row>
    <row r="5622" spans="1:2">
      <c r="A5622" s="1" t="str">
        <f>"5205.15.00"</f>
        <v>5205.15.00</v>
      </c>
      <c r="B5622" s="2" t="str">
        <f>"De titulo inferior a 125 decitex (n"</f>
        <v>De titulo inferior a 125 decitex (n</v>
      </c>
    </row>
    <row r="5623" spans="1:2">
      <c r="A5623" s="1" t="str">
        <f>"5205.21.00"</f>
        <v>5205.21.00</v>
      </c>
      <c r="B5623" s="2" t="str">
        <f>"De titulo igual ou superior a 714,2"</f>
        <v>De titulo igual ou superior a 714,2</v>
      </c>
    </row>
    <row r="5624" spans="1:2">
      <c r="A5624" s="1" t="str">
        <f>"5205.22.00"</f>
        <v>5205.22.00</v>
      </c>
      <c r="B5624" s="2" t="str">
        <f>"De titulo inferior a 714,29 decitex"</f>
        <v>De titulo inferior a 714,29 decitex</v>
      </c>
    </row>
    <row r="5625" spans="1:2">
      <c r="A5625" s="1" t="str">
        <f>"5205.23.10"</f>
        <v>5205.23.10</v>
      </c>
      <c r="B5625" s="2" t="str">
        <f>"Crus"</f>
        <v>Crus</v>
      </c>
    </row>
    <row r="5626" spans="1:2">
      <c r="A5626" s="1" t="str">
        <f>"5205.23.90"</f>
        <v>5205.23.90</v>
      </c>
      <c r="B5626" s="2" t="str">
        <f>"Outros"</f>
        <v>Outros</v>
      </c>
    </row>
    <row r="5627" spans="1:2">
      <c r="A5627" s="1" t="str">
        <f>"5205.24.00"</f>
        <v>5205.24.00</v>
      </c>
      <c r="B5627" s="2" t="str">
        <f>"De titulo inferior a 192,31 decitex"</f>
        <v>De titulo inferior a 192,31 decitex</v>
      </c>
    </row>
    <row r="5628" spans="1:2">
      <c r="A5628" s="1" t="str">
        <f>"5205.26.00"</f>
        <v>5205.26.00</v>
      </c>
      <c r="B5628" s="2" t="str">
        <f>"De titulo inferior a 125 decitex, m"</f>
        <v>De titulo inferior a 125 decitex, m</v>
      </c>
    </row>
    <row r="5629" spans="1:2">
      <c r="A5629" s="1" t="str">
        <f>"5205.27.00"</f>
        <v>5205.27.00</v>
      </c>
      <c r="B5629" s="2" t="str">
        <f>"De titulo inferior a 106,38 decitex"</f>
        <v>De titulo inferior a 106,38 decitex</v>
      </c>
    </row>
    <row r="5630" spans="1:2">
      <c r="A5630" s="1" t="str">
        <f>"5205.28.00"</f>
        <v>5205.28.00</v>
      </c>
      <c r="B5630" s="2" t="str">
        <f>"De titulo inferior a 83,33 decitex"</f>
        <v>De titulo inferior a 83,33 decitex</v>
      </c>
    </row>
    <row r="5631" spans="1:2">
      <c r="A5631" s="1" t="str">
        <f>"5205.31.00"</f>
        <v>5205.31.00</v>
      </c>
      <c r="B5631" s="2" t="str">
        <f>"De titulo igual ou superior a 714,2"</f>
        <v>De titulo igual ou superior a 714,2</v>
      </c>
    </row>
    <row r="5632" spans="1:2">
      <c r="A5632" s="1" t="str">
        <f>"5205.32.00"</f>
        <v>5205.32.00</v>
      </c>
      <c r="B5632" s="2" t="str">
        <f>"De titulo inferior a 714,29 decitex"</f>
        <v>De titulo inferior a 714,29 decitex</v>
      </c>
    </row>
    <row r="5633" spans="1:2">
      <c r="A5633" s="1" t="str">
        <f>"5205.33.00"</f>
        <v>5205.33.00</v>
      </c>
      <c r="B5633" s="2" t="str">
        <f>"De titulo inferior a 232,56 decitex"</f>
        <v>De titulo inferior a 232,56 decitex</v>
      </c>
    </row>
    <row r="5634" spans="1:2">
      <c r="A5634" s="1" t="str">
        <f>"5205.34.00"</f>
        <v>5205.34.00</v>
      </c>
      <c r="B5634" s="2" t="str">
        <f>"De titulo inferior a 192,31 decitex"</f>
        <v>De titulo inferior a 192,31 decitex</v>
      </c>
    </row>
    <row r="5635" spans="1:2">
      <c r="A5635" s="1" t="str">
        <f>"5205.35.00"</f>
        <v>5205.35.00</v>
      </c>
      <c r="B5635" s="2" t="str">
        <f>"De titulo inferior a 125 decitex po"</f>
        <v>De titulo inferior a 125 decitex po</v>
      </c>
    </row>
    <row r="5636" spans="1:2">
      <c r="A5636" s="1" t="str">
        <f>"5205.41.00"</f>
        <v>5205.41.00</v>
      </c>
      <c r="B5636" s="2" t="str">
        <f>"De titulo igual ou superior a 714,2"</f>
        <v>De titulo igual ou superior a 714,2</v>
      </c>
    </row>
    <row r="5637" spans="1:2">
      <c r="A5637" s="1" t="str">
        <f>"5205.42.00"</f>
        <v>5205.42.00</v>
      </c>
      <c r="B5637" s="2" t="str">
        <f>"De titulo inferior a 714,29 decitex"</f>
        <v>De titulo inferior a 714,29 decitex</v>
      </c>
    </row>
    <row r="5638" spans="1:2">
      <c r="A5638" s="1" t="str">
        <f>"5205.43.00"</f>
        <v>5205.43.00</v>
      </c>
      <c r="B5638" s="2" t="str">
        <f>"De titulo inferior a 232,56 decitex"</f>
        <v>De titulo inferior a 232,56 decitex</v>
      </c>
    </row>
    <row r="5639" spans="1:2">
      <c r="A5639" s="1" t="str">
        <f>"5205.44.00"</f>
        <v>5205.44.00</v>
      </c>
      <c r="B5639" s="2" t="str">
        <f>"De titulo inferior a 192,31 decitex"</f>
        <v>De titulo inferior a 192,31 decitex</v>
      </c>
    </row>
    <row r="5640" spans="1:2">
      <c r="A5640" s="1" t="str">
        <f>"5205.46.00"</f>
        <v>5205.46.00</v>
      </c>
      <c r="B5640" s="2" t="str">
        <f>"De titulo inferior a 125 decitex, m"</f>
        <v>De titulo inferior a 125 decitex, m</v>
      </c>
    </row>
    <row r="5641" spans="1:2">
      <c r="A5641" s="1" t="str">
        <f>"5205.47.00"</f>
        <v>5205.47.00</v>
      </c>
      <c r="B5641" s="2" t="str">
        <f>"De titulo inferior a 106,38 decitex"</f>
        <v>De titulo inferior a 106,38 decitex</v>
      </c>
    </row>
    <row r="5642" spans="1:2">
      <c r="A5642" s="1" t="str">
        <f>"5205.48.00"</f>
        <v>5205.48.00</v>
      </c>
      <c r="B5642" s="2" t="str">
        <f>"De titulo inferior a 83,33 decitex"</f>
        <v>De titulo inferior a 83,33 decitex</v>
      </c>
    </row>
    <row r="5643" spans="1:2">
      <c r="A5643" s="1" t="str">
        <f>"5206.11.00"</f>
        <v>5206.11.00</v>
      </c>
      <c r="B5643" s="2" t="str">
        <f>"De titulo igual ou superior a 714,2"</f>
        <v>De titulo igual ou superior a 714,2</v>
      </c>
    </row>
    <row r="5644" spans="1:2">
      <c r="A5644" s="1" t="str">
        <f>"5206.12.00"</f>
        <v>5206.12.00</v>
      </c>
      <c r="B5644" s="2" t="str">
        <f>"De titulo inferior a 714,29 decitex"</f>
        <v>De titulo inferior a 714,29 decitex</v>
      </c>
    </row>
    <row r="5645" spans="1:2">
      <c r="A5645" s="1" t="str">
        <f>"5206.13.00"</f>
        <v>5206.13.00</v>
      </c>
      <c r="B5645" s="2" t="str">
        <f>"De titulo inferior a 232,56 decitex"</f>
        <v>De titulo inferior a 232,56 decitex</v>
      </c>
    </row>
    <row r="5646" spans="1:2">
      <c r="A5646" s="1" t="str">
        <f>"5206.14.00"</f>
        <v>5206.14.00</v>
      </c>
      <c r="B5646" s="2" t="str">
        <f>"De titulo inferior a 192,31 decitex"</f>
        <v>De titulo inferior a 192,31 decitex</v>
      </c>
    </row>
    <row r="5647" spans="1:2">
      <c r="A5647" s="1" t="str">
        <f>"5206.15.00"</f>
        <v>5206.15.00</v>
      </c>
      <c r="B5647" s="2" t="str">
        <f>"De titulo inferior a 125 decitex (n"</f>
        <v>De titulo inferior a 125 decitex (n</v>
      </c>
    </row>
    <row r="5648" spans="1:2">
      <c r="A5648" s="1" t="str">
        <f>"5206.21.00"</f>
        <v>5206.21.00</v>
      </c>
      <c r="B5648" s="2" t="str">
        <f>"De titulo igual ou superior a 714,2"</f>
        <v>De titulo igual ou superior a 714,2</v>
      </c>
    </row>
    <row r="5649" spans="1:2">
      <c r="A5649" s="1" t="str">
        <f>"5206.22.00"</f>
        <v>5206.22.00</v>
      </c>
      <c r="B5649" s="2" t="str">
        <f>"De titulo inferior a 714,29 decitex"</f>
        <v>De titulo inferior a 714,29 decitex</v>
      </c>
    </row>
    <row r="5650" spans="1:2">
      <c r="A5650" s="1" t="str">
        <f>"5206.23.00"</f>
        <v>5206.23.00</v>
      </c>
      <c r="B5650" s="2" t="str">
        <f>"De titulo inferior a 232,56 decitex"</f>
        <v>De titulo inferior a 232,56 decitex</v>
      </c>
    </row>
    <row r="5651" spans="1:2">
      <c r="A5651" s="1" t="str">
        <f>"5206.24.00"</f>
        <v>5206.24.00</v>
      </c>
      <c r="B5651" s="2" t="str">
        <f>"De titulo inferior a 192,31 decitex"</f>
        <v>De titulo inferior a 192,31 decitex</v>
      </c>
    </row>
    <row r="5652" spans="1:2">
      <c r="A5652" s="1" t="str">
        <f>"5206.25.00"</f>
        <v>5206.25.00</v>
      </c>
      <c r="B5652" s="2" t="str">
        <f>"De titulo inferior a 125 decitex (n"</f>
        <v>De titulo inferior a 125 decitex (n</v>
      </c>
    </row>
    <row r="5653" spans="1:2">
      <c r="A5653" s="1" t="str">
        <f>"5206.31.00"</f>
        <v>5206.31.00</v>
      </c>
      <c r="B5653" s="2" t="str">
        <f>"De titulo igual ou superior a 714,2"</f>
        <v>De titulo igual ou superior a 714,2</v>
      </c>
    </row>
    <row r="5654" spans="1:2">
      <c r="A5654" s="1" t="str">
        <f>"5206.32.00"</f>
        <v>5206.32.00</v>
      </c>
      <c r="B5654" s="2" t="str">
        <f>"De titulo inferior a 714,29 decitex"</f>
        <v>De titulo inferior a 714,29 decitex</v>
      </c>
    </row>
    <row r="5655" spans="1:2">
      <c r="A5655" s="1" t="str">
        <f>"5206.33.00"</f>
        <v>5206.33.00</v>
      </c>
      <c r="B5655" s="2" t="str">
        <f>"De titulo inferior a 232,56 decitex"</f>
        <v>De titulo inferior a 232,56 decitex</v>
      </c>
    </row>
    <row r="5656" spans="1:2">
      <c r="A5656" s="1" t="str">
        <f>"5206.34.00"</f>
        <v>5206.34.00</v>
      </c>
      <c r="B5656" s="2" t="str">
        <f>"De titulo inferior a 192,31 decitex"</f>
        <v>De titulo inferior a 192,31 decitex</v>
      </c>
    </row>
    <row r="5657" spans="1:2">
      <c r="A5657" s="1" t="str">
        <f>"5206.35.00"</f>
        <v>5206.35.00</v>
      </c>
      <c r="B5657" s="2" t="str">
        <f>"De titulo inferior a 125 decitex po"</f>
        <v>De titulo inferior a 125 decitex po</v>
      </c>
    </row>
    <row r="5658" spans="1:2">
      <c r="A5658" s="1" t="str">
        <f>"5206.41.00"</f>
        <v>5206.41.00</v>
      </c>
      <c r="B5658" s="2" t="str">
        <f>"De titulo igual ou superior a 714,2"</f>
        <v>De titulo igual ou superior a 714,2</v>
      </c>
    </row>
    <row r="5659" spans="1:2">
      <c r="A5659" s="1" t="str">
        <f>"5206.42.00"</f>
        <v>5206.42.00</v>
      </c>
      <c r="B5659" s="2" t="str">
        <f>"De titulo inferior a 714,29 decitex"</f>
        <v>De titulo inferior a 714,29 decitex</v>
      </c>
    </row>
    <row r="5660" spans="1:2">
      <c r="A5660" s="1" t="str">
        <f>"5206.43.00"</f>
        <v>5206.43.00</v>
      </c>
      <c r="B5660" s="2" t="str">
        <f>"De titulo inferior a 232,56 decitex"</f>
        <v>De titulo inferior a 232,56 decitex</v>
      </c>
    </row>
    <row r="5661" spans="1:2">
      <c r="A5661" s="1" t="str">
        <f>"5206.44.00"</f>
        <v>5206.44.00</v>
      </c>
      <c r="B5661" s="2" t="str">
        <f>"De titulo inferior a 192,31 decitex"</f>
        <v>De titulo inferior a 192,31 decitex</v>
      </c>
    </row>
    <row r="5662" spans="1:2">
      <c r="A5662" s="1" t="str">
        <f>"5206.45.00"</f>
        <v>5206.45.00</v>
      </c>
      <c r="B5662" s="2" t="str">
        <f>"De titulo inferior a 125 decitex po"</f>
        <v>De titulo inferior a 125 decitex po</v>
      </c>
    </row>
    <row r="5663" spans="1:2">
      <c r="A5663" s="1" t="str">
        <f>"5207.10.00"</f>
        <v>5207.10.00</v>
      </c>
      <c r="B5663" s="2" t="str">
        <f>"Que contenham pelo menos 85 %, em p"</f>
        <v>Que contenham pelo menos 85 %, em p</v>
      </c>
    </row>
    <row r="5664" spans="1:2">
      <c r="A5664" s="1" t="str">
        <f>"5207.90.00"</f>
        <v>5207.90.00</v>
      </c>
      <c r="B5664" s="2" t="str">
        <f>"Outros"</f>
        <v>Outros</v>
      </c>
    </row>
    <row r="5665" spans="1:2">
      <c r="A5665" s="1" t="str">
        <f>"5208.11.00"</f>
        <v>5208.11.00</v>
      </c>
      <c r="B5665" s="2" t="str">
        <f>"Em ponto de tafeta, de peso nao sup"</f>
        <v>Em ponto de tafeta, de peso nao sup</v>
      </c>
    </row>
    <row r="5666" spans="1:2">
      <c r="A5666" s="1" t="str">
        <f>"5208.12.00"</f>
        <v>5208.12.00</v>
      </c>
      <c r="B5666" s="2" t="str">
        <f>"Em ponto de tafeta, de peso superio"</f>
        <v>Em ponto de tafeta, de peso superio</v>
      </c>
    </row>
    <row r="5667" spans="1:2">
      <c r="A5667" s="1" t="str">
        <f>"5208.13.00"</f>
        <v>5208.13.00</v>
      </c>
      <c r="B5667" s="2" t="str">
        <f>"Em ponto sarjado, incluindo o diago"</f>
        <v>Em ponto sarjado, incluindo o diago</v>
      </c>
    </row>
    <row r="5668" spans="1:2">
      <c r="A5668" s="1" t="str">
        <f>"5208.19.00"</f>
        <v>5208.19.00</v>
      </c>
      <c r="B5668" s="2" t="str">
        <f>"Outros tecidos"</f>
        <v>Outros tecidos</v>
      </c>
    </row>
    <row r="5669" spans="1:2">
      <c r="A5669" s="1" t="str">
        <f>"5208.21.00"</f>
        <v>5208.21.00</v>
      </c>
      <c r="B5669" s="2" t="str">
        <f>"Em ponto de tafeta, de peso nao sup"</f>
        <v>Em ponto de tafeta, de peso nao sup</v>
      </c>
    </row>
    <row r="5670" spans="1:2">
      <c r="A5670" s="1" t="str">
        <f>"5208.22.00"</f>
        <v>5208.22.00</v>
      </c>
      <c r="B5670" s="2" t="str">
        <f>"Em ponto de tafeta, de peso superio"</f>
        <v>Em ponto de tafeta, de peso superio</v>
      </c>
    </row>
    <row r="5671" spans="1:2">
      <c r="A5671" s="1" t="str">
        <f>"5208.23.00"</f>
        <v>5208.23.00</v>
      </c>
      <c r="B5671" s="2" t="str">
        <f>"Em ponto sarjado, incluindo o diago"</f>
        <v>Em ponto sarjado, incluindo o diago</v>
      </c>
    </row>
    <row r="5672" spans="1:2">
      <c r="A5672" s="1" t="str">
        <f>"5208.29.00"</f>
        <v>5208.29.00</v>
      </c>
      <c r="B5672" s="2" t="str">
        <f>"Outros tecidos"</f>
        <v>Outros tecidos</v>
      </c>
    </row>
    <row r="5673" spans="1:2">
      <c r="A5673" s="1" t="str">
        <f>"5208.31.00"</f>
        <v>5208.31.00</v>
      </c>
      <c r="B5673" s="2" t="str">
        <f>"Em ponto de tafeta, de peso nao sup"</f>
        <v>Em ponto de tafeta, de peso nao sup</v>
      </c>
    </row>
    <row r="5674" spans="1:2">
      <c r="A5674" s="1" t="str">
        <f>"5208.32.00"</f>
        <v>5208.32.00</v>
      </c>
      <c r="B5674" s="2" t="str">
        <f>"Em ponto de tafeta, de peso superio"</f>
        <v>Em ponto de tafeta, de peso superio</v>
      </c>
    </row>
    <row r="5675" spans="1:2">
      <c r="A5675" s="1" t="str">
        <f>"5208.33.00"</f>
        <v>5208.33.00</v>
      </c>
      <c r="B5675" s="2" t="str">
        <f>"Em ponto sarjado, incluindo o diago"</f>
        <v>Em ponto sarjado, incluindo o diago</v>
      </c>
    </row>
    <row r="5676" spans="1:2">
      <c r="A5676" s="1" t="str">
        <f>"5208.39.00"</f>
        <v>5208.39.00</v>
      </c>
      <c r="B5676" s="2" t="str">
        <f>"Outros tecidos"</f>
        <v>Outros tecidos</v>
      </c>
    </row>
    <row r="5677" spans="1:2">
      <c r="A5677" s="1" t="str">
        <f>"5208.41.00"</f>
        <v>5208.41.00</v>
      </c>
      <c r="B5677" s="2" t="str">
        <f>"Em ponto de tafeta, de peso nao sup"</f>
        <v>Em ponto de tafeta, de peso nao sup</v>
      </c>
    </row>
    <row r="5678" spans="1:2">
      <c r="A5678" s="1" t="str">
        <f>"5208.42.00"</f>
        <v>5208.42.00</v>
      </c>
      <c r="B5678" s="2" t="str">
        <f>"Em ponto de tafeta, de peso superio"</f>
        <v>Em ponto de tafeta, de peso superio</v>
      </c>
    </row>
    <row r="5679" spans="1:2">
      <c r="A5679" s="1" t="str">
        <f>"5208.43.00"</f>
        <v>5208.43.00</v>
      </c>
      <c r="B5679" s="2" t="str">
        <f>"Em ponto sarjado, incluindo o diago"</f>
        <v>Em ponto sarjado, incluindo o diago</v>
      </c>
    </row>
    <row r="5680" spans="1:2">
      <c r="A5680" s="1" t="str">
        <f>"5208.49.00"</f>
        <v>5208.49.00</v>
      </c>
      <c r="B5680" s="2" t="str">
        <f>"Outros tecidos"</f>
        <v>Outros tecidos</v>
      </c>
    </row>
    <row r="5681" spans="1:2">
      <c r="A5681" s="1" t="str">
        <f>"5208.51.00"</f>
        <v>5208.51.00</v>
      </c>
      <c r="B5681" s="2" t="str">
        <f>"Em ponto de tafeta, de peso nao sup"</f>
        <v>Em ponto de tafeta, de peso nao sup</v>
      </c>
    </row>
    <row r="5682" spans="1:2">
      <c r="A5682" s="1" t="str">
        <f>"5208.52.00"</f>
        <v>5208.52.00</v>
      </c>
      <c r="B5682" s="2" t="str">
        <f>"Em ponto de tafeta, de peso superio"</f>
        <v>Em ponto de tafeta, de peso superio</v>
      </c>
    </row>
    <row r="5683" spans="1:2">
      <c r="A5683" s="1" t="str">
        <f>"5208.59.10"</f>
        <v>5208.59.10</v>
      </c>
      <c r="B5683" s="2" t="str">
        <f>"Em ponto sarjado, incluindo o diago"</f>
        <v>Em ponto sarjado, incluindo o diago</v>
      </c>
    </row>
    <row r="5684" spans="1:2">
      <c r="A5684" s="1" t="str">
        <f>"5208.59.90"</f>
        <v>5208.59.90</v>
      </c>
      <c r="B5684" s="2" t="str">
        <f>"Outros"</f>
        <v>Outros</v>
      </c>
    </row>
    <row r="5685" spans="1:2">
      <c r="A5685" s="1" t="str">
        <f>"5209.11.00"</f>
        <v>5209.11.00</v>
      </c>
      <c r="B5685" s="2" t="str">
        <f>"Em ponto de tafeta"</f>
        <v>Em ponto de tafeta</v>
      </c>
    </row>
    <row r="5686" spans="1:2">
      <c r="A5686" s="1" t="str">
        <f>"5209.12.00"</f>
        <v>5209.12.00</v>
      </c>
      <c r="B5686" s="2" t="str">
        <f>"Em ponto sarjado, incluindo o diago"</f>
        <v>Em ponto sarjado, incluindo o diago</v>
      </c>
    </row>
    <row r="5687" spans="1:2">
      <c r="A5687" s="1" t="str">
        <f>"5209.19.00"</f>
        <v>5209.19.00</v>
      </c>
      <c r="B5687" s="2" t="str">
        <f>"Outros tecidos"</f>
        <v>Outros tecidos</v>
      </c>
    </row>
    <row r="5688" spans="1:2">
      <c r="A5688" s="1" t="str">
        <f>"5209.21.00"</f>
        <v>5209.21.00</v>
      </c>
      <c r="B5688" s="2" t="str">
        <f>"Em ponto de tafeta"</f>
        <v>Em ponto de tafeta</v>
      </c>
    </row>
    <row r="5689" spans="1:2">
      <c r="A5689" s="1" t="str">
        <f>"5209.22.00"</f>
        <v>5209.22.00</v>
      </c>
      <c r="B5689" s="2" t="str">
        <f>"Em ponto sarjado, incluindo o diago"</f>
        <v>Em ponto sarjado, incluindo o diago</v>
      </c>
    </row>
    <row r="5690" spans="1:2">
      <c r="A5690" s="1" t="str">
        <f>"5209.29.00"</f>
        <v>5209.29.00</v>
      </c>
      <c r="B5690" s="2" t="str">
        <f>"Outros tecidos"</f>
        <v>Outros tecidos</v>
      </c>
    </row>
    <row r="5691" spans="1:2">
      <c r="A5691" s="1" t="str">
        <f>"5209.31.00"</f>
        <v>5209.31.00</v>
      </c>
      <c r="B5691" s="2" t="str">
        <f>"Em ponto de tafeta"</f>
        <v>Em ponto de tafeta</v>
      </c>
    </row>
    <row r="5692" spans="1:2">
      <c r="A5692" s="1" t="str">
        <f>"5209.32.00"</f>
        <v>5209.32.00</v>
      </c>
      <c r="B5692" s="2" t="str">
        <f>"Em ponto sarjado, incluindo o diago"</f>
        <v>Em ponto sarjado, incluindo o diago</v>
      </c>
    </row>
    <row r="5693" spans="1:2">
      <c r="A5693" s="1" t="str">
        <f>"5209.39.00"</f>
        <v>5209.39.00</v>
      </c>
      <c r="B5693" s="2" t="str">
        <f>"Outros tecidos"</f>
        <v>Outros tecidos</v>
      </c>
    </row>
    <row r="5694" spans="1:2">
      <c r="A5694" s="1" t="str">
        <f>"5209.41.00"</f>
        <v>5209.41.00</v>
      </c>
      <c r="B5694" s="2" t="str">
        <f>"Em ponto de tafeta"</f>
        <v>Em ponto de tafeta</v>
      </c>
    </row>
    <row r="5695" spans="1:2">
      <c r="A5695" s="1" t="str">
        <f>"5209.42.10"</f>
        <v>5209.42.10</v>
      </c>
      <c r="B5695" s="2" t="str">
        <f>"Com fios tintos em indigo blue segu"</f>
        <v>Com fios tintos em indigo blue segu</v>
      </c>
    </row>
    <row r="5696" spans="1:2">
      <c r="A5696" s="1" t="str">
        <f>"5209.42.90"</f>
        <v>5209.42.90</v>
      </c>
      <c r="B5696" s="2" t="str">
        <f>"Outros"</f>
        <v>Outros</v>
      </c>
    </row>
    <row r="5697" spans="1:2">
      <c r="A5697" s="1" t="str">
        <f>"5209.43.00"</f>
        <v>5209.43.00</v>
      </c>
      <c r="B5697" s="2" t="str">
        <f>"OUTROS TECIDOS EM PONTO SARJADO"</f>
        <v>OUTROS TECIDOS EM PONTO SARJADO</v>
      </c>
    </row>
    <row r="5698" spans="1:2">
      <c r="A5698" s="1" t="str">
        <f>"5209.49.00"</f>
        <v>5209.49.00</v>
      </c>
      <c r="B5698" s="2" t="str">
        <f>"OUTROS TECIDOS"</f>
        <v>OUTROS TECIDOS</v>
      </c>
    </row>
    <row r="5699" spans="1:2">
      <c r="A5699" s="1" t="str">
        <f>"5209.51.00"</f>
        <v>5209.51.00</v>
      </c>
      <c r="B5699" s="2" t="str">
        <f>"Em ponto de tafeta"</f>
        <v>Em ponto de tafeta</v>
      </c>
    </row>
    <row r="5700" spans="1:2">
      <c r="A5700" s="1" t="str">
        <f>"5209.52.00"</f>
        <v>5209.52.00</v>
      </c>
      <c r="B5700" s="2" t="str">
        <f>"Em ponto sarjado, incluindo o diago"</f>
        <v>Em ponto sarjado, incluindo o diago</v>
      </c>
    </row>
    <row r="5701" spans="1:2">
      <c r="A5701" s="1" t="str">
        <f>"5209.59.00"</f>
        <v>5209.59.00</v>
      </c>
      <c r="B5701" s="2" t="str">
        <f>"Outros tecidos"</f>
        <v>Outros tecidos</v>
      </c>
    </row>
    <row r="5702" spans="1:2">
      <c r="A5702" s="1" t="str">
        <f>"5210.11.00"</f>
        <v>5210.11.00</v>
      </c>
      <c r="B5702" s="2" t="str">
        <f>"Em ponto de tafeta"</f>
        <v>Em ponto de tafeta</v>
      </c>
    </row>
    <row r="5703" spans="1:2">
      <c r="A5703" s="1" t="str">
        <f>"5210.19.10"</f>
        <v>5210.19.10</v>
      </c>
      <c r="B5703" s="2" t="str">
        <f>"Em ponto sarjado, incluindo o diago"</f>
        <v>Em ponto sarjado, incluindo o diago</v>
      </c>
    </row>
    <row r="5704" spans="1:2">
      <c r="A5704" s="1" t="str">
        <f>"5210.19.90"</f>
        <v>5210.19.90</v>
      </c>
      <c r="B5704" s="2" t="str">
        <f>"outros"</f>
        <v>outros</v>
      </c>
    </row>
    <row r="5705" spans="1:2">
      <c r="A5705" s="1" t="str">
        <f>"5210.21.00"</f>
        <v>5210.21.00</v>
      </c>
      <c r="B5705" s="2" t="str">
        <f>"Em ponto de tafeta"</f>
        <v>Em ponto de tafeta</v>
      </c>
    </row>
    <row r="5706" spans="1:2">
      <c r="A5706" s="1" t="str">
        <f>"5210.29.10"</f>
        <v>5210.29.10</v>
      </c>
      <c r="B5706" s="2" t="str">
        <f>"Em ponto sarjado, incluindo o diago"</f>
        <v>Em ponto sarjado, incluindo o diago</v>
      </c>
    </row>
    <row r="5707" spans="1:2">
      <c r="A5707" s="1" t="str">
        <f>"5210.29.90"</f>
        <v>5210.29.90</v>
      </c>
      <c r="B5707" s="2" t="str">
        <f>"Outros"</f>
        <v>Outros</v>
      </c>
    </row>
    <row r="5708" spans="1:2">
      <c r="A5708" s="1" t="str">
        <f>"5210.31.00"</f>
        <v>5210.31.00</v>
      </c>
      <c r="B5708" s="2" t="str">
        <f>"Em ponto de tafeta"</f>
        <v>Em ponto de tafeta</v>
      </c>
    </row>
    <row r="5709" spans="1:2">
      <c r="A5709" s="1" t="str">
        <f>"5210.32.00"</f>
        <v>5210.32.00</v>
      </c>
      <c r="B5709" s="2" t="str">
        <f>"Em ponto sarjado, incluindo o diago"</f>
        <v>Em ponto sarjado, incluindo o diago</v>
      </c>
    </row>
    <row r="5710" spans="1:2">
      <c r="A5710" s="1" t="str">
        <f>"5210.39.00"</f>
        <v>5210.39.00</v>
      </c>
      <c r="B5710" s="2" t="str">
        <f>"Outros tecidos"</f>
        <v>Outros tecidos</v>
      </c>
    </row>
    <row r="5711" spans="1:2">
      <c r="A5711" s="1" t="str">
        <f>"5210.41.00"</f>
        <v>5210.41.00</v>
      </c>
      <c r="B5711" s="2" t="str">
        <f>"Em ponto de tafeta"</f>
        <v>Em ponto de tafeta</v>
      </c>
    </row>
    <row r="5712" spans="1:2">
      <c r="A5712" s="1" t="str">
        <f>"5210.49.10"</f>
        <v>5210.49.10</v>
      </c>
      <c r="B5712" s="2" t="str">
        <f>"Em ponto sarjado, incluindo o diago"</f>
        <v>Em ponto sarjado, incluindo o diago</v>
      </c>
    </row>
    <row r="5713" spans="1:2">
      <c r="A5713" s="1" t="str">
        <f>"5210.49.90"</f>
        <v>5210.49.90</v>
      </c>
      <c r="B5713" s="2" t="str">
        <f>"Outros"</f>
        <v>Outros</v>
      </c>
    </row>
    <row r="5714" spans="1:2">
      <c r="A5714" s="1" t="str">
        <f>"5210.51.00"</f>
        <v>5210.51.00</v>
      </c>
      <c r="B5714" s="2" t="str">
        <f>"Em ponto de tafeta"</f>
        <v>Em ponto de tafeta</v>
      </c>
    </row>
    <row r="5715" spans="1:2">
      <c r="A5715" s="1" t="str">
        <f>"5210.59.10"</f>
        <v>5210.59.10</v>
      </c>
      <c r="B5715" s="2" t="str">
        <f>"Em ponto sarjado, incluindo o diago"</f>
        <v>Em ponto sarjado, incluindo o diago</v>
      </c>
    </row>
    <row r="5716" spans="1:2">
      <c r="A5716" s="1" t="str">
        <f>"5210.59.90"</f>
        <v>5210.59.90</v>
      </c>
      <c r="B5716" s="2" t="str">
        <f>"Outros"</f>
        <v>Outros</v>
      </c>
    </row>
    <row r="5717" spans="1:2">
      <c r="A5717" s="1" t="str">
        <f>"5211.11.00"</f>
        <v>5211.11.00</v>
      </c>
      <c r="B5717" s="2" t="str">
        <f>"Em ponto de tafeta"</f>
        <v>Em ponto de tafeta</v>
      </c>
    </row>
    <row r="5718" spans="1:2">
      <c r="A5718" s="1" t="str">
        <f>"5211.12.00"</f>
        <v>5211.12.00</v>
      </c>
      <c r="B5718" s="2" t="str">
        <f>"Em ponto sarjado, incluindo o diago"</f>
        <v>Em ponto sarjado, incluindo o diago</v>
      </c>
    </row>
    <row r="5719" spans="1:2">
      <c r="A5719" s="1" t="str">
        <f>"5211.19.00"</f>
        <v>5211.19.00</v>
      </c>
      <c r="B5719" s="2" t="str">
        <f>"Outros tecidos"</f>
        <v>Outros tecidos</v>
      </c>
    </row>
    <row r="5720" spans="1:2">
      <c r="A5720" s="1" t="str">
        <f>"5211.20.10"</f>
        <v>5211.20.10</v>
      </c>
      <c r="B5720" s="2" t="str">
        <f>"Em ponto de tafeta"</f>
        <v>Em ponto de tafeta</v>
      </c>
    </row>
    <row r="5721" spans="1:2">
      <c r="A5721" s="1" t="str">
        <f>"5211.20.20"</f>
        <v>5211.20.20</v>
      </c>
      <c r="B5721" s="2" t="str">
        <f>"Em ponto sarjado, incluindo o diago"</f>
        <v>Em ponto sarjado, incluindo o diago</v>
      </c>
    </row>
    <row r="5722" spans="1:2">
      <c r="A5722" s="1" t="str">
        <f>"5211.20.90"</f>
        <v>5211.20.90</v>
      </c>
      <c r="B5722" s="2" t="str">
        <f>"Outros"</f>
        <v>Outros</v>
      </c>
    </row>
    <row r="5723" spans="1:2">
      <c r="A5723" s="1" t="str">
        <f>"5211.31.00"</f>
        <v>5211.31.00</v>
      </c>
      <c r="B5723" s="2" t="str">
        <f>"Em ponto de tafeta"</f>
        <v>Em ponto de tafeta</v>
      </c>
    </row>
    <row r="5724" spans="1:2">
      <c r="A5724" s="1" t="str">
        <f>"5211.32.00"</f>
        <v>5211.32.00</v>
      </c>
      <c r="B5724" s="2" t="str">
        <f>"Em ponto sarjado, incluindo o diago"</f>
        <v>Em ponto sarjado, incluindo o diago</v>
      </c>
    </row>
    <row r="5725" spans="1:2">
      <c r="A5725" s="1" t="str">
        <f>"5211.39.00"</f>
        <v>5211.39.00</v>
      </c>
      <c r="B5725" s="2" t="str">
        <f>"Outros tecidos"</f>
        <v>Outros tecidos</v>
      </c>
    </row>
    <row r="5726" spans="1:2">
      <c r="A5726" s="1" t="str">
        <f>"5211.41.00"</f>
        <v>5211.41.00</v>
      </c>
      <c r="B5726" s="2" t="str">
        <f>"Em ponto de tafeta"</f>
        <v>Em ponto de tafeta</v>
      </c>
    </row>
    <row r="5727" spans="1:2">
      <c r="A5727" s="1" t="str">
        <f>"5211.42.10"</f>
        <v>5211.42.10</v>
      </c>
      <c r="B5727" s="2" t="str">
        <f>"Com fios tintos em indigo blue segu"</f>
        <v>Com fios tintos em indigo blue segu</v>
      </c>
    </row>
    <row r="5728" spans="1:2">
      <c r="A5728" s="1" t="str">
        <f>"5211.42.90"</f>
        <v>5211.42.90</v>
      </c>
      <c r="B5728" s="2" t="str">
        <f>"Outros"</f>
        <v>Outros</v>
      </c>
    </row>
    <row r="5729" spans="1:2">
      <c r="A5729" s="1" t="str">
        <f>"5211.43.00"</f>
        <v>5211.43.00</v>
      </c>
      <c r="B5729" s="2" t="str">
        <f>"Outros tecidos em ponto sarjado, in"</f>
        <v>Outros tecidos em ponto sarjado, in</v>
      </c>
    </row>
    <row r="5730" spans="1:2">
      <c r="A5730" s="1" t="str">
        <f>"5211.49.00"</f>
        <v>5211.49.00</v>
      </c>
      <c r="B5730" s="2" t="str">
        <f>"OUTROS TECIDOS"</f>
        <v>OUTROS TECIDOS</v>
      </c>
    </row>
    <row r="5731" spans="1:2">
      <c r="A5731" s="1" t="str">
        <f>"5211.51.00"</f>
        <v>5211.51.00</v>
      </c>
      <c r="B5731" s="2" t="str">
        <f>"Em ponto de tafeta"</f>
        <v>Em ponto de tafeta</v>
      </c>
    </row>
    <row r="5732" spans="1:2">
      <c r="A5732" s="1" t="str">
        <f>"5211.52.00"</f>
        <v>5211.52.00</v>
      </c>
      <c r="B5732" s="2" t="str">
        <f>"Em ponto sarjado, incluindo o diago"</f>
        <v>Em ponto sarjado, incluindo o diago</v>
      </c>
    </row>
    <row r="5733" spans="1:2">
      <c r="A5733" s="1" t="str">
        <f>"5211.59.00"</f>
        <v>5211.59.00</v>
      </c>
      <c r="B5733" s="2" t="str">
        <f>"Outros tecidos"</f>
        <v>Outros tecidos</v>
      </c>
    </row>
    <row r="5734" spans="1:2">
      <c r="A5734" s="1" t="str">
        <f>"5212.11.00"</f>
        <v>5212.11.00</v>
      </c>
      <c r="B5734" s="2" t="str">
        <f>"Crus"</f>
        <v>Crus</v>
      </c>
    </row>
    <row r="5735" spans="1:2">
      <c r="A5735" s="1" t="str">
        <f>"5212.12.00"</f>
        <v>5212.12.00</v>
      </c>
      <c r="B5735" s="2" t="str">
        <f>"Branqueados"</f>
        <v>Branqueados</v>
      </c>
    </row>
    <row r="5736" spans="1:2">
      <c r="A5736" s="1" t="str">
        <f>"5212.13.00"</f>
        <v>5212.13.00</v>
      </c>
      <c r="B5736" s="2" t="str">
        <f>"Tintos"</f>
        <v>Tintos</v>
      </c>
    </row>
    <row r="5737" spans="1:2">
      <c r="A5737" s="1" t="str">
        <f>"5212.14.00"</f>
        <v>5212.14.00</v>
      </c>
      <c r="B5737" s="2" t="str">
        <f>"De fios de diversas cores"</f>
        <v>De fios de diversas cores</v>
      </c>
    </row>
    <row r="5738" spans="1:2">
      <c r="A5738" s="1" t="str">
        <f>"5212.15.00"</f>
        <v>5212.15.00</v>
      </c>
      <c r="B5738" s="2" t="str">
        <f>"Estampados"</f>
        <v>Estampados</v>
      </c>
    </row>
    <row r="5739" spans="1:2">
      <c r="A5739" s="1" t="str">
        <f>"5212.21.00"</f>
        <v>5212.21.00</v>
      </c>
      <c r="B5739" s="2" t="str">
        <f>"Crus"</f>
        <v>Crus</v>
      </c>
    </row>
    <row r="5740" spans="1:2">
      <c r="A5740" s="1" t="str">
        <f>"5212.22.00"</f>
        <v>5212.22.00</v>
      </c>
      <c r="B5740" s="2" t="str">
        <f>"Branqueados"</f>
        <v>Branqueados</v>
      </c>
    </row>
    <row r="5741" spans="1:2">
      <c r="A5741" s="1" t="str">
        <f>"5212.23.00"</f>
        <v>5212.23.00</v>
      </c>
      <c r="B5741" s="2" t="str">
        <f>"Tintos"</f>
        <v>Tintos</v>
      </c>
    </row>
    <row r="5742" spans="1:2">
      <c r="A5742" s="1" t="str">
        <f>"5212.24.00"</f>
        <v>5212.24.00</v>
      </c>
      <c r="B5742" s="2" t="str">
        <f>"De fios de diversas cores"</f>
        <v>De fios de diversas cores</v>
      </c>
    </row>
    <row r="5743" spans="1:2">
      <c r="A5743" s="1" t="str">
        <f>"5212.25.00"</f>
        <v>5212.25.00</v>
      </c>
      <c r="B5743" s="2" t="str">
        <f>"Estampados"</f>
        <v>Estampados</v>
      </c>
    </row>
    <row r="5744" spans="1:2">
      <c r="A5744" s="1" t="str">
        <f>"5301.10.00"</f>
        <v>5301.10.00</v>
      </c>
      <c r="B5744" s="2" t="str">
        <f>"Linho em bruto ou macerado"</f>
        <v>Linho em bruto ou macerado</v>
      </c>
    </row>
    <row r="5745" spans="1:2">
      <c r="A5745" s="1" t="str">
        <f>"5301.21.10"</f>
        <v>5301.21.10</v>
      </c>
      <c r="B5745" s="2" t="str">
        <f>"Quebrado"</f>
        <v>Quebrado</v>
      </c>
    </row>
    <row r="5746" spans="1:2">
      <c r="A5746" s="1" t="str">
        <f>"5301.21.20"</f>
        <v>5301.21.20</v>
      </c>
      <c r="B5746" s="2" t="str">
        <f>"Espadelado"</f>
        <v>Espadelado</v>
      </c>
    </row>
    <row r="5747" spans="1:2">
      <c r="A5747" s="1" t="str">
        <f>"5301.29.10"</f>
        <v>5301.29.10</v>
      </c>
      <c r="B5747" s="2" t="str">
        <f>"Penteado"</f>
        <v>Penteado</v>
      </c>
    </row>
    <row r="5748" spans="1:2">
      <c r="A5748" s="1" t="str">
        <f>"5301.29.90"</f>
        <v>5301.29.90</v>
      </c>
      <c r="B5748" s="2" t="str">
        <f>"Outro"</f>
        <v>Outro</v>
      </c>
    </row>
    <row r="5749" spans="1:2">
      <c r="A5749" s="1" t="str">
        <f>"5301.30.00"</f>
        <v>5301.30.00</v>
      </c>
      <c r="B5749" s="2" t="str">
        <f>"Estopas e desperdicios de linho"</f>
        <v>Estopas e desperdicios de linho</v>
      </c>
    </row>
    <row r="5750" spans="1:2">
      <c r="A5750" s="1" t="str">
        <f>"5302.10.00"</f>
        <v>5302.10.00</v>
      </c>
      <c r="B5750" s="2" t="str">
        <f>"Canhamo em bruto ou macerado"</f>
        <v>Canhamo em bruto ou macerado</v>
      </c>
    </row>
    <row r="5751" spans="1:2">
      <c r="A5751" s="1" t="str">
        <f>"5302.90.00"</f>
        <v>5302.90.00</v>
      </c>
      <c r="B5751" s="2" t="str">
        <f>"Outros"</f>
        <v>Outros</v>
      </c>
    </row>
    <row r="5752" spans="1:2">
      <c r="A5752" s="1" t="str">
        <f>"5303.10.10"</f>
        <v>5303.10.10</v>
      </c>
      <c r="B5752" s="2" t="str">
        <f>"Juta"</f>
        <v>Juta</v>
      </c>
    </row>
    <row r="5753" spans="1:2">
      <c r="A5753" s="1" t="str">
        <f>"5303.10.90"</f>
        <v>5303.10.90</v>
      </c>
      <c r="B5753" s="2" t="str">
        <f>"Outras"</f>
        <v>Outras</v>
      </c>
    </row>
    <row r="5754" spans="1:2">
      <c r="A5754" s="1" t="str">
        <f>"5303.90.10"</f>
        <v>5303.90.10</v>
      </c>
      <c r="B5754" s="2" t="str">
        <f>"Juta"</f>
        <v>Juta</v>
      </c>
    </row>
    <row r="5755" spans="1:2">
      <c r="A5755" s="1" t="str">
        <f>"5303.90.90"</f>
        <v>5303.90.90</v>
      </c>
      <c r="B5755" s="2" t="str">
        <f>"Outros"</f>
        <v>Outros</v>
      </c>
    </row>
    <row r="5756" spans="1:2">
      <c r="A5756" s="1" t="str">
        <f>"5305.00.10"</f>
        <v>5305.00.10</v>
      </c>
      <c r="B5756" s="2" t="str">
        <f>"De abaca, em bruto"</f>
        <v>De abaca, em bruto</v>
      </c>
    </row>
    <row r="5757" spans="1:2">
      <c r="A5757" s="1" t="str">
        <f>"5305.00.90"</f>
        <v>5305.00.90</v>
      </c>
      <c r="B5757" s="2" t="str">
        <f>"Outros"</f>
        <v>Outros</v>
      </c>
    </row>
    <row r="5758" spans="1:2">
      <c r="A5758" s="1" t="str">
        <f>"5306.10.00"</f>
        <v>5306.10.00</v>
      </c>
      <c r="B5758" s="2" t="str">
        <f>"Simples"</f>
        <v>Simples</v>
      </c>
    </row>
    <row r="5759" spans="1:2">
      <c r="A5759" s="1" t="str">
        <f>"5306.20.00"</f>
        <v>5306.20.00</v>
      </c>
      <c r="B5759" s="2" t="str">
        <f>"Retorcidos ou retorcidos multiplos"</f>
        <v>Retorcidos ou retorcidos multiplos</v>
      </c>
    </row>
    <row r="5760" spans="1:2">
      <c r="A5760" s="1" t="str">
        <f>"5307.10.10"</f>
        <v>5307.10.10</v>
      </c>
      <c r="B5760" s="2" t="str">
        <f>"De juta"</f>
        <v>De juta</v>
      </c>
    </row>
    <row r="5761" spans="1:2">
      <c r="A5761" s="1" t="str">
        <f>"5307.10.90"</f>
        <v>5307.10.90</v>
      </c>
      <c r="B5761" s="2" t="str">
        <f>"Outros"</f>
        <v>Outros</v>
      </c>
    </row>
    <row r="5762" spans="1:2">
      <c r="A5762" s="1" t="str">
        <f>"5307.20.10"</f>
        <v>5307.20.10</v>
      </c>
      <c r="B5762" s="2" t="str">
        <f>"De juta"</f>
        <v>De juta</v>
      </c>
    </row>
    <row r="5763" spans="1:2">
      <c r="A5763" s="1" t="str">
        <f>"5307.20.90"</f>
        <v>5307.20.90</v>
      </c>
      <c r="B5763" s="2" t="str">
        <f>"Outros"</f>
        <v>Outros</v>
      </c>
    </row>
    <row r="5764" spans="1:2">
      <c r="A5764" s="1" t="str">
        <f>"5308.10.00"</f>
        <v>5308.10.00</v>
      </c>
      <c r="B5764" s="2" t="str">
        <f>"Fios de cairo (fios de fibra de coc"</f>
        <v>Fios de cairo (fios de fibra de coc</v>
      </c>
    </row>
    <row r="5765" spans="1:2">
      <c r="A5765" s="1" t="str">
        <f>"5308.20.00"</f>
        <v>5308.20.00</v>
      </c>
      <c r="B5765" s="2" t="str">
        <f>"Fios de canhamo"</f>
        <v>Fios de canhamo</v>
      </c>
    </row>
    <row r="5766" spans="1:2">
      <c r="A5766" s="1" t="str">
        <f>"5308.90.00"</f>
        <v>5308.90.00</v>
      </c>
      <c r="B5766" s="2" t="str">
        <f>"Outros"</f>
        <v>Outros</v>
      </c>
    </row>
    <row r="5767" spans="1:2">
      <c r="A5767" s="1" t="str">
        <f>"5309.11.00"</f>
        <v>5309.11.00</v>
      </c>
      <c r="B5767" s="2" t="str">
        <f>"CRUS OU BRANQUEADOS"</f>
        <v>CRUS OU BRANQUEADOS</v>
      </c>
    </row>
    <row r="5768" spans="1:2">
      <c r="A5768" s="1" t="str">
        <f>"5309.19.00"</f>
        <v>5309.19.00</v>
      </c>
      <c r="B5768" s="2" t="str">
        <f>"Outros"</f>
        <v>Outros</v>
      </c>
    </row>
    <row r="5769" spans="1:2">
      <c r="A5769" s="1" t="str">
        <f>"5309.21.00"</f>
        <v>5309.21.00</v>
      </c>
      <c r="B5769" s="2" t="str">
        <f>"CRUS OU BRANQUEADOS"</f>
        <v>CRUS OU BRANQUEADOS</v>
      </c>
    </row>
    <row r="5770" spans="1:2">
      <c r="A5770" s="1" t="str">
        <f>"5309.29.00"</f>
        <v>5309.29.00</v>
      </c>
      <c r="B5770" s="2" t="str">
        <f>"Outros"</f>
        <v>Outros</v>
      </c>
    </row>
    <row r="5771" spans="1:2">
      <c r="A5771" s="1" t="str">
        <f>"5310.10.10"</f>
        <v>5310.10.10</v>
      </c>
      <c r="B5771" s="2" t="str">
        <f>"Aniagem de juta"</f>
        <v>Aniagem de juta</v>
      </c>
    </row>
    <row r="5772" spans="1:2">
      <c r="A5772" s="1" t="str">
        <f>"5310.10.90"</f>
        <v>5310.10.90</v>
      </c>
      <c r="B5772" s="2" t="str">
        <f>"Outros"</f>
        <v>Outros</v>
      </c>
    </row>
    <row r="5773" spans="1:2">
      <c r="A5773" s="1" t="str">
        <f>"5310.90.00"</f>
        <v>5310.90.00</v>
      </c>
      <c r="B5773" s="2" t="str">
        <f>"Outros"</f>
        <v>Outros</v>
      </c>
    </row>
    <row r="5774" spans="1:2">
      <c r="A5774" s="1" t="str">
        <f>"5311.00.00"</f>
        <v>5311.00.00</v>
      </c>
      <c r="B5774" s="2" t="str">
        <f>"Tecidos de outras fibras texteis ve"</f>
        <v>Tecidos de outras fibras texteis ve</v>
      </c>
    </row>
    <row r="5775" spans="1:2">
      <c r="A5775" s="1" t="str">
        <f>"5401.10.11"</f>
        <v>5401.10.11</v>
      </c>
      <c r="B5775" s="2" t="str">
        <f>"Nao acondicionadas para venda a ret"</f>
        <v>Nao acondicionadas para venda a ret</v>
      </c>
    </row>
    <row r="5776" spans="1:2">
      <c r="A5776" s="1" t="str">
        <f>"5401.10.12"</f>
        <v>5401.10.12</v>
      </c>
      <c r="B5776" s="2" t="str">
        <f>"Acondicionadas para venda a retalho"</f>
        <v>Acondicionadas para venda a retalho</v>
      </c>
    </row>
    <row r="5777" spans="1:2">
      <c r="A5777" s="1" t="str">
        <f>"5401.10.90"</f>
        <v>5401.10.90</v>
      </c>
      <c r="B5777" s="2" t="str">
        <f>"Outras"</f>
        <v>Outras</v>
      </c>
    </row>
    <row r="5778" spans="1:2">
      <c r="A5778" s="1" t="str">
        <f>"5401.20.11"</f>
        <v>5401.20.11</v>
      </c>
      <c r="B5778" s="2" t="str">
        <f>"Nao acondicionadas para venda a ret"</f>
        <v>Nao acondicionadas para venda a ret</v>
      </c>
    </row>
    <row r="5779" spans="1:2">
      <c r="A5779" s="1" t="str">
        <f>"5401.20.12"</f>
        <v>5401.20.12</v>
      </c>
      <c r="B5779" s="2" t="str">
        <f>"Acondicionadas para venda a retalho"</f>
        <v>Acondicionadas para venda a retalho</v>
      </c>
    </row>
    <row r="5780" spans="1:2">
      <c r="A5780" s="1" t="str">
        <f>"5401.20.90"</f>
        <v>5401.20.90</v>
      </c>
      <c r="B5780" s="2" t="str">
        <f>"Outras"</f>
        <v>Outras</v>
      </c>
    </row>
    <row r="5781" spans="1:2">
      <c r="A5781" s="1" t="str">
        <f>"5402.11.00"</f>
        <v>5402.11.00</v>
      </c>
      <c r="B5781" s="2" t="str">
        <f>"De aramidas"</f>
        <v>De aramidas</v>
      </c>
    </row>
    <row r="5782" spans="1:2">
      <c r="A5782" s="1" t="str">
        <f>"5402.19.10"</f>
        <v>5402.19.10</v>
      </c>
      <c r="B5782" s="2" t="str">
        <f>"De nailon"</f>
        <v>De nailon</v>
      </c>
    </row>
    <row r="5783" spans="1:2">
      <c r="A5783" s="1" t="str">
        <f>"5402.19.90"</f>
        <v>5402.19.90</v>
      </c>
      <c r="B5783" s="2" t="str">
        <f>"Outros"</f>
        <v>Outros</v>
      </c>
    </row>
    <row r="5784" spans="1:2">
      <c r="A5784" s="1" t="str">
        <f>"5402.20.00"</f>
        <v>5402.20.00</v>
      </c>
      <c r="B5784" s="2" t="str">
        <f>"Fios de alta tenacidade, de poliest"</f>
        <v>Fios de alta tenacidade, de poliest</v>
      </c>
    </row>
    <row r="5785" spans="1:2">
      <c r="A5785" s="1" t="str">
        <f>"5402.31.11"</f>
        <v>5402.31.11</v>
      </c>
      <c r="B5785" s="2" t="str">
        <f>"Tintos"</f>
        <v>Tintos</v>
      </c>
    </row>
    <row r="5786" spans="1:2">
      <c r="A5786" s="1" t="str">
        <f>"5402.31.19"</f>
        <v>5402.31.19</v>
      </c>
      <c r="B5786" s="2" t="str">
        <f>"Outros"</f>
        <v>Outros</v>
      </c>
    </row>
    <row r="5787" spans="1:2">
      <c r="A5787" s="1" t="str">
        <f>"5402.31.90"</f>
        <v>5402.31.90</v>
      </c>
      <c r="B5787" s="2" t="str">
        <f>"Outros"</f>
        <v>Outros</v>
      </c>
    </row>
    <row r="5788" spans="1:2">
      <c r="A5788" s="1" t="str">
        <f>"5402.32.11"</f>
        <v>5402.32.11</v>
      </c>
      <c r="B5788" s="2" t="str">
        <f>"Multifilamento com efeito antiestat"</f>
        <v>Multifilamento com efeito antiestat</v>
      </c>
    </row>
    <row r="5789" spans="1:2">
      <c r="A5789" s="1" t="str">
        <f>"5402.32.19"</f>
        <v>5402.32.19</v>
      </c>
      <c r="B5789" s="2" t="str">
        <f>"Outros"</f>
        <v>Outros</v>
      </c>
    </row>
    <row r="5790" spans="1:2">
      <c r="A5790" s="1" t="str">
        <f>"5402.32.90"</f>
        <v>5402.32.90</v>
      </c>
      <c r="B5790" s="2" t="str">
        <f>"Outros"</f>
        <v>Outros</v>
      </c>
    </row>
    <row r="5791" spans="1:2">
      <c r="A5791" s="1" t="str">
        <f>"5402.33.10"</f>
        <v>5402.33.10</v>
      </c>
      <c r="B5791" s="2" t="str">
        <f>"Crus"</f>
        <v>Crus</v>
      </c>
    </row>
    <row r="5792" spans="1:2">
      <c r="A5792" s="1" t="str">
        <f>"5402.33.20"</f>
        <v>5402.33.20</v>
      </c>
      <c r="B5792" s="2" t="str">
        <f>"Tintos"</f>
        <v>Tintos</v>
      </c>
    </row>
    <row r="5793" spans="1:2">
      <c r="A5793" s="1" t="str">
        <f>"5402.33.90"</f>
        <v>5402.33.90</v>
      </c>
      <c r="B5793" s="2" t="str">
        <f>"Outros"</f>
        <v>Outros</v>
      </c>
    </row>
    <row r="5794" spans="1:2">
      <c r="A5794" s="1" t="str">
        <f>"5402.34.00"</f>
        <v>5402.34.00</v>
      </c>
      <c r="B5794" s="2" t="str">
        <f>"De polipropileno"</f>
        <v>De polipropileno</v>
      </c>
    </row>
    <row r="5795" spans="1:2">
      <c r="A5795" s="1" t="str">
        <f>"5402.39.00"</f>
        <v>5402.39.00</v>
      </c>
      <c r="B5795" s="2" t="str">
        <f>"OUTROS"</f>
        <v>OUTROS</v>
      </c>
    </row>
    <row r="5796" spans="1:2">
      <c r="A5796" s="1" t="str">
        <f>"5402.44.00"</f>
        <v>5402.44.00</v>
      </c>
      <c r="B5796" s="2" t="str">
        <f>"De elastomeros"</f>
        <v>De elastomeros</v>
      </c>
    </row>
    <row r="5797" spans="1:2">
      <c r="A5797" s="1" t="str">
        <f>"5402.45.10"</f>
        <v>5402.45.10</v>
      </c>
      <c r="B5797" s="2" t="str">
        <f>"De aramidas"</f>
        <v>De aramidas</v>
      </c>
    </row>
    <row r="5798" spans="1:2">
      <c r="A5798" s="1" t="str">
        <f>"5402.45.20"</f>
        <v>5402.45.20</v>
      </c>
      <c r="B5798" s="2" t="str">
        <f>"De nailon"</f>
        <v>De nailon</v>
      </c>
    </row>
    <row r="5799" spans="1:2">
      <c r="A5799" s="1" t="str">
        <f>"5402.45.90"</f>
        <v>5402.45.90</v>
      </c>
      <c r="B5799" s="2" t="str">
        <f>"Outros"</f>
        <v>Outros</v>
      </c>
    </row>
    <row r="5800" spans="1:2">
      <c r="A5800" s="1" t="str">
        <f>"5402.46.00"</f>
        <v>5402.46.00</v>
      </c>
      <c r="B5800" s="2" t="str">
        <f>"Outros, de poliesteres, parcialment"</f>
        <v>Outros, de poliesteres, parcialment</v>
      </c>
    </row>
    <row r="5801" spans="1:2">
      <c r="A5801" s="1" t="str">
        <f>"5402.47.10"</f>
        <v>5402.47.10</v>
      </c>
      <c r="B5801" s="2" t="str">
        <f>"Crus"</f>
        <v>Crus</v>
      </c>
    </row>
    <row r="5802" spans="1:2">
      <c r="A5802" s="1" t="str">
        <f>"5402.47.20"</f>
        <v>5402.47.20</v>
      </c>
      <c r="B5802" s="2" t="str">
        <f>"Tintos"</f>
        <v>Tintos</v>
      </c>
    </row>
    <row r="5803" spans="1:2">
      <c r="A5803" s="1" t="str">
        <f>"5402.47.90"</f>
        <v>5402.47.90</v>
      </c>
      <c r="B5803" s="2" t="str">
        <f>"Outros"</f>
        <v>Outros</v>
      </c>
    </row>
    <row r="5804" spans="1:2">
      <c r="A5804" s="1" t="str">
        <f>"5402.48.00"</f>
        <v>5402.48.00</v>
      </c>
      <c r="B5804" s="2" t="str">
        <f>"Outros, de polipropileno"</f>
        <v>Outros, de polipropileno</v>
      </c>
    </row>
    <row r="5805" spans="1:2">
      <c r="A5805" s="1" t="str">
        <f>"5402.49.10"</f>
        <v>5402.49.10</v>
      </c>
      <c r="B5805" s="2" t="str">
        <f>"De polietileno, com tenacidade igua"</f>
        <v>De polietileno, com tenacidade igua</v>
      </c>
    </row>
    <row r="5806" spans="1:2">
      <c r="A5806" s="1" t="str">
        <f>"5402.49.90"</f>
        <v>5402.49.90</v>
      </c>
      <c r="B5806" s="2" t="str">
        <f>"Outros"</f>
        <v>Outros</v>
      </c>
    </row>
    <row r="5807" spans="1:2">
      <c r="A5807" s="1" t="str">
        <f>"5402.51.10"</f>
        <v>5402.51.10</v>
      </c>
      <c r="B5807" s="2" t="str">
        <f>"De aramidas"</f>
        <v>De aramidas</v>
      </c>
    </row>
    <row r="5808" spans="1:2">
      <c r="A5808" s="1" t="str">
        <f>"5402.51.90"</f>
        <v>5402.51.90</v>
      </c>
      <c r="B5808" s="2" t="str">
        <f>"Outros"</f>
        <v>Outros</v>
      </c>
    </row>
    <row r="5809" spans="1:2">
      <c r="A5809" s="1" t="str">
        <f>"5402.52.00"</f>
        <v>5402.52.00</v>
      </c>
      <c r="B5809" s="2" t="str">
        <f>"De poliesteres"</f>
        <v>De poliesteres</v>
      </c>
    </row>
    <row r="5810" spans="1:2">
      <c r="A5810" s="1" t="str">
        <f>"5402.53.00"</f>
        <v>5402.53.00</v>
      </c>
      <c r="B5810" s="2" t="str">
        <f>"De polipropileno"</f>
        <v>De polipropileno</v>
      </c>
    </row>
    <row r="5811" spans="1:2">
      <c r="A5811" s="1" t="str">
        <f>"5402.59.00"</f>
        <v>5402.59.00</v>
      </c>
      <c r="B5811" s="2" t="str">
        <f>"Outros"</f>
        <v>Outros</v>
      </c>
    </row>
    <row r="5812" spans="1:2">
      <c r="A5812" s="1" t="str">
        <f>"5402.61.10"</f>
        <v>5402.61.10</v>
      </c>
      <c r="B5812" s="2" t="str">
        <f>"De aramidas"</f>
        <v>De aramidas</v>
      </c>
    </row>
    <row r="5813" spans="1:2">
      <c r="A5813" s="1" t="str">
        <f>"5402.61.90"</f>
        <v>5402.61.90</v>
      </c>
      <c r="B5813" s="2" t="str">
        <f>"Outros"</f>
        <v>Outros</v>
      </c>
    </row>
    <row r="5814" spans="1:2">
      <c r="A5814" s="1" t="str">
        <f>"5402.62.00"</f>
        <v>5402.62.00</v>
      </c>
      <c r="B5814" s="2" t="str">
        <f>"De poliesteres"</f>
        <v>De poliesteres</v>
      </c>
    </row>
    <row r="5815" spans="1:2">
      <c r="A5815" s="1" t="str">
        <f>"5402.63.00"</f>
        <v>5402.63.00</v>
      </c>
      <c r="B5815" s="2" t="str">
        <f>"De polipropileno"</f>
        <v>De polipropileno</v>
      </c>
    </row>
    <row r="5816" spans="1:2">
      <c r="A5816" s="1" t="str">
        <f>"5402.69.00"</f>
        <v>5402.69.00</v>
      </c>
      <c r="B5816" s="2" t="str">
        <f>"Outros"</f>
        <v>Outros</v>
      </c>
    </row>
    <row r="5817" spans="1:2">
      <c r="A5817" s="1" t="str">
        <f>"5403.10.00"</f>
        <v>5403.10.00</v>
      </c>
      <c r="B5817" s="2" t="str">
        <f>"Fios de alta tenacidade, de raiom v"</f>
        <v>Fios de alta tenacidade, de raiom v</v>
      </c>
    </row>
    <row r="5818" spans="1:2">
      <c r="A5818" s="1" t="str">
        <f>"5403.31.00"</f>
        <v>5403.31.00</v>
      </c>
      <c r="B5818" s="2" t="str">
        <f>"De raiom viscose, sem torcao ou com"</f>
        <v>De raiom viscose, sem torcao ou com</v>
      </c>
    </row>
    <row r="5819" spans="1:2">
      <c r="A5819" s="1" t="str">
        <f>"5403.32.00"</f>
        <v>5403.32.00</v>
      </c>
      <c r="B5819" s="2" t="str">
        <f>"De raiom viscose, com torcao superi"</f>
        <v>De raiom viscose, com torcao superi</v>
      </c>
    </row>
    <row r="5820" spans="1:2">
      <c r="A5820" s="1" t="str">
        <f>"5403.33.00"</f>
        <v>5403.33.00</v>
      </c>
      <c r="B5820" s="2" t="str">
        <f>"De acetato de celulose"</f>
        <v>De acetato de celulose</v>
      </c>
    </row>
    <row r="5821" spans="1:2">
      <c r="A5821" s="1" t="str">
        <f>"5403.39.00"</f>
        <v>5403.39.00</v>
      </c>
      <c r="B5821" s="2" t="str">
        <f>"Outros"</f>
        <v>Outros</v>
      </c>
    </row>
    <row r="5822" spans="1:2">
      <c r="A5822" s="1" t="str">
        <f>"5403.41.00"</f>
        <v>5403.41.00</v>
      </c>
      <c r="B5822" s="2" t="str">
        <f>"De raiom viscose"</f>
        <v>De raiom viscose</v>
      </c>
    </row>
    <row r="5823" spans="1:2">
      <c r="A5823" s="1" t="str">
        <f>"5403.42.00"</f>
        <v>5403.42.00</v>
      </c>
      <c r="B5823" s="2" t="str">
        <f>"De acetato de celulose"</f>
        <v>De acetato de celulose</v>
      </c>
    </row>
    <row r="5824" spans="1:2">
      <c r="A5824" s="1" t="str">
        <f>"5403.49.00"</f>
        <v>5403.49.00</v>
      </c>
      <c r="B5824" s="2" t="str">
        <f>"Outros"</f>
        <v>Outros</v>
      </c>
    </row>
    <row r="5825" spans="1:2">
      <c r="A5825" s="1" t="str">
        <f>"5404.11.00"</f>
        <v>5404.11.00</v>
      </c>
      <c r="B5825" s="2" t="str">
        <f>"De elastomeros"</f>
        <v>De elastomeros</v>
      </c>
    </row>
    <row r="5826" spans="1:2">
      <c r="A5826" s="1" t="str">
        <f>"5404.12.00"</f>
        <v>5404.12.00</v>
      </c>
      <c r="B5826" s="2" t="str">
        <f>"Outros, de polipropileno"</f>
        <v>Outros, de polipropileno</v>
      </c>
    </row>
    <row r="5827" spans="1:2">
      <c r="A5827" s="1" t="str">
        <f>"5404.19.11"</f>
        <v>5404.19.11</v>
      </c>
      <c r="B5827" s="2" t="str">
        <f>"Reabsorviveis"</f>
        <v>Reabsorviveis</v>
      </c>
    </row>
    <row r="5828" spans="1:2">
      <c r="A5828" s="1" t="str">
        <f>"5404.19.19"</f>
        <v>5404.19.19</v>
      </c>
      <c r="B5828" s="2" t="str">
        <f>"Outros"</f>
        <v>Outros</v>
      </c>
    </row>
    <row r="5829" spans="1:2">
      <c r="A5829" s="1" t="str">
        <f>"5404.19.90"</f>
        <v>5404.19.90</v>
      </c>
      <c r="B5829" s="2" t="str">
        <f>"Outros"</f>
        <v>Outros</v>
      </c>
    </row>
    <row r="5830" spans="1:2">
      <c r="A5830" s="1" t="str">
        <f>"5404.90.00"</f>
        <v>5404.90.00</v>
      </c>
      <c r="B5830" s="2" t="str">
        <f>"Outras"</f>
        <v>Outras</v>
      </c>
    </row>
    <row r="5831" spans="1:2">
      <c r="A5831" s="1" t="str">
        <f>"5405.00.00"</f>
        <v>5405.00.00</v>
      </c>
      <c r="B5831" s="2" t="str">
        <f>"FITILHO"</f>
        <v>FITILHO</v>
      </c>
    </row>
    <row r="5832" spans="1:2">
      <c r="A5832" s="1" t="str">
        <f>"5406.00.10"</f>
        <v>5406.00.10</v>
      </c>
      <c r="B5832" s="2" t="str">
        <f>"Fios de filamentos sinteticos"</f>
        <v>Fios de filamentos sinteticos</v>
      </c>
    </row>
    <row r="5833" spans="1:2">
      <c r="A5833" s="1" t="str">
        <f>"5406.00.20"</f>
        <v>5406.00.20</v>
      </c>
      <c r="B5833" s="2" t="str">
        <f>"FIOS DE FILAMENTOS -SELO PET UNIVER"</f>
        <v>FIOS DE FILAMENTOS -SELO PET UNIVER</v>
      </c>
    </row>
    <row r="5834" spans="1:2">
      <c r="A5834" s="1" t="str">
        <f>"5406.10.00"</f>
        <v>5406.10.00</v>
      </c>
      <c r="B5834" s="2" t="str">
        <f>"INATIVA - FITILHO"</f>
        <v>INATIVA - FITILHO</v>
      </c>
    </row>
    <row r="5835" spans="1:2">
      <c r="A5835" s="1" t="str">
        <f>"5407.10.11"</f>
        <v>5407.10.11</v>
      </c>
      <c r="B5835" s="2" t="str">
        <f>"De aramidas"</f>
        <v>De aramidas</v>
      </c>
    </row>
    <row r="5836" spans="1:2">
      <c r="A5836" s="1" t="str">
        <f>"5407.10.19"</f>
        <v>5407.10.19</v>
      </c>
      <c r="B5836" s="2" t="str">
        <f>"Outros"</f>
        <v>Outros</v>
      </c>
    </row>
    <row r="5837" spans="1:2">
      <c r="A5837" s="1" t="str">
        <f>"5407.10.21"</f>
        <v>5407.10.21</v>
      </c>
      <c r="B5837" s="2" t="str">
        <f>"De aramidas"</f>
        <v>De aramidas</v>
      </c>
    </row>
    <row r="5838" spans="1:2">
      <c r="A5838" s="1" t="str">
        <f>"5407.10.29"</f>
        <v>5407.10.29</v>
      </c>
      <c r="B5838" s="2" t="str">
        <f>"OUTROS"</f>
        <v>OUTROS</v>
      </c>
    </row>
    <row r="5839" spans="1:2">
      <c r="A5839" s="1" t="str">
        <f>"5407.20.00"</f>
        <v>5407.20.00</v>
      </c>
      <c r="B5839" s="2" t="str">
        <f>"Tecidos obtidos a partir de laminas"</f>
        <v>Tecidos obtidos a partir de laminas</v>
      </c>
    </row>
    <row r="5840" spans="1:2">
      <c r="A5840" s="1" t="str">
        <f>"5407.30.00"</f>
        <v>5407.30.00</v>
      </c>
      <c r="B5840" s="2" t="str">
        <f>"ôTecidosö mencionados na Nota 9 da"</f>
        <v>ôTecidosö mencionados na Nota 9 da</v>
      </c>
    </row>
    <row r="5841" spans="1:2">
      <c r="A5841" s="1" t="str">
        <f>"5407.41.00"</f>
        <v>5407.41.00</v>
      </c>
      <c r="B5841" s="2" t="str">
        <f>"Crus ou branqueados"</f>
        <v>Crus ou branqueados</v>
      </c>
    </row>
    <row r="5842" spans="1:2">
      <c r="A5842" s="1" t="str">
        <f>"5407.42.00"</f>
        <v>5407.42.00</v>
      </c>
      <c r="B5842" s="2" t="str">
        <f>"Tintos"</f>
        <v>Tintos</v>
      </c>
    </row>
    <row r="5843" spans="1:2">
      <c r="A5843" s="1" t="str">
        <f>"5407.43.00"</f>
        <v>5407.43.00</v>
      </c>
      <c r="B5843" s="2" t="str">
        <f>"De fios de diversas cores"</f>
        <v>De fios de diversas cores</v>
      </c>
    </row>
    <row r="5844" spans="1:2">
      <c r="A5844" s="1" t="str">
        <f>"5407.44.00"</f>
        <v>5407.44.00</v>
      </c>
      <c r="B5844" s="2" t="str">
        <f>"Estampados"</f>
        <v>Estampados</v>
      </c>
    </row>
    <row r="5845" spans="1:2">
      <c r="A5845" s="1" t="str">
        <f>"5407.51.00"</f>
        <v>5407.51.00</v>
      </c>
      <c r="B5845" s="2" t="str">
        <f>"Crus ou branqueados"</f>
        <v>Crus ou branqueados</v>
      </c>
    </row>
    <row r="5846" spans="1:2">
      <c r="A5846" s="1" t="str">
        <f>"5407.52.10"</f>
        <v>5407.52.10</v>
      </c>
      <c r="B5846" s="2" t="str">
        <f>"SEM FIOS DE BORRACHA"</f>
        <v>SEM FIOS DE BORRACHA</v>
      </c>
    </row>
    <row r="5847" spans="1:2">
      <c r="A5847" s="1" t="str">
        <f>"5407.52.20"</f>
        <v>5407.52.20</v>
      </c>
      <c r="B5847" s="2" t="str">
        <f>"Com fios de borracha"</f>
        <v>Com fios de borracha</v>
      </c>
    </row>
    <row r="5848" spans="1:2">
      <c r="A5848" s="1" t="str">
        <f>"5407.53.00"</f>
        <v>5407.53.00</v>
      </c>
      <c r="B5848" s="2" t="str">
        <f>"DE FIOS DE DIVERSAS CORES"</f>
        <v>DE FIOS DE DIVERSAS CORES</v>
      </c>
    </row>
    <row r="5849" spans="1:2">
      <c r="A5849" s="1" t="str">
        <f>"5407.54.00"</f>
        <v>5407.54.00</v>
      </c>
      <c r="B5849" s="2" t="str">
        <f>"Estampados"</f>
        <v>Estampados</v>
      </c>
    </row>
    <row r="5850" spans="1:2">
      <c r="A5850" s="1" t="str">
        <f>"5407.61.00"</f>
        <v>5407.61.00</v>
      </c>
      <c r="B5850" s="2" t="str">
        <f>"Que contenham pelo menos 85 %, em p"</f>
        <v>Que contenham pelo menos 85 %, em p</v>
      </c>
    </row>
    <row r="5851" spans="1:2">
      <c r="A5851" s="1" t="str">
        <f>"5407.69.00"</f>
        <v>5407.69.00</v>
      </c>
      <c r="B5851" s="2" t="str">
        <f>"Outros"</f>
        <v>Outros</v>
      </c>
    </row>
    <row r="5852" spans="1:2">
      <c r="A5852" s="1" t="str">
        <f>"5407.71.00"</f>
        <v>5407.71.00</v>
      </c>
      <c r="B5852" s="2" t="str">
        <f>"Crus ou branqueados"</f>
        <v>Crus ou branqueados</v>
      </c>
    </row>
    <row r="5853" spans="1:2">
      <c r="A5853" s="1" t="str">
        <f>"5407.72.00"</f>
        <v>5407.72.00</v>
      </c>
      <c r="B5853" s="2" t="str">
        <f>"Tintos"</f>
        <v>Tintos</v>
      </c>
    </row>
    <row r="5854" spans="1:2">
      <c r="A5854" s="1" t="str">
        <f>"5407.73.00"</f>
        <v>5407.73.00</v>
      </c>
      <c r="B5854" s="2" t="str">
        <f>"De fios de diversas cores"</f>
        <v>De fios de diversas cores</v>
      </c>
    </row>
    <row r="5855" spans="1:2">
      <c r="A5855" s="1" t="str">
        <f>"5407.74.00"</f>
        <v>5407.74.00</v>
      </c>
      <c r="B5855" s="2" t="str">
        <f>"Estampados"</f>
        <v>Estampados</v>
      </c>
    </row>
    <row r="5856" spans="1:2">
      <c r="A5856" s="1" t="str">
        <f>"5407.81.00"</f>
        <v>5407.81.00</v>
      </c>
      <c r="B5856" s="2" t="str">
        <f>"Crus ou branqueados"</f>
        <v>Crus ou branqueados</v>
      </c>
    </row>
    <row r="5857" spans="1:2">
      <c r="A5857" s="1" t="str">
        <f>"5407.82.00"</f>
        <v>5407.82.00</v>
      </c>
      <c r="B5857" s="2" t="str">
        <f>"TINTOS"</f>
        <v>TINTOS</v>
      </c>
    </row>
    <row r="5858" spans="1:2">
      <c r="A5858" s="1" t="str">
        <f>"5407.83.00"</f>
        <v>5407.83.00</v>
      </c>
      <c r="B5858" s="2" t="str">
        <f>"De fios de diversas cores"</f>
        <v>De fios de diversas cores</v>
      </c>
    </row>
    <row r="5859" spans="1:2">
      <c r="A5859" s="1" t="str">
        <f>"5407.84.00"</f>
        <v>5407.84.00</v>
      </c>
      <c r="B5859" s="2" t="str">
        <f>"Estampados"</f>
        <v>Estampados</v>
      </c>
    </row>
    <row r="5860" spans="1:2">
      <c r="A5860" s="1" t="str">
        <f>"5407.91.00"</f>
        <v>5407.91.00</v>
      </c>
      <c r="B5860" s="2" t="str">
        <f>"Crus ou branqueados"</f>
        <v>Crus ou branqueados</v>
      </c>
    </row>
    <row r="5861" spans="1:2">
      <c r="A5861" s="1" t="str">
        <f>"5407.92.00"</f>
        <v>5407.92.00</v>
      </c>
      <c r="B5861" s="2" t="str">
        <f>"Tintos"</f>
        <v>Tintos</v>
      </c>
    </row>
    <row r="5862" spans="1:2">
      <c r="A5862" s="1" t="str">
        <f>"5407.93.00"</f>
        <v>5407.93.00</v>
      </c>
      <c r="B5862" s="2" t="str">
        <f>"OUTROS"</f>
        <v>OUTROS</v>
      </c>
    </row>
    <row r="5863" spans="1:2">
      <c r="A5863" s="1" t="str">
        <f>"5407.94.00"</f>
        <v>5407.94.00</v>
      </c>
      <c r="B5863" s="2" t="str">
        <f>"Estampados"</f>
        <v>Estampados</v>
      </c>
    </row>
    <row r="5864" spans="1:2">
      <c r="A5864" s="1" t="str">
        <f>"5408.10.00"</f>
        <v>5408.10.00</v>
      </c>
      <c r="B5864" s="2" t="str">
        <f>"Tecidos obtidos a partir de fios de"</f>
        <v>Tecidos obtidos a partir de fios de</v>
      </c>
    </row>
    <row r="5865" spans="1:2">
      <c r="A5865" s="1" t="str">
        <f>"5408.21.00"</f>
        <v>5408.21.00</v>
      </c>
      <c r="B5865" s="2" t="str">
        <f>"Crus ou branqueados"</f>
        <v>Crus ou branqueados</v>
      </c>
    </row>
    <row r="5866" spans="1:2">
      <c r="A5866" s="1" t="str">
        <f>"5408.22.00"</f>
        <v>5408.22.00</v>
      </c>
      <c r="B5866" s="2" t="str">
        <f>"Tintos"</f>
        <v>Tintos</v>
      </c>
    </row>
    <row r="5867" spans="1:2">
      <c r="A5867" s="1" t="str">
        <f>"5408.23.00"</f>
        <v>5408.23.00</v>
      </c>
      <c r="B5867" s="2" t="str">
        <f>"De fios de diversas cores"</f>
        <v>De fios de diversas cores</v>
      </c>
    </row>
    <row r="5868" spans="1:2">
      <c r="A5868" s="1" t="str">
        <f>"5408.24.00"</f>
        <v>5408.24.00</v>
      </c>
      <c r="B5868" s="2" t="str">
        <f>"Estampados"</f>
        <v>Estampados</v>
      </c>
    </row>
    <row r="5869" spans="1:2">
      <c r="A5869" s="1" t="str">
        <f>"5408.31.00"</f>
        <v>5408.31.00</v>
      </c>
      <c r="B5869" s="2" t="str">
        <f>"Crus ou branqueados"</f>
        <v>Crus ou branqueados</v>
      </c>
    </row>
    <row r="5870" spans="1:2">
      <c r="A5870" s="1" t="str">
        <f>"5408.32.00"</f>
        <v>5408.32.00</v>
      </c>
      <c r="B5870" s="2" t="str">
        <f>"Tintos"</f>
        <v>Tintos</v>
      </c>
    </row>
    <row r="5871" spans="1:2">
      <c r="A5871" s="1" t="str">
        <f>"5408.33.00"</f>
        <v>5408.33.00</v>
      </c>
      <c r="B5871" s="2" t="str">
        <f>"DE FIOS DE DIVERSAS CORES"</f>
        <v>DE FIOS DE DIVERSAS CORES</v>
      </c>
    </row>
    <row r="5872" spans="1:2">
      <c r="A5872" s="1" t="str">
        <f>"5408.34.00"</f>
        <v>5408.34.00</v>
      </c>
      <c r="B5872" s="2" t="str">
        <f>"Estampados"</f>
        <v>Estampados</v>
      </c>
    </row>
    <row r="5873" spans="1:2">
      <c r="A5873" s="1" t="str">
        <f>"5501.10.00"</f>
        <v>5501.10.00</v>
      </c>
      <c r="B5873" s="2" t="str">
        <f>"De nailon ou de outras poliamidas"</f>
        <v>De nailon ou de outras poliamidas</v>
      </c>
    </row>
    <row r="5874" spans="1:2">
      <c r="A5874" s="1" t="str">
        <f>"5501.20.00"</f>
        <v>5501.20.00</v>
      </c>
      <c r="B5874" s="2" t="str">
        <f>"De poliesteres"</f>
        <v>De poliesteres</v>
      </c>
    </row>
    <row r="5875" spans="1:2">
      <c r="A5875" s="1" t="str">
        <f>"5501.30.00"</f>
        <v>5501.30.00</v>
      </c>
      <c r="B5875" s="2" t="str">
        <f>"Acrilicos ou modacrilicos"</f>
        <v>Acrilicos ou modacrilicos</v>
      </c>
    </row>
    <row r="5876" spans="1:2">
      <c r="A5876" s="1" t="str">
        <f>"5501.40.00"</f>
        <v>5501.40.00</v>
      </c>
      <c r="B5876" s="2" t="str">
        <f>"De polipropileno"</f>
        <v>De polipropileno</v>
      </c>
    </row>
    <row r="5877" spans="1:2">
      <c r="A5877" s="1" t="str">
        <f>"5501.90.00"</f>
        <v>5501.90.00</v>
      </c>
      <c r="B5877" s="2" t="str">
        <f>"Outros"</f>
        <v>Outros</v>
      </c>
    </row>
    <row r="5878" spans="1:2">
      <c r="A5878" s="1" t="str">
        <f>"5502.10.00"</f>
        <v>5502.10.00</v>
      </c>
      <c r="B5878" s="2" t="str">
        <f>"De acetato de celulose"</f>
        <v>De acetato de celulose</v>
      </c>
    </row>
    <row r="5879" spans="1:2">
      <c r="A5879" s="1" t="str">
        <f>"5502.90.10"</f>
        <v>5502.90.10</v>
      </c>
      <c r="B5879" s="2" t="str">
        <f>"De raiom viscose"</f>
        <v>De raiom viscose</v>
      </c>
    </row>
    <row r="5880" spans="1:2">
      <c r="A5880" s="1" t="str">
        <f>"5502.90.90"</f>
        <v>5502.90.90</v>
      </c>
      <c r="B5880" s="2" t="str">
        <f>"Outros"</f>
        <v>Outros</v>
      </c>
    </row>
    <row r="5881" spans="1:2">
      <c r="A5881" s="1" t="str">
        <f>"5503.11.00"</f>
        <v>5503.11.00</v>
      </c>
      <c r="B5881" s="2" t="str">
        <f>"De aramidas"</f>
        <v>De aramidas</v>
      </c>
    </row>
    <row r="5882" spans="1:2">
      <c r="A5882" s="1" t="str">
        <f>"5503.19.10"</f>
        <v>5503.19.10</v>
      </c>
      <c r="B5882" s="2" t="str">
        <f>"Bicomponentes, de diferentes pontos"</f>
        <v>Bicomponentes, de diferentes pontos</v>
      </c>
    </row>
    <row r="5883" spans="1:2">
      <c r="A5883" s="1" t="str">
        <f>"5503.19.90"</f>
        <v>5503.19.90</v>
      </c>
      <c r="B5883" s="2" t="str">
        <f>"Outras"</f>
        <v>Outras</v>
      </c>
    </row>
    <row r="5884" spans="1:2">
      <c r="A5884" s="1" t="str">
        <f>"5503.20.10"</f>
        <v>5503.20.10</v>
      </c>
      <c r="B5884" s="2" t="str">
        <f>"Bicomponentes, de diferentes pontos"</f>
        <v>Bicomponentes, de diferentes pontos</v>
      </c>
    </row>
    <row r="5885" spans="1:2">
      <c r="A5885" s="1" t="str">
        <f>"5503.20.90"</f>
        <v>5503.20.90</v>
      </c>
      <c r="B5885" s="2" t="str">
        <f>"Outras"</f>
        <v>Outras</v>
      </c>
    </row>
    <row r="5886" spans="1:2">
      <c r="A5886" s="1" t="str">
        <f>"5503.30.00"</f>
        <v>5503.30.00</v>
      </c>
      <c r="B5886" s="2" t="str">
        <f>"Acrilicas ou modacrilicas"</f>
        <v>Acrilicas ou modacrilicas</v>
      </c>
    </row>
    <row r="5887" spans="1:2">
      <c r="A5887" s="1" t="str">
        <f>"5503.40.00"</f>
        <v>5503.40.00</v>
      </c>
      <c r="B5887" s="2" t="str">
        <f>"De polipropileno"</f>
        <v>De polipropileno</v>
      </c>
    </row>
    <row r="5888" spans="1:2">
      <c r="A5888" s="1" t="str">
        <f>"5503.90.10"</f>
        <v>5503.90.10</v>
      </c>
      <c r="B5888" s="2" t="str">
        <f>"Bicomponentes, de diferentes pontos"</f>
        <v>Bicomponentes, de diferentes pontos</v>
      </c>
    </row>
    <row r="5889" spans="1:2">
      <c r="A5889" s="1" t="str">
        <f>"5503.90.20"</f>
        <v>5503.90.20</v>
      </c>
      <c r="B5889" s="2" t="str">
        <f>"De poli(alcool vinilico)"</f>
        <v>De poli(alcool vinilico)</v>
      </c>
    </row>
    <row r="5890" spans="1:2">
      <c r="A5890" s="1" t="str">
        <f>"5503.90.90"</f>
        <v>5503.90.90</v>
      </c>
      <c r="B5890" s="2" t="str">
        <f>"Outras"</f>
        <v>Outras</v>
      </c>
    </row>
    <row r="5891" spans="1:2">
      <c r="A5891" s="1" t="str">
        <f>"5504.10.00"</f>
        <v>5504.10.00</v>
      </c>
      <c r="B5891" s="2" t="str">
        <f>"De raiom viscose"</f>
        <v>De raiom viscose</v>
      </c>
    </row>
    <row r="5892" spans="1:2">
      <c r="A5892" s="1" t="str">
        <f>"5504.90.10"</f>
        <v>5504.90.10</v>
      </c>
      <c r="B5892" s="2" t="str">
        <f>"De liocel"</f>
        <v>De liocel</v>
      </c>
    </row>
    <row r="5893" spans="1:2">
      <c r="A5893" s="1" t="str">
        <f>"5504.90.90"</f>
        <v>5504.90.90</v>
      </c>
      <c r="B5893" s="2" t="str">
        <f>"Outras"</f>
        <v>Outras</v>
      </c>
    </row>
    <row r="5894" spans="1:2">
      <c r="A5894" s="1" t="str">
        <f>"5505.10.00"</f>
        <v>5505.10.00</v>
      </c>
      <c r="B5894" s="2" t="str">
        <f>"De fibras sinteticas"</f>
        <v>De fibras sinteticas</v>
      </c>
    </row>
    <row r="5895" spans="1:2">
      <c r="A5895" s="1" t="str">
        <f>"5505.20.00"</f>
        <v>5505.20.00</v>
      </c>
      <c r="B5895" s="2" t="str">
        <f>"De fibras artificiais"</f>
        <v>De fibras artificiais</v>
      </c>
    </row>
    <row r="5896" spans="1:2">
      <c r="A5896" s="1" t="str">
        <f>"5506.10.00"</f>
        <v>5506.10.00</v>
      </c>
      <c r="B5896" s="2" t="str">
        <f>"De nailon ou de outras poliamidas"</f>
        <v>De nailon ou de outras poliamidas</v>
      </c>
    </row>
    <row r="5897" spans="1:2">
      <c r="A5897" s="1" t="str">
        <f>"5506.20.00"</f>
        <v>5506.20.00</v>
      </c>
      <c r="B5897" s="2" t="str">
        <f>"MANTA FILTRANTE"</f>
        <v>MANTA FILTRANTE</v>
      </c>
    </row>
    <row r="5898" spans="1:2">
      <c r="A5898" s="1" t="str">
        <f>"5506.30.00"</f>
        <v>5506.30.00</v>
      </c>
      <c r="B5898" s="2" t="str">
        <f>"Acrilicas ou modacrilicas"</f>
        <v>Acrilicas ou modacrilicas</v>
      </c>
    </row>
    <row r="5899" spans="1:2">
      <c r="A5899" s="1" t="str">
        <f>"5506.40.00"</f>
        <v>5506.40.00</v>
      </c>
      <c r="B5899" s="2" t="str">
        <f>"De polipropileno"</f>
        <v>De polipropileno</v>
      </c>
    </row>
    <row r="5900" spans="1:2">
      <c r="A5900" s="1" t="str">
        <f>"5506.90.00"</f>
        <v>5506.90.00</v>
      </c>
      <c r="B5900" s="2" t="str">
        <f>"Outras"</f>
        <v>Outras</v>
      </c>
    </row>
    <row r="5901" spans="1:2">
      <c r="A5901" s="1" t="str">
        <f>"5507.00.00"</f>
        <v>5507.00.00</v>
      </c>
      <c r="B5901" s="2" t="str">
        <f>"Fibras artificiais descontinuas, ca"</f>
        <v>Fibras artificiais descontinuas, ca</v>
      </c>
    </row>
    <row r="5902" spans="1:2">
      <c r="A5902" s="1" t="str">
        <f>"5508.10.00"</f>
        <v>5508.10.00</v>
      </c>
      <c r="B5902" s="2" t="str">
        <f>"De fibras sinteticas descontinuas"</f>
        <v>De fibras sinteticas descontinuas</v>
      </c>
    </row>
    <row r="5903" spans="1:2">
      <c r="A5903" s="1" t="str">
        <f>"5508.20.00"</f>
        <v>5508.20.00</v>
      </c>
      <c r="B5903" s="2" t="str">
        <f>"De fibras artificiais descontinuas"</f>
        <v>De fibras artificiais descontinuas</v>
      </c>
    </row>
    <row r="5904" spans="1:2">
      <c r="A5904" s="1" t="str">
        <f>"5509.11.00"</f>
        <v>5509.11.00</v>
      </c>
      <c r="B5904" s="2" t="str">
        <f>"Simples"</f>
        <v>Simples</v>
      </c>
    </row>
    <row r="5905" spans="1:2">
      <c r="A5905" s="1" t="str">
        <f>"5509.12.10"</f>
        <v>5509.12.10</v>
      </c>
      <c r="B5905" s="2" t="str">
        <f>"De aramidas"</f>
        <v>De aramidas</v>
      </c>
    </row>
    <row r="5906" spans="1:2">
      <c r="A5906" s="1" t="str">
        <f>"5509.12.90"</f>
        <v>5509.12.90</v>
      </c>
      <c r="B5906" s="2" t="str">
        <f>"Outros"</f>
        <v>Outros</v>
      </c>
    </row>
    <row r="5907" spans="1:2">
      <c r="A5907" s="1" t="str">
        <f>"5509.21.00"</f>
        <v>5509.21.00</v>
      </c>
      <c r="B5907" s="2" t="str">
        <f>"Simples"</f>
        <v>Simples</v>
      </c>
    </row>
    <row r="5908" spans="1:2">
      <c r="A5908" s="1" t="str">
        <f>"5509.22.00"</f>
        <v>5509.22.00</v>
      </c>
      <c r="B5908" s="2" t="str">
        <f>"Retorcidos ou retorcidos multiplos"</f>
        <v>Retorcidos ou retorcidos multiplos</v>
      </c>
    </row>
    <row r="5909" spans="1:2">
      <c r="A5909" s="1" t="str">
        <f>"5509.31.00"</f>
        <v>5509.31.00</v>
      </c>
      <c r="B5909" s="2" t="str">
        <f>"Simples"</f>
        <v>Simples</v>
      </c>
    </row>
    <row r="5910" spans="1:2">
      <c r="A5910" s="1" t="str">
        <f>"5509.32.00"</f>
        <v>5509.32.00</v>
      </c>
      <c r="B5910" s="2" t="str">
        <f>"Retorcidos ou retorcidos multiplos"</f>
        <v>Retorcidos ou retorcidos multiplos</v>
      </c>
    </row>
    <row r="5911" spans="1:2">
      <c r="A5911" s="1" t="str">
        <f>"5509.41.00"</f>
        <v>5509.41.00</v>
      </c>
      <c r="B5911" s="2" t="str">
        <f>"Simples"</f>
        <v>Simples</v>
      </c>
    </row>
    <row r="5912" spans="1:2">
      <c r="A5912" s="1" t="str">
        <f>"5509.42.00"</f>
        <v>5509.42.00</v>
      </c>
      <c r="B5912" s="2" t="str">
        <f>"Retorcidos ou retorcidos multiplos"</f>
        <v>Retorcidos ou retorcidos multiplos</v>
      </c>
    </row>
    <row r="5913" spans="1:2">
      <c r="A5913" s="1" t="str">
        <f>"5509.51.00"</f>
        <v>5509.51.00</v>
      </c>
      <c r="B5913" s="2" t="str">
        <f>"Combinadas, principal ou unicamente"</f>
        <v>Combinadas, principal ou unicamente</v>
      </c>
    </row>
    <row r="5914" spans="1:2">
      <c r="A5914" s="1" t="str">
        <f>"5509.52.00"</f>
        <v>5509.52.00</v>
      </c>
      <c r="B5914" s="2" t="str">
        <f>"Combinadas, principal ou unicamente"</f>
        <v>Combinadas, principal ou unicamente</v>
      </c>
    </row>
    <row r="5915" spans="1:2">
      <c r="A5915" s="1" t="str">
        <f>"5509.53.00"</f>
        <v>5509.53.00</v>
      </c>
      <c r="B5915" s="2" t="str">
        <f>"Combinadas, principal ou unicamente"</f>
        <v>Combinadas, principal ou unicamente</v>
      </c>
    </row>
    <row r="5916" spans="1:2">
      <c r="A5916" s="1" t="str">
        <f>"5509.59.00"</f>
        <v>5509.59.00</v>
      </c>
      <c r="B5916" s="2" t="str">
        <f>"Outros"</f>
        <v>Outros</v>
      </c>
    </row>
    <row r="5917" spans="1:2">
      <c r="A5917" s="1" t="str">
        <f>"5509.61.00"</f>
        <v>5509.61.00</v>
      </c>
      <c r="B5917" s="2" t="str">
        <f>"Combinadas, principal ou unicamente"</f>
        <v>Combinadas, principal ou unicamente</v>
      </c>
    </row>
    <row r="5918" spans="1:2">
      <c r="A5918" s="1" t="str">
        <f>"5509.62.00"</f>
        <v>5509.62.00</v>
      </c>
      <c r="B5918" s="2" t="str">
        <f>"Combinadas, principal ou unicamente"</f>
        <v>Combinadas, principal ou unicamente</v>
      </c>
    </row>
    <row r="5919" spans="1:2">
      <c r="A5919" s="1" t="str">
        <f>"5509.69.00"</f>
        <v>5509.69.00</v>
      </c>
      <c r="B5919" s="2" t="str">
        <f>"Outros"</f>
        <v>Outros</v>
      </c>
    </row>
    <row r="5920" spans="1:2">
      <c r="A5920" s="1" t="str">
        <f>"5509.91.00"</f>
        <v>5509.91.00</v>
      </c>
      <c r="B5920" s="2" t="str">
        <f>"Combinados, principal ou unicamente"</f>
        <v>Combinados, principal ou unicamente</v>
      </c>
    </row>
    <row r="5921" spans="1:2">
      <c r="A5921" s="1" t="str">
        <f>"5509.92.00"</f>
        <v>5509.92.00</v>
      </c>
      <c r="B5921" s="2" t="str">
        <f>"Combinados, principal ou unicamente"</f>
        <v>Combinados, principal ou unicamente</v>
      </c>
    </row>
    <row r="5922" spans="1:2">
      <c r="A5922" s="1" t="str">
        <f>"5509.99.00"</f>
        <v>5509.99.00</v>
      </c>
      <c r="B5922" s="2" t="str">
        <f>"Outros"</f>
        <v>Outros</v>
      </c>
    </row>
    <row r="5923" spans="1:2">
      <c r="A5923" s="1" t="str">
        <f>"5510.11.11"</f>
        <v>5510.11.11</v>
      </c>
      <c r="B5923" s="2" t="str">
        <f>"De raiom viscose, exceto modal"</f>
        <v>De raiom viscose, exceto modal</v>
      </c>
    </row>
    <row r="5924" spans="1:2">
      <c r="A5924" s="1" t="str">
        <f>"5510.11.12"</f>
        <v>5510.11.12</v>
      </c>
      <c r="B5924" s="2" t="str">
        <f>"De modal"</f>
        <v>De modal</v>
      </c>
    </row>
    <row r="5925" spans="1:2">
      <c r="A5925" s="1" t="str">
        <f>"5510.11.13"</f>
        <v>5510.11.13</v>
      </c>
      <c r="B5925" s="2" t="str">
        <f>"De liocel"</f>
        <v>De liocel</v>
      </c>
    </row>
    <row r="5926" spans="1:2">
      <c r="A5926" s="1" t="str">
        <f>"5510.11.19"</f>
        <v>5510.11.19</v>
      </c>
      <c r="B5926" s="2" t="str">
        <f>"Outros"</f>
        <v>Outros</v>
      </c>
    </row>
    <row r="5927" spans="1:2">
      <c r="A5927" s="1" t="str">
        <f>"5510.11.90"</f>
        <v>5510.11.90</v>
      </c>
      <c r="B5927" s="2" t="str">
        <f>"Outros"</f>
        <v>Outros</v>
      </c>
    </row>
    <row r="5928" spans="1:2">
      <c r="A5928" s="1" t="str">
        <f>"5510.12.11"</f>
        <v>5510.12.11</v>
      </c>
      <c r="B5928" s="2" t="str">
        <f>"De raiom viscose, exceto modal"</f>
        <v>De raiom viscose, exceto modal</v>
      </c>
    </row>
    <row r="5929" spans="1:2">
      <c r="A5929" s="1" t="str">
        <f>"5510.12.12"</f>
        <v>5510.12.12</v>
      </c>
      <c r="B5929" s="2" t="str">
        <f>"De modal"</f>
        <v>De modal</v>
      </c>
    </row>
    <row r="5930" spans="1:2">
      <c r="A5930" s="1" t="str">
        <f>"5510.12.13"</f>
        <v>5510.12.13</v>
      </c>
      <c r="B5930" s="2" t="str">
        <f>"De liocel"</f>
        <v>De liocel</v>
      </c>
    </row>
    <row r="5931" spans="1:2">
      <c r="A5931" s="1" t="str">
        <f>"5510.12.19"</f>
        <v>5510.12.19</v>
      </c>
      <c r="B5931" s="2" t="str">
        <f>"Outros"</f>
        <v>Outros</v>
      </c>
    </row>
    <row r="5932" spans="1:2">
      <c r="A5932" s="1" t="str">
        <f>"5510.12.90"</f>
        <v>5510.12.90</v>
      </c>
      <c r="B5932" s="2" t="str">
        <f>"Outros"</f>
        <v>Outros</v>
      </c>
    </row>
    <row r="5933" spans="1:2">
      <c r="A5933" s="1" t="str">
        <f>"5510.20.11"</f>
        <v>5510.20.11</v>
      </c>
      <c r="B5933" s="2" t="str">
        <f>"De raiom viscose, exceto modal"</f>
        <v>De raiom viscose, exceto modal</v>
      </c>
    </row>
    <row r="5934" spans="1:2">
      <c r="A5934" s="1" t="str">
        <f>"5510.20.12"</f>
        <v>5510.20.12</v>
      </c>
      <c r="B5934" s="2" t="str">
        <f>"De modal"</f>
        <v>De modal</v>
      </c>
    </row>
    <row r="5935" spans="1:2">
      <c r="A5935" s="1" t="str">
        <f>"5510.20.13"</f>
        <v>5510.20.13</v>
      </c>
      <c r="B5935" s="2" t="str">
        <f>"De liocel"</f>
        <v>De liocel</v>
      </c>
    </row>
    <row r="5936" spans="1:2">
      <c r="A5936" s="1" t="str">
        <f>"5510.20.19"</f>
        <v>5510.20.19</v>
      </c>
      <c r="B5936" s="2" t="str">
        <f>"Outros"</f>
        <v>Outros</v>
      </c>
    </row>
    <row r="5937" spans="1:2">
      <c r="A5937" s="1" t="str">
        <f>"5510.20.90"</f>
        <v>5510.20.90</v>
      </c>
      <c r="B5937" s="2" t="str">
        <f>"Outros"</f>
        <v>Outros</v>
      </c>
    </row>
    <row r="5938" spans="1:2">
      <c r="A5938" s="1" t="str">
        <f>"5510.30.11"</f>
        <v>5510.30.11</v>
      </c>
      <c r="B5938" s="2" t="str">
        <f>"De raiom viscose, exceto modal"</f>
        <v>De raiom viscose, exceto modal</v>
      </c>
    </row>
    <row r="5939" spans="1:2">
      <c r="A5939" s="1" t="str">
        <f>"5510.30.12"</f>
        <v>5510.30.12</v>
      </c>
      <c r="B5939" s="2" t="str">
        <f>"De modal"</f>
        <v>De modal</v>
      </c>
    </row>
    <row r="5940" spans="1:2">
      <c r="A5940" s="1" t="str">
        <f>"5510.30.13"</f>
        <v>5510.30.13</v>
      </c>
      <c r="B5940" s="2" t="str">
        <f>"De liocel"</f>
        <v>De liocel</v>
      </c>
    </row>
    <row r="5941" spans="1:2">
      <c r="A5941" s="1" t="str">
        <f>"5510.30.19"</f>
        <v>5510.30.19</v>
      </c>
      <c r="B5941" s="2" t="str">
        <f>"Outros"</f>
        <v>Outros</v>
      </c>
    </row>
    <row r="5942" spans="1:2">
      <c r="A5942" s="1" t="str">
        <f>"5510.30.90"</f>
        <v>5510.30.90</v>
      </c>
      <c r="B5942" s="2" t="str">
        <f>"Outros"</f>
        <v>Outros</v>
      </c>
    </row>
    <row r="5943" spans="1:2">
      <c r="A5943" s="1" t="str">
        <f>"5510.90.11"</f>
        <v>5510.90.11</v>
      </c>
      <c r="B5943" s="2" t="str">
        <f>"De raiom viscose, exceto modal"</f>
        <v>De raiom viscose, exceto modal</v>
      </c>
    </row>
    <row r="5944" spans="1:2">
      <c r="A5944" s="1" t="str">
        <f>"5510.90.12"</f>
        <v>5510.90.12</v>
      </c>
      <c r="B5944" s="2" t="str">
        <f>"De modal"</f>
        <v>De modal</v>
      </c>
    </row>
    <row r="5945" spans="1:2">
      <c r="A5945" s="1" t="str">
        <f>"5510.90.13"</f>
        <v>5510.90.13</v>
      </c>
      <c r="B5945" s="2" t="str">
        <f>"De liocel"</f>
        <v>De liocel</v>
      </c>
    </row>
    <row r="5946" spans="1:2">
      <c r="A5946" s="1" t="str">
        <f>"5510.90.19"</f>
        <v>5510.90.19</v>
      </c>
      <c r="B5946" s="2" t="str">
        <f>"Outros"</f>
        <v>Outros</v>
      </c>
    </row>
    <row r="5947" spans="1:2">
      <c r="A5947" s="1" t="str">
        <f>"5510.90.90"</f>
        <v>5510.90.90</v>
      </c>
      <c r="B5947" s="2" t="str">
        <f>"Outros"</f>
        <v>Outros</v>
      </c>
    </row>
    <row r="5948" spans="1:2">
      <c r="A5948" s="1" t="str">
        <f>"5511.10.00"</f>
        <v>5511.10.00</v>
      </c>
      <c r="B5948" s="2" t="str">
        <f>"De fibras sinteticas descontinuas,"</f>
        <v>De fibras sinteticas descontinuas,</v>
      </c>
    </row>
    <row r="5949" spans="1:2">
      <c r="A5949" s="1" t="str">
        <f>"5511.20.00"</f>
        <v>5511.20.00</v>
      </c>
      <c r="B5949" s="2" t="str">
        <f>"De fibras sinteticas descontinuas,"</f>
        <v>De fibras sinteticas descontinuas,</v>
      </c>
    </row>
    <row r="5950" spans="1:2">
      <c r="A5950" s="1" t="str">
        <f>"5511.30.00"</f>
        <v>5511.30.00</v>
      </c>
      <c r="B5950" s="2" t="str">
        <f>"De fibras artificiais descontinuas"</f>
        <v>De fibras artificiais descontinuas</v>
      </c>
    </row>
    <row r="5951" spans="1:2">
      <c r="A5951" s="1" t="str">
        <f>"5512.11.00"</f>
        <v>5512.11.00</v>
      </c>
      <c r="B5951" s="2" t="str">
        <f>"Crus ou branqueados"</f>
        <v>Crus ou branqueados</v>
      </c>
    </row>
    <row r="5952" spans="1:2">
      <c r="A5952" s="1" t="str">
        <f>"5512.19.00"</f>
        <v>5512.19.00</v>
      </c>
      <c r="B5952" s="2" t="str">
        <f>"Outros"</f>
        <v>Outros</v>
      </c>
    </row>
    <row r="5953" spans="1:2">
      <c r="A5953" s="1" t="str">
        <f>"5512.21.00"</f>
        <v>5512.21.00</v>
      </c>
      <c r="B5953" s="2" t="str">
        <f>"Crus ou branqueados"</f>
        <v>Crus ou branqueados</v>
      </c>
    </row>
    <row r="5954" spans="1:2">
      <c r="A5954" s="1" t="str">
        <f>"5512.29.00"</f>
        <v>5512.29.00</v>
      </c>
      <c r="B5954" s="2" t="str">
        <f>"Outros"</f>
        <v>Outros</v>
      </c>
    </row>
    <row r="5955" spans="1:2">
      <c r="A5955" s="1" t="str">
        <f>"5512.91.10"</f>
        <v>5512.91.10</v>
      </c>
      <c r="B5955" s="2" t="str">
        <f>"De aramidas"</f>
        <v>De aramidas</v>
      </c>
    </row>
    <row r="5956" spans="1:2">
      <c r="A5956" s="1" t="str">
        <f>"5512.91.90"</f>
        <v>5512.91.90</v>
      </c>
      <c r="B5956" s="2" t="str">
        <f>"Outros"</f>
        <v>Outros</v>
      </c>
    </row>
    <row r="5957" spans="1:2">
      <c r="A5957" s="1" t="str">
        <f>"5512.99.10"</f>
        <v>5512.99.10</v>
      </c>
      <c r="B5957" s="2" t="str">
        <f>"De aramidas"</f>
        <v>De aramidas</v>
      </c>
    </row>
    <row r="5958" spans="1:2">
      <c r="A5958" s="1" t="str">
        <f>"5512.99.90"</f>
        <v>5512.99.90</v>
      </c>
      <c r="B5958" s="2" t="str">
        <f>"Outros"</f>
        <v>Outros</v>
      </c>
    </row>
    <row r="5959" spans="1:2">
      <c r="A5959" s="1" t="str">
        <f>"5513.11.00"</f>
        <v>5513.11.00</v>
      </c>
      <c r="B5959" s="2" t="str">
        <f>"De fibras descontinuas de poliester"</f>
        <v>De fibras descontinuas de poliester</v>
      </c>
    </row>
    <row r="5960" spans="1:2">
      <c r="A5960" s="1" t="str">
        <f>"5513.12.00"</f>
        <v>5513.12.00</v>
      </c>
      <c r="B5960" s="2" t="str">
        <f>"De fibras descontinuas de poliester"</f>
        <v>De fibras descontinuas de poliester</v>
      </c>
    </row>
    <row r="5961" spans="1:2">
      <c r="A5961" s="1" t="str">
        <f>"5513.13.00"</f>
        <v>5513.13.00</v>
      </c>
      <c r="B5961" s="2" t="str">
        <f>"Outros tecidos de fibras descontinu"</f>
        <v>Outros tecidos de fibras descontinu</v>
      </c>
    </row>
    <row r="5962" spans="1:2">
      <c r="A5962" s="1" t="str">
        <f>"5513.19.00"</f>
        <v>5513.19.00</v>
      </c>
      <c r="B5962" s="2" t="str">
        <f>"Outros tecidos"</f>
        <v>Outros tecidos</v>
      </c>
    </row>
    <row r="5963" spans="1:2">
      <c r="A5963" s="1" t="str">
        <f>"5513.21.00"</f>
        <v>5513.21.00</v>
      </c>
      <c r="B5963" s="2" t="str">
        <f>"De fibras descontinuas de poliester"</f>
        <v>De fibras descontinuas de poliester</v>
      </c>
    </row>
    <row r="5964" spans="1:2">
      <c r="A5964" s="1" t="str">
        <f>"5513.23.10"</f>
        <v>5513.23.10</v>
      </c>
      <c r="B5964" s="2" t="str">
        <f>"Em ponto sarjado, incluindo o diago"</f>
        <v>Em ponto sarjado, incluindo o diago</v>
      </c>
    </row>
    <row r="5965" spans="1:2">
      <c r="A5965" s="1" t="str">
        <f>"5513.23.90"</f>
        <v>5513.23.90</v>
      </c>
      <c r="B5965" s="2" t="str">
        <f>"Outros"</f>
        <v>Outros</v>
      </c>
    </row>
    <row r="5966" spans="1:2">
      <c r="A5966" s="1" t="str">
        <f>"5513.29.00"</f>
        <v>5513.29.00</v>
      </c>
      <c r="B5966" s="2" t="str">
        <f>"Outros tecidos"</f>
        <v>Outros tecidos</v>
      </c>
    </row>
    <row r="5967" spans="1:2">
      <c r="A5967" s="1" t="str">
        <f>"5513.31.00"</f>
        <v>5513.31.00</v>
      </c>
      <c r="B5967" s="2" t="str">
        <f>"De fibras descontinuas de poliester"</f>
        <v>De fibras descontinuas de poliester</v>
      </c>
    </row>
    <row r="5968" spans="1:2">
      <c r="A5968" s="1" t="str">
        <f>"5513.39.11"</f>
        <v>5513.39.11</v>
      </c>
      <c r="B5968" s="2" t="str">
        <f>"Em ponto sarjado, incluindo o diago"</f>
        <v>Em ponto sarjado, incluindo o diago</v>
      </c>
    </row>
    <row r="5969" spans="1:2">
      <c r="A5969" s="1" t="str">
        <f>"5513.39.19"</f>
        <v>5513.39.19</v>
      </c>
      <c r="B5969" s="2" t="str">
        <f>"Outros"</f>
        <v>Outros</v>
      </c>
    </row>
    <row r="5970" spans="1:2">
      <c r="A5970" s="1" t="str">
        <f>"5513.39.90"</f>
        <v>5513.39.90</v>
      </c>
      <c r="B5970" s="2" t="str">
        <f>"Outros"</f>
        <v>Outros</v>
      </c>
    </row>
    <row r="5971" spans="1:2">
      <c r="A5971" s="1" t="str">
        <f>"5513.41.00"</f>
        <v>5513.41.00</v>
      </c>
      <c r="B5971" s="2" t="str">
        <f>"De fibras descontinuas de poliester"</f>
        <v>De fibras descontinuas de poliester</v>
      </c>
    </row>
    <row r="5972" spans="1:2">
      <c r="A5972" s="1" t="str">
        <f>"5513.49.11"</f>
        <v>5513.49.11</v>
      </c>
      <c r="B5972" s="2" t="str">
        <f>"Em ponto sarjado, incluindo o diago"</f>
        <v>Em ponto sarjado, incluindo o diago</v>
      </c>
    </row>
    <row r="5973" spans="1:2">
      <c r="A5973" s="1" t="str">
        <f>"5513.49.19"</f>
        <v>5513.49.19</v>
      </c>
      <c r="B5973" s="2" t="str">
        <f>"Outros"</f>
        <v>Outros</v>
      </c>
    </row>
    <row r="5974" spans="1:2">
      <c r="A5974" s="1" t="str">
        <f>"5513.49.90"</f>
        <v>5513.49.90</v>
      </c>
      <c r="B5974" s="2" t="str">
        <f>"Outros"</f>
        <v>Outros</v>
      </c>
    </row>
    <row r="5975" spans="1:2">
      <c r="A5975" s="1" t="str">
        <f>"5514.11.00"</f>
        <v>5514.11.00</v>
      </c>
      <c r="B5975" s="2" t="str">
        <f>"De fibras descontinuas de poliester"</f>
        <v>De fibras descontinuas de poliester</v>
      </c>
    </row>
    <row r="5976" spans="1:2">
      <c r="A5976" s="1" t="str">
        <f>"5514.12.00"</f>
        <v>5514.12.00</v>
      </c>
      <c r="B5976" s="2" t="str">
        <f>"De fibras descontinuas de poliester"</f>
        <v>De fibras descontinuas de poliester</v>
      </c>
    </row>
    <row r="5977" spans="1:2">
      <c r="A5977" s="1" t="str">
        <f>"5514.19.10"</f>
        <v>5514.19.10</v>
      </c>
      <c r="B5977" s="2" t="str">
        <f>"De fibras descontinuas de poliester"</f>
        <v>De fibras descontinuas de poliester</v>
      </c>
    </row>
    <row r="5978" spans="1:2">
      <c r="A5978" s="1" t="str">
        <f>"5514.19.90"</f>
        <v>5514.19.90</v>
      </c>
      <c r="B5978" s="2" t="str">
        <f>"Outros"</f>
        <v>Outros</v>
      </c>
    </row>
    <row r="5979" spans="1:2">
      <c r="A5979" s="1" t="str">
        <f>"5514.21.00"</f>
        <v>5514.21.00</v>
      </c>
      <c r="B5979" s="2" t="str">
        <f>"De fibras descontinuas de poliester"</f>
        <v>De fibras descontinuas de poliester</v>
      </c>
    </row>
    <row r="5980" spans="1:2">
      <c r="A5980" s="1" t="str">
        <f>"5514.22.00"</f>
        <v>5514.22.00</v>
      </c>
      <c r="B5980" s="2" t="str">
        <f>"De fibras descontinuas de poliester"</f>
        <v>De fibras descontinuas de poliester</v>
      </c>
    </row>
    <row r="5981" spans="1:2">
      <c r="A5981" s="1" t="str">
        <f>"5514.23.00"</f>
        <v>5514.23.00</v>
      </c>
      <c r="B5981" s="2" t="str">
        <f>"Outros tecidos de fibras descontinu"</f>
        <v>Outros tecidos de fibras descontinu</v>
      </c>
    </row>
    <row r="5982" spans="1:2">
      <c r="A5982" s="1" t="str">
        <f>"5514.29.00"</f>
        <v>5514.29.00</v>
      </c>
      <c r="B5982" s="2" t="str">
        <f>"Outros tecidos"</f>
        <v>Outros tecidos</v>
      </c>
    </row>
    <row r="5983" spans="1:2">
      <c r="A5983" s="1" t="str">
        <f>"5514.30.11"</f>
        <v>5514.30.11</v>
      </c>
      <c r="B5983" s="2" t="str">
        <f>"Em ponto de tafeta"</f>
        <v>Em ponto de tafeta</v>
      </c>
    </row>
    <row r="5984" spans="1:2">
      <c r="A5984" s="1" t="str">
        <f>"5514.30.12"</f>
        <v>5514.30.12</v>
      </c>
      <c r="B5984" s="2" t="str">
        <f>"Em ponto sarjado, incluindo o diago"</f>
        <v>Em ponto sarjado, incluindo o diago</v>
      </c>
    </row>
    <row r="5985" spans="1:2">
      <c r="A5985" s="1" t="str">
        <f>"5514.30.19"</f>
        <v>5514.30.19</v>
      </c>
      <c r="B5985" s="2" t="str">
        <f>"Outros"</f>
        <v>Outros</v>
      </c>
    </row>
    <row r="5986" spans="1:2">
      <c r="A5986" s="1" t="str">
        <f>"5514.30.90"</f>
        <v>5514.30.90</v>
      </c>
      <c r="B5986" s="2" t="str">
        <f>"Outros"</f>
        <v>Outros</v>
      </c>
    </row>
    <row r="5987" spans="1:2">
      <c r="A5987" s="1" t="str">
        <f>"5514.41.00"</f>
        <v>5514.41.00</v>
      </c>
      <c r="B5987" s="2" t="str">
        <f>"De fibras descontinuas de poliester"</f>
        <v>De fibras descontinuas de poliester</v>
      </c>
    </row>
    <row r="5988" spans="1:2">
      <c r="A5988" s="1" t="str">
        <f>"5514.42.00"</f>
        <v>5514.42.00</v>
      </c>
      <c r="B5988" s="2" t="str">
        <f>"De fibras descontinuas de poliester"</f>
        <v>De fibras descontinuas de poliester</v>
      </c>
    </row>
    <row r="5989" spans="1:2">
      <c r="A5989" s="1" t="str">
        <f>"5514.43.00"</f>
        <v>5514.43.00</v>
      </c>
      <c r="B5989" s="2" t="str">
        <f>"Outros tecidos de fibras descontinu"</f>
        <v>Outros tecidos de fibras descontinu</v>
      </c>
    </row>
    <row r="5990" spans="1:2">
      <c r="A5990" s="1" t="str">
        <f>"5514.49.00"</f>
        <v>5514.49.00</v>
      </c>
      <c r="B5990" s="2" t="str">
        <f>"Outros tecidos"</f>
        <v>Outros tecidos</v>
      </c>
    </row>
    <row r="5991" spans="1:2">
      <c r="A5991" s="1" t="str">
        <f>"5515.11.00"</f>
        <v>5515.11.00</v>
      </c>
      <c r="B5991" s="2" t="str">
        <f>"Combinadas, principal ou unicamente"</f>
        <v>Combinadas, principal ou unicamente</v>
      </c>
    </row>
    <row r="5992" spans="1:2">
      <c r="A5992" s="1" t="str">
        <f>"5515.12.00"</f>
        <v>5515.12.00</v>
      </c>
      <c r="B5992" s="2" t="str">
        <f>"Combinadas, principal ou unicamente"</f>
        <v>Combinadas, principal ou unicamente</v>
      </c>
    </row>
    <row r="5993" spans="1:2">
      <c r="A5993" s="1" t="str">
        <f>"5515.13.00"</f>
        <v>5515.13.00</v>
      </c>
      <c r="B5993" s="2" t="str">
        <f>"Combinadas, principal ou unicamente"</f>
        <v>Combinadas, principal ou unicamente</v>
      </c>
    </row>
    <row r="5994" spans="1:2">
      <c r="A5994" s="1" t="str">
        <f>"5515.19.00"</f>
        <v>5515.19.00</v>
      </c>
      <c r="B5994" s="2" t="str">
        <f>"OUTROS"</f>
        <v>OUTROS</v>
      </c>
    </row>
    <row r="5995" spans="1:2">
      <c r="A5995" s="1" t="str">
        <f>"5515.21.00"</f>
        <v>5515.21.00</v>
      </c>
      <c r="B5995" s="2" t="str">
        <f>"Combinadas, principal ou unicamente"</f>
        <v>Combinadas, principal ou unicamente</v>
      </c>
    </row>
    <row r="5996" spans="1:2">
      <c r="A5996" s="1" t="str">
        <f>"5515.22.00"</f>
        <v>5515.22.00</v>
      </c>
      <c r="B5996" s="2" t="str">
        <f>"Combinadas, principal ou unicamente"</f>
        <v>Combinadas, principal ou unicamente</v>
      </c>
    </row>
    <row r="5997" spans="1:2">
      <c r="A5997" s="1" t="str">
        <f>"5515.29.00"</f>
        <v>5515.29.00</v>
      </c>
      <c r="B5997" s="2" t="str">
        <f>"OUTROS"</f>
        <v>OUTROS</v>
      </c>
    </row>
    <row r="5998" spans="1:2">
      <c r="A5998" s="1" t="str">
        <f>"5515.91.00"</f>
        <v>5515.91.00</v>
      </c>
      <c r="B5998" s="2" t="str">
        <f>"Combinados, principal ou unicamente"</f>
        <v>Combinados, principal ou unicamente</v>
      </c>
    </row>
    <row r="5999" spans="1:2">
      <c r="A5999" s="1" t="str">
        <f>"5515.99.10"</f>
        <v>5515.99.10</v>
      </c>
      <c r="B5999" s="2" t="str">
        <f>"Combinados, principal ou unicamente"</f>
        <v>Combinados, principal ou unicamente</v>
      </c>
    </row>
    <row r="6000" spans="1:2">
      <c r="A6000" s="1" t="str">
        <f>"5515.99.90"</f>
        <v>5515.99.90</v>
      </c>
      <c r="B6000" s="2" t="str">
        <f>"Outros"</f>
        <v>Outros</v>
      </c>
    </row>
    <row r="6001" spans="1:2">
      <c r="A6001" s="1" t="str">
        <f>"5516.11.00"</f>
        <v>5516.11.00</v>
      </c>
      <c r="B6001" s="2" t="str">
        <f>"Crus ou branqueados"</f>
        <v>Crus ou branqueados</v>
      </c>
    </row>
    <row r="6002" spans="1:2">
      <c r="A6002" s="1" t="str">
        <f>"5516.12.00"</f>
        <v>5516.12.00</v>
      </c>
      <c r="B6002" s="2" t="str">
        <f>"Tintos"</f>
        <v>Tintos</v>
      </c>
    </row>
    <row r="6003" spans="1:2">
      <c r="A6003" s="1" t="str">
        <f>"5516.13.00"</f>
        <v>5516.13.00</v>
      </c>
      <c r="B6003" s="2" t="str">
        <f>"De fios de diversas cores"</f>
        <v>De fios de diversas cores</v>
      </c>
    </row>
    <row r="6004" spans="1:2">
      <c r="A6004" s="1" t="str">
        <f>"5516.14.00"</f>
        <v>5516.14.00</v>
      </c>
      <c r="B6004" s="2" t="str">
        <f>"Estampados"</f>
        <v>Estampados</v>
      </c>
    </row>
    <row r="6005" spans="1:2">
      <c r="A6005" s="1" t="str">
        <f>"5516.21.00"</f>
        <v>5516.21.00</v>
      </c>
      <c r="B6005" s="2" t="str">
        <f>"CRUS OU BRANQUEADOS"</f>
        <v>CRUS OU BRANQUEADOS</v>
      </c>
    </row>
    <row r="6006" spans="1:2">
      <c r="A6006" s="1" t="str">
        <f>"5516.22.00"</f>
        <v>5516.22.00</v>
      </c>
      <c r="B6006" s="2" t="str">
        <f>"Tintos"</f>
        <v>Tintos</v>
      </c>
    </row>
    <row r="6007" spans="1:2">
      <c r="A6007" s="1" t="str">
        <f>"5516.23.00"</f>
        <v>5516.23.00</v>
      </c>
      <c r="B6007" s="2" t="str">
        <f>"De fios de diversas cores"</f>
        <v>De fios de diversas cores</v>
      </c>
    </row>
    <row r="6008" spans="1:2">
      <c r="A6008" s="1" t="str">
        <f>"5516.24.00"</f>
        <v>5516.24.00</v>
      </c>
      <c r="B6008" s="2" t="str">
        <f>"Estampados"</f>
        <v>Estampados</v>
      </c>
    </row>
    <row r="6009" spans="1:2">
      <c r="A6009" s="1" t="str">
        <f>"5516.31.00"</f>
        <v>5516.31.00</v>
      </c>
      <c r="B6009" s="2" t="str">
        <f>"Crus ou branqueados"</f>
        <v>Crus ou branqueados</v>
      </c>
    </row>
    <row r="6010" spans="1:2">
      <c r="A6010" s="1" t="str">
        <f>"5516.32.00"</f>
        <v>5516.32.00</v>
      </c>
      <c r="B6010" s="2" t="str">
        <f>"Tintos"</f>
        <v>Tintos</v>
      </c>
    </row>
    <row r="6011" spans="1:2">
      <c r="A6011" s="1" t="str">
        <f>"5516.33.00"</f>
        <v>5516.33.00</v>
      </c>
      <c r="B6011" s="2" t="str">
        <f>"De fios de diversas cores"</f>
        <v>De fios de diversas cores</v>
      </c>
    </row>
    <row r="6012" spans="1:2">
      <c r="A6012" s="1" t="str">
        <f>"5516.34.00"</f>
        <v>5516.34.00</v>
      </c>
      <c r="B6012" s="2" t="str">
        <f>"Estampados"</f>
        <v>Estampados</v>
      </c>
    </row>
    <row r="6013" spans="1:2">
      <c r="A6013" s="1" t="str">
        <f>"5516.41.00"</f>
        <v>5516.41.00</v>
      </c>
      <c r="B6013" s="2" t="str">
        <f>"Crus ou branqueados"</f>
        <v>Crus ou branqueados</v>
      </c>
    </row>
    <row r="6014" spans="1:2">
      <c r="A6014" s="1" t="str">
        <f>"5516.42.00"</f>
        <v>5516.42.00</v>
      </c>
      <c r="B6014" s="2" t="str">
        <f>"Tintos"</f>
        <v>Tintos</v>
      </c>
    </row>
    <row r="6015" spans="1:2">
      <c r="A6015" s="1" t="str">
        <f>"5516.43.00"</f>
        <v>5516.43.00</v>
      </c>
      <c r="B6015" s="2" t="str">
        <f>"De fios de diversas cores"</f>
        <v>De fios de diversas cores</v>
      </c>
    </row>
    <row r="6016" spans="1:2">
      <c r="A6016" s="1" t="str">
        <f>"5516.44.00"</f>
        <v>5516.44.00</v>
      </c>
      <c r="B6016" s="2" t="str">
        <f>"Estampados"</f>
        <v>Estampados</v>
      </c>
    </row>
    <row r="6017" spans="1:2">
      <c r="A6017" s="1" t="str">
        <f>"5516.91.00"</f>
        <v>5516.91.00</v>
      </c>
      <c r="B6017" s="2" t="str">
        <f>"Crus ou branqueados"</f>
        <v>Crus ou branqueados</v>
      </c>
    </row>
    <row r="6018" spans="1:2">
      <c r="A6018" s="1" t="str">
        <f>"5516.92.00"</f>
        <v>5516.92.00</v>
      </c>
      <c r="B6018" s="2" t="str">
        <f>"Tintos"</f>
        <v>Tintos</v>
      </c>
    </row>
    <row r="6019" spans="1:2">
      <c r="A6019" s="1" t="str">
        <f>"5516.93.00"</f>
        <v>5516.93.00</v>
      </c>
      <c r="B6019" s="2" t="str">
        <f>"DE FIOS DE DIVERSAS CORES"</f>
        <v>DE FIOS DE DIVERSAS CORES</v>
      </c>
    </row>
    <row r="6020" spans="1:2">
      <c r="A6020" s="1" t="str">
        <f>"5516.94.00"</f>
        <v>5516.94.00</v>
      </c>
      <c r="B6020" s="2" t="str">
        <f>"Estampados"</f>
        <v>Estampados</v>
      </c>
    </row>
    <row r="6021" spans="1:2">
      <c r="A6021" s="1" t="str">
        <f>"5601.21.10"</f>
        <v>5601.21.10</v>
      </c>
      <c r="B6021" s="2" t="str">
        <f>"Pastas (ouates)"</f>
        <v>Pastas (ouates)</v>
      </c>
    </row>
    <row r="6022" spans="1:2">
      <c r="A6022" s="1" t="str">
        <f>"5601.21.90"</f>
        <v>5601.21.90</v>
      </c>
      <c r="B6022" s="2" t="str">
        <f>"Outros artigos de pastas (ouates)"</f>
        <v>Outros artigos de pastas (ouates)</v>
      </c>
    </row>
    <row r="6023" spans="1:2">
      <c r="A6023" s="1" t="str">
        <f>"5601.22.11"</f>
        <v>5601.22.11</v>
      </c>
      <c r="B6023" s="2" t="str">
        <f>"De aramidas"</f>
        <v>De aramidas</v>
      </c>
    </row>
    <row r="6024" spans="1:2">
      <c r="A6024" s="1" t="str">
        <f>"5601.22.19"</f>
        <v>5601.22.19</v>
      </c>
      <c r="B6024" s="2" t="str">
        <f>"Outras"</f>
        <v>Outras</v>
      </c>
    </row>
    <row r="6025" spans="1:2">
      <c r="A6025" s="1" t="str">
        <f>"5601.22.91"</f>
        <v>5601.22.91</v>
      </c>
      <c r="B6025" s="2" t="str">
        <f>"Cilindros para filtros de cigarros"</f>
        <v>Cilindros para filtros de cigarros</v>
      </c>
    </row>
    <row r="6026" spans="1:2">
      <c r="A6026" s="1" t="str">
        <f>"5601.22.99"</f>
        <v>5601.22.99</v>
      </c>
      <c r="B6026" s="2" t="str">
        <f>"Outros"</f>
        <v>Outros</v>
      </c>
    </row>
    <row r="6027" spans="1:2">
      <c r="A6027" s="1" t="str">
        <f>"5601.29.00"</f>
        <v>5601.29.00</v>
      </c>
      <c r="B6027" s="2" t="str">
        <f>"Outros"</f>
        <v>Outros</v>
      </c>
    </row>
    <row r="6028" spans="1:2">
      <c r="A6028" s="1" t="str">
        <f>"5601.30.10"</f>
        <v>5601.30.10</v>
      </c>
      <c r="B6028" s="2" t="str">
        <f>"De aramidas"</f>
        <v>De aramidas</v>
      </c>
    </row>
    <row r="6029" spans="1:2">
      <c r="A6029" s="1" t="str">
        <f>"5601.30.90"</f>
        <v>5601.30.90</v>
      </c>
      <c r="B6029" s="2" t="str">
        <f>"Outros"</f>
        <v>Outros</v>
      </c>
    </row>
    <row r="6030" spans="1:2">
      <c r="A6030" s="1" t="str">
        <f>"5602.10.00"</f>
        <v>5602.10.00</v>
      </c>
      <c r="B6030" s="2" t="str">
        <f>"Feltros agulhados e artigos obtidos"</f>
        <v>Feltros agulhados e artigos obtidos</v>
      </c>
    </row>
    <row r="6031" spans="1:2">
      <c r="A6031" s="1" t="str">
        <f>"5602.21.00"</f>
        <v>5602.21.00</v>
      </c>
      <c r="B6031" s="2" t="str">
        <f>"De la ou de pelos finos"</f>
        <v>De la ou de pelos finos</v>
      </c>
    </row>
    <row r="6032" spans="1:2">
      <c r="A6032" s="1" t="str">
        <f>"5602.29.00"</f>
        <v>5602.29.00</v>
      </c>
      <c r="B6032" s="2" t="str">
        <f>"DE OUTRAS MATÉRIAS TÊXTEIS"</f>
        <v>DE OUTRAS MATÉRIAS TÊXTEIS</v>
      </c>
    </row>
    <row r="6033" spans="1:2">
      <c r="A6033" s="1" t="str">
        <f>"5602.90.00"</f>
        <v>5602.90.00</v>
      </c>
      <c r="B6033" s="2" t="str">
        <f>"Outros"</f>
        <v>Outros</v>
      </c>
    </row>
    <row r="6034" spans="1:2">
      <c r="A6034" s="1" t="str">
        <f>"5603.11.10"</f>
        <v>5603.11.10</v>
      </c>
      <c r="B6034" s="2" t="str">
        <f>"De aramidas"</f>
        <v>De aramidas</v>
      </c>
    </row>
    <row r="6035" spans="1:2">
      <c r="A6035" s="1" t="str">
        <f>"5603.11.20"</f>
        <v>5603.11.20</v>
      </c>
      <c r="B6035" s="2" t="str">
        <f>"De poliester"</f>
        <v>De poliester</v>
      </c>
    </row>
    <row r="6036" spans="1:2">
      <c r="A6036" s="1" t="str">
        <f>"5603.11.30"</f>
        <v>5603.11.30</v>
      </c>
      <c r="B6036" s="2" t="str">
        <f>"De polipropileno"</f>
        <v>De polipropileno</v>
      </c>
    </row>
    <row r="6037" spans="1:2">
      <c r="A6037" s="1" t="str">
        <f>"5603.11.40"</f>
        <v>5603.11.40</v>
      </c>
      <c r="B6037" s="2" t="str">
        <f>"De raiom viscose"</f>
        <v>De raiom viscose</v>
      </c>
    </row>
    <row r="6038" spans="1:2">
      <c r="A6038" s="1" t="str">
        <f>"5603.11.90"</f>
        <v>5603.11.90</v>
      </c>
      <c r="B6038" s="2" t="str">
        <f>"Outros"</f>
        <v>Outros</v>
      </c>
    </row>
    <row r="6039" spans="1:2">
      <c r="A6039" s="1" t="str">
        <f>"5603.12.10"</f>
        <v>5603.12.10</v>
      </c>
      <c r="B6039" s="2" t="str">
        <f>"De polietileno de alta densidade"</f>
        <v>De polietileno de alta densidade</v>
      </c>
    </row>
    <row r="6040" spans="1:2">
      <c r="A6040" s="1" t="str">
        <f>"5603.12.20"</f>
        <v>5603.12.20</v>
      </c>
      <c r="B6040" s="2" t="str">
        <f>"De aramidas"</f>
        <v>De aramidas</v>
      </c>
    </row>
    <row r="6041" spans="1:2">
      <c r="A6041" s="1" t="str">
        <f>"5603.12.30"</f>
        <v>5603.12.30</v>
      </c>
      <c r="B6041" s="2" t="str">
        <f>"De poliester"</f>
        <v>De poliester</v>
      </c>
    </row>
    <row r="6042" spans="1:2">
      <c r="A6042" s="1" t="str">
        <f>"5603.12.40"</f>
        <v>5603.12.40</v>
      </c>
      <c r="B6042" s="2" t="str">
        <f>"De polipropileno"</f>
        <v>De polipropileno</v>
      </c>
    </row>
    <row r="6043" spans="1:2">
      <c r="A6043" s="1" t="str">
        <f>"5603.12.50"</f>
        <v>5603.12.50</v>
      </c>
      <c r="B6043" s="2" t="str">
        <f>"De raiom viscose"</f>
        <v>De raiom viscose</v>
      </c>
    </row>
    <row r="6044" spans="1:2">
      <c r="A6044" s="1" t="str">
        <f>"5603.12.90"</f>
        <v>5603.12.90</v>
      </c>
      <c r="B6044" s="2" t="str">
        <f>"Outros"</f>
        <v>Outros</v>
      </c>
    </row>
    <row r="6045" spans="1:2">
      <c r="A6045" s="1" t="str">
        <f>"5603.13.10"</f>
        <v>5603.13.10</v>
      </c>
      <c r="B6045" s="2" t="str">
        <f>"De polietileno de alta densidade"</f>
        <v>De polietileno de alta densidade</v>
      </c>
    </row>
    <row r="6046" spans="1:2">
      <c r="A6046" s="1" t="str">
        <f>"5603.13.20"</f>
        <v>5603.13.20</v>
      </c>
      <c r="B6046" s="2" t="str">
        <f>"De aramidas"</f>
        <v>De aramidas</v>
      </c>
    </row>
    <row r="6047" spans="1:2">
      <c r="A6047" s="1" t="str">
        <f>"5603.13.30"</f>
        <v>5603.13.30</v>
      </c>
      <c r="B6047" s="2" t="str">
        <f>"De poliester"</f>
        <v>De poliester</v>
      </c>
    </row>
    <row r="6048" spans="1:2">
      <c r="A6048" s="1" t="str">
        <f>"5603.13.40"</f>
        <v>5603.13.40</v>
      </c>
      <c r="B6048" s="2" t="str">
        <f>"De polipropileno"</f>
        <v>De polipropileno</v>
      </c>
    </row>
    <row r="6049" spans="1:2">
      <c r="A6049" s="1" t="str">
        <f>"5603.13.50"</f>
        <v>5603.13.50</v>
      </c>
      <c r="B6049" s="2" t="str">
        <f>"De raiom viscose"</f>
        <v>De raiom viscose</v>
      </c>
    </row>
    <row r="6050" spans="1:2">
      <c r="A6050" s="1" t="str">
        <f>"5603.13.90"</f>
        <v>5603.13.90</v>
      </c>
      <c r="B6050" s="2" t="str">
        <f>"OUTROS - DUPLA FACE"</f>
        <v>OUTROS - DUPLA FACE</v>
      </c>
    </row>
    <row r="6051" spans="1:2">
      <c r="A6051" s="1" t="str">
        <f>"5603.14.10"</f>
        <v>5603.14.10</v>
      </c>
      <c r="B6051" s="2" t="str">
        <f>"De aramidas"</f>
        <v>De aramidas</v>
      </c>
    </row>
    <row r="6052" spans="1:2">
      <c r="A6052" s="1" t="str">
        <f>"5603.14.20"</f>
        <v>5603.14.20</v>
      </c>
      <c r="B6052" s="2" t="str">
        <f>"DE POLIÉSTER"</f>
        <v>DE POLIÉSTER</v>
      </c>
    </row>
    <row r="6053" spans="1:2">
      <c r="A6053" s="1" t="str">
        <f>"5603.14.30"</f>
        <v>5603.14.30</v>
      </c>
      <c r="B6053" s="2" t="str">
        <f>"DE POLIPROPILENO"</f>
        <v>DE POLIPROPILENO</v>
      </c>
    </row>
    <row r="6054" spans="1:2">
      <c r="A6054" s="1" t="str">
        <f>"5603.14.40"</f>
        <v>5603.14.40</v>
      </c>
      <c r="B6054" s="2" t="str">
        <f>"De raiom viscose"</f>
        <v>De raiom viscose</v>
      </c>
    </row>
    <row r="6055" spans="1:2">
      <c r="A6055" s="1" t="str">
        <f>"5603.14.90"</f>
        <v>5603.14.90</v>
      </c>
      <c r="B6055" s="2" t="str">
        <f>"OUTROS"</f>
        <v>OUTROS</v>
      </c>
    </row>
    <row r="6056" spans="1:2">
      <c r="A6056" s="1" t="str">
        <f>"5603.91.10"</f>
        <v>5603.91.10</v>
      </c>
      <c r="B6056" s="2" t="str">
        <f>"De poliester"</f>
        <v>De poliester</v>
      </c>
    </row>
    <row r="6057" spans="1:2">
      <c r="A6057" s="1" t="str">
        <f>"5603.91.20"</f>
        <v>5603.91.20</v>
      </c>
      <c r="B6057" s="2" t="str">
        <f>"De polipropileno"</f>
        <v>De polipropileno</v>
      </c>
    </row>
    <row r="6058" spans="1:2">
      <c r="A6058" s="1" t="str">
        <f>"5603.91.30"</f>
        <v>5603.91.30</v>
      </c>
      <c r="B6058" s="2" t="str">
        <f>"De raiom viscose"</f>
        <v>De raiom viscose</v>
      </c>
    </row>
    <row r="6059" spans="1:2">
      <c r="A6059" s="1" t="str">
        <f>"5603.91.90"</f>
        <v>5603.91.90</v>
      </c>
      <c r="B6059" s="2" t="str">
        <f>"Outros"</f>
        <v>Outros</v>
      </c>
    </row>
    <row r="6060" spans="1:2">
      <c r="A6060" s="1" t="str">
        <f>"5603.92.10"</f>
        <v>5603.92.10</v>
      </c>
      <c r="B6060" s="2" t="str">
        <f>"De polietileno de alta densidade"</f>
        <v>De polietileno de alta densidade</v>
      </c>
    </row>
    <row r="6061" spans="1:2">
      <c r="A6061" s="1" t="str">
        <f>"5603.92.20"</f>
        <v>5603.92.20</v>
      </c>
      <c r="B6061" s="2" t="str">
        <f>"De poliester"</f>
        <v>De poliester</v>
      </c>
    </row>
    <row r="6062" spans="1:2">
      <c r="A6062" s="1" t="str">
        <f>"5603.92.30"</f>
        <v>5603.92.30</v>
      </c>
      <c r="B6062" s="2" t="str">
        <f>"De polipropileno"</f>
        <v>De polipropileno</v>
      </c>
    </row>
    <row r="6063" spans="1:2">
      <c r="A6063" s="1" t="str">
        <f>"5603.92.40"</f>
        <v>5603.92.40</v>
      </c>
      <c r="B6063" s="2" t="str">
        <f>"De raiom viscose"</f>
        <v>De raiom viscose</v>
      </c>
    </row>
    <row r="6064" spans="1:2">
      <c r="A6064" s="1" t="str">
        <f>"5603.92.90"</f>
        <v>5603.92.90</v>
      </c>
      <c r="B6064" s="2" t="str">
        <f>"Outros"</f>
        <v>Outros</v>
      </c>
    </row>
    <row r="6065" spans="1:2">
      <c r="A6065" s="1" t="str">
        <f>"5603.93.10"</f>
        <v>5603.93.10</v>
      </c>
      <c r="B6065" s="2" t="str">
        <f>"De polietileno de alta densidade"</f>
        <v>De polietileno de alta densidade</v>
      </c>
    </row>
    <row r="6066" spans="1:2">
      <c r="A6066" s="1" t="str">
        <f>"5603.93.20"</f>
        <v>5603.93.20</v>
      </c>
      <c r="B6066" s="2" t="str">
        <f>"De poliester"</f>
        <v>De poliester</v>
      </c>
    </row>
    <row r="6067" spans="1:2">
      <c r="A6067" s="1" t="str">
        <f>"5603.93.30"</f>
        <v>5603.93.30</v>
      </c>
      <c r="B6067" s="2" t="str">
        <f>"De polipropileno"</f>
        <v>De polipropileno</v>
      </c>
    </row>
    <row r="6068" spans="1:2">
      <c r="A6068" s="1" t="str">
        <f>"5603.93.40"</f>
        <v>5603.93.40</v>
      </c>
      <c r="B6068" s="2" t="str">
        <f>"De raiom viscose"</f>
        <v>De raiom viscose</v>
      </c>
    </row>
    <row r="6069" spans="1:2">
      <c r="A6069" s="1" t="str">
        <f>"5603.93.90"</f>
        <v>5603.93.90</v>
      </c>
      <c r="B6069" s="2" t="str">
        <f>"OUTROS - AEROFIL C3G"</f>
        <v>OUTROS - AEROFIL C3G</v>
      </c>
    </row>
    <row r="6070" spans="1:2">
      <c r="A6070" s="1" t="str">
        <f>"5603.94.10"</f>
        <v>5603.94.10</v>
      </c>
      <c r="B6070" s="2" t="str">
        <f>"De poliester"</f>
        <v>De poliester</v>
      </c>
    </row>
    <row r="6071" spans="1:2">
      <c r="A6071" s="1" t="str">
        <f>"5603.94.20"</f>
        <v>5603.94.20</v>
      </c>
      <c r="B6071" s="2" t="str">
        <f>"De polipropileno"</f>
        <v>De polipropileno</v>
      </c>
    </row>
    <row r="6072" spans="1:2">
      <c r="A6072" s="1" t="str">
        <f>"5603.94.30"</f>
        <v>5603.94.30</v>
      </c>
      <c r="B6072" s="2" t="str">
        <f>"De raiom viscose"</f>
        <v>De raiom viscose</v>
      </c>
    </row>
    <row r="6073" spans="1:2">
      <c r="A6073" s="1" t="str">
        <f>"5603.94.90"</f>
        <v>5603.94.90</v>
      </c>
      <c r="B6073" s="2" t="str">
        <f>"Outros"</f>
        <v>Outros</v>
      </c>
    </row>
    <row r="6074" spans="1:2">
      <c r="A6074" s="1" t="str">
        <f>"5604.10.00"</f>
        <v>5604.10.00</v>
      </c>
      <c r="B6074" s="2" t="str">
        <f>"Fios e cordas, de borracha, recober"</f>
        <v>Fios e cordas, de borracha, recober</v>
      </c>
    </row>
    <row r="6075" spans="1:2">
      <c r="A6075" s="1" t="str">
        <f>"5604.90.10"</f>
        <v>5604.90.10</v>
      </c>
      <c r="B6075" s="2" t="str">
        <f>"Imitacoes de categute constituidas"</f>
        <v>Imitacoes de categute constituidas</v>
      </c>
    </row>
    <row r="6076" spans="1:2">
      <c r="A6076" s="1" t="str">
        <f>"5604.90.21"</f>
        <v>5604.90.21</v>
      </c>
      <c r="B6076" s="2" t="str">
        <f>"Com borracha"</f>
        <v>Com borracha</v>
      </c>
    </row>
    <row r="6077" spans="1:2">
      <c r="A6077" s="1" t="str">
        <f>"5604.90.22"</f>
        <v>5604.90.22</v>
      </c>
      <c r="B6077" s="2" t="str">
        <f>"Com plastico"</f>
        <v>Com plastico</v>
      </c>
    </row>
    <row r="6078" spans="1:2">
      <c r="A6078" s="1" t="str">
        <f>"5604.90.90"</f>
        <v>5604.90.90</v>
      </c>
      <c r="B6078" s="2" t="str">
        <f>"OUTROS"</f>
        <v>OUTROS</v>
      </c>
    </row>
    <row r="6079" spans="1:2">
      <c r="A6079" s="1" t="str">
        <f>"5605.00.10"</f>
        <v>5605.00.10</v>
      </c>
      <c r="B6079" s="2" t="str">
        <f>"Com metais preciosos"</f>
        <v>Com metais preciosos</v>
      </c>
    </row>
    <row r="6080" spans="1:2">
      <c r="A6080" s="1" t="str">
        <f>"5605.00.20"</f>
        <v>5605.00.20</v>
      </c>
      <c r="B6080" s="2" t="str">
        <f>"Revestidos por enrolamento, exceto"</f>
        <v>Revestidos por enrolamento, exceto</v>
      </c>
    </row>
    <row r="6081" spans="1:2">
      <c r="A6081" s="1" t="str">
        <f>"5605.00.90"</f>
        <v>5605.00.90</v>
      </c>
      <c r="B6081" s="2" t="str">
        <f>"Outros"</f>
        <v>Outros</v>
      </c>
    </row>
    <row r="6082" spans="1:2">
      <c r="A6082" s="1" t="str">
        <f>"5606.00.00"</f>
        <v>5606.00.00</v>
      </c>
      <c r="B6082" s="2" t="str">
        <f>"Fios revestidos por enrolamento, la"</f>
        <v>Fios revestidos por enrolamento, la</v>
      </c>
    </row>
    <row r="6083" spans="1:2">
      <c r="A6083" s="1" t="str">
        <f>"5607.21.00"</f>
        <v>5607.21.00</v>
      </c>
      <c r="B6083" s="2" t="str">
        <f>"Cordeis para atadeiras ou enfardade"</f>
        <v>Cordeis para atadeiras ou enfardade</v>
      </c>
    </row>
    <row r="6084" spans="1:2">
      <c r="A6084" s="1" t="str">
        <f>"5607.29.00"</f>
        <v>5607.29.00</v>
      </c>
      <c r="B6084" s="2" t="str">
        <f>"Outros"</f>
        <v>Outros</v>
      </c>
    </row>
    <row r="6085" spans="1:2">
      <c r="A6085" s="1" t="str">
        <f>"5607.41.00"</f>
        <v>5607.41.00</v>
      </c>
      <c r="B6085" s="2" t="str">
        <f>"Cordeis para atadeiras ou enfardade"</f>
        <v>Cordeis para atadeiras ou enfardade</v>
      </c>
    </row>
    <row r="6086" spans="1:2">
      <c r="A6086" s="1" t="str">
        <f>"5607.49.00"</f>
        <v>5607.49.00</v>
      </c>
      <c r="B6086" s="2" t="str">
        <f>"Outros"</f>
        <v>Outros</v>
      </c>
    </row>
    <row r="6087" spans="1:2">
      <c r="A6087" s="1" t="str">
        <f>"5607.50.11"</f>
        <v>5607.50.11</v>
      </c>
      <c r="B6087" s="2" t="str">
        <f>"De nailon"</f>
        <v>De nailon</v>
      </c>
    </row>
    <row r="6088" spans="1:2">
      <c r="A6088" s="1" t="str">
        <f>"5607.50.19"</f>
        <v>5607.50.19</v>
      </c>
      <c r="B6088" s="2" t="str">
        <f>"Outros"</f>
        <v>Outros</v>
      </c>
    </row>
    <row r="6089" spans="1:2">
      <c r="A6089" s="1" t="str">
        <f>"5607.50.90"</f>
        <v>5607.50.90</v>
      </c>
      <c r="B6089" s="2" t="str">
        <f>"OUTROS"</f>
        <v>OUTROS</v>
      </c>
    </row>
    <row r="6090" spans="1:2">
      <c r="A6090" s="1" t="str">
        <f>"5607.90.10"</f>
        <v>5607.90.10</v>
      </c>
      <c r="B6090" s="2" t="str">
        <f>"De algodao"</f>
        <v>De algodao</v>
      </c>
    </row>
    <row r="6091" spans="1:2">
      <c r="A6091" s="1" t="str">
        <f>"5607.90.20"</f>
        <v>5607.90.20</v>
      </c>
      <c r="B6091" s="2" t="str">
        <f>"De juta, inferior ao numero metrico"</f>
        <v>De juta, inferior ao numero metrico</v>
      </c>
    </row>
    <row r="6092" spans="1:2">
      <c r="A6092" s="1" t="str">
        <f>"5607.90.90"</f>
        <v>5607.90.90</v>
      </c>
      <c r="B6092" s="2" t="str">
        <f>"OUTROS - CINTOS PARA MALA"</f>
        <v>OUTROS - CINTOS PARA MALA</v>
      </c>
    </row>
    <row r="6093" spans="1:2">
      <c r="A6093" s="1" t="str">
        <f>"5608.11.00"</f>
        <v>5608.11.00</v>
      </c>
      <c r="B6093" s="2" t="str">
        <f>"Redes confeccionadas para a pesca"</f>
        <v>Redes confeccionadas para a pesca</v>
      </c>
    </row>
    <row r="6094" spans="1:2">
      <c r="A6094" s="1" t="str">
        <f>"5608.19.00"</f>
        <v>5608.19.00</v>
      </c>
      <c r="B6094" s="2" t="str">
        <f>"Outras"</f>
        <v>Outras</v>
      </c>
    </row>
    <row r="6095" spans="1:2">
      <c r="A6095" s="1" t="str">
        <f>"5608.90.00"</f>
        <v>5608.90.00</v>
      </c>
      <c r="B6095" s="2" t="str">
        <f>"Outras"</f>
        <v>Outras</v>
      </c>
    </row>
    <row r="6096" spans="1:2">
      <c r="A6096" s="1" t="str">
        <f>"5609.00.10"</f>
        <v>5609.00.10</v>
      </c>
      <c r="B6096" s="2" t="str">
        <f>"De algodao"</f>
        <v>De algodao</v>
      </c>
    </row>
    <row r="6097" spans="1:2">
      <c r="A6097" s="1" t="str">
        <f>"5609.00.90"</f>
        <v>5609.00.90</v>
      </c>
      <c r="B6097" s="2" t="str">
        <f>"outros"</f>
        <v>outros</v>
      </c>
    </row>
    <row r="6098" spans="1:2">
      <c r="A6098" s="1" t="str">
        <f>"5701.10.11"</f>
        <v>5701.10.11</v>
      </c>
      <c r="B6098" s="2" t="str">
        <f>"Feitos a mao"</f>
        <v>Feitos a mao</v>
      </c>
    </row>
    <row r="6099" spans="1:2">
      <c r="A6099" s="1" t="str">
        <f>"5701.10.12"</f>
        <v>5701.10.12</v>
      </c>
      <c r="B6099" s="2" t="str">
        <f>"Feitos a maquina"</f>
        <v>Feitos a maquina</v>
      </c>
    </row>
    <row r="6100" spans="1:2">
      <c r="A6100" s="1" t="str">
        <f>"5701.10.20"</f>
        <v>5701.10.20</v>
      </c>
      <c r="B6100" s="2" t="str">
        <f>"De pelos finos"</f>
        <v>De pelos finos</v>
      </c>
    </row>
    <row r="6101" spans="1:2">
      <c r="A6101" s="1" t="str">
        <f>"5701.90.00"</f>
        <v>5701.90.00</v>
      </c>
      <c r="B6101" s="2" t="str">
        <f>"De outras matérias têxteis"</f>
        <v>De outras matérias têxteis</v>
      </c>
    </row>
    <row r="6102" spans="1:2">
      <c r="A6102" s="1" t="str">
        <f>"5702.10.00"</f>
        <v>5702.10.00</v>
      </c>
      <c r="B6102" s="2" t="str">
        <f>"Tapetes denominados Kelim ou Kilim,"</f>
        <v>Tapetes denominados Kelim ou Kilim,</v>
      </c>
    </row>
    <row r="6103" spans="1:2">
      <c r="A6103" s="1" t="str">
        <f>"5702.20.00"</f>
        <v>5702.20.00</v>
      </c>
      <c r="B6103" s="2" t="str">
        <f>"Revestimentos para pisos (pavimento"</f>
        <v>Revestimentos para pisos (pavimento</v>
      </c>
    </row>
    <row r="6104" spans="1:2">
      <c r="A6104" s="1" t="str">
        <f>"5702.31.00"</f>
        <v>5702.31.00</v>
      </c>
      <c r="B6104" s="2" t="str">
        <f>"De la ou de pelos finos"</f>
        <v>De la ou de pelos finos</v>
      </c>
    </row>
    <row r="6105" spans="1:2">
      <c r="A6105" s="1" t="str">
        <f>"5702.32.00"</f>
        <v>5702.32.00</v>
      </c>
      <c r="B6105" s="2" t="str">
        <f>"De materias texteis sinteticas ou a"</f>
        <v>De materias texteis sinteticas ou a</v>
      </c>
    </row>
    <row r="6106" spans="1:2">
      <c r="A6106" s="1" t="str">
        <f>"5702.39.00"</f>
        <v>5702.39.00</v>
      </c>
      <c r="B6106" s="2" t="str">
        <f>"De outras materias texteis"</f>
        <v>De outras materias texteis</v>
      </c>
    </row>
    <row r="6107" spans="1:2">
      <c r="A6107" s="1" t="str">
        <f>"5702.41.00"</f>
        <v>5702.41.00</v>
      </c>
      <c r="B6107" s="2" t="str">
        <f>"De la ou de pelos finos"</f>
        <v>De la ou de pelos finos</v>
      </c>
    </row>
    <row r="6108" spans="1:2">
      <c r="A6108" s="1" t="str">
        <f>"5702.42.00"</f>
        <v>5702.42.00</v>
      </c>
      <c r="B6108" s="2" t="str">
        <f>"De materias texteis sinteticas ou a"</f>
        <v>De materias texteis sinteticas ou a</v>
      </c>
    </row>
    <row r="6109" spans="1:2">
      <c r="A6109" s="1" t="str">
        <f>"5702.49.00"</f>
        <v>5702.49.00</v>
      </c>
      <c r="B6109" s="2" t="str">
        <f>"De outras materias texteis"</f>
        <v>De outras materias texteis</v>
      </c>
    </row>
    <row r="6110" spans="1:2">
      <c r="A6110" s="1" t="str">
        <f>"5702.50.10"</f>
        <v>5702.50.10</v>
      </c>
      <c r="B6110" s="2" t="str">
        <f>"De la ou de pelos finos"</f>
        <v>De la ou de pelos finos</v>
      </c>
    </row>
    <row r="6111" spans="1:2">
      <c r="A6111" s="1" t="str">
        <f>"5702.50.20"</f>
        <v>5702.50.20</v>
      </c>
      <c r="B6111" s="2" t="str">
        <f>"De materias texteis sinteticas ou a"</f>
        <v>De materias texteis sinteticas ou a</v>
      </c>
    </row>
    <row r="6112" spans="1:2">
      <c r="A6112" s="1" t="str">
        <f>"5702.50.90"</f>
        <v>5702.50.90</v>
      </c>
      <c r="B6112" s="2" t="str">
        <f>"Outros"</f>
        <v>Outros</v>
      </c>
    </row>
    <row r="6113" spans="1:2">
      <c r="A6113" s="1" t="str">
        <f>"5702.91.00"</f>
        <v>5702.91.00</v>
      </c>
      <c r="B6113" s="2" t="str">
        <f>"De la ou de pelos finos"</f>
        <v>De la ou de pelos finos</v>
      </c>
    </row>
    <row r="6114" spans="1:2">
      <c r="A6114" s="1" t="str">
        <f>"5702.92.00"</f>
        <v>5702.92.00</v>
      </c>
      <c r="B6114" s="2" t="str">
        <f>"De materias texteis sinteticas ou a"</f>
        <v>De materias texteis sinteticas ou a</v>
      </c>
    </row>
    <row r="6115" spans="1:2">
      <c r="A6115" s="1" t="str">
        <f>"5702.99.00"</f>
        <v>5702.99.00</v>
      </c>
      <c r="B6115" s="2" t="str">
        <f>"De outras materias texteis"</f>
        <v>De outras materias texteis</v>
      </c>
    </row>
    <row r="6116" spans="1:2">
      <c r="A6116" s="1" t="str">
        <f>"5703.10.00"</f>
        <v>5703.10.00</v>
      </c>
      <c r="B6116" s="2" t="str">
        <f>"De la ou de pelos finos"</f>
        <v>De la ou de pelos finos</v>
      </c>
    </row>
    <row r="6117" spans="1:2">
      <c r="A6117" s="1" t="str">
        <f>"5703.20.00"</f>
        <v>5703.20.00</v>
      </c>
      <c r="B6117" s="2" t="str">
        <f>"De nailon ou de outras poliamidas"</f>
        <v>De nailon ou de outras poliamidas</v>
      </c>
    </row>
    <row r="6118" spans="1:2">
      <c r="A6118" s="1" t="str">
        <f>"5703.30.00"</f>
        <v>5703.30.00</v>
      </c>
      <c r="B6118" s="2" t="str">
        <f>"De outras materias texteis sintetic"</f>
        <v>De outras materias texteis sintetic</v>
      </c>
    </row>
    <row r="6119" spans="1:2">
      <c r="A6119" s="1" t="str">
        <f>"5703.90.00"</f>
        <v>5703.90.00</v>
      </c>
      <c r="B6119" s="2" t="str">
        <f>"De outras materias texteis"</f>
        <v>De outras materias texteis</v>
      </c>
    </row>
    <row r="6120" spans="1:2">
      <c r="A6120" s="1" t="str">
        <f>"5704.10.00"</f>
        <v>5704.10.00</v>
      </c>
      <c r="B6120" s="2" t="str">
        <f>"ôLadrilhosö de area da superficie n"</f>
        <v>ôLadrilhosö de area da superficie n</v>
      </c>
    </row>
    <row r="6121" spans="1:2">
      <c r="A6121" s="1" t="str">
        <f>"5704.20.00"</f>
        <v>5704.20.00</v>
      </c>
      <c r="B6121" s="2" t="str">
        <f>"ôLadrilhosö de area da superficie s"</f>
        <v>ôLadrilhosö de area da superficie s</v>
      </c>
    </row>
    <row r="6122" spans="1:2">
      <c r="A6122" s="1" t="str">
        <f>"5704.90.00"</f>
        <v>5704.90.00</v>
      </c>
      <c r="B6122" s="2" t="str">
        <f>"Outros"</f>
        <v>Outros</v>
      </c>
    </row>
    <row r="6123" spans="1:2">
      <c r="A6123" s="1" t="str">
        <f>"5705.00.00"</f>
        <v>5705.00.00</v>
      </c>
      <c r="B6123" s="2" t="str">
        <f>"Outros tapetes e revestimentos para"</f>
        <v>Outros tapetes e revestimentos para</v>
      </c>
    </row>
    <row r="6124" spans="1:2">
      <c r="A6124" s="1" t="str">
        <f>"5801.10.00"</f>
        <v>5801.10.00</v>
      </c>
      <c r="B6124" s="2" t="str">
        <f>"De la ou de pelos finos"</f>
        <v>De la ou de pelos finos</v>
      </c>
    </row>
    <row r="6125" spans="1:2">
      <c r="A6125" s="1" t="str">
        <f>"5801.21.00"</f>
        <v>5801.21.00</v>
      </c>
      <c r="B6125" s="2" t="str">
        <f>"Veludos e pelucias obtidos por tram"</f>
        <v>Veludos e pelucias obtidos por tram</v>
      </c>
    </row>
    <row r="6126" spans="1:2">
      <c r="A6126" s="1" t="str">
        <f>"5801.22.00"</f>
        <v>5801.22.00</v>
      </c>
      <c r="B6126" s="2" t="str">
        <f>"Veludos e pelucias obtidos por tram"</f>
        <v>Veludos e pelucias obtidos por tram</v>
      </c>
    </row>
    <row r="6127" spans="1:2">
      <c r="A6127" s="1" t="str">
        <f>"5801.23.00"</f>
        <v>5801.23.00</v>
      </c>
      <c r="B6127" s="2" t="str">
        <f>"Outros veludos e pelucias obtidos p"</f>
        <v>Outros veludos e pelucias obtidos p</v>
      </c>
    </row>
    <row r="6128" spans="1:2">
      <c r="A6128" s="1" t="str">
        <f>"5801.26.00"</f>
        <v>5801.26.00</v>
      </c>
      <c r="B6128" s="2" t="str">
        <f>"Tecidos de froco (chenille)"</f>
        <v>Tecidos de froco (chenille)</v>
      </c>
    </row>
    <row r="6129" spans="1:2">
      <c r="A6129" s="1" t="str">
        <f>"5801.27.00"</f>
        <v>5801.27.00</v>
      </c>
      <c r="B6129" s="2" t="str">
        <f>"Veludos e pelucias obtidos por urdi"</f>
        <v>Veludos e pelucias obtidos por urdi</v>
      </c>
    </row>
    <row r="6130" spans="1:2">
      <c r="A6130" s="1" t="str">
        <f>"5801.31.00"</f>
        <v>5801.31.00</v>
      </c>
      <c r="B6130" s="2" t="str">
        <f>"Veludos e pelúcias obtidos por tram"</f>
        <v>Veludos e pelúcias obtidos por tram</v>
      </c>
    </row>
    <row r="6131" spans="1:2">
      <c r="A6131" s="1" t="str">
        <f>"5801.32.00"</f>
        <v>5801.32.00</v>
      </c>
      <c r="B6131" s="2" t="str">
        <f>"Veludos e pelucias obtidos por tram"</f>
        <v>Veludos e pelucias obtidos por tram</v>
      </c>
    </row>
    <row r="6132" spans="1:2">
      <c r="A6132" s="1" t="str">
        <f>"5801.33.00"</f>
        <v>5801.33.00</v>
      </c>
      <c r="B6132" s="2" t="str">
        <f>"Outros veludos e pelúcias obtidos p"</f>
        <v>Outros veludos e pelúcias obtidos p</v>
      </c>
    </row>
    <row r="6133" spans="1:2">
      <c r="A6133" s="1" t="str">
        <f>"5801.36.00"</f>
        <v>5801.36.00</v>
      </c>
      <c r="B6133" s="2" t="str">
        <f>"TECIDOS DE FROCO (CHENILLE)"</f>
        <v>TECIDOS DE FROCO (CHENILLE)</v>
      </c>
    </row>
    <row r="6134" spans="1:2">
      <c r="A6134" s="1" t="str">
        <f>"5801.37.00"</f>
        <v>5801.37.00</v>
      </c>
      <c r="B6134" s="2" t="str">
        <f>"Veludos e pelucias obtidos por urdi"</f>
        <v>Veludos e pelucias obtidos por urdi</v>
      </c>
    </row>
    <row r="6135" spans="1:2">
      <c r="A6135" s="1" t="str">
        <f>"5801.90.00"</f>
        <v>5801.90.00</v>
      </c>
      <c r="B6135" s="2" t="str">
        <f>"De outras materias texteis"</f>
        <v>De outras materias texteis</v>
      </c>
    </row>
    <row r="6136" spans="1:2">
      <c r="A6136" s="1" t="str">
        <f>"5802.11.00"</f>
        <v>5802.11.00</v>
      </c>
      <c r="B6136" s="2" t="str">
        <f>"Crus"</f>
        <v>Crus</v>
      </c>
    </row>
    <row r="6137" spans="1:2">
      <c r="A6137" s="1" t="str">
        <f>"5802.19.00"</f>
        <v>5802.19.00</v>
      </c>
      <c r="B6137" s="2" t="str">
        <f>"Outros"</f>
        <v>Outros</v>
      </c>
    </row>
    <row r="6138" spans="1:2">
      <c r="A6138" s="1" t="str">
        <f>"5802.20.00"</f>
        <v>5802.20.00</v>
      </c>
      <c r="B6138" s="2" t="str">
        <f>"Tecidos atoalhados (turcos*), de ou"</f>
        <v>Tecidos atoalhados (turcos*), de ou</v>
      </c>
    </row>
    <row r="6139" spans="1:2">
      <c r="A6139" s="1" t="str">
        <f>"5802.30.00"</f>
        <v>5802.30.00</v>
      </c>
      <c r="B6139" s="2" t="str">
        <f>"Tecidos tufados"</f>
        <v>Tecidos tufados</v>
      </c>
    </row>
    <row r="6140" spans="1:2">
      <c r="A6140" s="1" t="str">
        <f>"5803.00.10"</f>
        <v>5803.00.10</v>
      </c>
      <c r="B6140" s="2" t="str">
        <f>"De algodao"</f>
        <v>De algodao</v>
      </c>
    </row>
    <row r="6141" spans="1:2">
      <c r="A6141" s="1" t="str">
        <f>"5803.00.90"</f>
        <v>5803.00.90</v>
      </c>
      <c r="B6141" s="2" t="str">
        <f>"Outros"</f>
        <v>Outros</v>
      </c>
    </row>
    <row r="6142" spans="1:2">
      <c r="A6142" s="1" t="str">
        <f>"5804.10.10"</f>
        <v>5804.10.10</v>
      </c>
      <c r="B6142" s="2" t="str">
        <f>"De algodao"</f>
        <v>De algodao</v>
      </c>
    </row>
    <row r="6143" spans="1:2">
      <c r="A6143" s="1" t="str">
        <f>"5804.10.90"</f>
        <v>5804.10.90</v>
      </c>
      <c r="B6143" s="2" t="str">
        <f>"Outros"</f>
        <v>Outros</v>
      </c>
    </row>
    <row r="6144" spans="1:2">
      <c r="A6144" s="1" t="str">
        <f>"5804.21.00"</f>
        <v>5804.21.00</v>
      </c>
      <c r="B6144" s="2" t="str">
        <f>"De fibras sinteticas ou artificiais"</f>
        <v>De fibras sinteticas ou artificiais</v>
      </c>
    </row>
    <row r="6145" spans="1:2">
      <c r="A6145" s="1" t="str">
        <f>"5804.29.10"</f>
        <v>5804.29.10</v>
      </c>
      <c r="B6145" s="2" t="str">
        <f>"De algodao"</f>
        <v>De algodao</v>
      </c>
    </row>
    <row r="6146" spans="1:2">
      <c r="A6146" s="1" t="str">
        <f>"5804.29.90"</f>
        <v>5804.29.90</v>
      </c>
      <c r="B6146" s="2" t="str">
        <f>"Outras"</f>
        <v>Outras</v>
      </c>
    </row>
    <row r="6147" spans="1:2">
      <c r="A6147" s="1" t="str">
        <f>"5804.30.10"</f>
        <v>5804.30.10</v>
      </c>
      <c r="B6147" s="2" t="str">
        <f>"De algodao"</f>
        <v>De algodao</v>
      </c>
    </row>
    <row r="6148" spans="1:2">
      <c r="A6148" s="1" t="str">
        <f>"5804.30.90"</f>
        <v>5804.30.90</v>
      </c>
      <c r="B6148" s="2" t="str">
        <f>"Outras"</f>
        <v>Outras</v>
      </c>
    </row>
    <row r="6149" spans="1:2">
      <c r="A6149" s="1" t="str">
        <f>"5805.00.10"</f>
        <v>5805.00.10</v>
      </c>
      <c r="B6149" s="2" t="str">
        <f>"De algodao"</f>
        <v>De algodao</v>
      </c>
    </row>
    <row r="6150" spans="1:2">
      <c r="A6150" s="1" t="str">
        <f>"5805.00.20"</f>
        <v>5805.00.20</v>
      </c>
      <c r="B6150" s="2" t="str">
        <f>"De fibras sinteticas ou artificiais"</f>
        <v>De fibras sinteticas ou artificiais</v>
      </c>
    </row>
    <row r="6151" spans="1:2">
      <c r="A6151" s="1" t="str">
        <f>"5805.00.90"</f>
        <v>5805.00.90</v>
      </c>
      <c r="B6151" s="2" t="str">
        <f>"De outras materias texteis"</f>
        <v>De outras materias texteis</v>
      </c>
    </row>
    <row r="6152" spans="1:2">
      <c r="A6152" s="1" t="str">
        <f>"5806.10.00"</f>
        <v>5806.10.00</v>
      </c>
      <c r="B6152" s="2" t="str">
        <f>"Fitas de veludo, de pelucias, de te"</f>
        <v>Fitas de veludo, de pelucias, de te</v>
      </c>
    </row>
    <row r="6153" spans="1:2">
      <c r="A6153" s="1" t="str">
        <f>"5806.20.00"</f>
        <v>5806.20.00</v>
      </c>
      <c r="B6153" s="2" t="str">
        <f>"Outras fitas"</f>
        <v>Outras fitas</v>
      </c>
    </row>
    <row r="6154" spans="1:2">
      <c r="A6154" s="1" t="str">
        <f>"5806.31.00"</f>
        <v>5806.31.00</v>
      </c>
      <c r="B6154" s="2" t="str">
        <f>"De algodao"</f>
        <v>De algodao</v>
      </c>
    </row>
    <row r="6155" spans="1:2">
      <c r="A6155" s="1" t="str">
        <f>"5806.32.00"</f>
        <v>5806.32.00</v>
      </c>
      <c r="B6155" s="2" t="str">
        <f>"De fibras sinteticas ou artificiais"</f>
        <v>De fibras sinteticas ou artificiais</v>
      </c>
    </row>
    <row r="6156" spans="1:2">
      <c r="A6156" s="1" t="str">
        <f>"5806.39.00"</f>
        <v>5806.39.00</v>
      </c>
      <c r="B6156" s="2" t="str">
        <f>"De outras materias texteis"</f>
        <v>De outras materias texteis</v>
      </c>
    </row>
    <row r="6157" spans="1:2">
      <c r="A6157" s="1" t="str">
        <f>"5806.40.00"</f>
        <v>5806.40.00</v>
      </c>
      <c r="B6157" s="2" t="str">
        <f>"Fitas sem trama, de fios ou fibras"</f>
        <v>Fitas sem trama, de fios ou fibras</v>
      </c>
    </row>
    <row r="6158" spans="1:2">
      <c r="A6158" s="1" t="str">
        <f>"5807.10.00"</f>
        <v>5807.10.00</v>
      </c>
      <c r="B6158" s="2" t="str">
        <f>"Tecidos"</f>
        <v>Tecidos</v>
      </c>
    </row>
    <row r="6159" spans="1:2">
      <c r="A6159" s="1" t="str">
        <f>"5807.90.00"</f>
        <v>5807.90.00</v>
      </c>
      <c r="B6159" s="2" t="str">
        <f>"Outros"</f>
        <v>Outros</v>
      </c>
    </row>
    <row r="6160" spans="1:2">
      <c r="A6160" s="1" t="str">
        <f>"5808.10.00"</f>
        <v>5808.10.00</v>
      </c>
      <c r="B6160" s="2" t="str">
        <f>"Trancas em peca"</f>
        <v>Trancas em peca</v>
      </c>
    </row>
    <row r="6161" spans="1:2">
      <c r="A6161" s="1" t="str">
        <f>"5808.90.00"</f>
        <v>5808.90.00</v>
      </c>
      <c r="B6161" s="2" t="str">
        <f>"Outros"</f>
        <v>Outros</v>
      </c>
    </row>
    <row r="6162" spans="1:2">
      <c r="A6162" s="1" t="str">
        <f>"5809.00.00"</f>
        <v>5809.00.00</v>
      </c>
      <c r="B6162" s="2" t="str">
        <f>"Tecidos de fios de metal e tecidos"</f>
        <v>Tecidos de fios de metal e tecidos</v>
      </c>
    </row>
    <row r="6163" spans="1:2">
      <c r="A6163" s="1" t="str">
        <f>"5810.10.00"</f>
        <v>5810.10.00</v>
      </c>
      <c r="B6163" s="2" t="str">
        <f>"Bordados quimicos ou aereos e borda"</f>
        <v>Bordados quimicos ou aereos e borda</v>
      </c>
    </row>
    <row r="6164" spans="1:2">
      <c r="A6164" s="1" t="str">
        <f>"5810.91.00"</f>
        <v>5810.91.00</v>
      </c>
      <c r="B6164" s="2" t="str">
        <f>"De algodao"</f>
        <v>De algodao</v>
      </c>
    </row>
    <row r="6165" spans="1:2">
      <c r="A6165" s="1" t="str">
        <f>"5810.92.00"</f>
        <v>5810.92.00</v>
      </c>
      <c r="B6165" s="2" t="str">
        <f>"De fibras sinteticas ou artificiais"</f>
        <v>De fibras sinteticas ou artificiais</v>
      </c>
    </row>
    <row r="6166" spans="1:2">
      <c r="A6166" s="1" t="str">
        <f>"5810.99.00"</f>
        <v>5810.99.00</v>
      </c>
      <c r="B6166" s="2" t="str">
        <f>"De outras materias texteis"</f>
        <v>De outras materias texteis</v>
      </c>
    </row>
    <row r="6167" spans="1:2">
      <c r="A6167" s="1" t="str">
        <f>"5811.00.00"</f>
        <v>5811.00.00</v>
      </c>
      <c r="B6167" s="2" t="str">
        <f>"Artigos texteis matelasses (acolcho"</f>
        <v>Artigos texteis matelasses (acolcho</v>
      </c>
    </row>
    <row r="6168" spans="1:2">
      <c r="A6168" s="1" t="str">
        <f>"5901.10.00"</f>
        <v>5901.10.00</v>
      </c>
      <c r="B6168" s="2" t="str">
        <f>"Tecidos revestidos de cola ou de ma"</f>
        <v>Tecidos revestidos de cola ou de ma</v>
      </c>
    </row>
    <row r="6169" spans="1:2">
      <c r="A6169" s="1" t="str">
        <f>"5901.90.00"</f>
        <v>5901.90.00</v>
      </c>
      <c r="B6169" s="2" t="str">
        <f>"Outros"</f>
        <v>Outros</v>
      </c>
    </row>
    <row r="6170" spans="1:2">
      <c r="A6170" s="1" t="str">
        <f>"5902.10.10"</f>
        <v>5902.10.10</v>
      </c>
      <c r="B6170" s="2" t="str">
        <f>"Impregnadas, recobertas ou revestid"</f>
        <v>Impregnadas, recobertas ou revestid</v>
      </c>
    </row>
    <row r="6171" spans="1:2">
      <c r="A6171" s="1" t="str">
        <f>"5902.10.90"</f>
        <v>5902.10.90</v>
      </c>
      <c r="B6171" s="2" t="str">
        <f>"Outras"</f>
        <v>Outras</v>
      </c>
    </row>
    <row r="6172" spans="1:2">
      <c r="A6172" s="1" t="str">
        <f>"5902.20.00"</f>
        <v>5902.20.00</v>
      </c>
      <c r="B6172" s="2" t="str">
        <f>"De poliesteres"</f>
        <v>De poliesteres</v>
      </c>
    </row>
    <row r="6173" spans="1:2">
      <c r="A6173" s="1" t="str">
        <f>"5902.90.00"</f>
        <v>5902.90.00</v>
      </c>
      <c r="B6173" s="2" t="str">
        <f>"Outras"</f>
        <v>Outras</v>
      </c>
    </row>
    <row r="6174" spans="1:2">
      <c r="A6174" s="1" t="str">
        <f>"5903.10.00"</f>
        <v>5903.10.00</v>
      </c>
      <c r="B6174" s="2" t="str">
        <f>"Com poli(cloreto de vinila)"</f>
        <v>Com poli(cloreto de vinila)</v>
      </c>
    </row>
    <row r="6175" spans="1:2">
      <c r="A6175" s="1" t="str">
        <f>"5903.20.00"</f>
        <v>5903.20.00</v>
      </c>
      <c r="B6175" s="2" t="str">
        <f>"Com poliuretano"</f>
        <v>Com poliuretano</v>
      </c>
    </row>
    <row r="6176" spans="1:2">
      <c r="A6176" s="1" t="str">
        <f>"5903.90.00"</f>
        <v>5903.90.00</v>
      </c>
      <c r="B6176" s="2" t="str">
        <f>"Outros"</f>
        <v>Outros</v>
      </c>
    </row>
    <row r="6177" spans="1:2">
      <c r="A6177" s="1" t="str">
        <f>"5904.10.00"</f>
        <v>5904.10.00</v>
      </c>
      <c r="B6177" s="2" t="str">
        <f>"Linoleos"</f>
        <v>Linoleos</v>
      </c>
    </row>
    <row r="6178" spans="1:2">
      <c r="A6178" s="1" t="str">
        <f>"5904.90.00"</f>
        <v>5904.90.00</v>
      </c>
      <c r="B6178" s="2" t="str">
        <f>"Outros"</f>
        <v>Outros</v>
      </c>
    </row>
    <row r="6179" spans="1:2">
      <c r="A6179" s="1" t="str">
        <f>"5905.00.00"</f>
        <v>5905.00.00</v>
      </c>
      <c r="B6179" s="2" t="str">
        <f>"Revestimentos para paredes, de mate"</f>
        <v>Revestimentos para paredes, de mate</v>
      </c>
    </row>
    <row r="6180" spans="1:2">
      <c r="A6180" s="1" t="str">
        <f>"5906.10.00"</f>
        <v>5906.10.00</v>
      </c>
      <c r="B6180" s="2" t="str">
        <f>"Fitas adesivas de largura nao super"</f>
        <v>Fitas adesivas de largura nao super</v>
      </c>
    </row>
    <row r="6181" spans="1:2">
      <c r="A6181" s="1" t="str">
        <f>"5906.91.00"</f>
        <v>5906.91.00</v>
      </c>
      <c r="B6181" s="2" t="str">
        <f>"De malha"</f>
        <v>De malha</v>
      </c>
    </row>
    <row r="6182" spans="1:2">
      <c r="A6182" s="1" t="str">
        <f>"5906.99.00"</f>
        <v>5906.99.00</v>
      </c>
      <c r="B6182" s="2" t="str">
        <f>"OUTROS"</f>
        <v>OUTROS</v>
      </c>
    </row>
    <row r="6183" spans="1:2">
      <c r="A6183" s="1" t="str">
        <f>"5907.00.00"</f>
        <v>5907.00.00</v>
      </c>
      <c r="B6183" s="2" t="str">
        <f>"Outros tecidos impregnados, revesti"</f>
        <v>Outros tecidos impregnados, revesti</v>
      </c>
    </row>
    <row r="6184" spans="1:2">
      <c r="A6184" s="1" t="str">
        <f>"5908.00.00"</f>
        <v>5908.00.00</v>
      </c>
      <c r="B6184" s="2" t="str">
        <f>"Mechas de materias texteis, tecidas"</f>
        <v>Mechas de materias texteis, tecidas</v>
      </c>
    </row>
    <row r="6185" spans="1:2">
      <c r="A6185" s="1" t="str">
        <f>"5909.00.00"</f>
        <v>5909.00.00</v>
      </c>
      <c r="B6185" s="2" t="str">
        <f>"MANGUEIRAS E TUBOS SEMELHANTES"</f>
        <v>MANGUEIRAS E TUBOS SEMELHANTES</v>
      </c>
    </row>
    <row r="6186" spans="1:2">
      <c r="A6186" s="1" t="str">
        <f>"5910.00.00"</f>
        <v>5910.00.00</v>
      </c>
      <c r="B6186" s="2" t="str">
        <f>"CORREIS TRANPORTADORAS -ESTEIRA"</f>
        <v>CORREIS TRANPORTADORAS -ESTEIRA</v>
      </c>
    </row>
    <row r="6187" spans="1:2">
      <c r="A6187" s="1" t="str">
        <f>"5911.10.00"</f>
        <v>5911.10.00</v>
      </c>
      <c r="B6187" s="2" t="str">
        <f>"Tecidos, feltros e tecidos forrados"</f>
        <v>Tecidos, feltros e tecidos forrados</v>
      </c>
    </row>
    <row r="6188" spans="1:2">
      <c r="A6188" s="1" t="str">
        <f>"5911.20.10"</f>
        <v>5911.20.10</v>
      </c>
      <c r="B6188" s="2" t="str">
        <f>"De materia textil sintetica ou arti"</f>
        <v>De materia textil sintetica ou arti</v>
      </c>
    </row>
    <row r="6189" spans="1:2">
      <c r="A6189" s="1" t="str">
        <f>"5911.20.90"</f>
        <v>5911.20.90</v>
      </c>
      <c r="B6189" s="2" t="str">
        <f>"Outras"</f>
        <v>Outras</v>
      </c>
    </row>
    <row r="6190" spans="1:2">
      <c r="A6190" s="1" t="str">
        <f>"5911.31.00"</f>
        <v>5911.31.00</v>
      </c>
      <c r="B6190" s="2" t="str">
        <f>"De peso inferior a 650 g/m2"</f>
        <v>De peso inferior a 650 g/m2</v>
      </c>
    </row>
    <row r="6191" spans="1:2">
      <c r="A6191" s="1" t="str">
        <f>"5911.32.00"</f>
        <v>5911.32.00</v>
      </c>
      <c r="B6191" s="2" t="str">
        <f>"De peso igual ou superior a 650 g/m"</f>
        <v>De peso igual ou superior a 650 g/m</v>
      </c>
    </row>
    <row r="6192" spans="1:2">
      <c r="A6192" s="1" t="str">
        <f>"5911.40.00"</f>
        <v>5911.40.00</v>
      </c>
      <c r="B6192" s="2" t="str">
        <f>"TECIDOS FILTRANTE TIPO COADOR"</f>
        <v>TECIDOS FILTRANTE TIPO COADOR</v>
      </c>
    </row>
    <row r="6193" spans="1:2">
      <c r="A6193" s="1" t="str">
        <f>"5911.90.00"</f>
        <v>5911.90.00</v>
      </c>
      <c r="B6193" s="2" t="str">
        <f>"OUTROS - ELEMENTO DE FILTRO"</f>
        <v>OUTROS - ELEMENTO DE FILTRO</v>
      </c>
    </row>
    <row r="6194" spans="1:2">
      <c r="A6194" s="1" t="str">
        <f>"6001.10.10"</f>
        <v>6001.10.10</v>
      </c>
      <c r="B6194" s="2" t="str">
        <f>"De algodao"</f>
        <v>De algodao</v>
      </c>
    </row>
    <row r="6195" spans="1:2">
      <c r="A6195" s="1" t="str">
        <f>"6001.10.20"</f>
        <v>6001.10.20</v>
      </c>
      <c r="B6195" s="2" t="str">
        <f>"De fibras sinteticas ou artificiais"</f>
        <v>De fibras sinteticas ou artificiais</v>
      </c>
    </row>
    <row r="6196" spans="1:2">
      <c r="A6196" s="1" t="str">
        <f>"6001.10.90"</f>
        <v>6001.10.90</v>
      </c>
      <c r="B6196" s="2" t="str">
        <f>"De outras materias texteis"</f>
        <v>De outras materias texteis</v>
      </c>
    </row>
    <row r="6197" spans="1:2">
      <c r="A6197" s="1" t="str">
        <f>"6001.21.00"</f>
        <v>6001.21.00</v>
      </c>
      <c r="B6197" s="2" t="str">
        <f>"De algodao"</f>
        <v>De algodao</v>
      </c>
    </row>
    <row r="6198" spans="1:2">
      <c r="A6198" s="1" t="str">
        <f>"6001.22.00"</f>
        <v>6001.22.00</v>
      </c>
      <c r="B6198" s="2" t="str">
        <f>"OUTROS"</f>
        <v>OUTROS</v>
      </c>
    </row>
    <row r="6199" spans="1:2">
      <c r="A6199" s="1" t="str">
        <f>"6001.29.00"</f>
        <v>6001.29.00</v>
      </c>
      <c r="B6199" s="2" t="str">
        <f>"De outras materias texteis"</f>
        <v>De outras materias texteis</v>
      </c>
    </row>
    <row r="6200" spans="1:2">
      <c r="A6200" s="1" t="str">
        <f>"6001.91.00"</f>
        <v>6001.91.00</v>
      </c>
      <c r="B6200" s="2" t="str">
        <f>"De algodao"</f>
        <v>De algodao</v>
      </c>
    </row>
    <row r="6201" spans="1:2">
      <c r="A6201" s="1" t="str">
        <f>"6001.92.00"</f>
        <v>6001.92.00</v>
      </c>
      <c r="B6201" s="2" t="str">
        <f>"De fibras sintéticas ou artificiais"</f>
        <v>De fibras sintéticas ou artificiais</v>
      </c>
    </row>
    <row r="6202" spans="1:2">
      <c r="A6202" s="1" t="str">
        <f>"6001.99.00"</f>
        <v>6001.99.00</v>
      </c>
      <c r="B6202" s="2" t="str">
        <f>"De outras materias texteis"</f>
        <v>De outras materias texteis</v>
      </c>
    </row>
    <row r="6203" spans="1:2">
      <c r="A6203" s="1" t="str">
        <f>"6002.40.10"</f>
        <v>6002.40.10</v>
      </c>
      <c r="B6203" s="2" t="str">
        <f>"De algodao"</f>
        <v>De algodao</v>
      </c>
    </row>
    <row r="6204" spans="1:2">
      <c r="A6204" s="1" t="str">
        <f>"6002.40.20"</f>
        <v>6002.40.20</v>
      </c>
      <c r="B6204" s="2" t="str">
        <f>"De fibras sinteticas ou artificiais"</f>
        <v>De fibras sinteticas ou artificiais</v>
      </c>
    </row>
    <row r="6205" spans="1:2">
      <c r="A6205" s="1" t="str">
        <f>"6002.40.90"</f>
        <v>6002.40.90</v>
      </c>
      <c r="B6205" s="2" t="str">
        <f>"De outras materias texteis"</f>
        <v>De outras materias texteis</v>
      </c>
    </row>
    <row r="6206" spans="1:2">
      <c r="A6206" s="1" t="str">
        <f>"6002.90.10"</f>
        <v>6002.90.10</v>
      </c>
      <c r="B6206" s="2" t="str">
        <f>"De algodao"</f>
        <v>De algodao</v>
      </c>
    </row>
    <row r="6207" spans="1:2">
      <c r="A6207" s="1" t="str">
        <f>"6002.90.20"</f>
        <v>6002.90.20</v>
      </c>
      <c r="B6207" s="2" t="str">
        <f>"De fibras sinteticas ou artificiais"</f>
        <v>De fibras sinteticas ou artificiais</v>
      </c>
    </row>
    <row r="6208" spans="1:2">
      <c r="A6208" s="1" t="str">
        <f>"6002.90.90"</f>
        <v>6002.90.90</v>
      </c>
      <c r="B6208" s="2" t="str">
        <f>"De outras materias texteis"</f>
        <v>De outras materias texteis</v>
      </c>
    </row>
    <row r="6209" spans="1:2">
      <c r="A6209" s="1" t="str">
        <f>"6003.10.00"</f>
        <v>6003.10.00</v>
      </c>
      <c r="B6209" s="2" t="str">
        <f>"De la ou de pelos finos"</f>
        <v>De la ou de pelos finos</v>
      </c>
    </row>
    <row r="6210" spans="1:2">
      <c r="A6210" s="1" t="str">
        <f>"6003.20.00"</f>
        <v>6003.20.00</v>
      </c>
      <c r="B6210" s="2" t="str">
        <f>"De algodao"</f>
        <v>De algodao</v>
      </c>
    </row>
    <row r="6211" spans="1:2">
      <c r="A6211" s="1" t="str">
        <f>"6003.30.00"</f>
        <v>6003.30.00</v>
      </c>
      <c r="B6211" s="2" t="str">
        <f>"De fibras sinteticas"</f>
        <v>De fibras sinteticas</v>
      </c>
    </row>
    <row r="6212" spans="1:2">
      <c r="A6212" s="1" t="str">
        <f>"6003.40.00"</f>
        <v>6003.40.00</v>
      </c>
      <c r="B6212" s="2" t="str">
        <f>"De fibras artificiais"</f>
        <v>De fibras artificiais</v>
      </c>
    </row>
    <row r="6213" spans="1:2">
      <c r="A6213" s="1" t="str">
        <f>"6003.90.00"</f>
        <v>6003.90.00</v>
      </c>
      <c r="B6213" s="2" t="str">
        <f>"Outros"</f>
        <v>Outros</v>
      </c>
    </row>
    <row r="6214" spans="1:2">
      <c r="A6214" s="1" t="str">
        <f>"6004.10.11"</f>
        <v>6004.10.11</v>
      </c>
      <c r="B6214" s="2" t="str">
        <f>"Crus ou branqueados"</f>
        <v>Crus ou branqueados</v>
      </c>
    </row>
    <row r="6215" spans="1:2">
      <c r="A6215" s="1" t="str">
        <f>"6004.10.12"</f>
        <v>6004.10.12</v>
      </c>
      <c r="B6215" s="2" t="str">
        <f>"Tintos"</f>
        <v>Tintos</v>
      </c>
    </row>
    <row r="6216" spans="1:2">
      <c r="A6216" s="1" t="str">
        <f>"6004.10.13"</f>
        <v>6004.10.13</v>
      </c>
      <c r="B6216" s="2" t="str">
        <f>"De fios de diversas cores"</f>
        <v>De fios de diversas cores</v>
      </c>
    </row>
    <row r="6217" spans="1:2">
      <c r="A6217" s="1" t="str">
        <f>"6004.10.14"</f>
        <v>6004.10.14</v>
      </c>
      <c r="B6217" s="2" t="str">
        <f>"Estampados"</f>
        <v>Estampados</v>
      </c>
    </row>
    <row r="6218" spans="1:2">
      <c r="A6218" s="1" t="str">
        <f>"6004.10.31"</f>
        <v>6004.10.31</v>
      </c>
      <c r="B6218" s="2" t="str">
        <f>"Crus ou branqueados"</f>
        <v>Crus ou branqueados</v>
      </c>
    </row>
    <row r="6219" spans="1:2">
      <c r="A6219" s="1" t="str">
        <f>"6004.10.32"</f>
        <v>6004.10.32</v>
      </c>
      <c r="B6219" s="2" t="str">
        <f>"Tintos"</f>
        <v>Tintos</v>
      </c>
    </row>
    <row r="6220" spans="1:2">
      <c r="A6220" s="1" t="str">
        <f>"6004.10.33"</f>
        <v>6004.10.33</v>
      </c>
      <c r="B6220" s="2" t="str">
        <f>"De fios de diversas cores"</f>
        <v>De fios de diversas cores</v>
      </c>
    </row>
    <row r="6221" spans="1:2">
      <c r="A6221" s="1" t="str">
        <f>"6004.10.34"</f>
        <v>6004.10.34</v>
      </c>
      <c r="B6221" s="2" t="str">
        <f>"Estampados"</f>
        <v>Estampados</v>
      </c>
    </row>
    <row r="6222" spans="1:2">
      <c r="A6222" s="1" t="str">
        <f>"6004.10.41"</f>
        <v>6004.10.41</v>
      </c>
      <c r="B6222" s="2" t="str">
        <f>"Crus ou branqueados"</f>
        <v>Crus ou branqueados</v>
      </c>
    </row>
    <row r="6223" spans="1:2">
      <c r="A6223" s="1" t="str">
        <f>"6004.10.42"</f>
        <v>6004.10.42</v>
      </c>
      <c r="B6223" s="2" t="str">
        <f>"Tintos"</f>
        <v>Tintos</v>
      </c>
    </row>
    <row r="6224" spans="1:2">
      <c r="A6224" s="1" t="str">
        <f>"6004.10.43"</f>
        <v>6004.10.43</v>
      </c>
      <c r="B6224" s="2" t="str">
        <f>"De fios de diversas cores"</f>
        <v>De fios de diversas cores</v>
      </c>
    </row>
    <row r="6225" spans="1:2">
      <c r="A6225" s="1" t="str">
        <f>"6004.10.44"</f>
        <v>6004.10.44</v>
      </c>
      <c r="B6225" s="2" t="str">
        <f>"Estampados"</f>
        <v>Estampados</v>
      </c>
    </row>
    <row r="6226" spans="1:2">
      <c r="A6226" s="1" t="str">
        <f>"6004.10.91"</f>
        <v>6004.10.91</v>
      </c>
      <c r="B6226" s="2" t="str">
        <f>"Crus ou branqueados"</f>
        <v>Crus ou branqueados</v>
      </c>
    </row>
    <row r="6227" spans="1:2">
      <c r="A6227" s="1" t="str">
        <f>"6004.10.92"</f>
        <v>6004.10.92</v>
      </c>
      <c r="B6227" s="2" t="str">
        <f>"Tintos"</f>
        <v>Tintos</v>
      </c>
    </row>
    <row r="6228" spans="1:2">
      <c r="A6228" s="1" t="str">
        <f>"6004.10.93"</f>
        <v>6004.10.93</v>
      </c>
      <c r="B6228" s="2" t="str">
        <f>"De fios de diversas cores"</f>
        <v>De fios de diversas cores</v>
      </c>
    </row>
    <row r="6229" spans="1:2">
      <c r="A6229" s="1" t="str">
        <f>"6004.10.94"</f>
        <v>6004.10.94</v>
      </c>
      <c r="B6229" s="2" t="str">
        <f>"Estampados"</f>
        <v>Estampados</v>
      </c>
    </row>
    <row r="6230" spans="1:2">
      <c r="A6230" s="1" t="str">
        <f>"6004.90.10"</f>
        <v>6004.90.10</v>
      </c>
      <c r="B6230" s="2" t="str">
        <f>"De algodao"</f>
        <v>De algodao</v>
      </c>
    </row>
    <row r="6231" spans="1:2">
      <c r="A6231" s="1" t="str">
        <f>"6004.90.30"</f>
        <v>6004.90.30</v>
      </c>
      <c r="B6231" s="2" t="str">
        <f>"De fibras sinteticas"</f>
        <v>De fibras sinteticas</v>
      </c>
    </row>
    <row r="6232" spans="1:2">
      <c r="A6232" s="1" t="str">
        <f>"6004.90.40"</f>
        <v>6004.90.40</v>
      </c>
      <c r="B6232" s="2" t="str">
        <f>"De fibras artificiais"</f>
        <v>De fibras artificiais</v>
      </c>
    </row>
    <row r="6233" spans="1:2">
      <c r="A6233" s="1" t="str">
        <f>"6004.90.90"</f>
        <v>6004.90.90</v>
      </c>
      <c r="B6233" s="2" t="str">
        <f>"De outras materias texteis"</f>
        <v>De outras materias texteis</v>
      </c>
    </row>
    <row r="6234" spans="1:2">
      <c r="A6234" s="1" t="str">
        <f>"6005.21.00"</f>
        <v>6005.21.00</v>
      </c>
      <c r="B6234" s="2" t="str">
        <f>"Crus ou branqueados"</f>
        <v>Crus ou branqueados</v>
      </c>
    </row>
    <row r="6235" spans="1:2">
      <c r="A6235" s="1" t="str">
        <f>"6005.22.00"</f>
        <v>6005.22.00</v>
      </c>
      <c r="B6235" s="2" t="str">
        <f>"Tintos"</f>
        <v>Tintos</v>
      </c>
    </row>
    <row r="6236" spans="1:2">
      <c r="A6236" s="1" t="str">
        <f>"6005.23.00"</f>
        <v>6005.23.00</v>
      </c>
      <c r="B6236" s="2" t="str">
        <f>"De fios de diversas cores"</f>
        <v>De fios de diversas cores</v>
      </c>
    </row>
    <row r="6237" spans="1:2">
      <c r="A6237" s="1" t="str">
        <f>"6005.24.00"</f>
        <v>6005.24.00</v>
      </c>
      <c r="B6237" s="2" t="str">
        <f>"Estampados"</f>
        <v>Estampados</v>
      </c>
    </row>
    <row r="6238" spans="1:2">
      <c r="A6238" s="1" t="str">
        <f>"6005.35.00"</f>
        <v>6005.35.00</v>
      </c>
      <c r="B6238" s="2" t="str">
        <f>"Tecidos mencionados na Nota de subp"</f>
        <v>Tecidos mencionados na Nota de subp</v>
      </c>
    </row>
    <row r="6239" spans="1:2">
      <c r="A6239" s="1" t="str">
        <f>"6005.36.00"</f>
        <v>6005.36.00</v>
      </c>
      <c r="B6239" s="2" t="str">
        <f>"Outros, crus ou branqueados"</f>
        <v>Outros, crus ou branqueados</v>
      </c>
    </row>
    <row r="6240" spans="1:2">
      <c r="A6240" s="1" t="str">
        <f>"6005.37.00"</f>
        <v>6005.37.00</v>
      </c>
      <c r="B6240" s="2" t="str">
        <f>"Outros, tintos"</f>
        <v>Outros, tintos</v>
      </c>
    </row>
    <row r="6241" spans="1:2">
      <c r="A6241" s="1" t="str">
        <f>"6005.38.00"</f>
        <v>6005.38.00</v>
      </c>
      <c r="B6241" s="2" t="str">
        <f>"Outros, de fios de diversas cores"</f>
        <v>Outros, de fios de diversas cores</v>
      </c>
    </row>
    <row r="6242" spans="1:2">
      <c r="A6242" s="1" t="str">
        <f>"6005.39.00"</f>
        <v>6005.39.00</v>
      </c>
      <c r="B6242" s="2" t="str">
        <f>"Outros, estampados"</f>
        <v>Outros, estampados</v>
      </c>
    </row>
    <row r="6243" spans="1:2">
      <c r="A6243" s="1" t="str">
        <f>"6005.41.00"</f>
        <v>6005.41.00</v>
      </c>
      <c r="B6243" s="2" t="str">
        <f>"Crus ou branqueados"</f>
        <v>Crus ou branqueados</v>
      </c>
    </row>
    <row r="6244" spans="1:2">
      <c r="A6244" s="1" t="str">
        <f>"6005.42.00"</f>
        <v>6005.42.00</v>
      </c>
      <c r="B6244" s="2" t="str">
        <f>"Tintos"</f>
        <v>Tintos</v>
      </c>
    </row>
    <row r="6245" spans="1:2">
      <c r="A6245" s="1" t="str">
        <f>"6005.43.00"</f>
        <v>6005.43.00</v>
      </c>
      <c r="B6245" s="2" t="str">
        <f>"De fios de diversas cores"</f>
        <v>De fios de diversas cores</v>
      </c>
    </row>
    <row r="6246" spans="1:2">
      <c r="A6246" s="1" t="str">
        <f>"6005.44.00"</f>
        <v>6005.44.00</v>
      </c>
      <c r="B6246" s="2" t="str">
        <f>"Estampados"</f>
        <v>Estampados</v>
      </c>
    </row>
    <row r="6247" spans="1:2">
      <c r="A6247" s="1" t="str">
        <f>"6005.90.10"</f>
        <v>6005.90.10</v>
      </c>
      <c r="B6247" s="2" t="str">
        <f>"De la ou de pelos finos"</f>
        <v>De la ou de pelos finos</v>
      </c>
    </row>
    <row r="6248" spans="1:2">
      <c r="A6248" s="1" t="str">
        <f>"6005.90.90"</f>
        <v>6005.90.90</v>
      </c>
      <c r="B6248" s="2" t="str">
        <f>"Outros"</f>
        <v>Outros</v>
      </c>
    </row>
    <row r="6249" spans="1:2">
      <c r="A6249" s="1" t="str">
        <f>"6006.10.00"</f>
        <v>6006.10.00</v>
      </c>
      <c r="B6249" s="2" t="str">
        <f>"De la ou de pelos finos"</f>
        <v>De la ou de pelos finos</v>
      </c>
    </row>
    <row r="6250" spans="1:2">
      <c r="A6250" s="1" t="str">
        <f>"6006.21.00"</f>
        <v>6006.21.00</v>
      </c>
      <c r="B6250" s="2" t="str">
        <f>"Crus ou branqueados"</f>
        <v>Crus ou branqueados</v>
      </c>
    </row>
    <row r="6251" spans="1:2">
      <c r="A6251" s="1" t="str">
        <f>"6006.22.00"</f>
        <v>6006.22.00</v>
      </c>
      <c r="B6251" s="2" t="str">
        <f>"Tintos"</f>
        <v>Tintos</v>
      </c>
    </row>
    <row r="6252" spans="1:2">
      <c r="A6252" s="1" t="str">
        <f>"6006.23.00"</f>
        <v>6006.23.00</v>
      </c>
      <c r="B6252" s="2" t="str">
        <f>"De fios de diversas cores"</f>
        <v>De fios de diversas cores</v>
      </c>
    </row>
    <row r="6253" spans="1:2">
      <c r="A6253" s="1" t="str">
        <f>"6006.24.00"</f>
        <v>6006.24.00</v>
      </c>
      <c r="B6253" s="2" t="str">
        <f>"Estampados"</f>
        <v>Estampados</v>
      </c>
    </row>
    <row r="6254" spans="1:2">
      <c r="A6254" s="1" t="str">
        <f>"6006.31.00"</f>
        <v>6006.31.00</v>
      </c>
      <c r="B6254" s="2" t="str">
        <f>"Crus ou branqueados"</f>
        <v>Crus ou branqueados</v>
      </c>
    </row>
    <row r="6255" spans="1:2">
      <c r="A6255" s="1" t="str">
        <f>"6006.31.10"</f>
        <v>6006.31.10</v>
      </c>
      <c r="B6255" s="2" t="str">
        <f>"De nailon ou de outras poliamidas"</f>
        <v>De nailon ou de outras poliamidas</v>
      </c>
    </row>
    <row r="6256" spans="1:2">
      <c r="A6256" s="1" t="str">
        <f>"6006.31.20"</f>
        <v>6006.31.20</v>
      </c>
      <c r="B6256" s="2" t="str">
        <f>"De poliesteres"</f>
        <v>De poliesteres</v>
      </c>
    </row>
    <row r="6257" spans="1:2">
      <c r="A6257" s="1" t="str">
        <f>"6006.31.30"</f>
        <v>6006.31.30</v>
      </c>
      <c r="B6257" s="2" t="str">
        <f>"Acrilicos ou modacrilicos"</f>
        <v>Acrilicos ou modacrilicos</v>
      </c>
    </row>
    <row r="6258" spans="1:2">
      <c r="A6258" s="1" t="str">
        <f>"6006.31.90"</f>
        <v>6006.31.90</v>
      </c>
      <c r="B6258" s="2" t="str">
        <f>"Outros"</f>
        <v>Outros</v>
      </c>
    </row>
    <row r="6259" spans="1:2">
      <c r="A6259" s="1" t="str">
        <f>"6006.32.00"</f>
        <v>6006.32.00</v>
      </c>
      <c r="B6259" s="2" t="str">
        <f>"Tintos"</f>
        <v>Tintos</v>
      </c>
    </row>
    <row r="6260" spans="1:2">
      <c r="A6260" s="1" t="str">
        <f>"6006.32.10"</f>
        <v>6006.32.10</v>
      </c>
      <c r="B6260" s="2" t="str">
        <f>"De nailon ou de outras poliamidas"</f>
        <v>De nailon ou de outras poliamidas</v>
      </c>
    </row>
    <row r="6261" spans="1:2">
      <c r="A6261" s="1" t="str">
        <f>"6006.32.20"</f>
        <v>6006.32.20</v>
      </c>
      <c r="B6261" s="2" t="str">
        <f>"De poliesteres"</f>
        <v>De poliesteres</v>
      </c>
    </row>
    <row r="6262" spans="1:2">
      <c r="A6262" s="1" t="str">
        <f>"6006.32.30"</f>
        <v>6006.32.30</v>
      </c>
      <c r="B6262" s="2" t="str">
        <f>"Acrilicos ou modacrilicos"</f>
        <v>Acrilicos ou modacrilicos</v>
      </c>
    </row>
    <row r="6263" spans="1:2">
      <c r="A6263" s="1" t="str">
        <f>"6006.32.90"</f>
        <v>6006.32.90</v>
      </c>
      <c r="B6263" s="2" t="str">
        <f>"Outros"</f>
        <v>Outros</v>
      </c>
    </row>
    <row r="6264" spans="1:2">
      <c r="A6264" s="1" t="str">
        <f>"6006.33.00"</f>
        <v>6006.33.00</v>
      </c>
      <c r="B6264" s="2" t="str">
        <f>"De fios de diversas cores"</f>
        <v>De fios de diversas cores</v>
      </c>
    </row>
    <row r="6265" spans="1:2">
      <c r="A6265" s="1" t="str">
        <f>"6006.33.10"</f>
        <v>6006.33.10</v>
      </c>
      <c r="B6265" s="2" t="str">
        <f>"De nailon ou de outras poliamidas"</f>
        <v>De nailon ou de outras poliamidas</v>
      </c>
    </row>
    <row r="6266" spans="1:2">
      <c r="A6266" s="1" t="str">
        <f>"6006.33.20"</f>
        <v>6006.33.20</v>
      </c>
      <c r="B6266" s="2" t="str">
        <f>"De poliesteres"</f>
        <v>De poliesteres</v>
      </c>
    </row>
    <row r="6267" spans="1:2">
      <c r="A6267" s="1" t="str">
        <f>"6006.33.30"</f>
        <v>6006.33.30</v>
      </c>
      <c r="B6267" s="2" t="str">
        <f>"Acrilicos ou modacrilicos"</f>
        <v>Acrilicos ou modacrilicos</v>
      </c>
    </row>
    <row r="6268" spans="1:2">
      <c r="A6268" s="1" t="str">
        <f>"6006.33.90"</f>
        <v>6006.33.90</v>
      </c>
      <c r="B6268" s="2" t="str">
        <f>"Outros"</f>
        <v>Outros</v>
      </c>
    </row>
    <row r="6269" spans="1:2">
      <c r="A6269" s="1" t="str">
        <f>"6006.34.00"</f>
        <v>6006.34.00</v>
      </c>
      <c r="B6269" s="2" t="str">
        <f>"Estampados"</f>
        <v>Estampados</v>
      </c>
    </row>
    <row r="6270" spans="1:2">
      <c r="A6270" s="1" t="str">
        <f>"6006.34.10"</f>
        <v>6006.34.10</v>
      </c>
      <c r="B6270" s="2" t="str">
        <f>"De nailon ou de outras poliamidas"</f>
        <v>De nailon ou de outras poliamidas</v>
      </c>
    </row>
    <row r="6271" spans="1:2">
      <c r="A6271" s="1" t="str">
        <f>"6006.34.20"</f>
        <v>6006.34.20</v>
      </c>
      <c r="B6271" s="2" t="str">
        <f>"De poliesteres"</f>
        <v>De poliesteres</v>
      </c>
    </row>
    <row r="6272" spans="1:2">
      <c r="A6272" s="1" t="str">
        <f>"6006.34.30"</f>
        <v>6006.34.30</v>
      </c>
      <c r="B6272" s="2" t="str">
        <f>"Acrilicos ou modacrilicos"</f>
        <v>Acrilicos ou modacrilicos</v>
      </c>
    </row>
    <row r="6273" spans="1:2">
      <c r="A6273" s="1" t="str">
        <f>"6006.34.90"</f>
        <v>6006.34.90</v>
      </c>
      <c r="B6273" s="2" t="str">
        <f>"Outros"</f>
        <v>Outros</v>
      </c>
    </row>
    <row r="6274" spans="1:2">
      <c r="A6274" s="1" t="str">
        <f>"6006.41.00"</f>
        <v>6006.41.00</v>
      </c>
      <c r="B6274" s="2" t="str">
        <f>"Crus ou branqueados"</f>
        <v>Crus ou branqueados</v>
      </c>
    </row>
    <row r="6275" spans="1:2">
      <c r="A6275" s="1" t="str">
        <f>"6006.42.00"</f>
        <v>6006.42.00</v>
      </c>
      <c r="B6275" s="2" t="str">
        <f>"Tintos"</f>
        <v>Tintos</v>
      </c>
    </row>
    <row r="6276" spans="1:2">
      <c r="A6276" s="1" t="str">
        <f>"6006.43.00"</f>
        <v>6006.43.00</v>
      </c>
      <c r="B6276" s="2" t="str">
        <f>"De fios de diversas cores"</f>
        <v>De fios de diversas cores</v>
      </c>
    </row>
    <row r="6277" spans="1:2">
      <c r="A6277" s="1" t="str">
        <f>"6006.44.00"</f>
        <v>6006.44.00</v>
      </c>
      <c r="B6277" s="2" t="str">
        <f>"Estampados"</f>
        <v>Estampados</v>
      </c>
    </row>
    <row r="6278" spans="1:2">
      <c r="A6278" s="1" t="str">
        <f>"6006.90.00"</f>
        <v>6006.90.00</v>
      </c>
      <c r="B6278" s="2" t="str">
        <f>"Outros"</f>
        <v>Outros</v>
      </c>
    </row>
    <row r="6279" spans="1:2">
      <c r="A6279" s="1" t="str">
        <f>"6101.20.00"</f>
        <v>6101.20.00</v>
      </c>
      <c r="B6279" s="2" t="str">
        <f>"DE ALGODÃO"</f>
        <v>DE ALGODÃO</v>
      </c>
    </row>
    <row r="6280" spans="1:2">
      <c r="A6280" s="1" t="str">
        <f>"6101.30.00"</f>
        <v>6101.30.00</v>
      </c>
      <c r="B6280" s="2" t="str">
        <f>"DE FIBRAS SINTÉTICAS OU ARTIFICIAIS"</f>
        <v>DE FIBRAS SINTÉTICAS OU ARTIFICIAIS</v>
      </c>
    </row>
    <row r="6281" spans="1:2">
      <c r="A6281" s="1" t="str">
        <f>"6101.90.10"</f>
        <v>6101.90.10</v>
      </c>
      <c r="B6281" s="2" t="str">
        <f>"De la ou de pelos finos"</f>
        <v>De la ou de pelos finos</v>
      </c>
    </row>
    <row r="6282" spans="1:2">
      <c r="A6282" s="1" t="str">
        <f>"6101.90.90"</f>
        <v>6101.90.90</v>
      </c>
      <c r="B6282" s="2" t="str">
        <f>"Outros"</f>
        <v>Outros</v>
      </c>
    </row>
    <row r="6283" spans="1:2">
      <c r="A6283" s="1" t="str">
        <f>"6102.10.00"</f>
        <v>6102.10.00</v>
      </c>
      <c r="B6283" s="2" t="str">
        <f>"De la ou de pelos finos"</f>
        <v>De la ou de pelos finos</v>
      </c>
    </row>
    <row r="6284" spans="1:2">
      <c r="A6284" s="1" t="str">
        <f>"6102.20.00"</f>
        <v>6102.20.00</v>
      </c>
      <c r="B6284" s="2" t="str">
        <f>"De algodao"</f>
        <v>De algodao</v>
      </c>
    </row>
    <row r="6285" spans="1:2">
      <c r="A6285" s="1" t="str">
        <f>"6102.30.00"</f>
        <v>6102.30.00</v>
      </c>
      <c r="B6285" s="2" t="str">
        <f>"De fibras sinteticas ou artificiais"</f>
        <v>De fibras sinteticas ou artificiais</v>
      </c>
    </row>
    <row r="6286" spans="1:2">
      <c r="A6286" s="1" t="str">
        <f>"6102.90.00"</f>
        <v>6102.90.00</v>
      </c>
      <c r="B6286" s="2" t="str">
        <f>"De outras materias texteis"</f>
        <v>De outras materias texteis</v>
      </c>
    </row>
    <row r="6287" spans="1:2">
      <c r="A6287" s="1" t="str">
        <f>"6103.10.10"</f>
        <v>6103.10.10</v>
      </c>
      <c r="B6287" s="2" t="str">
        <f>"De la ou de pelos finos"</f>
        <v>De la ou de pelos finos</v>
      </c>
    </row>
    <row r="6288" spans="1:2">
      <c r="A6288" s="1" t="str">
        <f>"6103.10.20"</f>
        <v>6103.10.20</v>
      </c>
      <c r="B6288" s="2" t="str">
        <f>"De fibras sinteticas"</f>
        <v>De fibras sinteticas</v>
      </c>
    </row>
    <row r="6289" spans="1:2">
      <c r="A6289" s="1" t="str">
        <f>"6103.10.90"</f>
        <v>6103.10.90</v>
      </c>
      <c r="B6289" s="2" t="str">
        <f>"De outras materias texteis"</f>
        <v>De outras materias texteis</v>
      </c>
    </row>
    <row r="6290" spans="1:2">
      <c r="A6290" s="1" t="str">
        <f>"6103.22.00"</f>
        <v>6103.22.00</v>
      </c>
      <c r="B6290" s="2" t="str">
        <f>"De algodao"</f>
        <v>De algodao</v>
      </c>
    </row>
    <row r="6291" spans="1:2">
      <c r="A6291" s="1" t="str">
        <f>"6103.23.00"</f>
        <v>6103.23.00</v>
      </c>
      <c r="B6291" s="2" t="str">
        <f>"De fibras sinteticas"</f>
        <v>De fibras sinteticas</v>
      </c>
    </row>
    <row r="6292" spans="1:2">
      <c r="A6292" s="1" t="str">
        <f>"6103.29.10"</f>
        <v>6103.29.10</v>
      </c>
      <c r="B6292" s="2" t="str">
        <f>"De la ou de pelos finos"</f>
        <v>De la ou de pelos finos</v>
      </c>
    </row>
    <row r="6293" spans="1:2">
      <c r="A6293" s="1" t="str">
        <f>"6103.29.90"</f>
        <v>6103.29.90</v>
      </c>
      <c r="B6293" s="2" t="str">
        <f>"Outros"</f>
        <v>Outros</v>
      </c>
    </row>
    <row r="6294" spans="1:2">
      <c r="A6294" s="1" t="str">
        <f>"6103.31.00"</f>
        <v>6103.31.00</v>
      </c>
      <c r="B6294" s="2" t="str">
        <f>"De la ou de pelos finos"</f>
        <v>De la ou de pelos finos</v>
      </c>
    </row>
    <row r="6295" spans="1:2">
      <c r="A6295" s="1" t="str">
        <f>"6103.32.00"</f>
        <v>6103.32.00</v>
      </c>
      <c r="B6295" s="2" t="str">
        <f>"De algodao"</f>
        <v>De algodao</v>
      </c>
    </row>
    <row r="6296" spans="1:2">
      <c r="A6296" s="1" t="str">
        <f>"6103.33.00"</f>
        <v>6103.33.00</v>
      </c>
      <c r="B6296" s="2" t="str">
        <f>"De fibras sinteticas"</f>
        <v>De fibras sinteticas</v>
      </c>
    </row>
    <row r="6297" spans="1:2">
      <c r="A6297" s="1" t="str">
        <f>"6103.39.00"</f>
        <v>6103.39.00</v>
      </c>
      <c r="B6297" s="2" t="str">
        <f>"De outras materias texteis"</f>
        <v>De outras materias texteis</v>
      </c>
    </row>
    <row r="6298" spans="1:2">
      <c r="A6298" s="1" t="str">
        <f>"6103.41.00"</f>
        <v>6103.41.00</v>
      </c>
      <c r="B6298" s="2" t="str">
        <f>"De la ou de pelos finos"</f>
        <v>De la ou de pelos finos</v>
      </c>
    </row>
    <row r="6299" spans="1:2">
      <c r="A6299" s="1" t="str">
        <f>"6103.42.00"</f>
        <v>6103.42.00</v>
      </c>
      <c r="B6299" s="2" t="str">
        <f>"De algodao"</f>
        <v>De algodao</v>
      </c>
    </row>
    <row r="6300" spans="1:2">
      <c r="A6300" s="1" t="str">
        <f>"6103.43.00"</f>
        <v>6103.43.00</v>
      </c>
      <c r="B6300" s="2" t="str">
        <f>"DE FIBRAS SINTÉTICAS"</f>
        <v>DE FIBRAS SINTÉTICAS</v>
      </c>
    </row>
    <row r="6301" spans="1:2">
      <c r="A6301" s="1" t="str">
        <f>"6103.49.00"</f>
        <v>6103.49.00</v>
      </c>
      <c r="B6301" s="2" t="str">
        <f>"DE OUTRAS MATÉRIAS TÊXTEIS"</f>
        <v>DE OUTRAS MATÉRIAS TÊXTEIS</v>
      </c>
    </row>
    <row r="6302" spans="1:2">
      <c r="A6302" s="1" t="str">
        <f>"6104.13.00"</f>
        <v>6104.13.00</v>
      </c>
      <c r="B6302" s="2" t="str">
        <f>"De fibras sinteticas"</f>
        <v>De fibras sinteticas</v>
      </c>
    </row>
    <row r="6303" spans="1:2">
      <c r="A6303" s="1" t="str">
        <f>"6104.19.10"</f>
        <v>6104.19.10</v>
      </c>
      <c r="B6303" s="2" t="str">
        <f>"De la ou de pelos finos"</f>
        <v>De la ou de pelos finos</v>
      </c>
    </row>
    <row r="6304" spans="1:2">
      <c r="A6304" s="1" t="str">
        <f>"6104.19.20"</f>
        <v>6104.19.20</v>
      </c>
      <c r="B6304" s="2" t="str">
        <f>"De algodao"</f>
        <v>De algodao</v>
      </c>
    </row>
    <row r="6305" spans="1:2">
      <c r="A6305" s="1" t="str">
        <f>"6104.19.90"</f>
        <v>6104.19.90</v>
      </c>
      <c r="B6305" s="2" t="str">
        <f>"De outras materias texteis"</f>
        <v>De outras materias texteis</v>
      </c>
    </row>
    <row r="6306" spans="1:2">
      <c r="A6306" s="1" t="str">
        <f>"6104.22.00"</f>
        <v>6104.22.00</v>
      </c>
      <c r="B6306" s="2" t="str">
        <f>"De algodao"</f>
        <v>De algodao</v>
      </c>
    </row>
    <row r="6307" spans="1:2">
      <c r="A6307" s="1" t="str">
        <f>"6104.23.00"</f>
        <v>6104.23.00</v>
      </c>
      <c r="B6307" s="2" t="str">
        <f>"De fibras sinteticas"</f>
        <v>De fibras sinteticas</v>
      </c>
    </row>
    <row r="6308" spans="1:2">
      <c r="A6308" s="1" t="str">
        <f>"6104.29.10"</f>
        <v>6104.29.10</v>
      </c>
      <c r="B6308" s="2" t="str">
        <f>"De la ou de pelos finos"</f>
        <v>De la ou de pelos finos</v>
      </c>
    </row>
    <row r="6309" spans="1:2">
      <c r="A6309" s="1" t="str">
        <f>"6104.29.90"</f>
        <v>6104.29.90</v>
      </c>
      <c r="B6309" s="2" t="str">
        <f>"Outros"</f>
        <v>Outros</v>
      </c>
    </row>
    <row r="6310" spans="1:2">
      <c r="A6310" s="1" t="str">
        <f>"6104.31.00"</f>
        <v>6104.31.00</v>
      </c>
      <c r="B6310" s="2" t="str">
        <f>"De la ou de pelos finos"</f>
        <v>De la ou de pelos finos</v>
      </c>
    </row>
    <row r="6311" spans="1:2">
      <c r="A6311" s="1" t="str">
        <f>"6104.32.00"</f>
        <v>6104.32.00</v>
      </c>
      <c r="B6311" s="2" t="str">
        <f>"De algodao"</f>
        <v>De algodao</v>
      </c>
    </row>
    <row r="6312" spans="1:2">
      <c r="A6312" s="1" t="str">
        <f>"6104.33.00"</f>
        <v>6104.33.00</v>
      </c>
      <c r="B6312" s="2" t="str">
        <f>"De fibras sinteticas"</f>
        <v>De fibras sinteticas</v>
      </c>
    </row>
    <row r="6313" spans="1:2">
      <c r="A6313" s="1" t="str">
        <f>"6104.39.00"</f>
        <v>6104.39.00</v>
      </c>
      <c r="B6313" s="2" t="str">
        <f>"De outras materias texteis"</f>
        <v>De outras materias texteis</v>
      </c>
    </row>
    <row r="6314" spans="1:2">
      <c r="A6314" s="1" t="str">
        <f>"6104.41.00"</f>
        <v>6104.41.00</v>
      </c>
      <c r="B6314" s="2" t="str">
        <f>"De la ou de pelos finos"</f>
        <v>De la ou de pelos finos</v>
      </c>
    </row>
    <row r="6315" spans="1:2">
      <c r="A6315" s="1" t="str">
        <f>"6104.42.00"</f>
        <v>6104.42.00</v>
      </c>
      <c r="B6315" s="2" t="str">
        <f>"De algodao"</f>
        <v>De algodao</v>
      </c>
    </row>
    <row r="6316" spans="1:2">
      <c r="A6316" s="1" t="str">
        <f>"6104.43.00"</f>
        <v>6104.43.00</v>
      </c>
      <c r="B6316" s="2" t="str">
        <f>"De fibras sinteticas"</f>
        <v>De fibras sinteticas</v>
      </c>
    </row>
    <row r="6317" spans="1:2">
      <c r="A6317" s="1" t="str">
        <f>"6104.44.00"</f>
        <v>6104.44.00</v>
      </c>
      <c r="B6317" s="2" t="str">
        <f>"De fibras artificiais"</f>
        <v>De fibras artificiais</v>
      </c>
    </row>
    <row r="6318" spans="1:2">
      <c r="A6318" s="1" t="str">
        <f>"6104.49.00"</f>
        <v>6104.49.00</v>
      </c>
      <c r="B6318" s="2" t="str">
        <f>"De outras materias texteis"</f>
        <v>De outras materias texteis</v>
      </c>
    </row>
    <row r="6319" spans="1:2">
      <c r="A6319" s="1" t="str">
        <f>"6104.51.00"</f>
        <v>6104.51.00</v>
      </c>
      <c r="B6319" s="2" t="str">
        <f>"De la ou de pelos finos"</f>
        <v>De la ou de pelos finos</v>
      </c>
    </row>
    <row r="6320" spans="1:2">
      <c r="A6320" s="1" t="str">
        <f>"6104.52.00"</f>
        <v>6104.52.00</v>
      </c>
      <c r="B6320" s="2" t="str">
        <f>"De algodao"</f>
        <v>De algodao</v>
      </c>
    </row>
    <row r="6321" spans="1:2">
      <c r="A6321" s="1" t="str">
        <f>"6104.53.00"</f>
        <v>6104.53.00</v>
      </c>
      <c r="B6321" s="2" t="str">
        <f>"De fibras sinteticas"</f>
        <v>De fibras sinteticas</v>
      </c>
    </row>
    <row r="6322" spans="1:2">
      <c r="A6322" s="1" t="str">
        <f>"6104.59.00"</f>
        <v>6104.59.00</v>
      </c>
      <c r="B6322" s="2" t="str">
        <f>"De outras materias texteis"</f>
        <v>De outras materias texteis</v>
      </c>
    </row>
    <row r="6323" spans="1:2">
      <c r="A6323" s="1" t="str">
        <f>"6104.61.00"</f>
        <v>6104.61.00</v>
      </c>
      <c r="B6323" s="2" t="str">
        <f>"De la ou de pelos finos"</f>
        <v>De la ou de pelos finos</v>
      </c>
    </row>
    <row r="6324" spans="1:2">
      <c r="A6324" s="1" t="str">
        <f>"6104.62.00"</f>
        <v>6104.62.00</v>
      </c>
      <c r="B6324" s="2" t="str">
        <f>"De algodao"</f>
        <v>De algodao</v>
      </c>
    </row>
    <row r="6325" spans="1:2">
      <c r="A6325" s="1" t="str">
        <f>"6104.63.00"</f>
        <v>6104.63.00</v>
      </c>
      <c r="B6325" s="2" t="str">
        <f>"De fibras sinteticas"</f>
        <v>De fibras sinteticas</v>
      </c>
    </row>
    <row r="6326" spans="1:2">
      <c r="A6326" s="1" t="str">
        <f>"6104.69.00"</f>
        <v>6104.69.00</v>
      </c>
      <c r="B6326" s="2" t="str">
        <f>"De outras materias texteis"</f>
        <v>De outras materias texteis</v>
      </c>
    </row>
    <row r="6327" spans="1:2">
      <c r="A6327" s="1" t="str">
        <f>"6105.10.00"</f>
        <v>6105.10.00</v>
      </c>
      <c r="B6327" s="2" t="str">
        <f>"DE ALGODÃO"</f>
        <v>DE ALGODÃO</v>
      </c>
    </row>
    <row r="6328" spans="1:2">
      <c r="A6328" s="1" t="str">
        <f>"6105.20.00"</f>
        <v>6105.20.00</v>
      </c>
      <c r="B6328" s="2" t="str">
        <f>"De fibras sintéticas ou artificiai"</f>
        <v>De fibras sintéticas ou artificiai</v>
      </c>
    </row>
    <row r="6329" spans="1:2">
      <c r="A6329" s="1" t="str">
        <f>"6105.90.00"</f>
        <v>6105.90.00</v>
      </c>
      <c r="B6329" s="2" t="str">
        <f>"DE OUTRAS MATÉRIAS TÊXTEIS"</f>
        <v>DE OUTRAS MATÉRIAS TÊXTEIS</v>
      </c>
    </row>
    <row r="6330" spans="1:2">
      <c r="A6330" s="1" t="str">
        <f>"6106.10.00"</f>
        <v>6106.10.00</v>
      </c>
      <c r="B6330" s="2" t="str">
        <f>"De algodao"</f>
        <v>De algodao</v>
      </c>
    </row>
    <row r="6331" spans="1:2">
      <c r="A6331" s="1" t="str">
        <f>"6106.20.00"</f>
        <v>6106.20.00</v>
      </c>
      <c r="B6331" s="2" t="str">
        <f>"De fibras sinteticas ou artificiais"</f>
        <v>De fibras sinteticas ou artificiais</v>
      </c>
    </row>
    <row r="6332" spans="1:2">
      <c r="A6332" s="1" t="str">
        <f>"6106.90.00"</f>
        <v>6106.90.00</v>
      </c>
      <c r="B6332" s="2" t="str">
        <f>"De outras materias texteis"</f>
        <v>De outras materias texteis</v>
      </c>
    </row>
    <row r="6333" spans="1:2">
      <c r="A6333" s="1" t="str">
        <f>"6107.11.00"</f>
        <v>6107.11.00</v>
      </c>
      <c r="B6333" s="2" t="str">
        <f>"De algodao"</f>
        <v>De algodao</v>
      </c>
    </row>
    <row r="6334" spans="1:2">
      <c r="A6334" s="1" t="str">
        <f>"6107.12.00"</f>
        <v>6107.12.00</v>
      </c>
      <c r="B6334" s="2" t="str">
        <f>"De fibras sinteticas ou artificiais"</f>
        <v>De fibras sinteticas ou artificiais</v>
      </c>
    </row>
    <row r="6335" spans="1:2">
      <c r="A6335" s="1" t="str">
        <f>"6107.19.00"</f>
        <v>6107.19.00</v>
      </c>
      <c r="B6335" s="2" t="str">
        <f>"De outras materias texteis"</f>
        <v>De outras materias texteis</v>
      </c>
    </row>
    <row r="6336" spans="1:2">
      <c r="A6336" s="1" t="str">
        <f>"6107.21.00"</f>
        <v>6107.21.00</v>
      </c>
      <c r="B6336" s="2" t="str">
        <f>"De algodao"</f>
        <v>De algodao</v>
      </c>
    </row>
    <row r="6337" spans="1:2">
      <c r="A6337" s="1" t="str">
        <f>"6107.22.00"</f>
        <v>6107.22.00</v>
      </c>
      <c r="B6337" s="2" t="str">
        <f>"De fibras sinteticas ou artificiais"</f>
        <v>De fibras sinteticas ou artificiais</v>
      </c>
    </row>
    <row r="6338" spans="1:2">
      <c r="A6338" s="1" t="str">
        <f>"6107.29.00"</f>
        <v>6107.29.00</v>
      </c>
      <c r="B6338" s="2" t="str">
        <f>"De outras materias texteis"</f>
        <v>De outras materias texteis</v>
      </c>
    </row>
    <row r="6339" spans="1:2">
      <c r="A6339" s="1" t="str">
        <f>"6107.91.00"</f>
        <v>6107.91.00</v>
      </c>
      <c r="B6339" s="2" t="str">
        <f>"De algodao"</f>
        <v>De algodao</v>
      </c>
    </row>
    <row r="6340" spans="1:2">
      <c r="A6340" s="1" t="str">
        <f>"6107.99.10"</f>
        <v>6107.99.10</v>
      </c>
      <c r="B6340" s="2" t="str">
        <f>"De fibras sinteticas ou artificiais"</f>
        <v>De fibras sinteticas ou artificiais</v>
      </c>
    </row>
    <row r="6341" spans="1:2">
      <c r="A6341" s="1" t="str">
        <f>"6107.99.90"</f>
        <v>6107.99.90</v>
      </c>
      <c r="B6341" s="2" t="str">
        <f>"Outros"</f>
        <v>Outros</v>
      </c>
    </row>
    <row r="6342" spans="1:2">
      <c r="A6342" s="1" t="str">
        <f>"6108.11.00"</f>
        <v>6108.11.00</v>
      </c>
      <c r="B6342" s="2" t="str">
        <f>"De fibras sinteticas ou artificiais"</f>
        <v>De fibras sinteticas ou artificiais</v>
      </c>
    </row>
    <row r="6343" spans="1:2">
      <c r="A6343" s="1" t="str">
        <f>"6108.19.00"</f>
        <v>6108.19.00</v>
      </c>
      <c r="B6343" s="2" t="str">
        <f>"De outras materias texteis"</f>
        <v>De outras materias texteis</v>
      </c>
    </row>
    <row r="6344" spans="1:2">
      <c r="A6344" s="1" t="str">
        <f>"6108.21.00"</f>
        <v>6108.21.00</v>
      </c>
      <c r="B6344" s="2" t="str">
        <f>"De algodao"</f>
        <v>De algodao</v>
      </c>
    </row>
    <row r="6345" spans="1:2">
      <c r="A6345" s="1" t="str">
        <f>"6108.22.00"</f>
        <v>6108.22.00</v>
      </c>
      <c r="B6345" s="2" t="str">
        <f>"De fibras sinteticas ou artificiais"</f>
        <v>De fibras sinteticas ou artificiais</v>
      </c>
    </row>
    <row r="6346" spans="1:2">
      <c r="A6346" s="1" t="str">
        <f>"6108.29.00"</f>
        <v>6108.29.00</v>
      </c>
      <c r="B6346" s="2" t="str">
        <f>"De outras materias texteis"</f>
        <v>De outras materias texteis</v>
      </c>
    </row>
    <row r="6347" spans="1:2">
      <c r="A6347" s="1" t="str">
        <f>"6108.31.00"</f>
        <v>6108.31.00</v>
      </c>
      <c r="B6347" s="2" t="str">
        <f>"De algodao"</f>
        <v>De algodao</v>
      </c>
    </row>
    <row r="6348" spans="1:2">
      <c r="A6348" s="1" t="str">
        <f>"6108.32.00"</f>
        <v>6108.32.00</v>
      </c>
      <c r="B6348" s="2" t="str">
        <f>"De fibras sinteticas ou artificiais"</f>
        <v>De fibras sinteticas ou artificiais</v>
      </c>
    </row>
    <row r="6349" spans="1:2">
      <c r="A6349" s="1" t="str">
        <f>"6108.39.00"</f>
        <v>6108.39.00</v>
      </c>
      <c r="B6349" s="2" t="str">
        <f>"De outras materias texteis"</f>
        <v>De outras materias texteis</v>
      </c>
    </row>
    <row r="6350" spans="1:2">
      <c r="A6350" s="1" t="str">
        <f>"6108.91.00"</f>
        <v>6108.91.00</v>
      </c>
      <c r="B6350" s="2" t="str">
        <f>"De algodao"</f>
        <v>De algodao</v>
      </c>
    </row>
    <row r="6351" spans="1:2">
      <c r="A6351" s="1" t="str">
        <f>"6108.92.00"</f>
        <v>6108.92.00</v>
      </c>
      <c r="B6351" s="2" t="str">
        <f>"De fibras sinteticas ou artificiais"</f>
        <v>De fibras sinteticas ou artificiais</v>
      </c>
    </row>
    <row r="6352" spans="1:2">
      <c r="A6352" s="1" t="str">
        <f>"6108.99.00"</f>
        <v>6108.99.00</v>
      </c>
      <c r="B6352" s="2" t="str">
        <f>"De outras materias texteis"</f>
        <v>De outras materias texteis</v>
      </c>
    </row>
    <row r="6353" spans="1:2">
      <c r="A6353" s="1" t="str">
        <f>"6109.10.00"</f>
        <v>6109.10.00</v>
      </c>
      <c r="B6353" s="2" t="str">
        <f>"De algodao"</f>
        <v>De algodao</v>
      </c>
    </row>
    <row r="6354" spans="1:2">
      <c r="A6354" s="1" t="str">
        <f>"6109.90.00"</f>
        <v>6109.90.00</v>
      </c>
      <c r="B6354" s="2" t="str">
        <f>"DE OUTRAS MATÉRIAS TÊXTEIS"</f>
        <v>DE OUTRAS MATÉRIAS TÊXTEIS</v>
      </c>
    </row>
    <row r="6355" spans="1:2">
      <c r="A6355" s="1" t="str">
        <f>"6110.11.00"</f>
        <v>6110.11.00</v>
      </c>
      <c r="B6355" s="2" t="str">
        <f>"De la"</f>
        <v>De la</v>
      </c>
    </row>
    <row r="6356" spans="1:2">
      <c r="A6356" s="1" t="str">
        <f>"6110.12.00"</f>
        <v>6110.12.00</v>
      </c>
      <c r="B6356" s="2" t="str">
        <f>"De cabra de Caxemira"</f>
        <v>De cabra de Caxemira</v>
      </c>
    </row>
    <row r="6357" spans="1:2">
      <c r="A6357" s="1" t="str">
        <f>"6110.19.00"</f>
        <v>6110.19.00</v>
      </c>
      <c r="B6357" s="2" t="str">
        <f>"Outros"</f>
        <v>Outros</v>
      </c>
    </row>
    <row r="6358" spans="1:2">
      <c r="A6358" s="1" t="str">
        <f>"6110.20.00"</f>
        <v>6110.20.00</v>
      </c>
      <c r="B6358" s="2" t="str">
        <f>"De algodao"</f>
        <v>De algodao</v>
      </c>
    </row>
    <row r="6359" spans="1:2">
      <c r="A6359" s="1" t="str">
        <f>"6110.30.00"</f>
        <v>6110.30.00</v>
      </c>
      <c r="B6359" s="2" t="str">
        <f>"De fibras sinteticas ou artificiais"</f>
        <v>De fibras sinteticas ou artificiais</v>
      </c>
    </row>
    <row r="6360" spans="1:2">
      <c r="A6360" s="1" t="str">
        <f>"6110.90.00"</f>
        <v>6110.90.00</v>
      </c>
      <c r="B6360" s="2" t="str">
        <f>"De outras materias texteis"</f>
        <v>De outras materias texteis</v>
      </c>
    </row>
    <row r="6361" spans="1:2">
      <c r="A6361" s="1" t="str">
        <f>"6111.20.00"</f>
        <v>6111.20.00</v>
      </c>
      <c r="B6361" s="2" t="str">
        <f>"De algodao"</f>
        <v>De algodao</v>
      </c>
    </row>
    <row r="6362" spans="1:2">
      <c r="A6362" s="1" t="str">
        <f>"6111.30.00"</f>
        <v>6111.30.00</v>
      </c>
      <c r="B6362" s="2" t="str">
        <f>"De fibras sinteticas"</f>
        <v>De fibras sinteticas</v>
      </c>
    </row>
    <row r="6363" spans="1:2">
      <c r="A6363" s="1" t="str">
        <f>"6111.90.10"</f>
        <v>6111.90.10</v>
      </c>
      <c r="B6363" s="2" t="str">
        <f>"De la ou de pelos finos"</f>
        <v>De la ou de pelos finos</v>
      </c>
    </row>
    <row r="6364" spans="1:2">
      <c r="A6364" s="1" t="str">
        <f>"6111.90.90"</f>
        <v>6111.90.90</v>
      </c>
      <c r="B6364" s="2" t="str">
        <f>"Outros"</f>
        <v>Outros</v>
      </c>
    </row>
    <row r="6365" spans="1:2">
      <c r="A6365" s="1" t="str">
        <f>"6112.11.00"</f>
        <v>6112.11.00</v>
      </c>
      <c r="B6365" s="2" t="str">
        <f>"De algodao"</f>
        <v>De algodao</v>
      </c>
    </row>
    <row r="6366" spans="1:2">
      <c r="A6366" s="1" t="str">
        <f>"6112.12.00"</f>
        <v>6112.12.00</v>
      </c>
      <c r="B6366" s="2" t="str">
        <f>"De fibras sinteticas"</f>
        <v>De fibras sinteticas</v>
      </c>
    </row>
    <row r="6367" spans="1:2">
      <c r="A6367" s="1" t="str">
        <f>"6112.19.00"</f>
        <v>6112.19.00</v>
      </c>
      <c r="B6367" s="2" t="str">
        <f>"De outras materias texteis"</f>
        <v>De outras materias texteis</v>
      </c>
    </row>
    <row r="6368" spans="1:2">
      <c r="A6368" s="1" t="str">
        <f>"6112.20.00"</f>
        <v>6112.20.00</v>
      </c>
      <c r="B6368" s="2" t="str">
        <f>"Macacoes (Fatos-macacos*) e conjunt"</f>
        <v>Macacoes (Fatos-macacos*) e conjunt</v>
      </c>
    </row>
    <row r="6369" spans="1:2">
      <c r="A6369" s="1" t="str">
        <f>"6112.31.00"</f>
        <v>6112.31.00</v>
      </c>
      <c r="B6369" s="2" t="str">
        <f>"De fibras sinteticas"</f>
        <v>De fibras sinteticas</v>
      </c>
    </row>
    <row r="6370" spans="1:2">
      <c r="A6370" s="1" t="str">
        <f>"6112.39.00"</f>
        <v>6112.39.00</v>
      </c>
      <c r="B6370" s="2" t="str">
        <f>"De outras materias texteis"</f>
        <v>De outras materias texteis</v>
      </c>
    </row>
    <row r="6371" spans="1:2">
      <c r="A6371" s="1" t="str">
        <f>"6112.41.00"</f>
        <v>6112.41.00</v>
      </c>
      <c r="B6371" s="2" t="str">
        <f>"De fibras sinteticas"</f>
        <v>De fibras sinteticas</v>
      </c>
    </row>
    <row r="6372" spans="1:2">
      <c r="A6372" s="1" t="str">
        <f>"6112.49.00"</f>
        <v>6112.49.00</v>
      </c>
      <c r="B6372" s="2" t="str">
        <f>"De outras materias texteis"</f>
        <v>De outras materias texteis</v>
      </c>
    </row>
    <row r="6373" spans="1:2">
      <c r="A6373" s="1" t="str">
        <f>"6113.00.00"</f>
        <v>6113.00.00</v>
      </c>
      <c r="B6373" s="2" t="str">
        <f>"Vestuario confeccionado com tecidos"</f>
        <v>Vestuario confeccionado com tecidos</v>
      </c>
    </row>
    <row r="6374" spans="1:2">
      <c r="A6374" s="1" t="str">
        <f>"6114.20.00"</f>
        <v>6114.20.00</v>
      </c>
      <c r="B6374" s="2" t="str">
        <f>"De algodao"</f>
        <v>De algodao</v>
      </c>
    </row>
    <row r="6375" spans="1:2">
      <c r="A6375" s="1" t="str">
        <f>"6114.30.00"</f>
        <v>6114.30.00</v>
      </c>
      <c r="B6375" s="2" t="str">
        <f>"De fibras sinteticas ou artificiais"</f>
        <v>De fibras sinteticas ou artificiais</v>
      </c>
    </row>
    <row r="6376" spans="1:2">
      <c r="A6376" s="1" t="str">
        <f>"6114.90.10"</f>
        <v>6114.90.10</v>
      </c>
      <c r="B6376" s="2" t="str">
        <f>"De la ou de pelos finos"</f>
        <v>De la ou de pelos finos</v>
      </c>
    </row>
    <row r="6377" spans="1:2">
      <c r="A6377" s="1" t="str">
        <f>"6114.90.90"</f>
        <v>6114.90.90</v>
      </c>
      <c r="B6377" s="2" t="str">
        <f>"Outros"</f>
        <v>Outros</v>
      </c>
    </row>
    <row r="6378" spans="1:2">
      <c r="A6378" s="1" t="str">
        <f>"6115.10.11"</f>
        <v>6115.10.11</v>
      </c>
      <c r="B6378" s="2" t="str">
        <f>"De fibras sinteticas, de titulo inf"</f>
        <v>De fibras sinteticas, de titulo inf</v>
      </c>
    </row>
    <row r="6379" spans="1:2">
      <c r="A6379" s="1" t="str">
        <f>"6115.10.12"</f>
        <v>6115.10.12</v>
      </c>
      <c r="B6379" s="2" t="str">
        <f>"De fibras sinteticas, de titulo igu"</f>
        <v>De fibras sinteticas, de titulo igu</v>
      </c>
    </row>
    <row r="6380" spans="1:2">
      <c r="A6380" s="1" t="str">
        <f>"6115.10.13"</f>
        <v>6115.10.13</v>
      </c>
      <c r="B6380" s="2" t="str">
        <f>"De la ou de pelos finos"</f>
        <v>De la ou de pelos finos</v>
      </c>
    </row>
    <row r="6381" spans="1:2">
      <c r="A6381" s="1" t="str">
        <f>"6115.10.14"</f>
        <v>6115.10.14</v>
      </c>
      <c r="B6381" s="2" t="str">
        <f>"De algodao"</f>
        <v>De algodao</v>
      </c>
    </row>
    <row r="6382" spans="1:2">
      <c r="A6382" s="1" t="str">
        <f>"6115.10.19"</f>
        <v>6115.10.19</v>
      </c>
      <c r="B6382" s="2" t="str">
        <f>"De outras materias texteis"</f>
        <v>De outras materias texteis</v>
      </c>
    </row>
    <row r="6383" spans="1:2">
      <c r="A6383" s="1" t="str">
        <f>"6115.10.21"</f>
        <v>6115.10.21</v>
      </c>
      <c r="B6383" s="2" t="str">
        <f>"De fibras sinteticas ou artificiais"</f>
        <v>De fibras sinteticas ou artificiais</v>
      </c>
    </row>
    <row r="6384" spans="1:2">
      <c r="A6384" s="1" t="str">
        <f>"6115.10.22"</f>
        <v>6115.10.22</v>
      </c>
      <c r="B6384" s="2" t="str">
        <f>"De algodao"</f>
        <v>De algodao</v>
      </c>
    </row>
    <row r="6385" spans="1:2">
      <c r="A6385" s="1" t="str">
        <f>"6115.10.29"</f>
        <v>6115.10.29</v>
      </c>
      <c r="B6385" s="2" t="str">
        <f>"De outras materias texteis"</f>
        <v>De outras materias texteis</v>
      </c>
    </row>
    <row r="6386" spans="1:2">
      <c r="A6386" s="1" t="str">
        <f>"6115.10.91"</f>
        <v>6115.10.91</v>
      </c>
      <c r="B6386" s="2" t="str">
        <f>"De la ou de pelos finos"</f>
        <v>De la ou de pelos finos</v>
      </c>
    </row>
    <row r="6387" spans="1:2">
      <c r="A6387" s="1" t="str">
        <f>"6115.10.92"</f>
        <v>6115.10.92</v>
      </c>
      <c r="B6387" s="2" t="str">
        <f>"De algodao"</f>
        <v>De algodao</v>
      </c>
    </row>
    <row r="6388" spans="1:2">
      <c r="A6388" s="1" t="str">
        <f>"6115.10.93"</f>
        <v>6115.10.93</v>
      </c>
      <c r="B6388" s="2" t="str">
        <f>"De fibras sinteticas"</f>
        <v>De fibras sinteticas</v>
      </c>
    </row>
    <row r="6389" spans="1:2">
      <c r="A6389" s="1" t="str">
        <f>"6115.10.99"</f>
        <v>6115.10.99</v>
      </c>
      <c r="B6389" s="2" t="str">
        <f>"De outras materias texteis"</f>
        <v>De outras materias texteis</v>
      </c>
    </row>
    <row r="6390" spans="1:2">
      <c r="A6390" s="1" t="str">
        <f>"6115.21.00"</f>
        <v>6115.21.00</v>
      </c>
      <c r="B6390" s="2" t="str">
        <f>"De fibras sinteticas, de titulo inf"</f>
        <v>De fibras sinteticas, de titulo inf</v>
      </c>
    </row>
    <row r="6391" spans="1:2">
      <c r="A6391" s="1" t="str">
        <f>"6115.22.00"</f>
        <v>6115.22.00</v>
      </c>
      <c r="B6391" s="2" t="str">
        <f>"De fibras sinteticas, de titulo igu"</f>
        <v>De fibras sinteticas, de titulo igu</v>
      </c>
    </row>
    <row r="6392" spans="1:2">
      <c r="A6392" s="1" t="str">
        <f>"6115.29.10"</f>
        <v>6115.29.10</v>
      </c>
      <c r="B6392" s="2" t="str">
        <f>"De la ou de pelos finos"</f>
        <v>De la ou de pelos finos</v>
      </c>
    </row>
    <row r="6393" spans="1:2">
      <c r="A6393" s="1" t="str">
        <f>"6115.29.20"</f>
        <v>6115.29.20</v>
      </c>
      <c r="B6393" s="2" t="str">
        <f>"De algodao"</f>
        <v>De algodao</v>
      </c>
    </row>
    <row r="6394" spans="1:2">
      <c r="A6394" s="1" t="str">
        <f>"6115.29.90"</f>
        <v>6115.29.90</v>
      </c>
      <c r="B6394" s="2" t="str">
        <f>"Outras"</f>
        <v>Outras</v>
      </c>
    </row>
    <row r="6395" spans="1:2">
      <c r="A6395" s="1" t="str">
        <f>"6115.30.10"</f>
        <v>6115.30.10</v>
      </c>
      <c r="B6395" s="2" t="str">
        <f>"De fibras sinteticas ou artificiais"</f>
        <v>De fibras sinteticas ou artificiais</v>
      </c>
    </row>
    <row r="6396" spans="1:2">
      <c r="A6396" s="1" t="str">
        <f>"6115.30.20"</f>
        <v>6115.30.20</v>
      </c>
      <c r="B6396" s="2" t="str">
        <f>"De algodao"</f>
        <v>De algodao</v>
      </c>
    </row>
    <row r="6397" spans="1:2">
      <c r="A6397" s="1" t="str">
        <f>"6115.30.90"</f>
        <v>6115.30.90</v>
      </c>
      <c r="B6397" s="2" t="str">
        <f>"De outras materias texteis"</f>
        <v>De outras materias texteis</v>
      </c>
    </row>
    <row r="6398" spans="1:2">
      <c r="A6398" s="1" t="str">
        <f>"6115.94.00"</f>
        <v>6115.94.00</v>
      </c>
      <c r="B6398" s="2" t="str">
        <f>"De la ou de pelos finos"</f>
        <v>De la ou de pelos finos</v>
      </c>
    </row>
    <row r="6399" spans="1:2">
      <c r="A6399" s="1" t="str">
        <f>"6115.95.00"</f>
        <v>6115.95.00</v>
      </c>
      <c r="B6399" s="2" t="str">
        <f>"De algodao"</f>
        <v>De algodao</v>
      </c>
    </row>
    <row r="6400" spans="1:2">
      <c r="A6400" s="1" t="str">
        <f>"6115.96.00"</f>
        <v>6115.96.00</v>
      </c>
      <c r="B6400" s="2" t="str">
        <f>"De fibras sinteticas"</f>
        <v>De fibras sinteticas</v>
      </c>
    </row>
    <row r="6401" spans="1:2">
      <c r="A6401" s="1" t="str">
        <f>"6115.99.00"</f>
        <v>6115.99.00</v>
      </c>
      <c r="B6401" s="2" t="str">
        <f>"De outras materias texteis"</f>
        <v>De outras materias texteis</v>
      </c>
    </row>
    <row r="6402" spans="1:2">
      <c r="A6402" s="1" t="str">
        <f>"6116.10.00"</f>
        <v>6116.10.00</v>
      </c>
      <c r="B6402" s="2" t="str">
        <f>"IMPREG, REVEST OU RECOB PLAT/BOR"</f>
        <v>IMPREG, REVEST OU RECOB PLAT/BOR</v>
      </c>
    </row>
    <row r="6403" spans="1:2">
      <c r="A6403" s="1" t="str">
        <f>"6116.91.00"</f>
        <v>6116.91.00</v>
      </c>
      <c r="B6403" s="2" t="str">
        <f>"De la ou de pelos finos"</f>
        <v>De la ou de pelos finos</v>
      </c>
    </row>
    <row r="6404" spans="1:2">
      <c r="A6404" s="1" t="str">
        <f>"6116.92.00"</f>
        <v>6116.92.00</v>
      </c>
      <c r="B6404" s="2" t="str">
        <f>"LUVAS DE ALGODÃO"</f>
        <v>LUVAS DE ALGODÃO</v>
      </c>
    </row>
    <row r="6405" spans="1:2">
      <c r="A6405" s="1" t="str">
        <f>"6116.93.00"</f>
        <v>6116.93.00</v>
      </c>
      <c r="B6405" s="2" t="str">
        <f>"DE FIBRAS SINTÉTICAS"</f>
        <v>DE FIBRAS SINTÉTICAS</v>
      </c>
    </row>
    <row r="6406" spans="1:2">
      <c r="A6406" s="1" t="str">
        <f>"6116.99.00"</f>
        <v>6116.99.00</v>
      </c>
      <c r="B6406" s="2" t="str">
        <f>"De outras materias texteis"</f>
        <v>De outras materias texteis</v>
      </c>
    </row>
    <row r="6407" spans="1:2">
      <c r="A6407" s="1" t="str">
        <f>"6117.10.00"</f>
        <v>6117.10.00</v>
      </c>
      <c r="B6407" s="2" t="str">
        <f>"Xales, echarpes, lencos de pescoco,"</f>
        <v>Xales, echarpes, lencos de pescoco,</v>
      </c>
    </row>
    <row r="6408" spans="1:2">
      <c r="A6408" s="1" t="str">
        <f>"6117.80.10"</f>
        <v>6117.80.10</v>
      </c>
      <c r="B6408" s="2" t="str">
        <f>"Gravatas, gravatas-borboletas e pla"</f>
        <v>Gravatas, gravatas-borboletas e pla</v>
      </c>
    </row>
    <row r="6409" spans="1:2">
      <c r="A6409" s="1" t="str">
        <f>"6117.80.90"</f>
        <v>6117.80.90</v>
      </c>
      <c r="B6409" s="2" t="str">
        <f>"Outros"</f>
        <v>Outros</v>
      </c>
    </row>
    <row r="6410" spans="1:2">
      <c r="A6410" s="1" t="str">
        <f>"6117.90.00"</f>
        <v>6117.90.00</v>
      </c>
      <c r="B6410" s="2" t="str">
        <f>"Partes"</f>
        <v>Partes</v>
      </c>
    </row>
    <row r="6411" spans="1:2">
      <c r="A6411" s="1" t="str">
        <f>"6201.11.00"</f>
        <v>6201.11.00</v>
      </c>
      <c r="B6411" s="2" t="str">
        <f>"De la ou de pelos finos"</f>
        <v>De la ou de pelos finos</v>
      </c>
    </row>
    <row r="6412" spans="1:2">
      <c r="A6412" s="1" t="str">
        <f>"6201.12.00"</f>
        <v>6201.12.00</v>
      </c>
      <c r="B6412" s="2" t="str">
        <f>"De algodao"</f>
        <v>De algodao</v>
      </c>
    </row>
    <row r="6413" spans="1:2">
      <c r="A6413" s="1" t="str">
        <f>"6201.13.00"</f>
        <v>6201.13.00</v>
      </c>
      <c r="B6413" s="2" t="str">
        <f>"DE AQUECIMENTO INSTANTÂNEO, A GÁS"</f>
        <v>DE AQUECIMENTO INSTANTÂNEO, A GÁS</v>
      </c>
    </row>
    <row r="6414" spans="1:2">
      <c r="A6414" s="1" t="str">
        <f>"6201.19.00"</f>
        <v>6201.19.00</v>
      </c>
      <c r="B6414" s="2" t="str">
        <f>"De outras materias texteis"</f>
        <v>De outras materias texteis</v>
      </c>
    </row>
    <row r="6415" spans="1:2">
      <c r="A6415" s="1" t="str">
        <f>"6201.40.00"</f>
        <v>6201.40.00</v>
      </c>
      <c r="B6415" s="2" t="str">
        <f>"De fibras sintéticas ou artificiais"</f>
        <v>De fibras sintéticas ou artificiais</v>
      </c>
    </row>
    <row r="6416" spans="1:2">
      <c r="A6416" s="1" t="str">
        <f>"6201.90.00"</f>
        <v>6201.90.00</v>
      </c>
      <c r="B6416" s="2" t="str">
        <f>"De outras matérias têxteis"</f>
        <v>De outras matérias têxteis</v>
      </c>
    </row>
    <row r="6417" spans="1:2">
      <c r="A6417" s="1" t="str">
        <f>"6201.91.00"</f>
        <v>6201.91.00</v>
      </c>
      <c r="B6417" s="2" t="str">
        <f>"De la ou de pelos finos"</f>
        <v>De la ou de pelos finos</v>
      </c>
    </row>
    <row r="6418" spans="1:2">
      <c r="A6418" s="1" t="str">
        <f>"6201.92.00"</f>
        <v>6201.92.00</v>
      </c>
      <c r="B6418" s="2" t="str">
        <f>"De algodao"</f>
        <v>De algodao</v>
      </c>
    </row>
    <row r="6419" spans="1:2">
      <c r="A6419" s="1" t="str">
        <f>"6201.93.00"</f>
        <v>6201.93.00</v>
      </c>
      <c r="B6419" s="2" t="str">
        <f>"DE FIBRAS SINTÉTICAS OU ARTIFICIAIS"</f>
        <v>DE FIBRAS SINTÉTICAS OU ARTIFICIAIS</v>
      </c>
    </row>
    <row r="6420" spans="1:2">
      <c r="A6420" s="1" t="str">
        <f>"6201.99.00"</f>
        <v>6201.99.00</v>
      </c>
      <c r="B6420" s="2" t="str">
        <f>"De outras materias texteis"</f>
        <v>De outras materias texteis</v>
      </c>
    </row>
    <row r="6421" spans="1:2">
      <c r="A6421" s="1" t="str">
        <f>"6202.11.00"</f>
        <v>6202.11.00</v>
      </c>
      <c r="B6421" s="2" t="str">
        <f>"De la ou de pelos finos"</f>
        <v>De la ou de pelos finos</v>
      </c>
    </row>
    <row r="6422" spans="1:2">
      <c r="A6422" s="1" t="str">
        <f>"6202.12.00"</f>
        <v>6202.12.00</v>
      </c>
      <c r="B6422" s="2" t="str">
        <f>"De algodao"</f>
        <v>De algodao</v>
      </c>
    </row>
    <row r="6423" spans="1:2">
      <c r="A6423" s="1" t="str">
        <f>"6202.13.00"</f>
        <v>6202.13.00</v>
      </c>
      <c r="B6423" s="2" t="str">
        <f>"De fibras sinteticas ou artificiais"</f>
        <v>De fibras sinteticas ou artificiais</v>
      </c>
    </row>
    <row r="6424" spans="1:2">
      <c r="A6424" s="1" t="str">
        <f>"6202.19.00"</f>
        <v>6202.19.00</v>
      </c>
      <c r="B6424" s="2" t="str">
        <f>"De outras materias texteis"</f>
        <v>De outras materias texteis</v>
      </c>
    </row>
    <row r="6425" spans="1:2">
      <c r="A6425" s="1" t="str">
        <f>"6202.91.00"</f>
        <v>6202.91.00</v>
      </c>
      <c r="B6425" s="2" t="str">
        <f>"De la ou de pelos finos"</f>
        <v>De la ou de pelos finos</v>
      </c>
    </row>
    <row r="6426" spans="1:2">
      <c r="A6426" s="1" t="str">
        <f>"6202.92.00"</f>
        <v>6202.92.00</v>
      </c>
      <c r="B6426" s="2" t="str">
        <f>"De algodao"</f>
        <v>De algodao</v>
      </c>
    </row>
    <row r="6427" spans="1:2">
      <c r="A6427" s="1" t="str">
        <f>"6202.93.00"</f>
        <v>6202.93.00</v>
      </c>
      <c r="B6427" s="2" t="str">
        <f>"Jaqueta"</f>
        <v>Jaqueta</v>
      </c>
    </row>
    <row r="6428" spans="1:2">
      <c r="A6428" s="1" t="str">
        <f>"6202.99.00"</f>
        <v>6202.99.00</v>
      </c>
      <c r="B6428" s="2" t="str">
        <f>"De outras materias texteis"</f>
        <v>De outras materias texteis</v>
      </c>
    </row>
    <row r="6429" spans="1:2">
      <c r="A6429" s="1" t="str">
        <f>"6203.11.00"</f>
        <v>6203.11.00</v>
      </c>
      <c r="B6429" s="2" t="str">
        <f>"De la ou de pelos finos"</f>
        <v>De la ou de pelos finos</v>
      </c>
    </row>
    <row r="6430" spans="1:2">
      <c r="A6430" s="1" t="str">
        <f>"6203.12.00"</f>
        <v>6203.12.00</v>
      </c>
      <c r="B6430" s="2" t="str">
        <f>"De fibras sinteticas"</f>
        <v>De fibras sinteticas</v>
      </c>
    </row>
    <row r="6431" spans="1:2">
      <c r="A6431" s="1" t="str">
        <f>"6203.19.00"</f>
        <v>6203.19.00</v>
      </c>
      <c r="B6431" s="2" t="str">
        <f>"De outras materias texteis"</f>
        <v>De outras materias texteis</v>
      </c>
    </row>
    <row r="6432" spans="1:2">
      <c r="A6432" s="1" t="str">
        <f>"6203.22.00"</f>
        <v>6203.22.00</v>
      </c>
      <c r="B6432" s="2" t="str">
        <f>"De algodao"</f>
        <v>De algodao</v>
      </c>
    </row>
    <row r="6433" spans="1:2">
      <c r="A6433" s="1" t="str">
        <f>"6203.23.00"</f>
        <v>6203.23.00</v>
      </c>
      <c r="B6433" s="2" t="str">
        <f>"De fibras sinteticas"</f>
        <v>De fibras sinteticas</v>
      </c>
    </row>
    <row r="6434" spans="1:2">
      <c r="A6434" s="1" t="str">
        <f>"6203.29.10"</f>
        <v>6203.29.10</v>
      </c>
      <c r="B6434" s="2" t="str">
        <f>"De la ou de pelos finos"</f>
        <v>De la ou de pelos finos</v>
      </c>
    </row>
    <row r="6435" spans="1:2">
      <c r="A6435" s="1" t="str">
        <f>"6203.29.90"</f>
        <v>6203.29.90</v>
      </c>
      <c r="B6435" s="2" t="str">
        <f>"Outros"</f>
        <v>Outros</v>
      </c>
    </row>
    <row r="6436" spans="1:2">
      <c r="A6436" s="1" t="str">
        <f>"6203.31.00"</f>
        <v>6203.31.00</v>
      </c>
      <c r="B6436" s="2" t="str">
        <f>"De la ou de pelos finos"</f>
        <v>De la ou de pelos finos</v>
      </c>
    </row>
    <row r="6437" spans="1:2">
      <c r="A6437" s="1" t="str">
        <f>"6203.32.00"</f>
        <v>6203.32.00</v>
      </c>
      <c r="B6437" s="2" t="str">
        <f>"De algodao"</f>
        <v>De algodao</v>
      </c>
    </row>
    <row r="6438" spans="1:2">
      <c r="A6438" s="1" t="str">
        <f>"6203.33.00"</f>
        <v>6203.33.00</v>
      </c>
      <c r="B6438" s="2" t="str">
        <f>"De fibras sinteticas"</f>
        <v>De fibras sinteticas</v>
      </c>
    </row>
    <row r="6439" spans="1:2">
      <c r="A6439" s="1" t="str">
        <f>"6203.39.00"</f>
        <v>6203.39.00</v>
      </c>
      <c r="B6439" s="2" t="str">
        <f>"De outras materias texteis"</f>
        <v>De outras materias texteis</v>
      </c>
    </row>
    <row r="6440" spans="1:2">
      <c r="A6440" s="1" t="str">
        <f>"6203.41.00"</f>
        <v>6203.41.00</v>
      </c>
      <c r="B6440" s="2" t="str">
        <f>"De la ou de pelos finos"</f>
        <v>De la ou de pelos finos</v>
      </c>
    </row>
    <row r="6441" spans="1:2">
      <c r="A6441" s="1" t="str">
        <f>"6203.42.00"</f>
        <v>6203.42.00</v>
      </c>
      <c r="B6441" s="2" t="str">
        <f>"De algodao"</f>
        <v>De algodao</v>
      </c>
    </row>
    <row r="6442" spans="1:2">
      <c r="A6442" s="1" t="str">
        <f>"6203.43.00"</f>
        <v>6203.43.00</v>
      </c>
      <c r="B6442" s="2" t="str">
        <f>"De fibras sinteticas"</f>
        <v>De fibras sinteticas</v>
      </c>
    </row>
    <row r="6443" spans="1:2">
      <c r="A6443" s="1" t="str">
        <f>"6203.49.00"</f>
        <v>6203.49.00</v>
      </c>
      <c r="B6443" s="2" t="str">
        <f>"DE OUTRAS MATÉRIAS TÊXTEIS"</f>
        <v>DE OUTRAS MATÉRIAS TÊXTEIS</v>
      </c>
    </row>
    <row r="6444" spans="1:2">
      <c r="A6444" s="1" t="str">
        <f>"6204.11.00"</f>
        <v>6204.11.00</v>
      </c>
      <c r="B6444" s="2" t="str">
        <f>"De la ou de pelos finos"</f>
        <v>De la ou de pelos finos</v>
      </c>
    </row>
    <row r="6445" spans="1:2">
      <c r="A6445" s="1" t="str">
        <f>"6204.12.00"</f>
        <v>6204.12.00</v>
      </c>
      <c r="B6445" s="2" t="str">
        <f>"De algodao"</f>
        <v>De algodao</v>
      </c>
    </row>
    <row r="6446" spans="1:2">
      <c r="A6446" s="1" t="str">
        <f>"6204.13.00"</f>
        <v>6204.13.00</v>
      </c>
      <c r="B6446" s="2" t="str">
        <f>"De fibras sinteticas"</f>
        <v>De fibras sinteticas</v>
      </c>
    </row>
    <row r="6447" spans="1:2">
      <c r="A6447" s="1" t="str">
        <f>"6204.19.00"</f>
        <v>6204.19.00</v>
      </c>
      <c r="B6447" s="2" t="str">
        <f>"De outras materias texteis"</f>
        <v>De outras materias texteis</v>
      </c>
    </row>
    <row r="6448" spans="1:2">
      <c r="A6448" s="1" t="str">
        <f>"6204.21.00"</f>
        <v>6204.21.00</v>
      </c>
      <c r="B6448" s="2" t="str">
        <f>"De la ou de pelos finos"</f>
        <v>De la ou de pelos finos</v>
      </c>
    </row>
    <row r="6449" spans="1:2">
      <c r="A6449" s="1" t="str">
        <f>"6204.22.00"</f>
        <v>6204.22.00</v>
      </c>
      <c r="B6449" s="2" t="str">
        <f>"De algodao"</f>
        <v>De algodao</v>
      </c>
    </row>
    <row r="6450" spans="1:2">
      <c r="A6450" s="1" t="str">
        <f>"6204.23.00"</f>
        <v>6204.23.00</v>
      </c>
      <c r="B6450" s="2" t="str">
        <f>"De fibras sinteticas"</f>
        <v>De fibras sinteticas</v>
      </c>
    </row>
    <row r="6451" spans="1:2">
      <c r="A6451" s="1" t="str">
        <f>"6204.29.00"</f>
        <v>6204.29.00</v>
      </c>
      <c r="B6451" s="2" t="str">
        <f>"De outras materias texteis"</f>
        <v>De outras materias texteis</v>
      </c>
    </row>
    <row r="6452" spans="1:2">
      <c r="A6452" s="1" t="str">
        <f>"6204.31.00"</f>
        <v>6204.31.00</v>
      </c>
      <c r="B6452" s="2" t="str">
        <f>"De la ou de pelos finos"</f>
        <v>De la ou de pelos finos</v>
      </c>
    </row>
    <row r="6453" spans="1:2">
      <c r="A6453" s="1" t="str">
        <f>"6204.32.00"</f>
        <v>6204.32.00</v>
      </c>
      <c r="B6453" s="2" t="str">
        <f>"De algodao"</f>
        <v>De algodao</v>
      </c>
    </row>
    <row r="6454" spans="1:2">
      <c r="A6454" s="1" t="str">
        <f>"6204.33.00"</f>
        <v>6204.33.00</v>
      </c>
      <c r="B6454" s="2" t="str">
        <f>"De fibras sinteticas"</f>
        <v>De fibras sinteticas</v>
      </c>
    </row>
    <row r="6455" spans="1:2">
      <c r="A6455" s="1" t="str">
        <f>"6204.39.00"</f>
        <v>6204.39.00</v>
      </c>
      <c r="B6455" s="2" t="str">
        <f>"De outras materias texteis"</f>
        <v>De outras materias texteis</v>
      </c>
    </row>
    <row r="6456" spans="1:2">
      <c r="A6456" s="1" t="str">
        <f>"6204.41.00"</f>
        <v>6204.41.00</v>
      </c>
      <c r="B6456" s="2" t="str">
        <f>"De la ou de pelos finos"</f>
        <v>De la ou de pelos finos</v>
      </c>
    </row>
    <row r="6457" spans="1:2">
      <c r="A6457" s="1" t="str">
        <f>"6204.42.00"</f>
        <v>6204.42.00</v>
      </c>
      <c r="B6457" s="2" t="str">
        <f>"De algodao"</f>
        <v>De algodao</v>
      </c>
    </row>
    <row r="6458" spans="1:2">
      <c r="A6458" s="1" t="str">
        <f>"6204.43.00"</f>
        <v>6204.43.00</v>
      </c>
      <c r="B6458" s="2" t="str">
        <f>"De fibras sinteticas"</f>
        <v>De fibras sinteticas</v>
      </c>
    </row>
    <row r="6459" spans="1:2">
      <c r="A6459" s="1" t="str">
        <f>"6204.44.00"</f>
        <v>6204.44.00</v>
      </c>
      <c r="B6459" s="2" t="str">
        <f>"De fibras artificiais"</f>
        <v>De fibras artificiais</v>
      </c>
    </row>
    <row r="6460" spans="1:2">
      <c r="A6460" s="1" t="str">
        <f>"6204.49.00"</f>
        <v>6204.49.00</v>
      </c>
      <c r="B6460" s="2" t="str">
        <f>"De outras materias texteis"</f>
        <v>De outras materias texteis</v>
      </c>
    </row>
    <row r="6461" spans="1:2">
      <c r="A6461" s="1" t="str">
        <f>"6204.51.00"</f>
        <v>6204.51.00</v>
      </c>
      <c r="B6461" s="2" t="str">
        <f>"De la ou de pelos finos"</f>
        <v>De la ou de pelos finos</v>
      </c>
    </row>
    <row r="6462" spans="1:2">
      <c r="A6462" s="1" t="str">
        <f>"6204.52.00"</f>
        <v>6204.52.00</v>
      </c>
      <c r="B6462" s="2" t="str">
        <f>"De algodao"</f>
        <v>De algodao</v>
      </c>
    </row>
    <row r="6463" spans="1:2">
      <c r="A6463" s="1" t="str">
        <f>"6204.53.00"</f>
        <v>6204.53.00</v>
      </c>
      <c r="B6463" s="2" t="str">
        <f>"De fibras sinteticas"</f>
        <v>De fibras sinteticas</v>
      </c>
    </row>
    <row r="6464" spans="1:2">
      <c r="A6464" s="1" t="str">
        <f>"6204.59.00"</f>
        <v>6204.59.00</v>
      </c>
      <c r="B6464" s="2" t="str">
        <f>"De outras materias texteis"</f>
        <v>De outras materias texteis</v>
      </c>
    </row>
    <row r="6465" spans="1:2">
      <c r="A6465" s="1" t="str">
        <f>"6204.61.00"</f>
        <v>6204.61.00</v>
      </c>
      <c r="B6465" s="2" t="str">
        <f>"De la ou de pelos finos"</f>
        <v>De la ou de pelos finos</v>
      </c>
    </row>
    <row r="6466" spans="1:2">
      <c r="A6466" s="1" t="str">
        <f>"6204.62.00"</f>
        <v>6204.62.00</v>
      </c>
      <c r="B6466" s="2" t="str">
        <f>"De algodao"</f>
        <v>De algodao</v>
      </c>
    </row>
    <row r="6467" spans="1:2">
      <c r="A6467" s="1" t="str">
        <f>"6204.63.00"</f>
        <v>6204.63.00</v>
      </c>
      <c r="B6467" s="2" t="str">
        <f>"De fibras sinteticas"</f>
        <v>De fibras sinteticas</v>
      </c>
    </row>
    <row r="6468" spans="1:2">
      <c r="A6468" s="1" t="str">
        <f>"6204.69.00"</f>
        <v>6204.69.00</v>
      </c>
      <c r="B6468" s="2" t="str">
        <f>"De outras materias texteis"</f>
        <v>De outras materias texteis</v>
      </c>
    </row>
    <row r="6469" spans="1:2">
      <c r="A6469" s="1" t="str">
        <f>"6205.20.00"</f>
        <v>6205.20.00</v>
      </c>
      <c r="B6469" s="2" t="str">
        <f>"De algodao"</f>
        <v>De algodao</v>
      </c>
    </row>
    <row r="6470" spans="1:2">
      <c r="A6470" s="1" t="str">
        <f>"6205.30.00"</f>
        <v>6205.30.00</v>
      </c>
      <c r="B6470" s="2" t="str">
        <f>"DE FIBRAS SINTÉTICAS OU ARTIFICIAIS"</f>
        <v>DE FIBRAS SINTÉTICAS OU ARTIFICIAIS</v>
      </c>
    </row>
    <row r="6471" spans="1:2">
      <c r="A6471" s="1" t="str">
        <f>"6205.90.10"</f>
        <v>6205.90.10</v>
      </c>
      <c r="B6471" s="2" t="str">
        <f>"DE LÃ OU DE PELOS FINOS"</f>
        <v>DE LÃ OU DE PELOS FINOS</v>
      </c>
    </row>
    <row r="6472" spans="1:2">
      <c r="A6472" s="1" t="str">
        <f>"6205.90.90"</f>
        <v>6205.90.90</v>
      </c>
      <c r="B6472" s="2" t="str">
        <f>"Outras"</f>
        <v>Outras</v>
      </c>
    </row>
    <row r="6473" spans="1:2">
      <c r="A6473" s="1" t="str">
        <f>"6206.10.00"</f>
        <v>6206.10.00</v>
      </c>
      <c r="B6473" s="2" t="str">
        <f>"De seda ou de desperdicios de seda"</f>
        <v>De seda ou de desperdicios de seda</v>
      </c>
    </row>
    <row r="6474" spans="1:2">
      <c r="A6474" s="1" t="str">
        <f>"6206.20.00"</f>
        <v>6206.20.00</v>
      </c>
      <c r="B6474" s="2" t="str">
        <f>"De la ou de pelos finos"</f>
        <v>De la ou de pelos finos</v>
      </c>
    </row>
    <row r="6475" spans="1:2">
      <c r="A6475" s="1" t="str">
        <f>"6206.30.00"</f>
        <v>6206.30.00</v>
      </c>
      <c r="B6475" s="2" t="str">
        <f>"De algodao"</f>
        <v>De algodao</v>
      </c>
    </row>
    <row r="6476" spans="1:2">
      <c r="A6476" s="1" t="str">
        <f>"6206.40.00"</f>
        <v>6206.40.00</v>
      </c>
      <c r="B6476" s="2" t="str">
        <f>"DE FIBRAS SINTÉTICAS OU ARTIFICIAIS"</f>
        <v>DE FIBRAS SINTÉTICAS OU ARTIFICIAIS</v>
      </c>
    </row>
    <row r="6477" spans="1:2">
      <c r="A6477" s="1" t="str">
        <f>"6206.90.00"</f>
        <v>6206.90.00</v>
      </c>
      <c r="B6477" s="2" t="str">
        <f>"De outras materias texteis"</f>
        <v>De outras materias texteis</v>
      </c>
    </row>
    <row r="6478" spans="1:2">
      <c r="A6478" s="1" t="str">
        <f>"6207.11.00"</f>
        <v>6207.11.00</v>
      </c>
      <c r="B6478" s="2" t="str">
        <f>"De algodao"</f>
        <v>De algodao</v>
      </c>
    </row>
    <row r="6479" spans="1:2">
      <c r="A6479" s="1" t="str">
        <f>"6207.19.00"</f>
        <v>6207.19.00</v>
      </c>
      <c r="B6479" s="2" t="str">
        <f>"De outras materias texteis"</f>
        <v>De outras materias texteis</v>
      </c>
    </row>
    <row r="6480" spans="1:2">
      <c r="A6480" s="1" t="str">
        <f>"6207.21.00"</f>
        <v>6207.21.00</v>
      </c>
      <c r="B6480" s="2" t="str">
        <f>"De algodao"</f>
        <v>De algodao</v>
      </c>
    </row>
    <row r="6481" spans="1:2">
      <c r="A6481" s="1" t="str">
        <f>"6207.22.00"</f>
        <v>6207.22.00</v>
      </c>
      <c r="B6481" s="2" t="str">
        <f>"De fibras sinteticas ou artificiais"</f>
        <v>De fibras sinteticas ou artificiais</v>
      </c>
    </row>
    <row r="6482" spans="1:2">
      <c r="A6482" s="1" t="str">
        <f>"6207.29.00"</f>
        <v>6207.29.00</v>
      </c>
      <c r="B6482" s="2" t="str">
        <f>"De outras materias texteis"</f>
        <v>De outras materias texteis</v>
      </c>
    </row>
    <row r="6483" spans="1:2">
      <c r="A6483" s="1" t="str">
        <f>"6207.91.00"</f>
        <v>6207.91.00</v>
      </c>
      <c r="B6483" s="2" t="str">
        <f>"De algodao"</f>
        <v>De algodao</v>
      </c>
    </row>
    <row r="6484" spans="1:2">
      <c r="A6484" s="1" t="str">
        <f>"6207.99.10"</f>
        <v>6207.99.10</v>
      </c>
      <c r="B6484" s="2" t="str">
        <f>"De fibras sinteticas ou artificiais"</f>
        <v>De fibras sinteticas ou artificiais</v>
      </c>
    </row>
    <row r="6485" spans="1:2">
      <c r="A6485" s="1" t="str">
        <f>"6207.99.90"</f>
        <v>6207.99.90</v>
      </c>
      <c r="B6485" s="2" t="str">
        <f>"Outros"</f>
        <v>Outros</v>
      </c>
    </row>
    <row r="6486" spans="1:2">
      <c r="A6486" s="1" t="str">
        <f>"6208.11.00"</f>
        <v>6208.11.00</v>
      </c>
      <c r="B6486" s="2" t="str">
        <f>"De fibras sinteticas ou artificiais"</f>
        <v>De fibras sinteticas ou artificiais</v>
      </c>
    </row>
    <row r="6487" spans="1:2">
      <c r="A6487" s="1" t="str">
        <f>"6208.19.00"</f>
        <v>6208.19.00</v>
      </c>
      <c r="B6487" s="2" t="str">
        <f>"De outras materias texteis"</f>
        <v>De outras materias texteis</v>
      </c>
    </row>
    <row r="6488" spans="1:2">
      <c r="A6488" s="1" t="str">
        <f>"6208.21.00"</f>
        <v>6208.21.00</v>
      </c>
      <c r="B6488" s="2" t="str">
        <f>"De algodao"</f>
        <v>De algodao</v>
      </c>
    </row>
    <row r="6489" spans="1:2">
      <c r="A6489" s="1" t="str">
        <f>"6208.22.00"</f>
        <v>6208.22.00</v>
      </c>
      <c r="B6489" s="2" t="str">
        <f>"De fibras sinteticas ou artificiais"</f>
        <v>De fibras sinteticas ou artificiais</v>
      </c>
    </row>
    <row r="6490" spans="1:2">
      <c r="A6490" s="1" t="str">
        <f>"6208.29.00"</f>
        <v>6208.29.00</v>
      </c>
      <c r="B6490" s="2" t="str">
        <f>"De outras materias texteis"</f>
        <v>De outras materias texteis</v>
      </c>
    </row>
    <row r="6491" spans="1:2">
      <c r="A6491" s="1" t="str">
        <f>"6208.91.00"</f>
        <v>6208.91.00</v>
      </c>
      <c r="B6491" s="2" t="str">
        <f>"De algodao"</f>
        <v>De algodao</v>
      </c>
    </row>
    <row r="6492" spans="1:2">
      <c r="A6492" s="1" t="str">
        <f>"6208.92.00"</f>
        <v>6208.92.00</v>
      </c>
      <c r="B6492" s="2" t="str">
        <f>"De fibras sinteticas ou artificiais"</f>
        <v>De fibras sinteticas ou artificiais</v>
      </c>
    </row>
    <row r="6493" spans="1:2">
      <c r="A6493" s="1" t="str">
        <f>"6208.99.00"</f>
        <v>6208.99.00</v>
      </c>
      <c r="B6493" s="2" t="str">
        <f>"De outras materias texteis"</f>
        <v>De outras materias texteis</v>
      </c>
    </row>
    <row r="6494" spans="1:2">
      <c r="A6494" s="1" t="str">
        <f>"6209.20.00"</f>
        <v>6209.20.00</v>
      </c>
      <c r="B6494" s="2" t="str">
        <f>"De algodao"</f>
        <v>De algodao</v>
      </c>
    </row>
    <row r="6495" spans="1:2">
      <c r="A6495" s="1" t="str">
        <f>"6209.30.00"</f>
        <v>6209.30.00</v>
      </c>
      <c r="B6495" s="2" t="str">
        <f>"De fibras sinteticas"</f>
        <v>De fibras sinteticas</v>
      </c>
    </row>
    <row r="6496" spans="1:2">
      <c r="A6496" s="1" t="str">
        <f>"6209.90.10"</f>
        <v>6209.90.10</v>
      </c>
      <c r="B6496" s="2" t="str">
        <f>"De la ou de pelos finos"</f>
        <v>De la ou de pelos finos</v>
      </c>
    </row>
    <row r="6497" spans="1:2">
      <c r="A6497" s="1" t="str">
        <f>"6209.90.90"</f>
        <v>6209.90.90</v>
      </c>
      <c r="B6497" s="2" t="str">
        <f>"Outras"</f>
        <v>Outras</v>
      </c>
    </row>
    <row r="6498" spans="1:2">
      <c r="A6498" s="1" t="str">
        <f>"6210.10.00"</f>
        <v>6210.10.00</v>
      </c>
      <c r="B6498" s="2" t="str">
        <f>"C/ AS MATÉRIAS POSIÇÕES 56.02/56.03"</f>
        <v>C/ AS MATÉRIAS POSIÇÕES 56.02/56.03</v>
      </c>
    </row>
    <row r="6499" spans="1:2">
      <c r="A6499" s="1" t="str">
        <f>"6210.20.00"</f>
        <v>6210.20.00</v>
      </c>
      <c r="B6499" s="2" t="str">
        <f>"Outro vestuario, do tipo abrangido"</f>
        <v>Outro vestuario, do tipo abrangido</v>
      </c>
    </row>
    <row r="6500" spans="1:2">
      <c r="A6500" s="1" t="str">
        <f>"6210.30.00"</f>
        <v>6210.30.00</v>
      </c>
      <c r="B6500" s="2" t="str">
        <f>"Outro vestuario, do tipo abrangido"</f>
        <v>Outro vestuario, do tipo abrangido</v>
      </c>
    </row>
    <row r="6501" spans="1:2">
      <c r="A6501" s="1" t="str">
        <f>"6210.40.00"</f>
        <v>6210.40.00</v>
      </c>
      <c r="B6501" s="2" t="str">
        <f>"OUTRO VESTUÁRIO DE USO MASCULINO"</f>
        <v>OUTRO VESTUÁRIO DE USO MASCULINO</v>
      </c>
    </row>
    <row r="6502" spans="1:2">
      <c r="A6502" s="1" t="str">
        <f>"6210.50.00"</f>
        <v>6210.50.00</v>
      </c>
      <c r="B6502" s="2" t="str">
        <f>"Outro vestuario de uso feminino"</f>
        <v>Outro vestuario de uso feminino</v>
      </c>
    </row>
    <row r="6503" spans="1:2">
      <c r="A6503" s="1" t="str">
        <f>"6211.11.00"</f>
        <v>6211.11.00</v>
      </c>
      <c r="B6503" s="2" t="str">
        <f>"De uso masculino"</f>
        <v>De uso masculino</v>
      </c>
    </row>
    <row r="6504" spans="1:2">
      <c r="A6504" s="1" t="str">
        <f>"6211.12.00"</f>
        <v>6211.12.00</v>
      </c>
      <c r="B6504" s="2" t="str">
        <f>"De uso feminino"</f>
        <v>De uso feminino</v>
      </c>
    </row>
    <row r="6505" spans="1:2">
      <c r="A6505" s="1" t="str">
        <f>"6211.20.00"</f>
        <v>6211.20.00</v>
      </c>
      <c r="B6505" s="2" t="str">
        <f>"Macacoes (Fatos-macacos*) e conjunt"</f>
        <v>Macacoes (Fatos-macacos*) e conjunt</v>
      </c>
    </row>
    <row r="6506" spans="1:2">
      <c r="A6506" s="1" t="str">
        <f>"6211.32.00"</f>
        <v>6211.32.00</v>
      </c>
      <c r="B6506" s="2" t="str">
        <f>"DE ALGODÃO"</f>
        <v>DE ALGODÃO</v>
      </c>
    </row>
    <row r="6507" spans="1:2">
      <c r="A6507" s="1" t="str">
        <f>"6211.33.00"</f>
        <v>6211.33.00</v>
      </c>
      <c r="B6507" s="2" t="str">
        <f>"De fibras sinteticas ou artificiais"</f>
        <v>De fibras sinteticas ou artificiais</v>
      </c>
    </row>
    <row r="6508" spans="1:2">
      <c r="A6508" s="1" t="str">
        <f>"6211.39.10"</f>
        <v>6211.39.10</v>
      </c>
      <c r="B6508" s="2" t="str">
        <f>"De la ou de pelos finos"</f>
        <v>De la ou de pelos finos</v>
      </c>
    </row>
    <row r="6509" spans="1:2">
      <c r="A6509" s="1" t="str">
        <f>"6211.39.90"</f>
        <v>6211.39.90</v>
      </c>
      <c r="B6509" s="2" t="str">
        <f>"Outras"</f>
        <v>Outras</v>
      </c>
    </row>
    <row r="6510" spans="1:2">
      <c r="A6510" s="1" t="str">
        <f>"6211.42.00"</f>
        <v>6211.42.00</v>
      </c>
      <c r="B6510" s="2" t="str">
        <f>"De algodao"</f>
        <v>De algodao</v>
      </c>
    </row>
    <row r="6511" spans="1:2">
      <c r="A6511" s="1" t="str">
        <f>"6211.43.00"</f>
        <v>6211.43.00</v>
      </c>
      <c r="B6511" s="2" t="str">
        <f>"De fibras sinteticas ou artificiais"</f>
        <v>De fibras sinteticas ou artificiais</v>
      </c>
    </row>
    <row r="6512" spans="1:2">
      <c r="A6512" s="1" t="str">
        <f>"6211.49.00"</f>
        <v>6211.49.00</v>
      </c>
      <c r="B6512" s="2" t="str">
        <f>"De outras materias texteis"</f>
        <v>De outras materias texteis</v>
      </c>
    </row>
    <row r="6513" spans="1:2">
      <c r="A6513" s="1" t="str">
        <f>"6212.10.00"</f>
        <v>6212.10.00</v>
      </c>
      <c r="B6513" s="2" t="str">
        <f>"Sutias e busties (sutias de cos alt"</f>
        <v>Sutias e busties (sutias de cos alt</v>
      </c>
    </row>
    <row r="6514" spans="1:2">
      <c r="A6514" s="1" t="str">
        <f>"6212.20.00"</f>
        <v>6212.20.00</v>
      </c>
      <c r="B6514" s="2" t="str">
        <f>"Cintas e cintas-calcas"</f>
        <v>Cintas e cintas-calcas</v>
      </c>
    </row>
    <row r="6515" spans="1:2">
      <c r="A6515" s="1" t="str">
        <f>"6212.30.00"</f>
        <v>6212.30.00</v>
      </c>
      <c r="B6515" s="2" t="str">
        <f>"Modeladores de torso inteiro (Cinta"</f>
        <v>Modeladores de torso inteiro (Cinta</v>
      </c>
    </row>
    <row r="6516" spans="1:2">
      <c r="A6516" s="1" t="str">
        <f>"6212.90.00"</f>
        <v>6212.90.00</v>
      </c>
      <c r="B6516" s="2" t="str">
        <f>"Outros"</f>
        <v>Outros</v>
      </c>
    </row>
    <row r="6517" spans="1:2">
      <c r="A6517" s="1" t="str">
        <f>"6213.20.00"</f>
        <v>6213.20.00</v>
      </c>
      <c r="B6517" s="2" t="str">
        <f>"De algodao"</f>
        <v>De algodao</v>
      </c>
    </row>
    <row r="6518" spans="1:2">
      <c r="A6518" s="1" t="str">
        <f>"6213.90.10"</f>
        <v>6213.90.10</v>
      </c>
      <c r="B6518" s="2" t="str">
        <f>"De seda ou de desperdicios de seda"</f>
        <v>De seda ou de desperdicios de seda</v>
      </c>
    </row>
    <row r="6519" spans="1:2">
      <c r="A6519" s="1" t="str">
        <f>"6213.90.90"</f>
        <v>6213.90.90</v>
      </c>
      <c r="B6519" s="2" t="str">
        <f>"Outros"</f>
        <v>Outros</v>
      </c>
    </row>
    <row r="6520" spans="1:2">
      <c r="A6520" s="1" t="str">
        <f>"6214.10.00"</f>
        <v>6214.10.00</v>
      </c>
      <c r="B6520" s="2" t="str">
        <f>"De seda ou de desperdicios de seda"</f>
        <v>De seda ou de desperdicios de seda</v>
      </c>
    </row>
    <row r="6521" spans="1:2">
      <c r="A6521" s="1" t="str">
        <f>"6214.20.00"</f>
        <v>6214.20.00</v>
      </c>
      <c r="B6521" s="2" t="str">
        <f>"De la ou de pelos finos"</f>
        <v>De la ou de pelos finos</v>
      </c>
    </row>
    <row r="6522" spans="1:2">
      <c r="A6522" s="1" t="str">
        <f>"6214.30.00"</f>
        <v>6214.30.00</v>
      </c>
      <c r="B6522" s="2" t="str">
        <f>"De fibras sinteticas"</f>
        <v>De fibras sinteticas</v>
      </c>
    </row>
    <row r="6523" spans="1:2">
      <c r="A6523" s="1" t="str">
        <f>"6214.40.00"</f>
        <v>6214.40.00</v>
      </c>
      <c r="B6523" s="2" t="str">
        <f>"De fibras artificiais"</f>
        <v>De fibras artificiais</v>
      </c>
    </row>
    <row r="6524" spans="1:2">
      <c r="A6524" s="1" t="str">
        <f>"6214.90.10"</f>
        <v>6214.90.10</v>
      </c>
      <c r="B6524" s="2" t="str">
        <f>"De algodao"</f>
        <v>De algodao</v>
      </c>
    </row>
    <row r="6525" spans="1:2">
      <c r="A6525" s="1" t="str">
        <f>"6214.90.90"</f>
        <v>6214.90.90</v>
      </c>
      <c r="B6525" s="2" t="str">
        <f>"Outros"</f>
        <v>Outros</v>
      </c>
    </row>
    <row r="6526" spans="1:2">
      <c r="A6526" s="1" t="str">
        <f>"6215.10.00"</f>
        <v>6215.10.00</v>
      </c>
      <c r="B6526" s="2" t="str">
        <f>"De seda ou de desperdicios de seda"</f>
        <v>De seda ou de desperdicios de seda</v>
      </c>
    </row>
    <row r="6527" spans="1:2">
      <c r="A6527" s="1" t="str">
        <f>"6215.20.00"</f>
        <v>6215.20.00</v>
      </c>
      <c r="B6527" s="2" t="str">
        <f>"De fibras sinteticas ou artificiais"</f>
        <v>De fibras sinteticas ou artificiais</v>
      </c>
    </row>
    <row r="6528" spans="1:2">
      <c r="A6528" s="1" t="str">
        <f>"6215.90.00"</f>
        <v>6215.90.00</v>
      </c>
      <c r="B6528" s="2" t="str">
        <f>"De outras materias texteis"</f>
        <v>De outras materias texteis</v>
      </c>
    </row>
    <row r="6529" spans="1:2">
      <c r="A6529" s="1" t="str">
        <f>"6216.00.00"</f>
        <v>6216.00.00</v>
      </c>
      <c r="B6529" s="2" t="str">
        <f>"LUVAS, MITENES E SEMELHANTES."</f>
        <v>LUVAS, MITENES E SEMELHANTES.</v>
      </c>
    </row>
    <row r="6530" spans="1:2">
      <c r="A6530" s="1" t="str">
        <f>"6217.10.00"</f>
        <v>6217.10.00</v>
      </c>
      <c r="B6530" s="2" t="str">
        <f>"ACESSÓRIOS"</f>
        <v>ACESSÓRIOS</v>
      </c>
    </row>
    <row r="6531" spans="1:2">
      <c r="A6531" s="1" t="str">
        <f>"6217.90.00"</f>
        <v>6217.90.00</v>
      </c>
      <c r="B6531" s="2" t="str">
        <f>"Partes"</f>
        <v>Partes</v>
      </c>
    </row>
    <row r="6532" spans="1:2">
      <c r="A6532" s="1" t="str">
        <f>"6301.10.00"</f>
        <v>6301.10.00</v>
      </c>
      <c r="B6532" s="2" t="str">
        <f>"Cobertores e mantas, eletricos"</f>
        <v>Cobertores e mantas, eletricos</v>
      </c>
    </row>
    <row r="6533" spans="1:2">
      <c r="A6533" s="1" t="str">
        <f>"6301.20.00"</f>
        <v>6301.20.00</v>
      </c>
      <c r="B6533" s="2" t="str">
        <f>"Cobertores e mantas (exceto os elet"</f>
        <v>Cobertores e mantas (exceto os elet</v>
      </c>
    </row>
    <row r="6534" spans="1:2">
      <c r="A6534" s="1" t="str">
        <f>"6301.30.00"</f>
        <v>6301.30.00</v>
      </c>
      <c r="B6534" s="2" t="str">
        <f>"Cobertores e mantas (exceto os elet"</f>
        <v>Cobertores e mantas (exceto os elet</v>
      </c>
    </row>
    <row r="6535" spans="1:2">
      <c r="A6535" s="1" t="str">
        <f>"6301.40.00"</f>
        <v>6301.40.00</v>
      </c>
      <c r="B6535" s="2" t="str">
        <f>"Cobertores e mantas (exceto os elet"</f>
        <v>Cobertores e mantas (exceto os elet</v>
      </c>
    </row>
    <row r="6536" spans="1:2">
      <c r="A6536" s="1" t="str">
        <f>"6301.90.00"</f>
        <v>6301.90.00</v>
      </c>
      <c r="B6536" s="2" t="str">
        <f>"Outros cobertores e mantas"</f>
        <v>Outros cobertores e mantas</v>
      </c>
    </row>
    <row r="6537" spans="1:2">
      <c r="A6537" s="1" t="str">
        <f>"6302.10.00"</f>
        <v>6302.10.00</v>
      </c>
      <c r="B6537" s="2" t="str">
        <f>"Roupas de cama, de malha"</f>
        <v>Roupas de cama, de malha</v>
      </c>
    </row>
    <row r="6538" spans="1:2">
      <c r="A6538" s="1" t="str">
        <f>"6302.21.00"</f>
        <v>6302.21.00</v>
      </c>
      <c r="B6538" s="2" t="str">
        <f>"De algodao"</f>
        <v>De algodao</v>
      </c>
    </row>
    <row r="6539" spans="1:2">
      <c r="A6539" s="1" t="str">
        <f>"6302.22.00"</f>
        <v>6302.22.00</v>
      </c>
      <c r="B6539" s="2" t="str">
        <f>"De fibras sinteticas ou artificiais"</f>
        <v>De fibras sinteticas ou artificiais</v>
      </c>
    </row>
    <row r="6540" spans="1:2">
      <c r="A6540" s="1" t="str">
        <f>"6302.29.00"</f>
        <v>6302.29.00</v>
      </c>
      <c r="B6540" s="2" t="str">
        <f>"De outras materias texteis"</f>
        <v>De outras materias texteis</v>
      </c>
    </row>
    <row r="6541" spans="1:2">
      <c r="A6541" s="1" t="str">
        <f>"6302.31.00"</f>
        <v>6302.31.00</v>
      </c>
      <c r="B6541" s="2" t="str">
        <f>"De algodao"</f>
        <v>De algodao</v>
      </c>
    </row>
    <row r="6542" spans="1:2">
      <c r="A6542" s="1" t="str">
        <f>"6302.32.00"</f>
        <v>6302.32.00</v>
      </c>
      <c r="B6542" s="2" t="str">
        <f>"De fibras sinteticas ou artificiais"</f>
        <v>De fibras sinteticas ou artificiais</v>
      </c>
    </row>
    <row r="6543" spans="1:2">
      <c r="A6543" s="1" t="str">
        <f>"6302.39.00"</f>
        <v>6302.39.00</v>
      </c>
      <c r="B6543" s="2" t="str">
        <f>"De outras materias texteis"</f>
        <v>De outras materias texteis</v>
      </c>
    </row>
    <row r="6544" spans="1:2">
      <c r="A6544" s="1" t="str">
        <f>"6302.40.00"</f>
        <v>6302.40.00</v>
      </c>
      <c r="B6544" s="2" t="str">
        <f>"Roupas de mesa, de malha"</f>
        <v>Roupas de mesa, de malha</v>
      </c>
    </row>
    <row r="6545" spans="1:2">
      <c r="A6545" s="1" t="str">
        <f>"6302.51.00"</f>
        <v>6302.51.00</v>
      </c>
      <c r="B6545" s="2" t="str">
        <f>"De algodao"</f>
        <v>De algodao</v>
      </c>
    </row>
    <row r="6546" spans="1:2">
      <c r="A6546" s="1" t="str">
        <f>"6302.53.00"</f>
        <v>6302.53.00</v>
      </c>
      <c r="B6546" s="2" t="str">
        <f>"De fibras sinteticas ou artificiais"</f>
        <v>De fibras sinteticas ou artificiais</v>
      </c>
    </row>
    <row r="6547" spans="1:2">
      <c r="A6547" s="1" t="str">
        <f>"6302.59.10"</f>
        <v>6302.59.10</v>
      </c>
      <c r="B6547" s="2" t="str">
        <f>"De linho"</f>
        <v>De linho</v>
      </c>
    </row>
    <row r="6548" spans="1:2">
      <c r="A6548" s="1" t="str">
        <f>"6302.59.90"</f>
        <v>6302.59.90</v>
      </c>
      <c r="B6548" s="2" t="str">
        <f>"Outras"</f>
        <v>Outras</v>
      </c>
    </row>
    <row r="6549" spans="1:2">
      <c r="A6549" s="1" t="str">
        <f>"6302.60.00"</f>
        <v>6302.60.00</v>
      </c>
      <c r="B6549" s="2" t="str">
        <f>"ROUPAS DE TOUCADOR OU DE COZINHA"</f>
        <v>ROUPAS DE TOUCADOR OU DE COZINHA</v>
      </c>
    </row>
    <row r="6550" spans="1:2">
      <c r="A6550" s="1" t="str">
        <f>"6302.91.00"</f>
        <v>6302.91.00</v>
      </c>
      <c r="B6550" s="2" t="str">
        <f>"De algodao"</f>
        <v>De algodao</v>
      </c>
    </row>
    <row r="6551" spans="1:2">
      <c r="A6551" s="1" t="str">
        <f>"6302.93.00"</f>
        <v>6302.93.00</v>
      </c>
      <c r="B6551" s="2" t="str">
        <f>"De fibras sinteticas ou artificiais"</f>
        <v>De fibras sinteticas ou artificiais</v>
      </c>
    </row>
    <row r="6552" spans="1:2">
      <c r="A6552" s="1" t="str">
        <f>"6302.99.10"</f>
        <v>6302.99.10</v>
      </c>
      <c r="B6552" s="2" t="str">
        <f>"De linho"</f>
        <v>De linho</v>
      </c>
    </row>
    <row r="6553" spans="1:2">
      <c r="A6553" s="1" t="str">
        <f>"6302.99.90"</f>
        <v>6302.99.90</v>
      </c>
      <c r="B6553" s="2" t="str">
        <f>"Outras"</f>
        <v>Outras</v>
      </c>
    </row>
    <row r="6554" spans="1:2">
      <c r="A6554" s="1" t="str">
        <f>"6303.12.00"</f>
        <v>6303.12.00</v>
      </c>
      <c r="B6554" s="2" t="str">
        <f>"De fibras sinteticas"</f>
        <v>De fibras sinteticas</v>
      </c>
    </row>
    <row r="6555" spans="1:2">
      <c r="A6555" s="1" t="str">
        <f>"6303.19.10"</f>
        <v>6303.19.10</v>
      </c>
      <c r="B6555" s="2" t="str">
        <f>"De algodao"</f>
        <v>De algodao</v>
      </c>
    </row>
    <row r="6556" spans="1:2">
      <c r="A6556" s="1" t="str">
        <f>"6303.19.90"</f>
        <v>6303.19.90</v>
      </c>
      <c r="B6556" s="2" t="str">
        <f>"Outros"</f>
        <v>Outros</v>
      </c>
    </row>
    <row r="6557" spans="1:2">
      <c r="A6557" s="1" t="str">
        <f>"6303.91.00"</f>
        <v>6303.91.00</v>
      </c>
      <c r="B6557" s="2" t="str">
        <f>"De algodao"</f>
        <v>De algodao</v>
      </c>
    </row>
    <row r="6558" spans="1:2">
      <c r="A6558" s="1" t="str">
        <f>"6303.92.00"</f>
        <v>6303.92.00</v>
      </c>
      <c r="B6558" s="2" t="str">
        <f>"De fibras sinteticas"</f>
        <v>De fibras sinteticas</v>
      </c>
    </row>
    <row r="6559" spans="1:2">
      <c r="A6559" s="1" t="str">
        <f>"6303.99.00"</f>
        <v>6303.99.00</v>
      </c>
      <c r="B6559" s="2" t="str">
        <f>"De outras materias texteis"</f>
        <v>De outras materias texteis</v>
      </c>
    </row>
    <row r="6560" spans="1:2">
      <c r="A6560" s="1" t="str">
        <f>"6304.11.00"</f>
        <v>6304.11.00</v>
      </c>
      <c r="B6560" s="2" t="str">
        <f>"De malha"</f>
        <v>De malha</v>
      </c>
    </row>
    <row r="6561" spans="1:2">
      <c r="A6561" s="1" t="str">
        <f>"6304.19.10"</f>
        <v>6304.19.10</v>
      </c>
      <c r="B6561" s="2" t="str">
        <f>"De algodao"</f>
        <v>De algodao</v>
      </c>
    </row>
    <row r="6562" spans="1:2">
      <c r="A6562" s="1" t="str">
        <f>"6304.19.90"</f>
        <v>6304.19.90</v>
      </c>
      <c r="B6562" s="2" t="str">
        <f>"De outras materias texteis"</f>
        <v>De outras materias texteis</v>
      </c>
    </row>
    <row r="6563" spans="1:2">
      <c r="A6563" s="1" t="str">
        <f>"6304.20.00"</f>
        <v>6304.20.00</v>
      </c>
      <c r="B6563" s="2" t="str">
        <f>"Mosquiteiros para camas mencionados"</f>
        <v>Mosquiteiros para camas mencionados</v>
      </c>
    </row>
    <row r="6564" spans="1:2">
      <c r="A6564" s="1" t="str">
        <f>"6304.91.00"</f>
        <v>6304.91.00</v>
      </c>
      <c r="B6564" s="2" t="str">
        <f>"De malha"</f>
        <v>De malha</v>
      </c>
    </row>
    <row r="6565" spans="1:2">
      <c r="A6565" s="1" t="str">
        <f>"6304.92.00"</f>
        <v>6304.92.00</v>
      </c>
      <c r="B6565" s="2" t="str">
        <f>"De algodao, exceto de malha"</f>
        <v>De algodao, exceto de malha</v>
      </c>
    </row>
    <row r="6566" spans="1:2">
      <c r="A6566" s="1" t="str">
        <f>"6304.93.00"</f>
        <v>6304.93.00</v>
      </c>
      <c r="B6566" s="2" t="str">
        <f>"De fibras sinteticas, exceto de mal"</f>
        <v>De fibras sinteticas, exceto de mal</v>
      </c>
    </row>
    <row r="6567" spans="1:2">
      <c r="A6567" s="1" t="str">
        <f>"6304.99.00"</f>
        <v>6304.99.00</v>
      </c>
      <c r="B6567" s="2" t="str">
        <f>"De outras materias texteis, exceto"</f>
        <v>De outras materias texteis, exceto</v>
      </c>
    </row>
    <row r="6568" spans="1:2">
      <c r="A6568" s="1" t="str">
        <f>"6305.10.00"</f>
        <v>6305.10.00</v>
      </c>
      <c r="B6568" s="2" t="str">
        <f>"De juta ou de outras fibras texteis"</f>
        <v>De juta ou de outras fibras texteis</v>
      </c>
    </row>
    <row r="6569" spans="1:2">
      <c r="A6569" s="1" t="str">
        <f>"6305.20.00"</f>
        <v>6305.20.00</v>
      </c>
      <c r="B6569" s="2" t="str">
        <f>"De algodao"</f>
        <v>De algodao</v>
      </c>
    </row>
    <row r="6570" spans="1:2">
      <c r="A6570" s="1" t="str">
        <f>"6305.32.00"</f>
        <v>6305.32.00</v>
      </c>
      <c r="B6570" s="2" t="str">
        <f>"Recipientes flexiveis para produtos"</f>
        <v>Recipientes flexiveis para produtos</v>
      </c>
    </row>
    <row r="6571" spans="1:2">
      <c r="A6571" s="1" t="str">
        <f>"6305.33.10"</f>
        <v>6305.33.10</v>
      </c>
      <c r="B6571" s="2" t="str">
        <f>"De malha"</f>
        <v>De malha</v>
      </c>
    </row>
    <row r="6572" spans="1:2">
      <c r="A6572" s="1" t="str">
        <f>"6305.33.90"</f>
        <v>6305.33.90</v>
      </c>
      <c r="B6572" s="2" t="str">
        <f>"Outros"</f>
        <v>Outros</v>
      </c>
    </row>
    <row r="6573" spans="1:2">
      <c r="A6573" s="1" t="str">
        <f>"6305.39.00"</f>
        <v>6305.39.00</v>
      </c>
      <c r="B6573" s="2" t="str">
        <f>"Outros"</f>
        <v>Outros</v>
      </c>
    </row>
    <row r="6574" spans="1:2">
      <c r="A6574" s="1" t="str">
        <f>"6305.90.00"</f>
        <v>6305.90.00</v>
      </c>
      <c r="B6574" s="2" t="str">
        <f>"De outras materias texteis"</f>
        <v>De outras materias texteis</v>
      </c>
    </row>
    <row r="6575" spans="1:2">
      <c r="A6575" s="1" t="str">
        <f>"6306.12.00"</f>
        <v>6306.12.00</v>
      </c>
      <c r="B6575" s="2" t="str">
        <f>"DE FIBRAS SINTÉTICAS"</f>
        <v>DE FIBRAS SINTÉTICAS</v>
      </c>
    </row>
    <row r="6576" spans="1:2">
      <c r="A6576" s="1" t="str">
        <f>"6306.19.10"</f>
        <v>6306.19.10</v>
      </c>
      <c r="B6576" s="2" t="str">
        <f>"De algodao"</f>
        <v>De algodao</v>
      </c>
    </row>
    <row r="6577" spans="1:2">
      <c r="A6577" s="1" t="str">
        <f>"6306.19.90"</f>
        <v>6306.19.90</v>
      </c>
      <c r="B6577" s="2" t="str">
        <f>"Outros"</f>
        <v>Outros</v>
      </c>
    </row>
    <row r="6578" spans="1:2">
      <c r="A6578" s="1" t="str">
        <f>"6306.22.00"</f>
        <v>6306.22.00</v>
      </c>
      <c r="B6578" s="2" t="str">
        <f>"De fibras sinteticas"</f>
        <v>De fibras sinteticas</v>
      </c>
    </row>
    <row r="6579" spans="1:2">
      <c r="A6579" s="1" t="str">
        <f>"6306.29.10"</f>
        <v>6306.29.10</v>
      </c>
      <c r="B6579" s="2" t="str">
        <f>"De algodao"</f>
        <v>De algodao</v>
      </c>
    </row>
    <row r="6580" spans="1:2">
      <c r="A6580" s="1" t="str">
        <f>"6306.29.90"</f>
        <v>6306.29.90</v>
      </c>
      <c r="B6580" s="2" t="str">
        <f>"Outros"</f>
        <v>Outros</v>
      </c>
    </row>
    <row r="6581" spans="1:2">
      <c r="A6581" s="1" t="str">
        <f>"6306.30.10"</f>
        <v>6306.30.10</v>
      </c>
      <c r="B6581" s="2" t="str">
        <f>"De fibras sinteticas"</f>
        <v>De fibras sinteticas</v>
      </c>
    </row>
    <row r="6582" spans="1:2">
      <c r="A6582" s="1" t="str">
        <f>"6306.30.90"</f>
        <v>6306.30.90</v>
      </c>
      <c r="B6582" s="2" t="str">
        <f>"De outras materias texteis"</f>
        <v>De outras materias texteis</v>
      </c>
    </row>
    <row r="6583" spans="1:2">
      <c r="A6583" s="1" t="str">
        <f>"6306.40.10"</f>
        <v>6306.40.10</v>
      </c>
      <c r="B6583" s="2" t="str">
        <f>"De algodao"</f>
        <v>De algodao</v>
      </c>
    </row>
    <row r="6584" spans="1:2">
      <c r="A6584" s="1" t="str">
        <f>"6306.40.90"</f>
        <v>6306.40.90</v>
      </c>
      <c r="B6584" s="2" t="str">
        <f>"De outras materias texteis"</f>
        <v>De outras materias texteis</v>
      </c>
    </row>
    <row r="6585" spans="1:2">
      <c r="A6585" s="1" t="str">
        <f>"6306.90.00"</f>
        <v>6306.90.00</v>
      </c>
      <c r="B6585" s="2" t="str">
        <f>"Outros"</f>
        <v>Outros</v>
      </c>
    </row>
    <row r="6586" spans="1:2">
      <c r="A6586" s="1" t="str">
        <f>"6307.10.00"</f>
        <v>6307.10.00</v>
      </c>
      <c r="B6586" s="2" t="str">
        <f>"RODILHAS, ESFREGÕES, PANOS DE PRATO"</f>
        <v>RODILHAS, ESFREGÕES, PANOS DE PRATO</v>
      </c>
    </row>
    <row r="6587" spans="1:2">
      <c r="A6587" s="1" t="str">
        <f>"6307.20.00"</f>
        <v>6307.20.00</v>
      </c>
      <c r="B6587" s="2" t="str">
        <f>"CINTOS E COLETES SALVA-VIDAS"</f>
        <v>CINTOS E COLETES SALVA-VIDAS</v>
      </c>
    </row>
    <row r="6588" spans="1:2">
      <c r="A6588" s="1" t="str">
        <f>"6307.90.10"</f>
        <v>6307.90.10</v>
      </c>
      <c r="B6588" s="2" t="str">
        <f>"DE FALSO TECIDO"</f>
        <v>DE FALSO TECIDO</v>
      </c>
    </row>
    <row r="6589" spans="1:2">
      <c r="A6589" s="1" t="str">
        <f>"6307.90.20"</f>
        <v>6307.90.20</v>
      </c>
      <c r="B6589" s="2" t="str">
        <f>"Artigo tubular com tratamento ignif"</f>
        <v>Artigo tubular com tratamento ignif</v>
      </c>
    </row>
    <row r="6590" spans="1:2">
      <c r="A6590" s="1" t="str">
        <f>"6307.90.90"</f>
        <v>6307.90.90</v>
      </c>
      <c r="B6590" s="2" t="str">
        <f>"OUTROS"</f>
        <v>OUTROS</v>
      </c>
    </row>
    <row r="6591" spans="1:2">
      <c r="A6591" s="1" t="str">
        <f>"6308.00.00"</f>
        <v>6308.00.00</v>
      </c>
      <c r="B6591" s="2" t="str">
        <f>"Sortidos constituidos por cortes de"</f>
        <v>Sortidos constituidos por cortes de</v>
      </c>
    </row>
    <row r="6592" spans="1:2">
      <c r="A6592" s="1" t="str">
        <f>"6309.00.10"</f>
        <v>6309.00.10</v>
      </c>
      <c r="B6592" s="2" t="str">
        <f>"VESTÚARIO, SEUS ACESSORIOS E PARTES"</f>
        <v>VESTÚARIO, SEUS ACESSORIOS E PARTES</v>
      </c>
    </row>
    <row r="6593" spans="1:2">
      <c r="A6593" s="1" t="str">
        <f>"6309.00.90"</f>
        <v>6309.00.90</v>
      </c>
      <c r="B6593" s="2" t="str">
        <f>"Outros"</f>
        <v>Outros</v>
      </c>
    </row>
    <row r="6594" spans="1:2">
      <c r="A6594" s="1" t="str">
        <f>"6310.10.00"</f>
        <v>6310.10.00</v>
      </c>
      <c r="B6594" s="2" t="str">
        <f>"ESCOLHIDOS - TRAPOS DE MATERIAS TEX"</f>
        <v>ESCOLHIDOS - TRAPOS DE MATERIAS TEX</v>
      </c>
    </row>
    <row r="6595" spans="1:2">
      <c r="A6595" s="1" t="str">
        <f>"6310.90.00"</f>
        <v>6310.90.00</v>
      </c>
      <c r="B6595" s="2" t="str">
        <f>"Outros"</f>
        <v>Outros</v>
      </c>
    </row>
    <row r="6596" spans="1:2">
      <c r="A6596" s="1" t="str">
        <f>"6401.10.00"</f>
        <v>6401.10.00</v>
      </c>
      <c r="B6596" s="2" t="str">
        <f>"Calcado com biqueira protetora de m"</f>
        <v>Calcado com biqueira protetora de m</v>
      </c>
    </row>
    <row r="6597" spans="1:2">
      <c r="A6597" s="1" t="str">
        <f>"6401.92.00"</f>
        <v>6401.92.00</v>
      </c>
      <c r="B6597" s="2" t="str">
        <f>"COBRINDO O TORNOZELO, MAS NÃO O JOE"</f>
        <v>COBRINDO O TORNOZELO, MAS NÃO O JOE</v>
      </c>
    </row>
    <row r="6598" spans="1:2">
      <c r="A6598" s="1" t="str">
        <f>"6401.99.10"</f>
        <v>6401.99.10</v>
      </c>
      <c r="B6598" s="2" t="str">
        <f>"Cobrindo o joelho"</f>
        <v>Cobrindo o joelho</v>
      </c>
    </row>
    <row r="6599" spans="1:2">
      <c r="A6599" s="1" t="str">
        <f>"6401.99.90"</f>
        <v>6401.99.90</v>
      </c>
      <c r="B6599" s="2" t="str">
        <f>"Outro"</f>
        <v>Outro</v>
      </c>
    </row>
    <row r="6600" spans="1:2">
      <c r="A6600" s="1" t="str">
        <f>"6402.12.00"</f>
        <v>6402.12.00</v>
      </c>
      <c r="B6600" s="2" t="str">
        <f>"Calcado para esqui e para surfe de"</f>
        <v>Calcado para esqui e para surfe de</v>
      </c>
    </row>
    <row r="6601" spans="1:2">
      <c r="A6601" s="1" t="str">
        <f>"6402.19.00"</f>
        <v>6402.19.00</v>
      </c>
      <c r="B6601" s="2" t="str">
        <f>"Outro"</f>
        <v>Outro</v>
      </c>
    </row>
    <row r="6602" spans="1:2">
      <c r="A6602" s="1" t="str">
        <f>"6402.20.00"</f>
        <v>6402.20.00</v>
      </c>
      <c r="B6602" s="2" t="str">
        <f>"Calcado com parte superior em tiras"</f>
        <v>Calcado com parte superior em tiras</v>
      </c>
    </row>
    <row r="6603" spans="1:2">
      <c r="A6603" s="1" t="str">
        <f>"6402.91.10"</f>
        <v>6402.91.10</v>
      </c>
      <c r="B6603" s="2" t="str">
        <f>"Com biqueira protetora de metal"</f>
        <v>Com biqueira protetora de metal</v>
      </c>
    </row>
    <row r="6604" spans="1:2">
      <c r="A6604" s="1" t="str">
        <f>"6402.91.90"</f>
        <v>6402.91.90</v>
      </c>
      <c r="B6604" s="2" t="str">
        <f>"Outro"</f>
        <v>Outro</v>
      </c>
    </row>
    <row r="6605" spans="1:2">
      <c r="A6605" s="1" t="str">
        <f>"6402.99.10"</f>
        <v>6402.99.10</v>
      </c>
      <c r="B6605" s="2" t="str">
        <f>"Com biqueira protetora de metal"</f>
        <v>Com biqueira protetora de metal</v>
      </c>
    </row>
    <row r="6606" spans="1:2">
      <c r="A6606" s="1" t="str">
        <f>"6402.99.90"</f>
        <v>6402.99.90</v>
      </c>
      <c r="B6606" s="2" t="str">
        <f>"Outro"</f>
        <v>Outro</v>
      </c>
    </row>
    <row r="6607" spans="1:2">
      <c r="A6607" s="1" t="str">
        <f>"6403.12.00"</f>
        <v>6403.12.00</v>
      </c>
      <c r="B6607" s="2" t="str">
        <f>"Calcado para esqui e para surfe de"</f>
        <v>Calcado para esqui e para surfe de</v>
      </c>
    </row>
    <row r="6608" spans="1:2">
      <c r="A6608" s="1" t="str">
        <f>"6403.19.00"</f>
        <v>6403.19.00</v>
      </c>
      <c r="B6608" s="2" t="str">
        <f>"Outro"</f>
        <v>Outro</v>
      </c>
    </row>
    <row r="6609" spans="1:2">
      <c r="A6609" s="1" t="str">
        <f>"6403.20.00"</f>
        <v>6403.20.00</v>
      </c>
      <c r="B6609" s="2" t="str">
        <f>"Calcado com sola exterior de couro"</f>
        <v>Calcado com sola exterior de couro</v>
      </c>
    </row>
    <row r="6610" spans="1:2">
      <c r="A6610" s="1" t="str">
        <f>"6403.40.00"</f>
        <v>6403.40.00</v>
      </c>
      <c r="B6610" s="2" t="str">
        <f>"Outros calçados, com biqueira prot"</f>
        <v>Outros calçados, com biqueira prot</v>
      </c>
    </row>
    <row r="6611" spans="1:2">
      <c r="A6611" s="1" t="str">
        <f>"6403.51.10"</f>
        <v>6403.51.10</v>
      </c>
      <c r="B6611" s="2" t="str">
        <f>"Com sola de madeira e desprovido de"</f>
        <v>Com sola de madeira e desprovido de</v>
      </c>
    </row>
    <row r="6612" spans="1:2">
      <c r="A6612" s="1" t="str">
        <f>"6403.51.90"</f>
        <v>6403.51.90</v>
      </c>
      <c r="B6612" s="2" t="str">
        <f>"OUTROS"</f>
        <v>OUTROS</v>
      </c>
    </row>
    <row r="6613" spans="1:2">
      <c r="A6613" s="1" t="str">
        <f>"6403.59.10"</f>
        <v>6403.59.10</v>
      </c>
      <c r="B6613" s="2" t="str">
        <f>"Com sola de madeira e desprovido de"</f>
        <v>Com sola de madeira e desprovido de</v>
      </c>
    </row>
    <row r="6614" spans="1:2">
      <c r="A6614" s="1" t="str">
        <f>"6403.59.90"</f>
        <v>6403.59.90</v>
      </c>
      <c r="B6614" s="2" t="str">
        <f>"Outro"</f>
        <v>Outro</v>
      </c>
    </row>
    <row r="6615" spans="1:2">
      <c r="A6615" s="1" t="str">
        <f>"6403.91.10"</f>
        <v>6403.91.10</v>
      </c>
      <c r="B6615" s="2" t="str">
        <f>"Com sola de madeira e desprovido de"</f>
        <v>Com sola de madeira e desprovido de</v>
      </c>
    </row>
    <row r="6616" spans="1:2">
      <c r="A6616" s="1" t="str">
        <f>"6403.91.90"</f>
        <v>6403.91.90</v>
      </c>
      <c r="B6616" s="2" t="str">
        <f>"OUTROS"</f>
        <v>OUTROS</v>
      </c>
    </row>
    <row r="6617" spans="1:2">
      <c r="A6617" s="1" t="str">
        <f>"6403.99.10"</f>
        <v>6403.99.10</v>
      </c>
      <c r="B6617" s="2" t="str">
        <f>"Com sola de madeira e desprovido de"</f>
        <v>Com sola de madeira e desprovido de</v>
      </c>
    </row>
    <row r="6618" spans="1:2">
      <c r="A6618" s="1" t="str">
        <f>"6403.99.90"</f>
        <v>6403.99.90</v>
      </c>
      <c r="B6618" s="2" t="str">
        <f>"OUTROS"</f>
        <v>OUTROS</v>
      </c>
    </row>
    <row r="6619" spans="1:2">
      <c r="A6619" s="1" t="str">
        <f>"6404.11.00"</f>
        <v>6404.11.00</v>
      </c>
      <c r="B6619" s="2" t="str">
        <f>"Calcado para esporte; calcado para"</f>
        <v>Calcado para esporte; calcado para</v>
      </c>
    </row>
    <row r="6620" spans="1:2">
      <c r="A6620" s="1" t="str">
        <f>"6404.19.00"</f>
        <v>6404.19.00</v>
      </c>
      <c r="B6620" s="2" t="str">
        <f>"Outro"</f>
        <v>Outro</v>
      </c>
    </row>
    <row r="6621" spans="1:2">
      <c r="A6621" s="1" t="str">
        <f>"6404.20.00"</f>
        <v>6404.20.00</v>
      </c>
      <c r="B6621" s="2" t="str">
        <f>"Calcado com sola exterior de couro"</f>
        <v>Calcado com sola exterior de couro</v>
      </c>
    </row>
    <row r="6622" spans="1:2">
      <c r="A6622" s="1" t="str">
        <f>"6405.10.10"</f>
        <v>6405.10.10</v>
      </c>
      <c r="B6622" s="2" t="str">
        <f>"Com sola exterior de borracha ou pl"</f>
        <v>Com sola exterior de borracha ou pl</v>
      </c>
    </row>
    <row r="6623" spans="1:2">
      <c r="A6623" s="1" t="str">
        <f>"6405.10.20"</f>
        <v>6405.10.20</v>
      </c>
      <c r="B6623" s="2" t="str">
        <f>"Com sola exterior de couro natural"</f>
        <v>Com sola exterior de couro natural</v>
      </c>
    </row>
    <row r="6624" spans="1:2">
      <c r="A6624" s="1" t="str">
        <f>"6405.10.90"</f>
        <v>6405.10.90</v>
      </c>
      <c r="B6624" s="2" t="str">
        <f>"Outro"</f>
        <v>Outro</v>
      </c>
    </row>
    <row r="6625" spans="1:2">
      <c r="A6625" s="1" t="str">
        <f>"6405.20.00"</f>
        <v>6405.20.00</v>
      </c>
      <c r="B6625" s="2" t="str">
        <f>"Com parte superior de materias text"</f>
        <v>Com parte superior de materias text</v>
      </c>
    </row>
    <row r="6626" spans="1:2">
      <c r="A6626" s="1" t="str">
        <f>"6405.90.00"</f>
        <v>6405.90.00</v>
      </c>
      <c r="B6626" s="2" t="str">
        <f>"OUTROS - BOTINA"</f>
        <v>OUTROS - BOTINA</v>
      </c>
    </row>
    <row r="6627" spans="1:2">
      <c r="A6627" s="1" t="str">
        <f>"6406.10.00"</f>
        <v>6406.10.00</v>
      </c>
      <c r="B6627" s="2" t="str">
        <f>"Partes superiores de calcado e seus"</f>
        <v>Partes superiores de calcado e seus</v>
      </c>
    </row>
    <row r="6628" spans="1:2">
      <c r="A6628" s="1" t="str">
        <f>"6406.20.00"</f>
        <v>6406.20.00</v>
      </c>
      <c r="B6628" s="2" t="str">
        <f>"Solas exteriores e saltos, de borra"</f>
        <v>Solas exteriores e saltos, de borra</v>
      </c>
    </row>
    <row r="6629" spans="1:2">
      <c r="A6629" s="1" t="str">
        <f>"6406.90.10"</f>
        <v>6406.90.10</v>
      </c>
      <c r="B6629" s="2" t="str">
        <f>"Solas exteriores e saltos, de couro"</f>
        <v>Solas exteriores e saltos, de couro</v>
      </c>
    </row>
    <row r="6630" spans="1:2">
      <c r="A6630" s="1" t="str">
        <f>"6406.90.20"</f>
        <v>6406.90.20</v>
      </c>
      <c r="B6630" s="2" t="str">
        <f>"PALMILHAS"</f>
        <v>PALMILHAS</v>
      </c>
    </row>
    <row r="6631" spans="1:2">
      <c r="A6631" s="1" t="str">
        <f>"6406.90.90"</f>
        <v>6406.90.90</v>
      </c>
      <c r="B6631" s="2" t="str">
        <f>"Outros"</f>
        <v>Outros</v>
      </c>
    </row>
    <row r="6632" spans="1:2">
      <c r="A6632" s="1" t="str">
        <f>"6406.99.20"</f>
        <v>6406.99.20</v>
      </c>
      <c r="B6632" s="2" t="str">
        <f>"INATIVO"</f>
        <v>INATIVO</v>
      </c>
    </row>
    <row r="6633" spans="1:2">
      <c r="A6633" s="1" t="str">
        <f>"6501.00.00"</f>
        <v>6501.00.00</v>
      </c>
      <c r="B6633" s="2" t="str">
        <f>"Esbocos nao enformados nem na copa"</f>
        <v>Esbocos nao enformados nem na copa</v>
      </c>
    </row>
    <row r="6634" spans="1:2">
      <c r="A6634" s="1" t="str">
        <f>"6502.00.10"</f>
        <v>6502.00.10</v>
      </c>
      <c r="B6634" s="2" t="str">
        <f>"De palha fina (manila, panama e sem"</f>
        <v>De palha fina (manila, panama e sem</v>
      </c>
    </row>
    <row r="6635" spans="1:2">
      <c r="A6635" s="1" t="str">
        <f>"6502.00.90"</f>
        <v>6502.00.90</v>
      </c>
      <c r="B6635" s="2" t="str">
        <f>"Outros"</f>
        <v>Outros</v>
      </c>
    </row>
    <row r="6636" spans="1:2">
      <c r="A6636" s="1" t="str">
        <f>"6504.00.10"</f>
        <v>6504.00.10</v>
      </c>
      <c r="B6636" s="2" t="str">
        <f>"De palha fina (manila, panama e sem"</f>
        <v>De palha fina (manila, panama e sem</v>
      </c>
    </row>
    <row r="6637" spans="1:2">
      <c r="A6637" s="1" t="str">
        <f>"6504.00.90"</f>
        <v>6504.00.90</v>
      </c>
      <c r="B6637" s="2" t="str">
        <f>"Outros"</f>
        <v>Outros</v>
      </c>
    </row>
    <row r="6638" spans="1:2">
      <c r="A6638" s="1" t="str">
        <f>"6505.00.11"</f>
        <v>6505.00.11</v>
      </c>
      <c r="B6638" s="2" t="str">
        <f>"DE ALGODÃO"</f>
        <v>DE ALGODÃO</v>
      </c>
    </row>
    <row r="6639" spans="1:2">
      <c r="A6639" s="1" t="str">
        <f>"6505.00.12"</f>
        <v>6505.00.12</v>
      </c>
      <c r="B6639" s="2" t="str">
        <f>"De fibras sinteticas ou artificiais"</f>
        <v>De fibras sinteticas ou artificiais</v>
      </c>
    </row>
    <row r="6640" spans="1:2">
      <c r="A6640" s="1" t="str">
        <f>"6505.00.19"</f>
        <v>6505.00.19</v>
      </c>
      <c r="B6640" s="2" t="str">
        <f>"DE OUTRAS MATÉRIAS TÊXTEIS"</f>
        <v>DE OUTRAS MATÉRIAS TÊXTEIS</v>
      </c>
    </row>
    <row r="6641" spans="1:2">
      <c r="A6641" s="1" t="str">
        <f>"6505.00.21"</f>
        <v>6505.00.21</v>
      </c>
      <c r="B6641" s="2" t="str">
        <f>"De algodao"</f>
        <v>De algodao</v>
      </c>
    </row>
    <row r="6642" spans="1:2">
      <c r="A6642" s="1" t="str">
        <f>"6505.00.22"</f>
        <v>6505.00.22</v>
      </c>
      <c r="B6642" s="2" t="str">
        <f>"De fibras sinteticas ou artificiais"</f>
        <v>De fibras sinteticas ou artificiais</v>
      </c>
    </row>
    <row r="6643" spans="1:2">
      <c r="A6643" s="1" t="str">
        <f>"6505.00.29"</f>
        <v>6505.00.29</v>
      </c>
      <c r="B6643" s="2" t="str">
        <f>"De outras materias texteis"</f>
        <v>De outras materias texteis</v>
      </c>
    </row>
    <row r="6644" spans="1:2">
      <c r="A6644" s="1" t="str">
        <f>"6505.00.31"</f>
        <v>6505.00.31</v>
      </c>
      <c r="B6644" s="2" t="str">
        <f>"De algodao"</f>
        <v>De algodao</v>
      </c>
    </row>
    <row r="6645" spans="1:2">
      <c r="A6645" s="1" t="str">
        <f>"6505.00.32"</f>
        <v>6505.00.32</v>
      </c>
      <c r="B6645" s="2" t="str">
        <f>"De fibras sinteticas ou artificiais"</f>
        <v>De fibras sinteticas ou artificiais</v>
      </c>
    </row>
    <row r="6646" spans="1:2">
      <c r="A6646" s="1" t="str">
        <f>"6505.00.39"</f>
        <v>6505.00.39</v>
      </c>
      <c r="B6646" s="2" t="str">
        <f>"De outras materias texteis"</f>
        <v>De outras materias texteis</v>
      </c>
    </row>
    <row r="6647" spans="1:2">
      <c r="A6647" s="1" t="str">
        <f>"6505.00.90"</f>
        <v>6505.00.90</v>
      </c>
      <c r="B6647" s="2" t="str">
        <f>"Outros"</f>
        <v>Outros</v>
      </c>
    </row>
    <row r="6648" spans="1:2">
      <c r="A6648" s="1" t="str">
        <f>"6506.10.00"</f>
        <v>6506.10.00</v>
      </c>
      <c r="B6648" s="2" t="str">
        <f>"CAPACET. E ARTEFAT. USO SEMELH/PROT"</f>
        <v>CAPACET. E ARTEFAT. USO SEMELH/PROT</v>
      </c>
    </row>
    <row r="6649" spans="1:2">
      <c r="A6649" s="1" t="str">
        <f>"6506.91.00"</f>
        <v>6506.91.00</v>
      </c>
      <c r="B6649" s="2" t="str">
        <f>"De borracha ou de plastico"</f>
        <v>De borracha ou de plastico</v>
      </c>
    </row>
    <row r="6650" spans="1:2">
      <c r="A6650" s="1" t="str">
        <f>"6506.99.00"</f>
        <v>6506.99.00</v>
      </c>
      <c r="B6650" s="2" t="str">
        <f>"De outras materias"</f>
        <v>De outras materias</v>
      </c>
    </row>
    <row r="6651" spans="1:2">
      <c r="A6651" s="1" t="str">
        <f>"6507.00.00"</f>
        <v>6507.00.00</v>
      </c>
      <c r="B6651" s="2" t="str">
        <f>"Carneiras, forros, capas, armacoes,"</f>
        <v>Carneiras, forros, capas, armacoes,</v>
      </c>
    </row>
    <row r="6652" spans="1:2">
      <c r="A6652" s="1" t="str">
        <f>"6601.10.00"</f>
        <v>6601.10.00</v>
      </c>
      <c r="B6652" s="2" t="str">
        <f>"Guarda-sois de jardim e artigos sem"</f>
        <v>Guarda-sois de jardim e artigos sem</v>
      </c>
    </row>
    <row r="6653" spans="1:2">
      <c r="A6653" s="1" t="str">
        <f>"6601.91.10"</f>
        <v>6601.91.10</v>
      </c>
      <c r="B6653" s="2" t="str">
        <f>"COBERTO TECIDO DE SEDA OU MAT.TEXTE"</f>
        <v>COBERTO TECIDO DE SEDA OU MAT.TEXTE</v>
      </c>
    </row>
    <row r="6654" spans="1:2">
      <c r="A6654" s="1" t="str">
        <f>"6601.91.90"</f>
        <v>6601.91.90</v>
      </c>
      <c r="B6654" s="2" t="str">
        <f>"Outros"</f>
        <v>Outros</v>
      </c>
    </row>
    <row r="6655" spans="1:2">
      <c r="A6655" s="1" t="str">
        <f>"6601.99.00"</f>
        <v>6601.99.00</v>
      </c>
      <c r="B6655" s="2" t="str">
        <f>"Outros"</f>
        <v>Outros</v>
      </c>
    </row>
    <row r="6656" spans="1:2">
      <c r="A6656" s="1" t="str">
        <f>"6602.00.00"</f>
        <v>6602.00.00</v>
      </c>
      <c r="B6656" s="2" t="str">
        <f>"Bengalas, bengalas-assentos, chicot"</f>
        <v>Bengalas, bengalas-assentos, chicot</v>
      </c>
    </row>
    <row r="6657" spans="1:2">
      <c r="A6657" s="1" t="str">
        <f>"6603.20.00"</f>
        <v>6603.20.00</v>
      </c>
      <c r="B6657" s="2" t="str">
        <f>"Armacoes montadas, mesmo com hastes"</f>
        <v>Armacoes montadas, mesmo com hastes</v>
      </c>
    </row>
    <row r="6658" spans="1:2">
      <c r="A6658" s="1" t="str">
        <f>"6603.90.00"</f>
        <v>6603.90.00</v>
      </c>
      <c r="B6658" s="2" t="str">
        <f>"Outros"</f>
        <v>Outros</v>
      </c>
    </row>
    <row r="6659" spans="1:2">
      <c r="A6659" s="1" t="str">
        <f>"6701.00.00"</f>
        <v>6701.00.00</v>
      </c>
      <c r="B6659" s="2" t="str">
        <f>"Peles e outras partes de aves, com"</f>
        <v>Peles e outras partes de aves, com</v>
      </c>
    </row>
    <row r="6660" spans="1:2">
      <c r="A6660" s="1" t="str">
        <f>"6702.10.00"</f>
        <v>6702.10.00</v>
      </c>
      <c r="B6660" s="2" t="str">
        <f>"De plastico"</f>
        <v>De plastico</v>
      </c>
    </row>
    <row r="6661" spans="1:2">
      <c r="A6661" s="1" t="str">
        <f>"6702.90.00"</f>
        <v>6702.90.00</v>
      </c>
      <c r="B6661" s="2" t="str">
        <f>"De outras materias"</f>
        <v>De outras materias</v>
      </c>
    </row>
    <row r="6662" spans="1:2">
      <c r="A6662" s="1" t="str">
        <f>"6703.00.00"</f>
        <v>6703.00.00</v>
      </c>
      <c r="B6662" s="2" t="str">
        <f>"Cabelo disposto no mesmo sentido, a"</f>
        <v>Cabelo disposto no mesmo sentido, a</v>
      </c>
    </row>
    <row r="6663" spans="1:2">
      <c r="A6663" s="1" t="str">
        <f>"6704.11.00"</f>
        <v>6704.11.00</v>
      </c>
      <c r="B6663" s="2" t="str">
        <f>"Perucas completas"</f>
        <v>Perucas completas</v>
      </c>
    </row>
    <row r="6664" spans="1:2">
      <c r="A6664" s="1" t="str">
        <f>"6704.19.00"</f>
        <v>6704.19.00</v>
      </c>
      <c r="B6664" s="2" t="str">
        <f>"Outros"</f>
        <v>Outros</v>
      </c>
    </row>
    <row r="6665" spans="1:2">
      <c r="A6665" s="1" t="str">
        <f>"6704.20.00"</f>
        <v>6704.20.00</v>
      </c>
      <c r="B6665" s="2" t="str">
        <f>"De cabelo"</f>
        <v>De cabelo</v>
      </c>
    </row>
    <row r="6666" spans="1:2">
      <c r="A6666" s="1" t="str">
        <f>"6704.90.00"</f>
        <v>6704.90.00</v>
      </c>
      <c r="B6666" s="2" t="str">
        <f>"De outras materias"</f>
        <v>De outras materias</v>
      </c>
    </row>
    <row r="6667" spans="1:2">
      <c r="A6667" s="1" t="str">
        <f>"6801.00.00"</f>
        <v>6801.00.00</v>
      </c>
      <c r="B6667" s="2" t="str">
        <f>"Pedras para calcetar, meios-fios (l"</f>
        <v>Pedras para calcetar, meios-fios (l</v>
      </c>
    </row>
    <row r="6668" spans="1:2">
      <c r="A6668" s="1" t="str">
        <f>"6802.10.00"</f>
        <v>6802.10.00</v>
      </c>
      <c r="B6668" s="2" t="str">
        <f>"Ladrilhos, cubos, pastilhas e artig"</f>
        <v>Ladrilhos, cubos, pastilhas e artig</v>
      </c>
    </row>
    <row r="6669" spans="1:2">
      <c r="A6669" s="1" t="str">
        <f>"6802.21.00"</f>
        <v>6802.21.00</v>
      </c>
      <c r="B6669" s="2" t="str">
        <f>"Marmore, travertino e alabastro"</f>
        <v>Marmore, travertino e alabastro</v>
      </c>
    </row>
    <row r="6670" spans="1:2">
      <c r="A6670" s="1" t="str">
        <f>"6802.23.00"</f>
        <v>6802.23.00</v>
      </c>
      <c r="B6670" s="2" t="str">
        <f>"Granito"</f>
        <v>Granito</v>
      </c>
    </row>
    <row r="6671" spans="1:2">
      <c r="A6671" s="1" t="str">
        <f>"6802.29.00"</f>
        <v>6802.29.00</v>
      </c>
      <c r="B6671" s="2" t="str">
        <f>"Outras pedras"</f>
        <v>Outras pedras</v>
      </c>
    </row>
    <row r="6672" spans="1:2">
      <c r="A6672" s="1" t="str">
        <f>"6802.91.00"</f>
        <v>6802.91.00</v>
      </c>
      <c r="B6672" s="2" t="str">
        <f>"Marmore, travertino e alabastro"</f>
        <v>Marmore, travertino e alabastro</v>
      </c>
    </row>
    <row r="6673" spans="1:2">
      <c r="A6673" s="1" t="str">
        <f>"6802.92.00"</f>
        <v>6802.92.00</v>
      </c>
      <c r="B6673" s="2" t="str">
        <f>"Outras pedras calcarias"</f>
        <v>Outras pedras calcarias</v>
      </c>
    </row>
    <row r="6674" spans="1:2">
      <c r="A6674" s="1" t="str">
        <f>"6802.93.10"</f>
        <v>6802.93.10</v>
      </c>
      <c r="B6674" s="2" t="str">
        <f>"Esferas para moinho"</f>
        <v>Esferas para moinho</v>
      </c>
    </row>
    <row r="6675" spans="1:2">
      <c r="A6675" s="1" t="str">
        <f>"6802.93.90"</f>
        <v>6802.93.90</v>
      </c>
      <c r="B6675" s="2" t="str">
        <f>"Outros"</f>
        <v>Outros</v>
      </c>
    </row>
    <row r="6676" spans="1:2">
      <c r="A6676" s="1" t="str">
        <f>"6802.99.10"</f>
        <v>6802.99.10</v>
      </c>
      <c r="B6676" s="2" t="str">
        <f>"Esferas para moinho"</f>
        <v>Esferas para moinho</v>
      </c>
    </row>
    <row r="6677" spans="1:2">
      <c r="A6677" s="1" t="str">
        <f>"6802.99.90"</f>
        <v>6802.99.90</v>
      </c>
      <c r="B6677" s="2" t="str">
        <f>"Outras"</f>
        <v>Outras</v>
      </c>
    </row>
    <row r="6678" spans="1:2">
      <c r="A6678" s="1" t="str">
        <f>"6803.00.00"</f>
        <v>6803.00.00</v>
      </c>
      <c r="B6678" s="2" t="str">
        <f>"Ardosia natural trabalhada e obras"</f>
        <v>Ardosia natural trabalhada e obras</v>
      </c>
    </row>
    <row r="6679" spans="1:2">
      <c r="A6679" s="1" t="str">
        <f>"6804.10.00"</f>
        <v>6804.10.00</v>
      </c>
      <c r="B6679" s="2" t="str">
        <f>"Mos para moer ou desfibrar"</f>
        <v>Mos para moer ou desfibrar</v>
      </c>
    </row>
    <row r="6680" spans="1:2">
      <c r="A6680" s="1" t="str">
        <f>"6804.21.11"</f>
        <v>6804.21.11</v>
      </c>
      <c r="B6680" s="2" t="str">
        <f>"AGLOMERADOS COM RESINA"</f>
        <v>AGLOMERADOS COM RESINA</v>
      </c>
    </row>
    <row r="6681" spans="1:2">
      <c r="A6681" s="1" t="str">
        <f>"6804.21.19"</f>
        <v>6804.21.19</v>
      </c>
      <c r="B6681" s="2" t="str">
        <f>"OUTROS - REBOLO ABRASIVO CS-17"</f>
        <v>OUTROS - REBOLO ABRASIVO CS-17</v>
      </c>
    </row>
    <row r="6682" spans="1:2">
      <c r="A6682" s="1" t="str">
        <f>"6804.21.90"</f>
        <v>6804.21.90</v>
      </c>
      <c r="B6682" s="2" t="str">
        <f>"Outros"</f>
        <v>Outros</v>
      </c>
    </row>
    <row r="6683" spans="1:2">
      <c r="A6683" s="1" t="str">
        <f>"6804.22.11"</f>
        <v>6804.22.11</v>
      </c>
      <c r="B6683" s="2" t="str">
        <f>"AGLOMERADOS COM RESINA"</f>
        <v>AGLOMERADOS COM RESINA</v>
      </c>
    </row>
    <row r="6684" spans="1:2">
      <c r="A6684" s="1" t="str">
        <f>"6804.22.19"</f>
        <v>6804.22.19</v>
      </c>
      <c r="B6684" s="2" t="str">
        <f>"OUTROS"</f>
        <v>OUTROS</v>
      </c>
    </row>
    <row r="6685" spans="1:2">
      <c r="A6685" s="1" t="str">
        <f>"6804.22.90"</f>
        <v>6804.22.90</v>
      </c>
      <c r="B6685" s="2" t="str">
        <f>"Outros"</f>
        <v>Outros</v>
      </c>
    </row>
    <row r="6686" spans="1:2">
      <c r="A6686" s="1" t="str">
        <f>"6804.23.00"</f>
        <v>6804.23.00</v>
      </c>
      <c r="B6686" s="2" t="str">
        <f>"De pedras naturais"</f>
        <v>De pedras naturais</v>
      </c>
    </row>
    <row r="6687" spans="1:2">
      <c r="A6687" s="1" t="str">
        <f>"6804.30.00"</f>
        <v>6804.30.00</v>
      </c>
      <c r="B6687" s="2" t="str">
        <f>"PEDRAS P/ AMOLAR/POLIR, MANUAL."</f>
        <v>PEDRAS P/ AMOLAR/POLIR, MANUAL.</v>
      </c>
    </row>
    <row r="6688" spans="1:2">
      <c r="A6688" s="1" t="str">
        <f>"6805.10.00"</f>
        <v>6805.10.00</v>
      </c>
      <c r="B6688" s="2" t="str">
        <f>"APLICADOS APENAS SOBRE TECIDOS DE M"</f>
        <v>APLICADOS APENAS SOBRE TECIDOS DE M</v>
      </c>
    </row>
    <row r="6689" spans="1:2">
      <c r="A6689" s="1" t="str">
        <f>"6805.20.00"</f>
        <v>6805.20.00</v>
      </c>
      <c r="B6689" s="2" t="str">
        <f>"APLICADOS SOB PAPEL-REBOLO ABRASIVO"</f>
        <v>APLICADOS SOB PAPEL-REBOLO ABRASIVO</v>
      </c>
    </row>
    <row r="6690" spans="1:2">
      <c r="A6690" s="1" t="str">
        <f>"6805.30.10"</f>
        <v>6805.30.10</v>
      </c>
      <c r="B6690" s="2" t="str">
        <f>"Com suporte de papel ou cartao comb"</f>
        <v>Com suporte de papel ou cartao comb</v>
      </c>
    </row>
    <row r="6691" spans="1:2">
      <c r="A6691" s="1" t="str">
        <f>"6805.30.20"</f>
        <v>6805.30.20</v>
      </c>
      <c r="B6691" s="2" t="str">
        <f>"DISC. FIBR. RECOB OXÍ ALUM/CARB SIL"</f>
        <v>DISC. FIBR. RECOB OXÍ ALUM/CARB SIL</v>
      </c>
    </row>
    <row r="6692" spans="1:2">
      <c r="A6692" s="1" t="str">
        <f>"6805.30.90"</f>
        <v>6805.30.90</v>
      </c>
      <c r="B6692" s="2" t="str">
        <f>"OUTROS -ABRASIVOS NATURAIS OU ARTIF"</f>
        <v>OUTROS -ABRASIVOS NATURAIS OU ARTIF</v>
      </c>
    </row>
    <row r="6693" spans="1:2">
      <c r="A6693" s="1" t="str">
        <f>"6806.10.00"</f>
        <v>6806.10.00</v>
      </c>
      <c r="B6693" s="2" t="str">
        <f>"LÃS DE ESCÓRIAS DE ALTOS-FORNOS"</f>
        <v>LÃS DE ESCÓRIAS DE ALTOS-FORNOS</v>
      </c>
    </row>
    <row r="6694" spans="1:2">
      <c r="A6694" s="1" t="str">
        <f>"6806.20.00"</f>
        <v>6806.20.00</v>
      </c>
      <c r="B6694" s="2" t="str">
        <f>"Vermiculita e argilas, expandidas,"</f>
        <v>Vermiculita e argilas, expandidas,</v>
      </c>
    </row>
    <row r="6695" spans="1:2">
      <c r="A6695" s="1" t="str">
        <f>"6806.90.10"</f>
        <v>6806.90.10</v>
      </c>
      <c r="B6695" s="2" t="str">
        <f>"ALUMINOSOS OU SILICOALUMINOSOS"</f>
        <v>ALUMINOSOS OU SILICOALUMINOSOS</v>
      </c>
    </row>
    <row r="6696" spans="1:2">
      <c r="A6696" s="1" t="str">
        <f>"6806.90.90"</f>
        <v>6806.90.90</v>
      </c>
      <c r="B6696" s="2" t="str">
        <f>"OUTROS"</f>
        <v>OUTROS</v>
      </c>
    </row>
    <row r="6697" spans="1:2">
      <c r="A6697" s="1" t="str">
        <f>"6807.10.00"</f>
        <v>6807.10.00</v>
      </c>
      <c r="B6697" s="2" t="str">
        <f>"Em rolos"</f>
        <v>Em rolos</v>
      </c>
    </row>
    <row r="6698" spans="1:2">
      <c r="A6698" s="1" t="str">
        <f>"6807.90.00"</f>
        <v>6807.90.00</v>
      </c>
      <c r="B6698" s="2" t="str">
        <f>"Outras"</f>
        <v>Outras</v>
      </c>
    </row>
    <row r="6699" spans="1:2">
      <c r="A6699" s="1" t="str">
        <f>"6808.00.00"</f>
        <v>6808.00.00</v>
      </c>
      <c r="B6699" s="2" t="str">
        <f>"Paineis, chapas, ladrilhos, blocos"</f>
        <v>Paineis, chapas, ladrilhos, blocos</v>
      </c>
    </row>
    <row r="6700" spans="1:2">
      <c r="A6700" s="1" t="str">
        <f>"6809.11.00"</f>
        <v>6809.11.00</v>
      </c>
      <c r="B6700" s="2" t="str">
        <f>"REVESTIDOS OU REFORÇADOS"</f>
        <v>REVESTIDOS OU REFORÇADOS</v>
      </c>
    </row>
    <row r="6701" spans="1:2">
      <c r="A6701" s="1" t="str">
        <f>"6809.19.00"</f>
        <v>6809.19.00</v>
      </c>
      <c r="B6701" s="2" t="str">
        <f>"OUTROS"</f>
        <v>OUTROS</v>
      </c>
    </row>
    <row r="6702" spans="1:2">
      <c r="A6702" s="1" t="str">
        <f>"6809.90.00"</f>
        <v>6809.90.00</v>
      </c>
      <c r="B6702" s="2" t="str">
        <f>"Outras obras"</f>
        <v>Outras obras</v>
      </c>
    </row>
    <row r="6703" spans="1:2">
      <c r="A6703" s="1" t="str">
        <f>"6810.11.00"</f>
        <v>6810.11.00</v>
      </c>
      <c r="B6703" s="2" t="str">
        <f>"Blocos e tijolos para a construcao"</f>
        <v>Blocos e tijolos para a construcao</v>
      </c>
    </row>
    <row r="6704" spans="1:2">
      <c r="A6704" s="1" t="str">
        <f>"6810.19.00"</f>
        <v>6810.19.00</v>
      </c>
      <c r="B6704" s="2" t="str">
        <f>"Outros"</f>
        <v>Outros</v>
      </c>
    </row>
    <row r="6705" spans="1:2">
      <c r="A6705" s="1" t="str">
        <f>"6810.91.00"</f>
        <v>6810.91.00</v>
      </c>
      <c r="B6705" s="2" t="str">
        <f>"Elementos pre-fabricados para a con"</f>
        <v>Elementos pre-fabricados para a con</v>
      </c>
    </row>
    <row r="6706" spans="1:2">
      <c r="A6706" s="1" t="str">
        <f>"6810.99.00"</f>
        <v>6810.99.00</v>
      </c>
      <c r="B6706" s="2" t="str">
        <f>"OUTRAS"</f>
        <v>OUTRAS</v>
      </c>
    </row>
    <row r="6707" spans="1:2">
      <c r="A6707" s="1" t="str">
        <f>"6811.40.00"</f>
        <v>6811.40.00</v>
      </c>
      <c r="B6707" s="2" t="str">
        <f>"QUE CONTENHAM AMIANTO"</f>
        <v>QUE CONTENHAM AMIANTO</v>
      </c>
    </row>
    <row r="6708" spans="1:2">
      <c r="A6708" s="1" t="str">
        <f>"6811.81.00"</f>
        <v>6811.81.00</v>
      </c>
      <c r="B6708" s="2" t="str">
        <f>"Chapas onduladas"</f>
        <v>Chapas onduladas</v>
      </c>
    </row>
    <row r="6709" spans="1:2">
      <c r="A6709" s="1" t="str">
        <f>"6811.82.00"</f>
        <v>6811.82.00</v>
      </c>
      <c r="B6709" s="2" t="str">
        <f>"Outras chapas, paineis, ladrilhos,"</f>
        <v>Outras chapas, paineis, ladrilhos,</v>
      </c>
    </row>
    <row r="6710" spans="1:2">
      <c r="A6710" s="1" t="str">
        <f>"6811.89.00"</f>
        <v>6811.89.00</v>
      </c>
      <c r="B6710" s="2" t="str">
        <f>"Outras obras"</f>
        <v>Outras obras</v>
      </c>
    </row>
    <row r="6711" spans="1:2">
      <c r="A6711" s="1" t="str">
        <f>"6812.80.00"</f>
        <v>6812.80.00</v>
      </c>
      <c r="B6711" s="2" t="str">
        <f>"De crocidolita"</f>
        <v>De crocidolita</v>
      </c>
    </row>
    <row r="6712" spans="1:2">
      <c r="A6712" s="1" t="str">
        <f>"6812.91.00"</f>
        <v>6812.91.00</v>
      </c>
      <c r="B6712" s="2" t="str">
        <f>"Vestuario, acessorios de vestuario,"</f>
        <v>Vestuario, acessorios de vestuario,</v>
      </c>
    </row>
    <row r="6713" spans="1:2">
      <c r="A6713" s="1" t="str">
        <f>"6812.92.00"</f>
        <v>6812.92.00</v>
      </c>
      <c r="B6713" s="2" t="str">
        <f>"Papeis, cartoes e feltros"</f>
        <v>Papeis, cartoes e feltros</v>
      </c>
    </row>
    <row r="6714" spans="1:2">
      <c r="A6714" s="1" t="str">
        <f>"6812.93.00"</f>
        <v>6812.93.00</v>
      </c>
      <c r="B6714" s="2" t="str">
        <f>"Folhas de amianto e elastomeros, co"</f>
        <v>Folhas de amianto e elastomeros, co</v>
      </c>
    </row>
    <row r="6715" spans="1:2">
      <c r="A6715" s="1" t="str">
        <f>"6812.99.10"</f>
        <v>6812.99.10</v>
      </c>
      <c r="B6715" s="2" t="str">
        <f>"Juntas/elementos semelhante vedação"</f>
        <v>Juntas/elementos semelhante vedação</v>
      </c>
    </row>
    <row r="6716" spans="1:2">
      <c r="A6716" s="1" t="str">
        <f>"6812.99.20"</f>
        <v>6812.99.20</v>
      </c>
      <c r="B6716" s="2" t="str">
        <f>"Amianto trabalhado, em fibras"</f>
        <v>Amianto trabalhado, em fibras</v>
      </c>
    </row>
    <row r="6717" spans="1:2">
      <c r="A6717" s="1" t="str">
        <f>"6812.99.30"</f>
        <v>6812.99.30</v>
      </c>
      <c r="B6717" s="2" t="str">
        <f>"Misturas a base de amianto ou a bas"</f>
        <v>Misturas a base de amianto ou a bas</v>
      </c>
    </row>
    <row r="6718" spans="1:2">
      <c r="A6718" s="1" t="str">
        <f>"6812.99.90"</f>
        <v>6812.99.90</v>
      </c>
      <c r="B6718" s="2" t="str">
        <f>"Outras"</f>
        <v>Outras</v>
      </c>
    </row>
    <row r="6719" spans="1:2">
      <c r="A6719" s="1" t="str">
        <f>"6813.20.00"</f>
        <v>6813.20.00</v>
      </c>
      <c r="B6719" s="2" t="str">
        <f>"Que contenham amianto"</f>
        <v>Que contenham amianto</v>
      </c>
    </row>
    <row r="6720" spans="1:2">
      <c r="A6720" s="1" t="str">
        <f>"6813.81.10"</f>
        <v>6813.81.10</v>
      </c>
      <c r="B6720" s="2" t="str">
        <f>"Pastilhas"</f>
        <v>Pastilhas</v>
      </c>
    </row>
    <row r="6721" spans="1:2">
      <c r="A6721" s="1" t="str">
        <f>"6813.81.90"</f>
        <v>6813.81.90</v>
      </c>
      <c r="B6721" s="2" t="str">
        <f>"OUTRAS"</f>
        <v>OUTRAS</v>
      </c>
    </row>
    <row r="6722" spans="1:2">
      <c r="A6722" s="1" t="str">
        <f>"6813.89.10"</f>
        <v>6813.89.10</v>
      </c>
      <c r="B6722" s="2" t="str">
        <f>"Disco de friccao para embreagens"</f>
        <v>Disco de friccao para embreagens</v>
      </c>
    </row>
    <row r="6723" spans="1:2">
      <c r="A6723" s="1" t="str">
        <f>"6813.89.90"</f>
        <v>6813.89.90</v>
      </c>
      <c r="B6723" s="2" t="str">
        <f>"Outras"</f>
        <v>Outras</v>
      </c>
    </row>
    <row r="6724" spans="1:2">
      <c r="A6724" s="1" t="str">
        <f>"6814.10.00"</f>
        <v>6814.10.00</v>
      </c>
      <c r="B6724" s="2" t="str">
        <f>"PLACAS,FOLHAS,TIRAS DE MICA/RECONST"</f>
        <v>PLACAS,FOLHAS,TIRAS DE MICA/RECONST</v>
      </c>
    </row>
    <row r="6725" spans="1:2">
      <c r="A6725" s="1" t="str">
        <f>"6814.90.00"</f>
        <v>6814.90.00</v>
      </c>
      <c r="B6725" s="2" t="str">
        <f>"OUTRAS"</f>
        <v>OUTRAS</v>
      </c>
    </row>
    <row r="6726" spans="1:2">
      <c r="A6726" s="1" t="str">
        <f>"6815.10.10"</f>
        <v>6815.10.10</v>
      </c>
      <c r="B6726" s="2" t="str">
        <f>"Fibras de carbono"</f>
        <v>Fibras de carbono</v>
      </c>
    </row>
    <row r="6727" spans="1:2">
      <c r="A6727" s="1" t="str">
        <f>"6815.10.20"</f>
        <v>6815.10.20</v>
      </c>
      <c r="B6727" s="2" t="str">
        <f>"Tecidos de fibras de carbono"</f>
        <v>Tecidos de fibras de carbono</v>
      </c>
    </row>
    <row r="6728" spans="1:2">
      <c r="A6728" s="1" t="str">
        <f>"6815.10.90"</f>
        <v>6815.10.90</v>
      </c>
      <c r="B6728" s="2" t="str">
        <f>"Outras"</f>
        <v>Outras</v>
      </c>
    </row>
    <row r="6729" spans="1:2">
      <c r="A6729" s="1" t="str">
        <f>"6815.20.00"</f>
        <v>6815.20.00</v>
      </c>
      <c r="B6729" s="2" t="str">
        <f>"Obras de turfa"</f>
        <v>Obras de turfa</v>
      </c>
    </row>
    <row r="6730" spans="1:2">
      <c r="A6730" s="1" t="str">
        <f>"6815.91.10"</f>
        <v>6815.91.10</v>
      </c>
      <c r="B6730" s="2" t="str">
        <f>"Crus, aglomerados com aglutinante q"</f>
        <v>Crus, aglomerados com aglutinante q</v>
      </c>
    </row>
    <row r="6731" spans="1:2">
      <c r="A6731" s="1" t="str">
        <f>"6815.91.90"</f>
        <v>6815.91.90</v>
      </c>
      <c r="B6731" s="2" t="str">
        <f>"Outras"</f>
        <v>Outras</v>
      </c>
    </row>
    <row r="6732" spans="1:2">
      <c r="A6732" s="1" t="str">
        <f>"6815.99.11"</f>
        <v>6815.99.11</v>
      </c>
      <c r="B6732" s="2" t="str">
        <f>"Com um teor de alumina (Al2O3), igu"</f>
        <v>Com um teor de alumina (Al2O3), igu</v>
      </c>
    </row>
    <row r="6733" spans="1:2">
      <c r="A6733" s="1" t="str">
        <f>"6815.99.12"</f>
        <v>6815.99.12</v>
      </c>
      <c r="B6733" s="2" t="str">
        <f>"Com um teor de silica (SiO2) igual"</f>
        <v>Com um teor de silica (SiO2) igual</v>
      </c>
    </row>
    <row r="6734" spans="1:2">
      <c r="A6734" s="1" t="str">
        <f>"6815.99.13"</f>
        <v>6815.99.13</v>
      </c>
      <c r="B6734" s="2" t="str">
        <f>"Com um teor, em peso, de oxido de z"</f>
        <v>Com um teor, em peso, de oxido de z</v>
      </c>
    </row>
    <row r="6735" spans="1:2">
      <c r="A6735" s="1" t="str">
        <f>"6815.99.14"</f>
        <v>6815.99.14</v>
      </c>
      <c r="B6735" s="2" t="str">
        <f>"Constituidas por uma mistura ou com"</f>
        <v>Constituidas por uma mistura ou com</v>
      </c>
    </row>
    <row r="6736" spans="1:2">
      <c r="A6736" s="1" t="str">
        <f>"6815.99.19"</f>
        <v>6815.99.19</v>
      </c>
      <c r="B6736" s="2" t="str">
        <f>"Outras"</f>
        <v>Outras</v>
      </c>
    </row>
    <row r="6737" spans="1:2">
      <c r="A6737" s="1" t="str">
        <f>"6815.99.90"</f>
        <v>6815.99.90</v>
      </c>
      <c r="B6737" s="2" t="str">
        <f>"OUTRAS - ZEEOSPHERES"</f>
        <v>OUTRAS - ZEEOSPHERES</v>
      </c>
    </row>
    <row r="6738" spans="1:2">
      <c r="A6738" s="1" t="str">
        <f>"6901.00.00"</f>
        <v>6901.00.00</v>
      </c>
      <c r="B6738" s="2" t="str">
        <f>"Tijolos, placas (lajes), ladrilhos"</f>
        <v>Tijolos, placas (lajes), ladrilhos</v>
      </c>
    </row>
    <row r="6739" spans="1:2">
      <c r="A6739" s="1" t="str">
        <f>"6902.10.11"</f>
        <v>6902.10.11</v>
      </c>
      <c r="B6739" s="2" t="str">
        <f>"Tijolos ou placas, contendo, em pes"</f>
        <v>Tijolos ou placas, contendo, em pes</v>
      </c>
    </row>
    <row r="6740" spans="1:2">
      <c r="A6740" s="1" t="str">
        <f>"6902.10.18"</f>
        <v>6902.10.18</v>
      </c>
      <c r="B6740" s="2" t="str">
        <f>"Outros tijolos"</f>
        <v>Outros tijolos</v>
      </c>
    </row>
    <row r="6741" spans="1:2">
      <c r="A6741" s="1" t="str">
        <f>"6902.10.19"</f>
        <v>6902.10.19</v>
      </c>
      <c r="B6741" s="2" t="str">
        <f>"Outros"</f>
        <v>Outros</v>
      </c>
    </row>
    <row r="6742" spans="1:2">
      <c r="A6742" s="1" t="str">
        <f>"6902.10.90"</f>
        <v>6902.10.90</v>
      </c>
      <c r="B6742" s="2" t="str">
        <f>"Outros"</f>
        <v>Outros</v>
      </c>
    </row>
    <row r="6743" spans="1:2">
      <c r="A6743" s="1" t="str">
        <f>"6902.20.10"</f>
        <v>6902.20.10</v>
      </c>
      <c r="B6743" s="2" t="str">
        <f>"Tijolos silico-aluminosos"</f>
        <v>Tijolos silico-aluminosos</v>
      </c>
    </row>
    <row r="6744" spans="1:2">
      <c r="A6744" s="1" t="str">
        <f>"6902.20.91"</f>
        <v>6902.20.91</v>
      </c>
      <c r="B6744" s="2" t="str">
        <f>"Silico-aluminosos"</f>
        <v>Silico-aluminosos</v>
      </c>
    </row>
    <row r="6745" spans="1:2">
      <c r="A6745" s="1" t="str">
        <f>"6902.20.92"</f>
        <v>6902.20.92</v>
      </c>
      <c r="B6745" s="2" t="str">
        <f>"Silicoso, semi-silicoso ou de silic"</f>
        <v>Silicoso, semi-silicoso ou de silic</v>
      </c>
    </row>
    <row r="6746" spans="1:2">
      <c r="A6746" s="1" t="str">
        <f>"6902.20.93"</f>
        <v>6902.20.93</v>
      </c>
      <c r="B6746" s="2" t="str">
        <f>"De silimanita"</f>
        <v>De silimanita</v>
      </c>
    </row>
    <row r="6747" spans="1:2">
      <c r="A6747" s="1" t="str">
        <f>"6902.20.99"</f>
        <v>6902.20.99</v>
      </c>
      <c r="B6747" s="2" t="str">
        <f>"Outros"</f>
        <v>Outros</v>
      </c>
    </row>
    <row r="6748" spans="1:2">
      <c r="A6748" s="1" t="str">
        <f>"6902.90.10"</f>
        <v>6902.90.10</v>
      </c>
      <c r="B6748" s="2" t="str">
        <f>"De grafita"</f>
        <v>De grafita</v>
      </c>
    </row>
    <row r="6749" spans="1:2">
      <c r="A6749" s="1" t="str">
        <f>"6902.90.20"</f>
        <v>6902.90.20</v>
      </c>
      <c r="B6749" s="2" t="str">
        <f>"Nao fundidos, com um teor de oxido"</f>
        <v>Nao fundidos, com um teor de oxido</v>
      </c>
    </row>
    <row r="6750" spans="1:2">
      <c r="A6750" s="1" t="str">
        <f>"6902.90.30"</f>
        <v>6902.90.30</v>
      </c>
      <c r="B6750" s="2" t="str">
        <f>"Com um teor de carbono superior a 8"</f>
        <v>Com um teor de carbono superior a 8</v>
      </c>
    </row>
    <row r="6751" spans="1:2">
      <c r="A6751" s="1" t="str">
        <f>"6902.90.40"</f>
        <v>6902.90.40</v>
      </c>
      <c r="B6751" s="2" t="str">
        <f>"De carboneto de silicio"</f>
        <v>De carboneto de silicio</v>
      </c>
    </row>
    <row r="6752" spans="1:2">
      <c r="A6752" s="1" t="str">
        <f>"6902.90.90"</f>
        <v>6902.90.90</v>
      </c>
      <c r="B6752" s="2" t="str">
        <f>"Outros"</f>
        <v>Outros</v>
      </c>
    </row>
    <row r="6753" spans="1:2">
      <c r="A6753" s="1" t="str">
        <f>"6903.10.11"</f>
        <v>6903.10.11</v>
      </c>
      <c r="B6753" s="2" t="str">
        <f>"De grafita, exceto os do subitem 69"</f>
        <v>De grafita, exceto os do subitem 69</v>
      </c>
    </row>
    <row r="6754" spans="1:2">
      <c r="A6754" s="1" t="str">
        <f>"6903.10.12"</f>
        <v>6903.10.12</v>
      </c>
      <c r="B6754" s="2" t="str">
        <f>"Elaborados com uma mistura de grafi"</f>
        <v>Elaborados com uma mistura de grafi</v>
      </c>
    </row>
    <row r="6755" spans="1:2">
      <c r="A6755" s="1" t="str">
        <f>"6903.10.19"</f>
        <v>6903.10.19</v>
      </c>
      <c r="B6755" s="2" t="str">
        <f>"Outros"</f>
        <v>Outros</v>
      </c>
    </row>
    <row r="6756" spans="1:2">
      <c r="A6756" s="1" t="str">
        <f>"6903.10.20"</f>
        <v>6903.10.20</v>
      </c>
      <c r="B6756" s="2" t="str">
        <f>"Retortas elaboradas com uma mistura"</f>
        <v>Retortas elaboradas com uma mistura</v>
      </c>
    </row>
    <row r="6757" spans="1:2">
      <c r="A6757" s="1" t="str">
        <f>"6903.10.30"</f>
        <v>6903.10.30</v>
      </c>
      <c r="B6757" s="2" t="str">
        <f>"TAMPAS E TAMPÕES"</f>
        <v>TAMPAS E TAMPÕES</v>
      </c>
    </row>
    <row r="6758" spans="1:2">
      <c r="A6758" s="1" t="str">
        <f>"6903.10.40"</f>
        <v>6903.10.40</v>
      </c>
      <c r="B6758" s="2" t="str">
        <f>"Tubos"</f>
        <v>Tubos</v>
      </c>
    </row>
    <row r="6759" spans="1:2">
      <c r="A6759" s="1" t="str">
        <f>"6903.10.90"</f>
        <v>6903.10.90</v>
      </c>
      <c r="B6759" s="2" t="str">
        <f>"Outros"</f>
        <v>Outros</v>
      </c>
    </row>
    <row r="6760" spans="1:2">
      <c r="A6760" s="1" t="str">
        <f>"6903.20.10"</f>
        <v>6903.20.10</v>
      </c>
      <c r="B6760" s="2" t="str">
        <f>"CADINHOS"</f>
        <v>CADINHOS</v>
      </c>
    </row>
    <row r="6761" spans="1:2">
      <c r="A6761" s="1" t="str">
        <f>"6903.20.20"</f>
        <v>6903.20.20</v>
      </c>
      <c r="B6761" s="2" t="str">
        <f>"Tampas e tampoes"</f>
        <v>Tampas e tampoes</v>
      </c>
    </row>
    <row r="6762" spans="1:2">
      <c r="A6762" s="1" t="str">
        <f>"6903.20.30"</f>
        <v>6903.20.30</v>
      </c>
      <c r="B6762" s="2" t="str">
        <f>"TUBOS"</f>
        <v>TUBOS</v>
      </c>
    </row>
    <row r="6763" spans="1:2">
      <c r="A6763" s="1" t="str">
        <f>"6903.20.90"</f>
        <v>6903.20.90</v>
      </c>
      <c r="B6763" s="2" t="str">
        <f>"Outros"</f>
        <v>Outros</v>
      </c>
    </row>
    <row r="6764" spans="1:2">
      <c r="A6764" s="1" t="str">
        <f>"6903.90.11"</f>
        <v>6903.90.11</v>
      </c>
      <c r="B6764" s="2" t="str">
        <f>"De carboneto de silicio"</f>
        <v>De carboneto de silicio</v>
      </c>
    </row>
    <row r="6765" spans="1:2">
      <c r="A6765" s="1" t="str">
        <f>"6903.90.12"</f>
        <v>6903.90.12</v>
      </c>
      <c r="B6765" s="2" t="str">
        <f>"De compostos de zirconio"</f>
        <v>De compostos de zirconio</v>
      </c>
    </row>
    <row r="6766" spans="1:2">
      <c r="A6766" s="1" t="str">
        <f>"6903.90.19"</f>
        <v>6903.90.19</v>
      </c>
      <c r="B6766" s="2" t="str">
        <f>"Outros"</f>
        <v>Outros</v>
      </c>
    </row>
    <row r="6767" spans="1:2">
      <c r="A6767" s="1" t="str">
        <f>"6903.90.91"</f>
        <v>6903.90.91</v>
      </c>
      <c r="B6767" s="2" t="str">
        <f>"De carboneto de silicio"</f>
        <v>De carboneto de silicio</v>
      </c>
    </row>
    <row r="6768" spans="1:2">
      <c r="A6768" s="1" t="str">
        <f>"6903.90.92"</f>
        <v>6903.90.92</v>
      </c>
      <c r="B6768" s="2" t="str">
        <f>"De compostos de zirconio"</f>
        <v>De compostos de zirconio</v>
      </c>
    </row>
    <row r="6769" spans="1:2">
      <c r="A6769" s="1" t="str">
        <f>"6903.90.99"</f>
        <v>6903.90.99</v>
      </c>
      <c r="B6769" s="2" t="str">
        <f>"Outros"</f>
        <v>Outros</v>
      </c>
    </row>
    <row r="6770" spans="1:2">
      <c r="A6770" s="1" t="str">
        <f>"6904.10.00"</f>
        <v>6904.10.00</v>
      </c>
      <c r="B6770" s="2" t="str">
        <f>"Tijolos para construcao"</f>
        <v>Tijolos para construcao</v>
      </c>
    </row>
    <row r="6771" spans="1:2">
      <c r="A6771" s="1" t="str">
        <f>"6904.90.00"</f>
        <v>6904.90.00</v>
      </c>
      <c r="B6771" s="2" t="str">
        <f>"Outros"</f>
        <v>Outros</v>
      </c>
    </row>
    <row r="6772" spans="1:2">
      <c r="A6772" s="1" t="str">
        <f>"6905.10.00"</f>
        <v>6905.10.00</v>
      </c>
      <c r="B6772" s="2" t="str">
        <f>"Telhas"</f>
        <v>Telhas</v>
      </c>
    </row>
    <row r="6773" spans="1:2">
      <c r="A6773" s="1" t="str">
        <f>"6905.90.00"</f>
        <v>6905.90.00</v>
      </c>
      <c r="B6773" s="2" t="str">
        <f>"Outros"</f>
        <v>Outros</v>
      </c>
    </row>
    <row r="6774" spans="1:2">
      <c r="A6774" s="1" t="str">
        <f>"6906.00.00"</f>
        <v>6906.00.00</v>
      </c>
      <c r="B6774" s="2" t="str">
        <f>"tubos, calhas ou algerozes e acessó"</f>
        <v>tubos, calhas ou algerozes e acessó</v>
      </c>
    </row>
    <row r="6775" spans="1:2">
      <c r="A6775" s="1" t="str">
        <f>"6907.21.00"</f>
        <v>6907.21.00</v>
      </c>
      <c r="B6775" s="2" t="str">
        <f>"OUTROS"</f>
        <v>OUTROS</v>
      </c>
    </row>
    <row r="6776" spans="1:2">
      <c r="A6776" s="1" t="str">
        <f>"6907.22.00"</f>
        <v>6907.22.00</v>
      </c>
      <c r="B6776" s="2" t="str">
        <f>"Ladrilhos e placas (lajes)"</f>
        <v>Ladrilhos e placas (lajes)</v>
      </c>
    </row>
    <row r="6777" spans="1:2">
      <c r="A6777" s="1" t="str">
        <f>"6907.23.00"</f>
        <v>6907.23.00</v>
      </c>
      <c r="B6777" s="2" t="str">
        <f>"Com um coeficiente de absorcao de a"</f>
        <v>Com um coeficiente de absorcao de a</v>
      </c>
    </row>
    <row r="6778" spans="1:2">
      <c r="A6778" s="1" t="str">
        <f>"6907.30.00"</f>
        <v>6907.30.00</v>
      </c>
      <c r="B6778" s="2" t="str">
        <f>"Cubos, pastilhas e artigos semelhan"</f>
        <v>Cubos, pastilhas e artigos semelhan</v>
      </c>
    </row>
    <row r="6779" spans="1:2">
      <c r="A6779" s="1" t="str">
        <f>"6907.40.00"</f>
        <v>6907.40.00</v>
      </c>
      <c r="B6779" s="2" t="str">
        <f>"Pecas de acabamento"</f>
        <v>Pecas de acabamento</v>
      </c>
    </row>
    <row r="6780" spans="1:2">
      <c r="A6780" s="1" t="str">
        <f>"6908.90.00"</f>
        <v>6908.90.00</v>
      </c>
      <c r="B6780" s="2" t="str">
        <f>"INATIVO"</f>
        <v>INATIVO</v>
      </c>
    </row>
    <row r="6781" spans="1:2">
      <c r="A6781" s="1" t="str">
        <f>"6909.11.00"</f>
        <v>6909.11.00</v>
      </c>
      <c r="B6781" s="2" t="str">
        <f>"DE PORCELANA"</f>
        <v>DE PORCELANA</v>
      </c>
    </row>
    <row r="6782" spans="1:2">
      <c r="A6782" s="1" t="str">
        <f>"6909.12.10"</f>
        <v>6909.12.10</v>
      </c>
      <c r="B6782" s="2" t="str">
        <f>"Guia-fios para maquina textil"</f>
        <v>Guia-fios para maquina textil</v>
      </c>
    </row>
    <row r="6783" spans="1:2">
      <c r="A6783" s="1" t="str">
        <f>"6909.12.20"</f>
        <v>6909.12.20</v>
      </c>
      <c r="B6783" s="2" t="str">
        <f>"Guias de agulhas para cabecas de im"</f>
        <v>Guias de agulhas para cabecas de im</v>
      </c>
    </row>
    <row r="6784" spans="1:2">
      <c r="A6784" s="1" t="str">
        <f>"6909.12.30"</f>
        <v>6909.12.30</v>
      </c>
      <c r="B6784" s="2" t="str">
        <f>"Aneis de carboneto de silicio para"</f>
        <v>Aneis de carboneto de silicio para</v>
      </c>
    </row>
    <row r="6785" spans="1:2">
      <c r="A6785" s="1" t="str">
        <f>"6909.12.90"</f>
        <v>6909.12.90</v>
      </c>
      <c r="B6785" s="2" t="str">
        <f>"Outros"</f>
        <v>Outros</v>
      </c>
    </row>
    <row r="6786" spans="1:2">
      <c r="A6786" s="1" t="str">
        <f>"6909.19.10"</f>
        <v>6909.19.10</v>
      </c>
      <c r="B6786" s="2" t="str">
        <f>"Guia-fios para maquina textil"</f>
        <v>Guia-fios para maquina textil</v>
      </c>
    </row>
    <row r="6787" spans="1:2">
      <c r="A6787" s="1" t="str">
        <f>"6909.19.20"</f>
        <v>6909.19.20</v>
      </c>
      <c r="B6787" s="2" t="str">
        <f>"Guias de agulhas para cabecas de im"</f>
        <v>Guias de agulhas para cabecas de im</v>
      </c>
    </row>
    <row r="6788" spans="1:2">
      <c r="A6788" s="1" t="str">
        <f>"6909.19.30"</f>
        <v>6909.19.30</v>
      </c>
      <c r="B6788" s="2" t="str">
        <f>"Colmeia de ceramica a base de alumi"</f>
        <v>Colmeia de ceramica a base de alumi</v>
      </c>
    </row>
    <row r="6789" spans="1:2">
      <c r="A6789" s="1" t="str">
        <f>"6909.19.90"</f>
        <v>6909.19.90</v>
      </c>
      <c r="B6789" s="2" t="str">
        <f>"OUTROS"</f>
        <v>OUTROS</v>
      </c>
    </row>
    <row r="6790" spans="1:2">
      <c r="A6790" s="1" t="str">
        <f>"6909.90.00"</f>
        <v>6909.90.00</v>
      </c>
      <c r="B6790" s="2" t="str">
        <f>"Outros"</f>
        <v>Outros</v>
      </c>
    </row>
    <row r="6791" spans="1:2">
      <c r="A6791" s="1" t="str">
        <f>"6910.10.00"</f>
        <v>6910.10.00</v>
      </c>
      <c r="B6791" s="2" t="str">
        <f>"De porcelana"</f>
        <v>De porcelana</v>
      </c>
    </row>
    <row r="6792" spans="1:2">
      <c r="A6792" s="1" t="str">
        <f>"6910.90.00"</f>
        <v>6910.90.00</v>
      </c>
      <c r="B6792" s="2" t="str">
        <f>"OUTROS"</f>
        <v>OUTROS</v>
      </c>
    </row>
    <row r="6793" spans="1:2">
      <c r="A6793" s="1" t="str">
        <f>"6911.10.10"</f>
        <v>6911.10.10</v>
      </c>
      <c r="B6793" s="2" t="str">
        <f>"Conjunto (jogo ou aparelho) para ja"</f>
        <v>Conjunto (jogo ou aparelho) para ja</v>
      </c>
    </row>
    <row r="6794" spans="1:2">
      <c r="A6794" s="1" t="str">
        <f>"6911.10.90"</f>
        <v>6911.10.90</v>
      </c>
      <c r="B6794" s="2" t="str">
        <f>"XICARAS"</f>
        <v>XICARAS</v>
      </c>
    </row>
    <row r="6795" spans="1:2">
      <c r="A6795" s="1" t="str">
        <f>"6911.90.00"</f>
        <v>6911.90.00</v>
      </c>
      <c r="B6795" s="2" t="str">
        <f>"Outros"</f>
        <v>Outros</v>
      </c>
    </row>
    <row r="6796" spans="1:2">
      <c r="A6796" s="1" t="str">
        <f>"6912.00.00"</f>
        <v>6912.00.00</v>
      </c>
      <c r="B6796" s="2" t="str">
        <f>"LOUÇA, COSMET, TOUCAD, CERAM, EXC P"</f>
        <v>LOUÇA, COSMET, TOUCAD, CERAM, EXC P</v>
      </c>
    </row>
    <row r="6797" spans="1:2">
      <c r="A6797" s="1" t="str">
        <f>"6913.10.00"</f>
        <v>6913.10.00</v>
      </c>
      <c r="B6797" s="2" t="str">
        <f>"De porcelana"</f>
        <v>De porcelana</v>
      </c>
    </row>
    <row r="6798" spans="1:2">
      <c r="A6798" s="1" t="str">
        <f>"6913.90.00"</f>
        <v>6913.90.00</v>
      </c>
      <c r="B6798" s="2" t="str">
        <f>"Outros"</f>
        <v>Outros</v>
      </c>
    </row>
    <row r="6799" spans="1:2">
      <c r="A6799" s="1" t="str">
        <f>"6914.10.00"</f>
        <v>6914.10.00</v>
      </c>
      <c r="B6799" s="2" t="str">
        <f>"De porcelana"</f>
        <v>De porcelana</v>
      </c>
    </row>
    <row r="6800" spans="1:2">
      <c r="A6800" s="1" t="str">
        <f>"6914.90.00"</f>
        <v>6914.90.00</v>
      </c>
      <c r="B6800" s="2" t="str">
        <f>"Outras"</f>
        <v>Outras</v>
      </c>
    </row>
    <row r="6801" spans="1:2">
      <c r="A6801" s="1" t="str">
        <f>"7001.00.00"</f>
        <v>7001.00.00</v>
      </c>
      <c r="B6801" s="2" t="str">
        <f>"Cacos, fragmentos e outros desperdi"</f>
        <v>Cacos, fragmentos e outros desperdi</v>
      </c>
    </row>
    <row r="6802" spans="1:2">
      <c r="A6802" s="1" t="str">
        <f>"7002.10.00"</f>
        <v>7002.10.00</v>
      </c>
      <c r="B6802" s="2" t="str">
        <f>"ESFERAS"</f>
        <v>ESFERAS</v>
      </c>
    </row>
    <row r="6803" spans="1:2">
      <c r="A6803" s="1" t="str">
        <f>"7002.20.00"</f>
        <v>7002.20.00</v>
      </c>
      <c r="B6803" s="2" t="str">
        <f>"Barras ou varetas"</f>
        <v>Barras ou varetas</v>
      </c>
    </row>
    <row r="6804" spans="1:2">
      <c r="A6804" s="1" t="str">
        <f>"7002.31.00"</f>
        <v>7002.31.00</v>
      </c>
      <c r="B6804" s="2" t="str">
        <f>"De quartzo ou de outras silicas fun"</f>
        <v>De quartzo ou de outras silicas fun</v>
      </c>
    </row>
    <row r="6805" spans="1:2">
      <c r="A6805" s="1" t="str">
        <f>"7002.32.00"</f>
        <v>7002.32.00</v>
      </c>
      <c r="B6805" s="2" t="str">
        <f>"De outro vidro com um coeficiente d"</f>
        <v>De outro vidro com um coeficiente d</v>
      </c>
    </row>
    <row r="6806" spans="1:2">
      <c r="A6806" s="1" t="str">
        <f>"7002.39.00"</f>
        <v>7002.39.00</v>
      </c>
      <c r="B6806" s="2" t="str">
        <f>"Outros"</f>
        <v>Outros</v>
      </c>
    </row>
    <row r="6807" spans="1:2">
      <c r="A6807" s="1" t="str">
        <f>"7003.12.00"</f>
        <v>7003.12.00</v>
      </c>
      <c r="B6807" s="2" t="str">
        <f>"Coradas na massa, opacificadas, fol"</f>
        <v>Coradas na massa, opacificadas, fol</v>
      </c>
    </row>
    <row r="6808" spans="1:2">
      <c r="A6808" s="1" t="str">
        <f>"7003.19.00"</f>
        <v>7003.19.00</v>
      </c>
      <c r="B6808" s="2" t="str">
        <f>"Outras"</f>
        <v>Outras</v>
      </c>
    </row>
    <row r="6809" spans="1:2">
      <c r="A6809" s="1" t="str">
        <f>"7003.20.00"</f>
        <v>7003.20.00</v>
      </c>
      <c r="B6809" s="2" t="str">
        <f>"Chapas e folhas, armadas"</f>
        <v>Chapas e folhas, armadas</v>
      </c>
    </row>
    <row r="6810" spans="1:2">
      <c r="A6810" s="1" t="str">
        <f>"7003.30.00"</f>
        <v>7003.30.00</v>
      </c>
      <c r="B6810" s="2" t="str">
        <f>"OUTROS"</f>
        <v>OUTROS</v>
      </c>
    </row>
    <row r="6811" spans="1:2">
      <c r="A6811" s="1" t="str">
        <f>"7004.20.00"</f>
        <v>7004.20.00</v>
      </c>
      <c r="B6811" s="2" t="str">
        <f>"VIDRO CORADO NA MASSA -LENTES CRIST"</f>
        <v>VIDRO CORADO NA MASSA -LENTES CRIST</v>
      </c>
    </row>
    <row r="6812" spans="1:2">
      <c r="A6812" s="1" t="str">
        <f>"7004.90.00"</f>
        <v>7004.90.00</v>
      </c>
      <c r="B6812" s="2" t="str">
        <f>"OUTRO VIDRO"</f>
        <v>OUTRO VIDRO</v>
      </c>
    </row>
    <row r="6813" spans="1:2">
      <c r="A6813" s="1" t="str">
        <f>"7005.10.00"</f>
        <v>7005.10.00</v>
      </c>
      <c r="B6813" s="2" t="str">
        <f>"Vidro nao armado, com camada absorv"</f>
        <v>Vidro nao armado, com camada absorv</v>
      </c>
    </row>
    <row r="6814" spans="1:2">
      <c r="A6814" s="1" t="str">
        <f>"7005.21.00"</f>
        <v>7005.21.00</v>
      </c>
      <c r="B6814" s="2" t="str">
        <f>"Corado na massa, opacificado, folhe"</f>
        <v>Corado na massa, opacificado, folhe</v>
      </c>
    </row>
    <row r="6815" spans="1:2">
      <c r="A6815" s="1" t="str">
        <f>"7005.29.00"</f>
        <v>7005.29.00</v>
      </c>
      <c r="B6815" s="2" t="str">
        <f>"OUTRO"</f>
        <v>OUTRO</v>
      </c>
    </row>
    <row r="6816" spans="1:2">
      <c r="A6816" s="1" t="str">
        <f>"7005.30.00"</f>
        <v>7005.30.00</v>
      </c>
      <c r="B6816" s="2" t="str">
        <f>"Vidro armado"</f>
        <v>Vidro armado</v>
      </c>
    </row>
    <row r="6817" spans="1:2">
      <c r="A6817" s="1" t="str">
        <f>"7006.00.00"</f>
        <v>7006.00.00</v>
      </c>
      <c r="B6817" s="2" t="str">
        <f>"Vidro das posicoes 70.03, 70.04 ou"</f>
        <v>Vidro das posicoes 70.03, 70.04 ou</v>
      </c>
    </row>
    <row r="6818" spans="1:2">
      <c r="A6818" s="1" t="str">
        <f>"7007.11.00"</f>
        <v>7007.11.00</v>
      </c>
      <c r="B6818" s="2" t="str">
        <f>"De dimensoes e formatos que permita"</f>
        <v>De dimensoes e formatos que permita</v>
      </c>
    </row>
    <row r="6819" spans="1:2">
      <c r="A6819" s="1" t="str">
        <f>"7007.19.00"</f>
        <v>7007.19.00</v>
      </c>
      <c r="B6819" s="2" t="str">
        <f>"Outros"</f>
        <v>Outros</v>
      </c>
    </row>
    <row r="6820" spans="1:2">
      <c r="A6820" s="1" t="str">
        <f>"7007.21.00"</f>
        <v>7007.21.00</v>
      </c>
      <c r="B6820" s="2" t="str">
        <f>"De dimensoes e formatos que permita"</f>
        <v>De dimensoes e formatos que permita</v>
      </c>
    </row>
    <row r="6821" spans="1:2">
      <c r="A6821" s="1" t="str">
        <f>"7007.29.00"</f>
        <v>7007.29.00</v>
      </c>
      <c r="B6821" s="2" t="str">
        <f>"Outros"</f>
        <v>Outros</v>
      </c>
    </row>
    <row r="6822" spans="1:2">
      <c r="A6822" s="1" t="str">
        <f>"7008.00.00"</f>
        <v>7008.00.00</v>
      </c>
      <c r="B6822" s="2" t="str">
        <f>"Vidros isolantes de paredes multipl"</f>
        <v>Vidros isolantes de paredes multipl</v>
      </c>
    </row>
    <row r="6823" spans="1:2">
      <c r="A6823" s="1" t="str">
        <f>"7009.10.00"</f>
        <v>7009.10.00</v>
      </c>
      <c r="B6823" s="2" t="str">
        <f>"ESPELHOS RETROVISORES PARA VEÍCULOS"</f>
        <v>ESPELHOS RETROVISORES PARA VEÍCULOS</v>
      </c>
    </row>
    <row r="6824" spans="1:2">
      <c r="A6824" s="1" t="str">
        <f>"7009.91.00"</f>
        <v>7009.91.00</v>
      </c>
      <c r="B6824" s="2" t="str">
        <f>"NÃO EMOLDURADOS"</f>
        <v>NÃO EMOLDURADOS</v>
      </c>
    </row>
    <row r="6825" spans="1:2">
      <c r="A6825" s="1" t="str">
        <f>"7009.92.00"</f>
        <v>7009.92.00</v>
      </c>
      <c r="B6825" s="2" t="str">
        <f>"EMOLDURADOS"</f>
        <v>EMOLDURADOS</v>
      </c>
    </row>
    <row r="6826" spans="1:2">
      <c r="A6826" s="1" t="str">
        <f>"7010.10.00"</f>
        <v>7010.10.00</v>
      </c>
      <c r="B6826" s="2" t="str">
        <f>"Ampolas"</f>
        <v>Ampolas</v>
      </c>
    </row>
    <row r="6827" spans="1:2">
      <c r="A6827" s="1" t="str">
        <f>"7010.20.00"</f>
        <v>7010.20.00</v>
      </c>
      <c r="B6827" s="2" t="str">
        <f>"Rolhas, tampas e outros dispositivo"</f>
        <v>Rolhas, tampas e outros dispositivo</v>
      </c>
    </row>
    <row r="6828" spans="1:2">
      <c r="A6828" s="1" t="str">
        <f>"7010.90.11"</f>
        <v>7010.90.11</v>
      </c>
      <c r="B6828" s="2" t="str">
        <f>"Garrafoes e garrafas"</f>
        <v>Garrafoes e garrafas</v>
      </c>
    </row>
    <row r="6829" spans="1:2">
      <c r="A6829" s="1" t="str">
        <f>"7010.90.12"</f>
        <v>7010.90.12</v>
      </c>
      <c r="B6829" s="2" t="str">
        <f>"Frascos, boioes, vasos, embalagens"</f>
        <v>Frascos, boioes, vasos, embalagens</v>
      </c>
    </row>
    <row r="6830" spans="1:2">
      <c r="A6830" s="1" t="str">
        <f>"7010.90.21"</f>
        <v>7010.90.21</v>
      </c>
      <c r="B6830" s="2" t="str">
        <f>"Garrafoes e garrafas"</f>
        <v>Garrafoes e garrafas</v>
      </c>
    </row>
    <row r="6831" spans="1:2">
      <c r="A6831" s="1" t="str">
        <f>"7010.90.22"</f>
        <v>7010.90.22</v>
      </c>
      <c r="B6831" s="2" t="str">
        <f>"Frascos, boioes, vasos, embalagens"</f>
        <v>Frascos, boioes, vasos, embalagens</v>
      </c>
    </row>
    <row r="6832" spans="1:2">
      <c r="A6832" s="1" t="str">
        <f>"7010.90.90"</f>
        <v>7010.90.90</v>
      </c>
      <c r="B6832" s="2" t="str">
        <f>"Outros"</f>
        <v>Outros</v>
      </c>
    </row>
    <row r="6833" spans="1:2">
      <c r="A6833" s="1" t="str">
        <f>"7011.10.10"</f>
        <v>7011.10.10</v>
      </c>
      <c r="B6833" s="2" t="str">
        <f>"Para lampadas ou tubos de descarga,"</f>
        <v>Para lampadas ou tubos de descarga,</v>
      </c>
    </row>
    <row r="6834" spans="1:2">
      <c r="A6834" s="1" t="str">
        <f>"7011.10.21"</f>
        <v>7011.10.21</v>
      </c>
      <c r="B6834" s="2" t="str">
        <f>"Bulbos de diametro inferior ou igua"</f>
        <v>Bulbos de diametro inferior ou igua</v>
      </c>
    </row>
    <row r="6835" spans="1:2">
      <c r="A6835" s="1" t="str">
        <f>"7011.10.29"</f>
        <v>7011.10.29</v>
      </c>
      <c r="B6835" s="2" t="str">
        <f>"Outros"</f>
        <v>Outros</v>
      </c>
    </row>
    <row r="6836" spans="1:2">
      <c r="A6836" s="1" t="str">
        <f>"7011.10.90"</f>
        <v>7011.10.90</v>
      </c>
      <c r="B6836" s="2" t="str">
        <f>"Outros"</f>
        <v>Outros</v>
      </c>
    </row>
    <row r="6837" spans="1:2">
      <c r="A6837" s="1" t="str">
        <f>"7011.20.00"</f>
        <v>7011.20.00</v>
      </c>
      <c r="B6837" s="2" t="str">
        <f>"Para tubos catodicos"</f>
        <v>Para tubos catodicos</v>
      </c>
    </row>
    <row r="6838" spans="1:2">
      <c r="A6838" s="1" t="str">
        <f>"7011.90.00"</f>
        <v>7011.90.00</v>
      </c>
      <c r="B6838" s="2" t="str">
        <f>"Outros"</f>
        <v>Outros</v>
      </c>
    </row>
    <row r="6839" spans="1:2">
      <c r="A6839" s="1" t="str">
        <f>"7013.10.00"</f>
        <v>7013.10.00</v>
      </c>
      <c r="B6839" s="2" t="str">
        <f>"Objetos de vitroceramica"</f>
        <v>Objetos de vitroceramica</v>
      </c>
    </row>
    <row r="6840" spans="1:2">
      <c r="A6840" s="1" t="str">
        <f>"7013.22.00"</f>
        <v>7013.22.00</v>
      </c>
      <c r="B6840" s="2" t="str">
        <f>"De cristal de chumbo"</f>
        <v>De cristal de chumbo</v>
      </c>
    </row>
    <row r="6841" spans="1:2">
      <c r="A6841" s="1" t="str">
        <f>"7013.28.00"</f>
        <v>7013.28.00</v>
      </c>
      <c r="B6841" s="2" t="str">
        <f>"OUTROS"</f>
        <v>OUTROS</v>
      </c>
    </row>
    <row r="6842" spans="1:2">
      <c r="A6842" s="1" t="str">
        <f>"7013.33.00"</f>
        <v>7013.33.00</v>
      </c>
      <c r="B6842" s="2" t="str">
        <f>"De cristal de chumbo"</f>
        <v>De cristal de chumbo</v>
      </c>
    </row>
    <row r="6843" spans="1:2">
      <c r="A6843" s="1" t="str">
        <f>"7013.37.00"</f>
        <v>7013.37.00</v>
      </c>
      <c r="B6843" s="2" t="str">
        <f>"Outros"</f>
        <v>Outros</v>
      </c>
    </row>
    <row r="6844" spans="1:2">
      <c r="A6844" s="1" t="str">
        <f>"7013.41.00"</f>
        <v>7013.41.00</v>
      </c>
      <c r="B6844" s="2" t="str">
        <f>"De cristal de chumbo"</f>
        <v>De cristal de chumbo</v>
      </c>
    </row>
    <row r="6845" spans="1:2">
      <c r="A6845" s="1" t="str">
        <f>"7013.42.10"</f>
        <v>7013.42.10</v>
      </c>
      <c r="B6845" s="2" t="str">
        <f>"Cafeteiras e chaleiras"</f>
        <v>Cafeteiras e chaleiras</v>
      </c>
    </row>
    <row r="6846" spans="1:2">
      <c r="A6846" s="1" t="str">
        <f>"7013.42.90"</f>
        <v>7013.42.90</v>
      </c>
      <c r="B6846" s="2" t="str">
        <f>"Outros"</f>
        <v>Outros</v>
      </c>
    </row>
    <row r="6847" spans="1:2">
      <c r="A6847" s="1" t="str">
        <f>"7013.49.00"</f>
        <v>7013.49.00</v>
      </c>
      <c r="B6847" s="2" t="str">
        <f>"Outros"</f>
        <v>Outros</v>
      </c>
    </row>
    <row r="6848" spans="1:2">
      <c r="A6848" s="1" t="str">
        <f>"7013.91.10"</f>
        <v>7013.91.10</v>
      </c>
      <c r="B6848" s="2" t="str">
        <f>"Para ornamentacao de interiores"</f>
        <v>Para ornamentacao de interiores</v>
      </c>
    </row>
    <row r="6849" spans="1:2">
      <c r="A6849" s="1" t="str">
        <f>"7013.91.90"</f>
        <v>7013.91.90</v>
      </c>
      <c r="B6849" s="2" t="str">
        <f>"Outros"</f>
        <v>Outros</v>
      </c>
    </row>
    <row r="6850" spans="1:2">
      <c r="A6850" s="1" t="str">
        <f>"7013.99.00"</f>
        <v>7013.99.00</v>
      </c>
      <c r="B6850" s="2" t="str">
        <f>"Outros"</f>
        <v>Outros</v>
      </c>
    </row>
    <row r="6851" spans="1:2">
      <c r="A6851" s="1" t="str">
        <f>"7014.00.00"</f>
        <v>7014.00.00</v>
      </c>
      <c r="B6851" s="2" t="str">
        <f>"Artigos de vidro para sinalizacao e"</f>
        <v>Artigos de vidro para sinalizacao e</v>
      </c>
    </row>
    <row r="6852" spans="1:2">
      <c r="A6852" s="1" t="str">
        <f>"7015.10.10"</f>
        <v>7015.10.10</v>
      </c>
      <c r="B6852" s="2" t="str">
        <f>"Fotocromaticos"</f>
        <v>Fotocromaticos</v>
      </c>
    </row>
    <row r="6853" spans="1:2">
      <c r="A6853" s="1" t="str">
        <f>"7015.10.91"</f>
        <v>7015.10.91</v>
      </c>
      <c r="B6853" s="2" t="str">
        <f>"Brancos"</f>
        <v>Brancos</v>
      </c>
    </row>
    <row r="6854" spans="1:2">
      <c r="A6854" s="1" t="str">
        <f>"7015.10.92"</f>
        <v>7015.10.92</v>
      </c>
      <c r="B6854" s="2" t="str">
        <f>"Coloridos"</f>
        <v>Coloridos</v>
      </c>
    </row>
    <row r="6855" spans="1:2">
      <c r="A6855" s="1" t="str">
        <f>"7015.90.10"</f>
        <v>7015.90.10</v>
      </c>
      <c r="B6855" s="2" t="str">
        <f>"Vidros de relojoaria"</f>
        <v>Vidros de relojoaria</v>
      </c>
    </row>
    <row r="6856" spans="1:2">
      <c r="A6856" s="1" t="str">
        <f>"7015.90.20"</f>
        <v>7015.90.20</v>
      </c>
      <c r="B6856" s="2" t="str">
        <f>"Vidros para mascaras, oculos ou ant"</f>
        <v>Vidros para mascaras, oculos ou ant</v>
      </c>
    </row>
    <row r="6857" spans="1:2">
      <c r="A6857" s="1" t="str">
        <f>"7015.90.30"</f>
        <v>7015.90.30</v>
      </c>
      <c r="B6857" s="2" t="str">
        <f>"Vidros para os demais oculos"</f>
        <v>Vidros para os demais oculos</v>
      </c>
    </row>
    <row r="6858" spans="1:2">
      <c r="A6858" s="1" t="str">
        <f>"7015.90.90"</f>
        <v>7015.90.90</v>
      </c>
      <c r="B6858" s="2" t="str">
        <f>"Outros"</f>
        <v>Outros</v>
      </c>
    </row>
    <row r="6859" spans="1:2">
      <c r="A6859" s="1" t="str">
        <f>"7016.10.00"</f>
        <v>7016.10.00</v>
      </c>
      <c r="B6859" s="2" t="str">
        <f>"Cubos, pastilhas e outros artigos s"</f>
        <v>Cubos, pastilhas e outros artigos s</v>
      </c>
    </row>
    <row r="6860" spans="1:2">
      <c r="A6860" s="1" t="str">
        <f>"7016.90.00"</f>
        <v>7016.90.00</v>
      </c>
      <c r="B6860" s="2" t="str">
        <f>"Outros"</f>
        <v>Outros</v>
      </c>
    </row>
    <row r="6861" spans="1:2">
      <c r="A6861" s="1" t="str">
        <f>"7017.10.00"</f>
        <v>7017.10.00</v>
      </c>
      <c r="B6861" s="2" t="str">
        <f>"De quartzo ou de outras silicas, fu"</f>
        <v>De quartzo ou de outras silicas, fu</v>
      </c>
    </row>
    <row r="6862" spans="1:2">
      <c r="A6862" s="1" t="str">
        <f>"7017.20.00"</f>
        <v>7017.20.00</v>
      </c>
      <c r="B6862" s="2" t="str">
        <f>"De outro vidro com um coeficiente d"</f>
        <v>De outro vidro com um coeficiente d</v>
      </c>
    </row>
    <row r="6863" spans="1:2">
      <c r="A6863" s="1" t="str">
        <f>"7017.90.00"</f>
        <v>7017.90.00</v>
      </c>
      <c r="B6863" s="2" t="str">
        <f>"OUTROS - ARTEFATOS DE VIDRO PARA LA"</f>
        <v>OUTROS - ARTEFATOS DE VIDRO PARA LA</v>
      </c>
    </row>
    <row r="6864" spans="1:2">
      <c r="A6864" s="1" t="str">
        <f>"7018.10.10"</f>
        <v>7018.10.10</v>
      </c>
      <c r="B6864" s="2" t="str">
        <f>"Contas de vidro"</f>
        <v>Contas de vidro</v>
      </c>
    </row>
    <row r="6865" spans="1:2">
      <c r="A6865" s="1" t="str">
        <f>"7018.10.20"</f>
        <v>7018.10.20</v>
      </c>
      <c r="B6865" s="2" t="str">
        <f>"Imitacoes de perolas naturais ou cu"</f>
        <v>Imitacoes de perolas naturais ou cu</v>
      </c>
    </row>
    <row r="6866" spans="1:2">
      <c r="A6866" s="1" t="str">
        <f>"7018.10.90"</f>
        <v>7018.10.90</v>
      </c>
      <c r="B6866" s="2" t="str">
        <f>"Outros"</f>
        <v>Outros</v>
      </c>
    </row>
    <row r="6867" spans="1:2">
      <c r="A6867" s="1" t="str">
        <f>"7018.20.00"</f>
        <v>7018.20.00</v>
      </c>
      <c r="B6867" s="2" t="str">
        <f>"Microsferas de vidro, de diametro n"</f>
        <v>Microsferas de vidro, de diametro n</v>
      </c>
    </row>
    <row r="6868" spans="1:2">
      <c r="A6868" s="1" t="str">
        <f>"7018.90.00"</f>
        <v>7018.90.00</v>
      </c>
      <c r="B6868" s="2" t="str">
        <f>"Outros"</f>
        <v>Outros</v>
      </c>
    </row>
    <row r="6869" spans="1:2">
      <c r="A6869" s="1" t="str">
        <f>"7019.11.00"</f>
        <v>7019.11.00</v>
      </c>
      <c r="B6869" s="2" t="str">
        <f>"Fios cortados (chopped strands), de"</f>
        <v>Fios cortados (chopped strands), de</v>
      </c>
    </row>
    <row r="6870" spans="1:2">
      <c r="A6870" s="1" t="str">
        <f>"7019.12.10"</f>
        <v>7019.12.10</v>
      </c>
      <c r="B6870" s="2" t="str">
        <f>"Impregnadas ou recobertas com resin"</f>
        <v>Impregnadas ou recobertas com resin</v>
      </c>
    </row>
    <row r="6871" spans="1:2">
      <c r="A6871" s="1" t="str">
        <f>"7019.12.90"</f>
        <v>7019.12.90</v>
      </c>
      <c r="B6871" s="2" t="str">
        <f>"Outras"</f>
        <v>Outras</v>
      </c>
    </row>
    <row r="6872" spans="1:2">
      <c r="A6872" s="1" t="str">
        <f>"7019.15.00"</f>
        <v>7019.15.00</v>
      </c>
      <c r="B6872" s="2" t="str">
        <f>"Mantas (mats) consolidadas quimicam"</f>
        <v>Mantas (mats) consolidadas quimicam</v>
      </c>
    </row>
    <row r="6873" spans="1:2">
      <c r="A6873" s="1" t="str">
        <f>"7019.19.00"</f>
        <v>7019.19.00</v>
      </c>
      <c r="B6873" s="2" t="str">
        <f>"OUTROS"</f>
        <v>OUTROS</v>
      </c>
    </row>
    <row r="6874" spans="1:2">
      <c r="A6874" s="1" t="str">
        <f>"7019.31.00"</f>
        <v>7019.31.00</v>
      </c>
      <c r="B6874" s="2" t="str">
        <f>"Esteiras (mats)"</f>
        <v>Esteiras (mats)</v>
      </c>
    </row>
    <row r="6875" spans="1:2">
      <c r="A6875" s="1" t="str">
        <f>"7019.32.00"</f>
        <v>7019.32.00</v>
      </c>
      <c r="B6875" s="2" t="str">
        <f>"Veus"</f>
        <v>Veus</v>
      </c>
    </row>
    <row r="6876" spans="1:2">
      <c r="A6876" s="1" t="str">
        <f>"7019.39.00"</f>
        <v>7019.39.00</v>
      </c>
      <c r="B6876" s="2" t="str">
        <f>"OUTROS"</f>
        <v>OUTROS</v>
      </c>
    </row>
    <row r="6877" spans="1:2">
      <c r="A6877" s="1" t="str">
        <f>"7019.40.00"</f>
        <v>7019.40.00</v>
      </c>
      <c r="B6877" s="2" t="str">
        <f>"Tecidos de mechas ligeiramente torc"</f>
        <v>Tecidos de mechas ligeiramente torc</v>
      </c>
    </row>
    <row r="6878" spans="1:2">
      <c r="A6878" s="1" t="str">
        <f>"7019.51.00"</f>
        <v>7019.51.00</v>
      </c>
      <c r="B6878" s="2" t="str">
        <f>"De largura nao superior a 30 cm"</f>
        <v>De largura nao superior a 30 cm</v>
      </c>
    </row>
    <row r="6879" spans="1:2">
      <c r="A6879" s="1" t="str">
        <f>"7019.52.10"</f>
        <v>7019.52.10</v>
      </c>
      <c r="B6879" s="2" t="str">
        <f>"Com um teor de materia organica igu"</f>
        <v>Com um teor de materia organica igu</v>
      </c>
    </row>
    <row r="6880" spans="1:2">
      <c r="A6880" s="1" t="str">
        <f>"7019.52.90"</f>
        <v>7019.52.90</v>
      </c>
      <c r="B6880" s="2" t="str">
        <f>"Outros"</f>
        <v>Outros</v>
      </c>
    </row>
    <row r="6881" spans="1:2">
      <c r="A6881" s="1" t="str">
        <f>"7019.59.00"</f>
        <v>7019.59.00</v>
      </c>
      <c r="B6881" s="2" t="str">
        <f>"OUTROS"</f>
        <v>OUTROS</v>
      </c>
    </row>
    <row r="6882" spans="1:2">
      <c r="A6882" s="1" t="str">
        <f>"7019.90.10"</f>
        <v>7019.90.10</v>
      </c>
      <c r="B6882" s="2" t="str">
        <f>"Rede constituida por fios paraleliz"</f>
        <v>Rede constituida por fios paraleliz</v>
      </c>
    </row>
    <row r="6883" spans="1:2">
      <c r="A6883" s="1" t="str">
        <f>"7019.90.90"</f>
        <v>7019.90.90</v>
      </c>
      <c r="B6883" s="2" t="str">
        <f>"OUTROS"</f>
        <v>OUTROS</v>
      </c>
    </row>
    <row r="6884" spans="1:2">
      <c r="A6884" s="1" t="str">
        <f>"7020.00.10"</f>
        <v>7020.00.10</v>
      </c>
      <c r="B6884" s="2" t="str">
        <f>"Ampolas de vidro para garrrafas ter"</f>
        <v>Ampolas de vidro para garrrafas ter</v>
      </c>
    </row>
    <row r="6885" spans="1:2">
      <c r="A6885" s="1" t="str">
        <f>"7020.00.90"</f>
        <v>7020.00.90</v>
      </c>
      <c r="B6885" s="2" t="str">
        <f>"Outras"</f>
        <v>Outras</v>
      </c>
    </row>
    <row r="6886" spans="1:2">
      <c r="A6886" s="1" t="str">
        <f>"7101.10.00"</f>
        <v>7101.10.00</v>
      </c>
      <c r="B6886" s="2" t="str">
        <f>"Perolas naturais"</f>
        <v>Perolas naturais</v>
      </c>
    </row>
    <row r="6887" spans="1:2">
      <c r="A6887" s="1" t="str">
        <f>"7101.21.00"</f>
        <v>7101.21.00</v>
      </c>
      <c r="B6887" s="2" t="str">
        <f>"Em bruto"</f>
        <v>Em bruto</v>
      </c>
    </row>
    <row r="6888" spans="1:2">
      <c r="A6888" s="1" t="str">
        <f>"7101.22.00"</f>
        <v>7101.22.00</v>
      </c>
      <c r="B6888" s="2" t="str">
        <f>"Trabalhadas"</f>
        <v>Trabalhadas</v>
      </c>
    </row>
    <row r="6889" spans="1:2">
      <c r="A6889" s="1" t="str">
        <f>"7102.10.00"</f>
        <v>7102.10.00</v>
      </c>
      <c r="B6889" s="2" t="str">
        <f>"Nao selecionados"</f>
        <v>Nao selecionados</v>
      </c>
    </row>
    <row r="6890" spans="1:2">
      <c r="A6890" s="1" t="str">
        <f>"7102.21.00"</f>
        <v>7102.21.00</v>
      </c>
      <c r="B6890" s="2" t="str">
        <f>"Em bruto ou simplesmente serrados,"</f>
        <v>Em bruto ou simplesmente serrados,</v>
      </c>
    </row>
    <row r="6891" spans="1:2">
      <c r="A6891" s="1" t="str">
        <f>"7102.29.00"</f>
        <v>7102.29.00</v>
      </c>
      <c r="B6891" s="2" t="str">
        <f>"Outros"</f>
        <v>Outros</v>
      </c>
    </row>
    <row r="6892" spans="1:2">
      <c r="A6892" s="1" t="str">
        <f>"7102.31.00"</f>
        <v>7102.31.00</v>
      </c>
      <c r="B6892" s="2" t="str">
        <f>"Em bruto ou simplesmente serrados,"</f>
        <v>Em bruto ou simplesmente serrados,</v>
      </c>
    </row>
    <row r="6893" spans="1:2">
      <c r="A6893" s="1" t="str">
        <f>"7102.39.00"</f>
        <v>7102.39.00</v>
      </c>
      <c r="B6893" s="2" t="str">
        <f>"Outros"</f>
        <v>Outros</v>
      </c>
    </row>
    <row r="6894" spans="1:2">
      <c r="A6894" s="1" t="str">
        <f>"7103.10.00"</f>
        <v>7103.10.00</v>
      </c>
      <c r="B6894" s="2" t="str">
        <f>"Em bruto ou simplesmente serradas o"</f>
        <v>Em bruto ou simplesmente serradas o</v>
      </c>
    </row>
    <row r="6895" spans="1:2">
      <c r="A6895" s="1" t="str">
        <f>"7103.91.00"</f>
        <v>7103.91.00</v>
      </c>
      <c r="B6895" s="2" t="str">
        <f>"Rubis, safiras e esmeraldas"</f>
        <v>Rubis, safiras e esmeraldas</v>
      </c>
    </row>
    <row r="6896" spans="1:2">
      <c r="A6896" s="1" t="str">
        <f>"7103.99.00"</f>
        <v>7103.99.00</v>
      </c>
      <c r="B6896" s="2" t="str">
        <f>"Outras"</f>
        <v>Outras</v>
      </c>
    </row>
    <row r="6897" spans="1:2">
      <c r="A6897" s="1" t="str">
        <f>"7104.10.00"</f>
        <v>7104.10.00</v>
      </c>
      <c r="B6897" s="2" t="str">
        <f>"Quartzo piezeletrico"</f>
        <v>Quartzo piezeletrico</v>
      </c>
    </row>
    <row r="6898" spans="1:2">
      <c r="A6898" s="1" t="str">
        <f>"7104.20.10"</f>
        <v>7104.20.10</v>
      </c>
      <c r="B6898" s="2" t="str">
        <f>"Diamantes"</f>
        <v>Diamantes</v>
      </c>
    </row>
    <row r="6899" spans="1:2">
      <c r="A6899" s="1" t="str">
        <f>"7104.20.90"</f>
        <v>7104.20.90</v>
      </c>
      <c r="B6899" s="2" t="str">
        <f>"Outras"</f>
        <v>Outras</v>
      </c>
    </row>
    <row r="6900" spans="1:2">
      <c r="A6900" s="1" t="str">
        <f>"7104.90.00"</f>
        <v>7104.90.00</v>
      </c>
      <c r="B6900" s="2" t="str">
        <f>"Outras"</f>
        <v>Outras</v>
      </c>
    </row>
    <row r="6901" spans="1:2">
      <c r="A6901" s="1" t="str">
        <f>"7105.10.00"</f>
        <v>7105.10.00</v>
      </c>
      <c r="B6901" s="2" t="str">
        <f>"De diamantes"</f>
        <v>De diamantes</v>
      </c>
    </row>
    <row r="6902" spans="1:2">
      <c r="A6902" s="1" t="str">
        <f>"7105.90.00"</f>
        <v>7105.90.00</v>
      </c>
      <c r="B6902" s="2" t="str">
        <f>"Outros"</f>
        <v>Outros</v>
      </c>
    </row>
    <row r="6903" spans="1:2">
      <c r="A6903" s="1" t="str">
        <f>"7106.10.00"</f>
        <v>7106.10.00</v>
      </c>
      <c r="B6903" s="2" t="str">
        <f>"Pos"</f>
        <v>Pos</v>
      </c>
    </row>
    <row r="6904" spans="1:2">
      <c r="A6904" s="1" t="str">
        <f>"7106.91.00"</f>
        <v>7106.91.00</v>
      </c>
      <c r="B6904" s="2" t="str">
        <f>"Em formas brutas"</f>
        <v>Em formas brutas</v>
      </c>
    </row>
    <row r="6905" spans="1:2">
      <c r="A6905" s="1" t="str">
        <f>"7106.92.10"</f>
        <v>7106.92.10</v>
      </c>
      <c r="B6905" s="2" t="str">
        <f>"BARRAS, FIOS E PERFIS SEÇÃO MACIÇA"</f>
        <v>BARRAS, FIOS E PERFIS SEÇÃO MACIÇA</v>
      </c>
    </row>
    <row r="6906" spans="1:2">
      <c r="A6906" s="1" t="str">
        <f>"7106.92.20"</f>
        <v>7106.92.20</v>
      </c>
      <c r="B6906" s="2" t="str">
        <f>"CHAPAS, LÂMINAS, FOLHAS E TIRAS"</f>
        <v>CHAPAS, LÂMINAS, FOLHAS E TIRAS</v>
      </c>
    </row>
    <row r="6907" spans="1:2">
      <c r="A6907" s="1" t="str">
        <f>"7106.92.90"</f>
        <v>7106.92.90</v>
      </c>
      <c r="B6907" s="2" t="str">
        <f>"Outras"</f>
        <v>Outras</v>
      </c>
    </row>
    <row r="6908" spans="1:2">
      <c r="A6908" s="1" t="str">
        <f>"7107.00.00"</f>
        <v>7107.00.00</v>
      </c>
      <c r="B6908" s="2" t="str">
        <f>"Metais comuns folheados ou chapeado"</f>
        <v>Metais comuns folheados ou chapeado</v>
      </c>
    </row>
    <row r="6909" spans="1:2">
      <c r="A6909" s="1" t="str">
        <f>"7108.11.00"</f>
        <v>7108.11.00</v>
      </c>
      <c r="B6909" s="2" t="str">
        <f>"Pos"</f>
        <v>Pos</v>
      </c>
    </row>
    <row r="6910" spans="1:2">
      <c r="A6910" s="1" t="str">
        <f>"7108.12.10"</f>
        <v>7108.12.10</v>
      </c>
      <c r="B6910" s="2" t="str">
        <f>"Bulhao dourado (bullion dore)"</f>
        <v>Bulhao dourado (bullion dore)</v>
      </c>
    </row>
    <row r="6911" spans="1:2">
      <c r="A6911" s="1" t="str">
        <f>"7108.12.90"</f>
        <v>7108.12.90</v>
      </c>
      <c r="B6911" s="2" t="str">
        <f>"Outras"</f>
        <v>Outras</v>
      </c>
    </row>
    <row r="6912" spans="1:2">
      <c r="A6912" s="1" t="str">
        <f>"7108.13.10"</f>
        <v>7108.13.10</v>
      </c>
      <c r="B6912" s="2" t="str">
        <f>"Barras, fios e perfis de secao maci"</f>
        <v>Barras, fios e perfis de secao maci</v>
      </c>
    </row>
    <row r="6913" spans="1:2">
      <c r="A6913" s="1" t="str">
        <f>"7108.13.90"</f>
        <v>7108.13.90</v>
      </c>
      <c r="B6913" s="2" t="str">
        <f>"Outros"</f>
        <v>Outros</v>
      </c>
    </row>
    <row r="6914" spans="1:2">
      <c r="A6914" s="1" t="str">
        <f>"7108.20.00"</f>
        <v>7108.20.00</v>
      </c>
      <c r="B6914" s="2" t="str">
        <f>"Para uso monetario"</f>
        <v>Para uso monetario</v>
      </c>
    </row>
    <row r="6915" spans="1:2">
      <c r="A6915" s="1" t="str">
        <f>"7109.00.00"</f>
        <v>7109.00.00</v>
      </c>
      <c r="B6915" s="2" t="str">
        <f>"Metais comuns ou prata, folheados o"</f>
        <v>Metais comuns ou prata, folheados o</v>
      </c>
    </row>
    <row r="6916" spans="1:2">
      <c r="A6916" s="1" t="str">
        <f>"7110.11.00"</f>
        <v>7110.11.00</v>
      </c>
      <c r="B6916" s="2" t="str">
        <f>"Em formas brutas ou em po"</f>
        <v>Em formas brutas ou em po</v>
      </c>
    </row>
    <row r="6917" spans="1:2">
      <c r="A6917" s="1" t="str">
        <f>"7110.19.10"</f>
        <v>7110.19.10</v>
      </c>
      <c r="B6917" s="2" t="str">
        <f>"Barras, fios e perfis de secao maci"</f>
        <v>Barras, fios e perfis de secao maci</v>
      </c>
    </row>
    <row r="6918" spans="1:2">
      <c r="A6918" s="1" t="str">
        <f>"7110.19.90"</f>
        <v>7110.19.90</v>
      </c>
      <c r="B6918" s="2" t="str">
        <f>"Outras"</f>
        <v>Outras</v>
      </c>
    </row>
    <row r="6919" spans="1:2">
      <c r="A6919" s="1" t="str">
        <f>"7110.21.00"</f>
        <v>7110.21.00</v>
      </c>
      <c r="B6919" s="2" t="str">
        <f>"Em formas brutas ou em po"</f>
        <v>Em formas brutas ou em po</v>
      </c>
    </row>
    <row r="6920" spans="1:2">
      <c r="A6920" s="1" t="str">
        <f>"7110.29.00"</f>
        <v>7110.29.00</v>
      </c>
      <c r="B6920" s="2" t="str">
        <f>"Outras"</f>
        <v>Outras</v>
      </c>
    </row>
    <row r="6921" spans="1:2">
      <c r="A6921" s="1" t="str">
        <f>"7110.31.00"</f>
        <v>7110.31.00</v>
      </c>
      <c r="B6921" s="2" t="str">
        <f>"Em formas brutas ou em po"</f>
        <v>Em formas brutas ou em po</v>
      </c>
    </row>
    <row r="6922" spans="1:2">
      <c r="A6922" s="1" t="str">
        <f>"7110.39.00"</f>
        <v>7110.39.00</v>
      </c>
      <c r="B6922" s="2" t="str">
        <f>"Outras"</f>
        <v>Outras</v>
      </c>
    </row>
    <row r="6923" spans="1:2">
      <c r="A6923" s="1" t="str">
        <f>"7110.41.00"</f>
        <v>7110.41.00</v>
      </c>
      <c r="B6923" s="2" t="str">
        <f>"Em formas brutas ou em po"</f>
        <v>Em formas brutas ou em po</v>
      </c>
    </row>
    <row r="6924" spans="1:2">
      <c r="A6924" s="1" t="str">
        <f>"7110.49.00"</f>
        <v>7110.49.00</v>
      </c>
      <c r="B6924" s="2" t="str">
        <f>"Outras"</f>
        <v>Outras</v>
      </c>
    </row>
    <row r="6925" spans="1:2">
      <c r="A6925" s="1" t="str">
        <f>"7111.00.00"</f>
        <v>7111.00.00</v>
      </c>
      <c r="B6925" s="2" t="str">
        <f>"Metais comuns, prata ou ouro, folhe"</f>
        <v>Metais comuns, prata ou ouro, folhe</v>
      </c>
    </row>
    <row r="6926" spans="1:2">
      <c r="A6926" s="1" t="str">
        <f>"7112.30.10"</f>
        <v>7112.30.10</v>
      </c>
      <c r="B6926" s="2" t="str">
        <f>"Que contenham ouro, mas que nao con"</f>
        <v>Que contenham ouro, mas que nao con</v>
      </c>
    </row>
    <row r="6927" spans="1:2">
      <c r="A6927" s="1" t="str">
        <f>"7112.30.20"</f>
        <v>7112.30.20</v>
      </c>
      <c r="B6927" s="2" t="str">
        <f>"Que contenham platina, mas que nao"</f>
        <v>Que contenham platina, mas que nao</v>
      </c>
    </row>
    <row r="6928" spans="1:2">
      <c r="A6928" s="1" t="str">
        <f>"7112.30.90"</f>
        <v>7112.30.90</v>
      </c>
      <c r="B6928" s="2" t="str">
        <f>"Outros"</f>
        <v>Outros</v>
      </c>
    </row>
    <row r="6929" spans="1:2">
      <c r="A6929" s="1" t="str">
        <f>"7112.91.00"</f>
        <v>7112.91.00</v>
      </c>
      <c r="B6929" s="2" t="str">
        <f>"De ouro, de metais folheados ou cha"</f>
        <v>De ouro, de metais folheados ou cha</v>
      </c>
    </row>
    <row r="6930" spans="1:2">
      <c r="A6930" s="1" t="str">
        <f>"7112.92.00"</f>
        <v>7112.92.00</v>
      </c>
      <c r="B6930" s="2" t="str">
        <f>"De platina, de metais folheados ou"</f>
        <v>De platina, de metais folheados ou</v>
      </c>
    </row>
    <row r="6931" spans="1:2">
      <c r="A6931" s="1" t="str">
        <f>"7112.99.00"</f>
        <v>7112.99.00</v>
      </c>
      <c r="B6931" s="2" t="str">
        <f>"Outros"</f>
        <v>Outros</v>
      </c>
    </row>
    <row r="6932" spans="1:2">
      <c r="A6932" s="1" t="str">
        <f>"7113.11.00"</f>
        <v>7113.11.00</v>
      </c>
      <c r="B6932" s="2" t="str">
        <f>"De prata, mesmo revestida, folheada"</f>
        <v>De prata, mesmo revestida, folheada</v>
      </c>
    </row>
    <row r="6933" spans="1:2">
      <c r="A6933" s="1" t="str">
        <f>"7113.19.00"</f>
        <v>7113.19.00</v>
      </c>
      <c r="B6933" s="2" t="str">
        <f>"De outros metais preciosos, mesmo r"</f>
        <v>De outros metais preciosos, mesmo r</v>
      </c>
    </row>
    <row r="6934" spans="1:2">
      <c r="A6934" s="1" t="str">
        <f>"7113.20.00"</f>
        <v>7113.20.00</v>
      </c>
      <c r="B6934" s="2" t="str">
        <f>"DE METAL COM. FOLHEAD. CHAPAD. PREC"</f>
        <v>DE METAL COM. FOLHEAD. CHAPAD. PREC</v>
      </c>
    </row>
    <row r="6935" spans="1:2">
      <c r="A6935" s="1" t="str">
        <f>"7114.11.00"</f>
        <v>7114.11.00</v>
      </c>
      <c r="B6935" s="2" t="str">
        <f>"De prata, mesmo revestida, folheada"</f>
        <v>De prata, mesmo revestida, folheada</v>
      </c>
    </row>
    <row r="6936" spans="1:2">
      <c r="A6936" s="1" t="str">
        <f>"7114.19.00"</f>
        <v>7114.19.00</v>
      </c>
      <c r="B6936" s="2" t="str">
        <f>"De outros metais preciosos, mesmo r"</f>
        <v>De outros metais preciosos, mesmo r</v>
      </c>
    </row>
    <row r="6937" spans="1:2">
      <c r="A6937" s="1" t="str">
        <f>"7114.20.00"</f>
        <v>7114.20.00</v>
      </c>
      <c r="B6937" s="2" t="str">
        <f>"De metais comuns folheados ou chape"</f>
        <v>De metais comuns folheados ou chape</v>
      </c>
    </row>
    <row r="6938" spans="1:2">
      <c r="A6938" s="1" t="str">
        <f>"7115.10.00"</f>
        <v>7115.10.00</v>
      </c>
      <c r="B6938" s="2" t="str">
        <f>"Telas ou grades catalisadoras, de p"</f>
        <v>Telas ou grades catalisadoras, de p</v>
      </c>
    </row>
    <row r="6939" spans="1:2">
      <c r="A6939" s="1" t="str">
        <f>"7115.90.00"</f>
        <v>7115.90.00</v>
      </c>
      <c r="B6939" s="2" t="str">
        <f>"Outras"</f>
        <v>Outras</v>
      </c>
    </row>
    <row r="6940" spans="1:2">
      <c r="A6940" s="1" t="str">
        <f>"7116.10.00"</f>
        <v>7116.10.00</v>
      </c>
      <c r="B6940" s="2" t="str">
        <f>"De perolas naturais ou cultivadas"</f>
        <v>De perolas naturais ou cultivadas</v>
      </c>
    </row>
    <row r="6941" spans="1:2">
      <c r="A6941" s="1" t="str">
        <f>"7116.20.10"</f>
        <v>7116.20.10</v>
      </c>
      <c r="B6941" s="2" t="str">
        <f>"De diamantes sinteticos"</f>
        <v>De diamantes sinteticos</v>
      </c>
    </row>
    <row r="6942" spans="1:2">
      <c r="A6942" s="1" t="str">
        <f>"7116.20.20"</f>
        <v>7116.20.20</v>
      </c>
      <c r="B6942" s="2" t="str">
        <f>"Guias de agulhas, de rubi, para cab"</f>
        <v>Guias de agulhas, de rubi, para cab</v>
      </c>
    </row>
    <row r="6943" spans="1:2">
      <c r="A6943" s="1" t="str">
        <f>"7116.20.90"</f>
        <v>7116.20.90</v>
      </c>
      <c r="B6943" s="2" t="str">
        <f>"Outras"</f>
        <v>Outras</v>
      </c>
    </row>
    <row r="6944" spans="1:2">
      <c r="A6944" s="1" t="str">
        <f>"7117.11.00"</f>
        <v>7117.11.00</v>
      </c>
      <c r="B6944" s="2" t="str">
        <f>"Abotoaduras (Botoes de punho*) e ar"</f>
        <v>Abotoaduras (Botoes de punho*) e ar</v>
      </c>
    </row>
    <row r="6945" spans="1:2">
      <c r="A6945" s="1" t="str">
        <f>"7117.19.00"</f>
        <v>7117.19.00</v>
      </c>
      <c r="B6945" s="2" t="str">
        <f>"Outras"</f>
        <v>Outras</v>
      </c>
    </row>
    <row r="6946" spans="1:2">
      <c r="A6946" s="1" t="str">
        <f>"7117.90.00"</f>
        <v>7117.90.00</v>
      </c>
      <c r="B6946" s="2" t="str">
        <f>"Outras"</f>
        <v>Outras</v>
      </c>
    </row>
    <row r="6947" spans="1:2">
      <c r="A6947" s="1" t="str">
        <f>"7118.10.10"</f>
        <v>7118.10.10</v>
      </c>
      <c r="B6947" s="2" t="str">
        <f>"Destinadas a ter curso legal no pai"</f>
        <v>Destinadas a ter curso legal no pai</v>
      </c>
    </row>
    <row r="6948" spans="1:2">
      <c r="A6948" s="1" t="str">
        <f>"7118.10.90"</f>
        <v>7118.10.90</v>
      </c>
      <c r="B6948" s="2" t="str">
        <f>"Outras"</f>
        <v>Outras</v>
      </c>
    </row>
    <row r="6949" spans="1:2">
      <c r="A6949" s="1" t="str">
        <f>"7118.90.00"</f>
        <v>7118.90.00</v>
      </c>
      <c r="B6949" s="2" t="str">
        <f>"Outras"</f>
        <v>Outras</v>
      </c>
    </row>
    <row r="6950" spans="1:2">
      <c r="A6950" s="1" t="str">
        <f>"7201.10.00"</f>
        <v>7201.10.00</v>
      </c>
      <c r="B6950" s="2" t="str">
        <f>"Ferro fundido bruto nao ligado, que"</f>
        <v>Ferro fundido bruto nao ligado, que</v>
      </c>
    </row>
    <row r="6951" spans="1:2">
      <c r="A6951" s="1" t="str">
        <f>"7201.20.00"</f>
        <v>7201.20.00</v>
      </c>
      <c r="B6951" s="2" t="str">
        <f>"Ferro fundido bruto nao ligado, que"</f>
        <v>Ferro fundido bruto nao ligado, que</v>
      </c>
    </row>
    <row r="6952" spans="1:2">
      <c r="A6952" s="1" t="str">
        <f>"7201.50.00"</f>
        <v>7201.50.00</v>
      </c>
      <c r="B6952" s="2" t="str">
        <f>"Ligas de ferro fundido bruto; ferro"</f>
        <v>Ligas de ferro fundido bruto; ferro</v>
      </c>
    </row>
    <row r="6953" spans="1:2">
      <c r="A6953" s="1" t="str">
        <f>"7202.11.00"</f>
        <v>7202.11.00</v>
      </c>
      <c r="B6953" s="2" t="str">
        <f>"Que contenham, em peso, mais de 2 %"</f>
        <v>Que contenham, em peso, mais de 2 %</v>
      </c>
    </row>
    <row r="6954" spans="1:2">
      <c r="A6954" s="1" t="str">
        <f>"7202.19.00"</f>
        <v>7202.19.00</v>
      </c>
      <c r="B6954" s="2" t="str">
        <f>"Outras"</f>
        <v>Outras</v>
      </c>
    </row>
    <row r="6955" spans="1:2">
      <c r="A6955" s="1" t="str">
        <f>"7202.21.00"</f>
        <v>7202.21.00</v>
      </c>
      <c r="B6955" s="2" t="str">
        <f>"Que contenham, em peso, mais de 55"</f>
        <v>Que contenham, em peso, mais de 55</v>
      </c>
    </row>
    <row r="6956" spans="1:2">
      <c r="A6956" s="1" t="str">
        <f>"7202.29.00"</f>
        <v>7202.29.00</v>
      </c>
      <c r="B6956" s="2" t="str">
        <f>"Outras"</f>
        <v>Outras</v>
      </c>
    </row>
    <row r="6957" spans="1:2">
      <c r="A6957" s="1" t="str">
        <f>"7202.30.00"</f>
        <v>7202.30.00</v>
      </c>
      <c r="B6957" s="2" t="str">
        <f>"Ferro-silicio-manganes"</f>
        <v>Ferro-silicio-manganes</v>
      </c>
    </row>
    <row r="6958" spans="1:2">
      <c r="A6958" s="1" t="str">
        <f>"7202.41.00"</f>
        <v>7202.41.00</v>
      </c>
      <c r="B6958" s="2" t="str">
        <f>"Que contenham, em peso, mais de 4 %"</f>
        <v>Que contenham, em peso, mais de 4 %</v>
      </c>
    </row>
    <row r="6959" spans="1:2">
      <c r="A6959" s="1" t="str">
        <f>"7202.49.00"</f>
        <v>7202.49.00</v>
      </c>
      <c r="B6959" s="2" t="str">
        <f>"Outras"</f>
        <v>Outras</v>
      </c>
    </row>
    <row r="6960" spans="1:2">
      <c r="A6960" s="1" t="str">
        <f>"7202.50.00"</f>
        <v>7202.50.00</v>
      </c>
      <c r="B6960" s="2" t="str">
        <f>"Ferro-silicio-cromo"</f>
        <v>Ferro-silicio-cromo</v>
      </c>
    </row>
    <row r="6961" spans="1:2">
      <c r="A6961" s="1" t="str">
        <f>"7202.60.00"</f>
        <v>7202.60.00</v>
      </c>
      <c r="B6961" s="2" t="str">
        <f>"Ferro-niquel"</f>
        <v>Ferro-niquel</v>
      </c>
    </row>
    <row r="6962" spans="1:2">
      <c r="A6962" s="1" t="str">
        <f>"7202.70.00"</f>
        <v>7202.70.00</v>
      </c>
      <c r="B6962" s="2" t="str">
        <f>"Ferro-molibdenio"</f>
        <v>Ferro-molibdenio</v>
      </c>
    </row>
    <row r="6963" spans="1:2">
      <c r="A6963" s="1" t="str">
        <f>"7202.80.00"</f>
        <v>7202.80.00</v>
      </c>
      <c r="B6963" s="2" t="str">
        <f>"Ferro-tungstenio (ferro-volframio)"</f>
        <v>Ferro-tungstenio (ferro-volframio)</v>
      </c>
    </row>
    <row r="6964" spans="1:2">
      <c r="A6964" s="1" t="str">
        <f>"7202.91.00"</f>
        <v>7202.91.00</v>
      </c>
      <c r="B6964" s="2" t="str">
        <f>"Ferro-titanio e ferro-silicio-titan"</f>
        <v>Ferro-titanio e ferro-silicio-titan</v>
      </c>
    </row>
    <row r="6965" spans="1:2">
      <c r="A6965" s="1" t="str">
        <f>"7202.92.00"</f>
        <v>7202.92.00</v>
      </c>
      <c r="B6965" s="2" t="str">
        <f>"Ferro-vanadio"</f>
        <v>Ferro-vanadio</v>
      </c>
    </row>
    <row r="6966" spans="1:2">
      <c r="A6966" s="1" t="str">
        <f>"7202.93.00"</f>
        <v>7202.93.00</v>
      </c>
      <c r="B6966" s="2" t="str">
        <f>"Ferro-niobio"</f>
        <v>Ferro-niobio</v>
      </c>
    </row>
    <row r="6967" spans="1:2">
      <c r="A6967" s="1" t="str">
        <f>"7202.99.10"</f>
        <v>7202.99.10</v>
      </c>
      <c r="B6967" s="2" t="str">
        <f>"Ferrofosforo"</f>
        <v>Ferrofosforo</v>
      </c>
    </row>
    <row r="6968" spans="1:2">
      <c r="A6968" s="1" t="str">
        <f>"7202.99.90"</f>
        <v>7202.99.90</v>
      </c>
      <c r="B6968" s="2" t="str">
        <f>"Outras"</f>
        <v>Outras</v>
      </c>
    </row>
    <row r="6969" spans="1:2">
      <c r="A6969" s="1" t="str">
        <f>"7203.10.00"</f>
        <v>7203.10.00</v>
      </c>
      <c r="B6969" s="2" t="str">
        <f>"Produtos ferrosos obtidos por reduc"</f>
        <v>Produtos ferrosos obtidos por reduc</v>
      </c>
    </row>
    <row r="6970" spans="1:2">
      <c r="A6970" s="1" t="str">
        <f>"7203.90.00"</f>
        <v>7203.90.00</v>
      </c>
      <c r="B6970" s="2" t="str">
        <f>"Outros"</f>
        <v>Outros</v>
      </c>
    </row>
    <row r="6971" spans="1:2">
      <c r="A6971" s="1" t="str">
        <f>"7204.10.00"</f>
        <v>7204.10.00</v>
      </c>
      <c r="B6971" s="2" t="str">
        <f>"Desperdicios e residuos, e sucata,"</f>
        <v>Desperdicios e residuos, e sucata,</v>
      </c>
    </row>
    <row r="6972" spans="1:2">
      <c r="A6972" s="1" t="str">
        <f>"7204.21.00"</f>
        <v>7204.21.00</v>
      </c>
      <c r="B6972" s="2" t="str">
        <f>"PALLET"</f>
        <v>PALLET</v>
      </c>
    </row>
    <row r="6973" spans="1:2">
      <c r="A6973" s="1" t="str">
        <f>"7204.29.00"</f>
        <v>7204.29.00</v>
      </c>
      <c r="B6973" s="2" t="str">
        <f>"OUTROS - DESPERDÍCIO DE FERRO"</f>
        <v>OUTROS - DESPERDÍCIO DE FERRO</v>
      </c>
    </row>
    <row r="6974" spans="1:2">
      <c r="A6974" s="1" t="str">
        <f>"7204.30.00"</f>
        <v>7204.30.00</v>
      </c>
      <c r="B6974" s="2" t="str">
        <f>"Desperdicios e residuos, e sucata,"</f>
        <v>Desperdicios e residuos, e sucata,</v>
      </c>
    </row>
    <row r="6975" spans="1:2">
      <c r="A6975" s="1" t="str">
        <f>"7204.41.00"</f>
        <v>7204.41.00</v>
      </c>
      <c r="B6975" s="2" t="str">
        <f>"Residuos do torno e da fresa, apara"</f>
        <v>Residuos do torno e da fresa, apara</v>
      </c>
    </row>
    <row r="6976" spans="1:2">
      <c r="A6976" s="1" t="str">
        <f>"7204.49.00"</f>
        <v>7204.49.00</v>
      </c>
      <c r="B6976" s="2" t="str">
        <f>"Outros NT"</f>
        <v>Outros NT</v>
      </c>
    </row>
    <row r="6977" spans="1:2">
      <c r="A6977" s="1" t="str">
        <f>"7204.50.00"</f>
        <v>7204.50.00</v>
      </c>
      <c r="B6977" s="2" t="str">
        <f>"Desperdicios e residuos, em lingote"</f>
        <v>Desperdicios e residuos, em lingote</v>
      </c>
    </row>
    <row r="6978" spans="1:2">
      <c r="A6978" s="1" t="str">
        <f>"7205.10.00"</f>
        <v>7205.10.00</v>
      </c>
      <c r="B6978" s="2" t="str">
        <f>"Granalhas"</f>
        <v>Granalhas</v>
      </c>
    </row>
    <row r="6979" spans="1:2">
      <c r="A6979" s="1" t="str">
        <f>"7205.21.00"</f>
        <v>7205.21.00</v>
      </c>
      <c r="B6979" s="2" t="str">
        <f>"De ligas de aco"</f>
        <v>De ligas de aco</v>
      </c>
    </row>
    <row r="6980" spans="1:2">
      <c r="A6980" s="1" t="str">
        <f>"7205.29.10"</f>
        <v>7205.29.10</v>
      </c>
      <c r="B6980" s="2" t="str">
        <f>"De ferro esponjoso, com um teor de"</f>
        <v>De ferro esponjoso, com um teor de</v>
      </c>
    </row>
    <row r="6981" spans="1:2">
      <c r="A6981" s="1" t="str">
        <f>"7205.29.20"</f>
        <v>7205.29.20</v>
      </c>
      <c r="B6981" s="2" t="str">
        <f>"De ferro revestido com resina termo"</f>
        <v>De ferro revestido com resina termo</v>
      </c>
    </row>
    <row r="6982" spans="1:2">
      <c r="A6982" s="1" t="str">
        <f>"7205.29.90"</f>
        <v>7205.29.90</v>
      </c>
      <c r="B6982" s="2" t="str">
        <f>"Outros"</f>
        <v>Outros</v>
      </c>
    </row>
    <row r="6983" spans="1:2">
      <c r="A6983" s="1" t="str">
        <f>"7206.10.00"</f>
        <v>7206.10.00</v>
      </c>
      <c r="B6983" s="2" t="str">
        <f>"LINGOTES"</f>
        <v>LINGOTES</v>
      </c>
    </row>
    <row r="6984" spans="1:2">
      <c r="A6984" s="1" t="str">
        <f>"7206.90.00"</f>
        <v>7206.90.00</v>
      </c>
      <c r="B6984" s="2" t="str">
        <f>"Outros"</f>
        <v>Outros</v>
      </c>
    </row>
    <row r="6985" spans="1:2">
      <c r="A6985" s="1" t="str">
        <f>"7207.11.10"</f>
        <v>7207.11.10</v>
      </c>
      <c r="B6985" s="2" t="str">
        <f>"Billets"</f>
        <v>Billets</v>
      </c>
    </row>
    <row r="6986" spans="1:2">
      <c r="A6986" s="1" t="str">
        <f>"7207.11.90"</f>
        <v>7207.11.90</v>
      </c>
      <c r="B6986" s="2" t="str">
        <f>"Outros"</f>
        <v>Outros</v>
      </c>
    </row>
    <row r="6987" spans="1:2">
      <c r="A6987" s="1" t="str">
        <f>"7207.12.00"</f>
        <v>7207.12.00</v>
      </c>
      <c r="B6987" s="2" t="str">
        <f>"Outros, de secao transversal retang"</f>
        <v>Outros, de secao transversal retang</v>
      </c>
    </row>
    <row r="6988" spans="1:2">
      <c r="A6988" s="1" t="str">
        <f>"7207.19.00"</f>
        <v>7207.19.00</v>
      </c>
      <c r="B6988" s="2" t="str">
        <f>"Outros"</f>
        <v>Outros</v>
      </c>
    </row>
    <row r="6989" spans="1:2">
      <c r="A6989" s="1" t="str">
        <f>"7207.20.00"</f>
        <v>7207.20.00</v>
      </c>
      <c r="B6989" s="2" t="str">
        <f>"Que contenham, em peso, 0,25 % ou m"</f>
        <v>Que contenham, em peso, 0,25 % ou m</v>
      </c>
    </row>
    <row r="6990" spans="1:2">
      <c r="A6990" s="1" t="str">
        <f>"7208.10.00"</f>
        <v>7208.10.00</v>
      </c>
      <c r="B6990" s="2" t="str">
        <f>"Em rolos, simplesmente laminados a"</f>
        <v>Em rolos, simplesmente laminados a</v>
      </c>
    </row>
    <row r="6991" spans="1:2">
      <c r="A6991" s="1" t="str">
        <f>"7208.25.00"</f>
        <v>7208.25.00</v>
      </c>
      <c r="B6991" s="2" t="str">
        <f>"De espessura igual ou superior a 4,"</f>
        <v>De espessura igual ou superior a 4,</v>
      </c>
    </row>
    <row r="6992" spans="1:2">
      <c r="A6992" s="1" t="str">
        <f>"7208.26.10"</f>
        <v>7208.26.10</v>
      </c>
      <c r="B6992" s="2" t="str">
        <f>"Com um limite minimo de elasticidad"</f>
        <v>Com um limite minimo de elasticidad</v>
      </c>
    </row>
    <row r="6993" spans="1:2">
      <c r="A6993" s="1" t="str">
        <f>"7208.26.90"</f>
        <v>7208.26.90</v>
      </c>
      <c r="B6993" s="2" t="str">
        <f>"Outros"</f>
        <v>Outros</v>
      </c>
    </row>
    <row r="6994" spans="1:2">
      <c r="A6994" s="1" t="str">
        <f>"7208.27.10"</f>
        <v>7208.27.10</v>
      </c>
      <c r="B6994" s="2" t="str">
        <f>"Com um limite minimo de elasticidad"</f>
        <v>Com um limite minimo de elasticidad</v>
      </c>
    </row>
    <row r="6995" spans="1:2">
      <c r="A6995" s="1" t="str">
        <f>"7208.27.90"</f>
        <v>7208.27.90</v>
      </c>
      <c r="B6995" s="2" t="str">
        <f>"OUTROS"</f>
        <v>OUTROS</v>
      </c>
    </row>
    <row r="6996" spans="1:2">
      <c r="A6996" s="1" t="str">
        <f>"7208.36.10"</f>
        <v>7208.36.10</v>
      </c>
      <c r="B6996" s="2" t="str">
        <f>"Com um limite minimo de elasticidad"</f>
        <v>Com um limite minimo de elasticidad</v>
      </c>
    </row>
    <row r="6997" spans="1:2">
      <c r="A6997" s="1" t="str">
        <f>"7208.36.90"</f>
        <v>7208.36.90</v>
      </c>
      <c r="B6997" s="2" t="str">
        <f>"Outros"</f>
        <v>Outros</v>
      </c>
    </row>
    <row r="6998" spans="1:2">
      <c r="A6998" s="1" t="str">
        <f>"7208.37.00"</f>
        <v>7208.37.00</v>
      </c>
      <c r="B6998" s="2" t="str">
        <f>"PECA"</f>
        <v>PECA</v>
      </c>
    </row>
    <row r="6999" spans="1:2">
      <c r="A6999" s="1" t="str">
        <f>"7208.38.10"</f>
        <v>7208.38.10</v>
      </c>
      <c r="B6999" s="2" t="str">
        <f>"Com um limite minimo de elasticidad"</f>
        <v>Com um limite minimo de elasticidad</v>
      </c>
    </row>
    <row r="7000" spans="1:2">
      <c r="A7000" s="1" t="str">
        <f>"7208.38.90"</f>
        <v>7208.38.90</v>
      </c>
      <c r="B7000" s="2" t="str">
        <f>"Outros"</f>
        <v>Outros</v>
      </c>
    </row>
    <row r="7001" spans="1:2">
      <c r="A7001" s="1" t="str">
        <f>"7208.39.10"</f>
        <v>7208.39.10</v>
      </c>
      <c r="B7001" s="2" t="str">
        <f>"Com um limite minimo de elasticidad"</f>
        <v>Com um limite minimo de elasticidad</v>
      </c>
    </row>
    <row r="7002" spans="1:2">
      <c r="A7002" s="1" t="str">
        <f>"7208.39.90"</f>
        <v>7208.39.90</v>
      </c>
      <c r="B7002" s="2" t="str">
        <f>"Outros"</f>
        <v>Outros</v>
      </c>
    </row>
    <row r="7003" spans="1:2">
      <c r="A7003" s="1" t="str">
        <f>"7208.40.00"</f>
        <v>7208.40.00</v>
      </c>
      <c r="B7003" s="2" t="str">
        <f>"Ñ ENROLADOS SIMPLESM LAMINAD QUENTE"</f>
        <v>Ñ ENROLADOS SIMPLESM LAMINAD QUENTE</v>
      </c>
    </row>
    <row r="7004" spans="1:2">
      <c r="A7004" s="1" t="str">
        <f>"7208.51.00"</f>
        <v>7208.51.00</v>
      </c>
      <c r="B7004" s="2" t="str">
        <f>"OUTROS"</f>
        <v>OUTROS</v>
      </c>
    </row>
    <row r="7005" spans="1:2">
      <c r="A7005" s="1" t="str">
        <f>"7208.52.00"</f>
        <v>7208.52.00</v>
      </c>
      <c r="B7005" s="2" t="str">
        <f>"OUTROS"</f>
        <v>OUTROS</v>
      </c>
    </row>
    <row r="7006" spans="1:2">
      <c r="A7006" s="1" t="str">
        <f>"7208.53.00"</f>
        <v>7208.53.00</v>
      </c>
      <c r="B7006" s="2" t="str">
        <f>"outros"</f>
        <v>outros</v>
      </c>
    </row>
    <row r="7007" spans="1:2">
      <c r="A7007" s="1" t="str">
        <f>"7208.54.00"</f>
        <v>7208.54.00</v>
      </c>
      <c r="B7007" s="2" t="str">
        <f>"DE ESPESSURA INFERIOR A 3 MM"</f>
        <v>DE ESPESSURA INFERIOR A 3 MM</v>
      </c>
    </row>
    <row r="7008" spans="1:2">
      <c r="A7008" s="1" t="str">
        <f>"7208.90.00"</f>
        <v>7208.90.00</v>
      </c>
      <c r="B7008" s="2" t="str">
        <f>"OUTROS"</f>
        <v>OUTROS</v>
      </c>
    </row>
    <row r="7009" spans="1:2">
      <c r="A7009" s="1" t="str">
        <f>"7209.15.00"</f>
        <v>7209.15.00</v>
      </c>
      <c r="B7009" s="2" t="str">
        <f>"De espessura igual ou superior a 3"</f>
        <v>De espessura igual ou superior a 3</v>
      </c>
    </row>
    <row r="7010" spans="1:2">
      <c r="A7010" s="1" t="str">
        <f>"7209.16.00"</f>
        <v>7209.16.00</v>
      </c>
      <c r="B7010" s="2" t="str">
        <f>"De espessura superior a 1 mm, mas i"</f>
        <v>De espessura superior a 1 mm, mas i</v>
      </c>
    </row>
    <row r="7011" spans="1:2">
      <c r="A7011" s="1" t="str">
        <f>"7209.17.00"</f>
        <v>7209.17.00</v>
      </c>
      <c r="B7011" s="2" t="str">
        <f>"De espessura igual ou superior a 0,"</f>
        <v>De espessura igual ou superior a 0,</v>
      </c>
    </row>
    <row r="7012" spans="1:2">
      <c r="A7012" s="1" t="str">
        <f>"7209.18.00"</f>
        <v>7209.18.00</v>
      </c>
      <c r="B7012" s="2" t="str">
        <f>"De espessura inferior a 0,5 mm"</f>
        <v>De espessura inferior a 0,5 mm</v>
      </c>
    </row>
    <row r="7013" spans="1:2">
      <c r="A7013" s="1" t="str">
        <f>"7209.25.00"</f>
        <v>7209.25.00</v>
      </c>
      <c r="B7013" s="2" t="str">
        <f>"De espessura igual ou superior a 3"</f>
        <v>De espessura igual ou superior a 3</v>
      </c>
    </row>
    <row r="7014" spans="1:2">
      <c r="A7014" s="1" t="str">
        <f>"7209.26.00"</f>
        <v>7209.26.00</v>
      </c>
      <c r="B7014" s="2" t="str">
        <f>"De espessura superior a 1 mm, mas i"</f>
        <v>De espessura superior a 1 mm, mas i</v>
      </c>
    </row>
    <row r="7015" spans="1:2">
      <c r="A7015" s="1" t="str">
        <f>"7209.27.00"</f>
        <v>7209.27.00</v>
      </c>
      <c r="B7015" s="2" t="str">
        <f>"ESPESSURA IGUAL OU SUP 0,5 À 1 MM"</f>
        <v>ESPESSURA IGUAL OU SUP 0,5 À 1 MM</v>
      </c>
    </row>
    <row r="7016" spans="1:2">
      <c r="A7016" s="1" t="str">
        <f>"7209.28.00"</f>
        <v>7209.28.00</v>
      </c>
      <c r="B7016" s="2" t="str">
        <f>"De espessura inferior a 0,5 mm"</f>
        <v>De espessura inferior a 0,5 mm</v>
      </c>
    </row>
    <row r="7017" spans="1:2">
      <c r="A7017" s="1" t="str">
        <f>"7209.90.00"</f>
        <v>7209.90.00</v>
      </c>
      <c r="B7017" s="2" t="str">
        <f>"Outros"</f>
        <v>Outros</v>
      </c>
    </row>
    <row r="7018" spans="1:2">
      <c r="A7018" s="1" t="str">
        <f>"7210.11.00"</f>
        <v>7210.11.00</v>
      </c>
      <c r="B7018" s="2" t="str">
        <f>"De espessura igual ou superior a 0,"</f>
        <v>De espessura igual ou superior a 0,</v>
      </c>
    </row>
    <row r="7019" spans="1:2">
      <c r="A7019" s="1" t="str">
        <f>"7210.12.00"</f>
        <v>7210.12.00</v>
      </c>
      <c r="B7019" s="2" t="str">
        <f>"De espessura inferior a 0,5 mm"</f>
        <v>De espessura inferior a 0,5 mm</v>
      </c>
    </row>
    <row r="7020" spans="1:2">
      <c r="A7020" s="1" t="str">
        <f>"7210.20.00"</f>
        <v>7210.20.00</v>
      </c>
      <c r="B7020" s="2" t="str">
        <f>"Revestidos de chumbo, incluindo os"</f>
        <v>Revestidos de chumbo, incluindo os</v>
      </c>
    </row>
    <row r="7021" spans="1:2">
      <c r="A7021" s="1" t="str">
        <f>"7210.30.10"</f>
        <v>7210.30.10</v>
      </c>
      <c r="B7021" s="2" t="str">
        <f>"De espessura inferior a 4,75 mm"</f>
        <v>De espessura inferior a 4,75 mm</v>
      </c>
    </row>
    <row r="7022" spans="1:2">
      <c r="A7022" s="1" t="str">
        <f>"7210.30.90"</f>
        <v>7210.30.90</v>
      </c>
      <c r="B7022" s="2" t="str">
        <f>"Outros"</f>
        <v>Outros</v>
      </c>
    </row>
    <row r="7023" spans="1:2">
      <c r="A7023" s="1" t="str">
        <f>"7210.41.10"</f>
        <v>7210.41.10</v>
      </c>
      <c r="B7023" s="2" t="str">
        <f>"De espessura inferior a 4,75 mm"</f>
        <v>De espessura inferior a 4,75 mm</v>
      </c>
    </row>
    <row r="7024" spans="1:2">
      <c r="A7024" s="1" t="str">
        <f>"7210.41.90"</f>
        <v>7210.41.90</v>
      </c>
      <c r="B7024" s="2" t="str">
        <f>"OUTROS"</f>
        <v>OUTROS</v>
      </c>
    </row>
    <row r="7025" spans="1:2">
      <c r="A7025" s="1" t="str">
        <f>"7210.49.10"</f>
        <v>7210.49.10</v>
      </c>
      <c r="B7025" s="2" t="str">
        <f>"DE ESPESSURA INFERIOR A 4,75 MM"</f>
        <v>DE ESPESSURA INFERIOR A 4,75 MM</v>
      </c>
    </row>
    <row r="7026" spans="1:2">
      <c r="A7026" s="1" t="str">
        <f>"7210.49.90"</f>
        <v>7210.49.90</v>
      </c>
      <c r="B7026" s="2" t="str">
        <f>"Outros"</f>
        <v>Outros</v>
      </c>
    </row>
    <row r="7027" spans="1:2">
      <c r="A7027" s="1" t="str">
        <f>"7210.50.00"</f>
        <v>7210.50.00</v>
      </c>
      <c r="B7027" s="2" t="str">
        <f>"Revestidos de oxidos de cromo ou de"</f>
        <v>Revestidos de oxidos de cromo ou de</v>
      </c>
    </row>
    <row r="7028" spans="1:2">
      <c r="A7028" s="1" t="str">
        <f>"7210.61.00"</f>
        <v>7210.61.00</v>
      </c>
      <c r="B7028" s="2" t="str">
        <f>"Revestidos de ligas de aluminio-zin"</f>
        <v>Revestidos de ligas de aluminio-zin</v>
      </c>
    </row>
    <row r="7029" spans="1:2">
      <c r="A7029" s="1" t="str">
        <f>"7210.69.11"</f>
        <v>7210.69.11</v>
      </c>
      <c r="B7029" s="2" t="str">
        <f>"De peso igual ou superior a 120 g/m"</f>
        <v>De peso igual ou superior a 120 g/m</v>
      </c>
    </row>
    <row r="7030" spans="1:2">
      <c r="A7030" s="1" t="str">
        <f>"7210.69.19"</f>
        <v>7210.69.19</v>
      </c>
      <c r="B7030" s="2" t="str">
        <f>"Outros"</f>
        <v>Outros</v>
      </c>
    </row>
    <row r="7031" spans="1:2">
      <c r="A7031" s="1" t="str">
        <f>"7210.69.90"</f>
        <v>7210.69.90</v>
      </c>
      <c r="B7031" s="2" t="str">
        <f>"Outros"</f>
        <v>Outros</v>
      </c>
    </row>
    <row r="7032" spans="1:2">
      <c r="A7032" s="1" t="str">
        <f>"7210.70.10"</f>
        <v>7210.70.10</v>
      </c>
      <c r="B7032" s="2" t="str">
        <f>"Pintados ou envernizados"</f>
        <v>Pintados ou envernizados</v>
      </c>
    </row>
    <row r="7033" spans="1:2">
      <c r="A7033" s="1" t="str">
        <f>"7210.70.20"</f>
        <v>7210.70.20</v>
      </c>
      <c r="B7033" s="2" t="str">
        <f>"Revestidos de plastico"</f>
        <v>Revestidos de plastico</v>
      </c>
    </row>
    <row r="7034" spans="1:2">
      <c r="A7034" s="1" t="str">
        <f>"7210.90.00"</f>
        <v>7210.90.00</v>
      </c>
      <c r="B7034" s="2" t="str">
        <f>"Outros"</f>
        <v>Outros</v>
      </c>
    </row>
    <row r="7035" spans="1:2">
      <c r="A7035" s="1" t="str">
        <f>"7211.13.00"</f>
        <v>7211.13.00</v>
      </c>
      <c r="B7035" s="2" t="str">
        <f>"Laminados nas quatro faces ou em ca"</f>
        <v>Laminados nas quatro faces ou em ca</v>
      </c>
    </row>
    <row r="7036" spans="1:2">
      <c r="A7036" s="1" t="str">
        <f>"7211.14.00"</f>
        <v>7211.14.00</v>
      </c>
      <c r="B7036" s="2" t="str">
        <f>"OUTROS, DE ESPES IGUAL/SUPER 4,75M"</f>
        <v>OUTROS, DE ESPES IGUAL/SUPER 4,75M</v>
      </c>
    </row>
    <row r="7037" spans="1:2">
      <c r="A7037" s="1" t="str">
        <f>"7211.19.00"</f>
        <v>7211.19.00</v>
      </c>
      <c r="B7037" s="2" t="str">
        <f>"OUTROS"</f>
        <v>OUTROS</v>
      </c>
    </row>
    <row r="7038" spans="1:2">
      <c r="A7038" s="1" t="str">
        <f>"7211.23.00"</f>
        <v>7211.23.00</v>
      </c>
      <c r="B7038" s="2" t="str">
        <f>"LAMINA AUTO AFIANTE"</f>
        <v>LAMINA AUTO AFIANTE</v>
      </c>
    </row>
    <row r="7039" spans="1:2">
      <c r="A7039" s="1" t="str">
        <f>"7211.29.10"</f>
        <v>7211.29.10</v>
      </c>
      <c r="B7039" s="2" t="str">
        <f>"Com um teor de carbono igual ou sup"</f>
        <v>Com um teor de carbono igual ou sup</v>
      </c>
    </row>
    <row r="7040" spans="1:2">
      <c r="A7040" s="1" t="str">
        <f>"7211.29.20"</f>
        <v>7211.29.20</v>
      </c>
      <c r="B7040" s="2" t="str">
        <f>"CARBONO SUP.0,06%-LAMINADO DE ACO"</f>
        <v>CARBONO SUP.0,06%-LAMINADO DE ACO</v>
      </c>
    </row>
    <row r="7041" spans="1:2">
      <c r="A7041" s="1" t="str">
        <f>"7211.49.02"</f>
        <v>7211.49.02</v>
      </c>
      <c r="B7041" s="2" t="str">
        <f>"INATIVA - LAMINADO DE AÇO"</f>
        <v>INATIVA - LAMINADO DE AÇO</v>
      </c>
    </row>
    <row r="7042" spans="1:2">
      <c r="A7042" s="1" t="str">
        <f>"7211.90.10"</f>
        <v>7211.90.10</v>
      </c>
      <c r="B7042" s="2" t="str">
        <f>"CARBONO SUP 0,6% LAMINA AUTO AFIANT"</f>
        <v>CARBONO SUP 0,6% LAMINA AUTO AFIANT</v>
      </c>
    </row>
    <row r="7043" spans="1:2">
      <c r="A7043" s="1" t="str">
        <f>"7211.90.90"</f>
        <v>7211.90.90</v>
      </c>
      <c r="B7043" s="2" t="str">
        <f>"OUTROS"</f>
        <v>OUTROS</v>
      </c>
    </row>
    <row r="7044" spans="1:2">
      <c r="A7044" s="1" t="str">
        <f>"7212.10.00"</f>
        <v>7212.10.00</v>
      </c>
      <c r="B7044" s="2" t="str">
        <f>"Estanhados"</f>
        <v>Estanhados</v>
      </c>
    </row>
    <row r="7045" spans="1:2">
      <c r="A7045" s="1" t="str">
        <f>"7212.20.10"</f>
        <v>7212.20.10</v>
      </c>
      <c r="B7045" s="2" t="str">
        <f>"De espessura inferior a 4,75 mm"</f>
        <v>De espessura inferior a 4,75 mm</v>
      </c>
    </row>
    <row r="7046" spans="1:2">
      <c r="A7046" s="1" t="str">
        <f>"7212.20.90"</f>
        <v>7212.20.90</v>
      </c>
      <c r="B7046" s="2" t="str">
        <f>"Outros"</f>
        <v>Outros</v>
      </c>
    </row>
    <row r="7047" spans="1:2">
      <c r="A7047" s="1" t="str">
        <f>"7212.30.00"</f>
        <v>7212.30.00</v>
      </c>
      <c r="B7047" s="2" t="str">
        <f>"Galvanizados por outro processo"</f>
        <v>Galvanizados por outro processo</v>
      </c>
    </row>
    <row r="7048" spans="1:2">
      <c r="A7048" s="1" t="str">
        <f>"7212.40.10"</f>
        <v>7212.40.10</v>
      </c>
      <c r="B7048" s="2" t="str">
        <f>"Pintados ou envernizados"</f>
        <v>Pintados ou envernizados</v>
      </c>
    </row>
    <row r="7049" spans="1:2">
      <c r="A7049" s="1" t="str">
        <f>"7212.40.21"</f>
        <v>7212.40.21</v>
      </c>
      <c r="B7049" s="2" t="str">
        <f>"Com uma camada intermediaria de lig"</f>
        <v>Com uma camada intermediaria de lig</v>
      </c>
    </row>
    <row r="7050" spans="1:2">
      <c r="A7050" s="1" t="str">
        <f>"7212.40.29"</f>
        <v>7212.40.29</v>
      </c>
      <c r="B7050" s="2" t="str">
        <f>"Outros"</f>
        <v>Outros</v>
      </c>
    </row>
    <row r="7051" spans="1:2">
      <c r="A7051" s="1" t="str">
        <f>"7212.50.10"</f>
        <v>7212.50.10</v>
      </c>
      <c r="B7051" s="2" t="str">
        <f>"Com uma camada de liga cobre-estanh"</f>
        <v>Com uma camada de liga cobre-estanh</v>
      </c>
    </row>
    <row r="7052" spans="1:2">
      <c r="A7052" s="1" t="str">
        <f>"7212.50.90"</f>
        <v>7212.50.90</v>
      </c>
      <c r="B7052" s="2" t="str">
        <f>"OUTROS"</f>
        <v>OUTROS</v>
      </c>
    </row>
    <row r="7053" spans="1:2">
      <c r="A7053" s="1" t="str">
        <f>"7212.60.00"</f>
        <v>7212.60.00</v>
      </c>
      <c r="B7053" s="2" t="str">
        <f>"Folheados ou chapeados"</f>
        <v>Folheados ou chapeados</v>
      </c>
    </row>
    <row r="7054" spans="1:2">
      <c r="A7054" s="1" t="str">
        <f>"7213.10.00"</f>
        <v>7213.10.00</v>
      </c>
      <c r="B7054" s="2" t="str">
        <f>"Dentados, com nervuras, sulcos ou r"</f>
        <v>Dentados, com nervuras, sulcos ou r</v>
      </c>
    </row>
    <row r="7055" spans="1:2">
      <c r="A7055" s="1" t="str">
        <f>"7213.20.00"</f>
        <v>7213.20.00</v>
      </c>
      <c r="B7055" s="2" t="str">
        <f>"Outros, de acos para tornear"</f>
        <v>Outros, de acos para tornear</v>
      </c>
    </row>
    <row r="7056" spans="1:2">
      <c r="A7056" s="1" t="str">
        <f>"7213.91.10"</f>
        <v>7213.91.10</v>
      </c>
      <c r="B7056" s="2" t="str">
        <f>"Com um teor de carbono igual ou sup"</f>
        <v>Com um teor de carbono igual ou sup</v>
      </c>
    </row>
    <row r="7057" spans="1:2">
      <c r="A7057" s="1" t="str">
        <f>"7213.91.90"</f>
        <v>7213.91.90</v>
      </c>
      <c r="B7057" s="2" t="str">
        <f>"Outros"</f>
        <v>Outros</v>
      </c>
    </row>
    <row r="7058" spans="1:2">
      <c r="A7058" s="1" t="str">
        <f>"7213.99.10"</f>
        <v>7213.99.10</v>
      </c>
      <c r="B7058" s="2" t="str">
        <f>"Com um teor de carbono igual ou sup"</f>
        <v>Com um teor de carbono igual ou sup</v>
      </c>
    </row>
    <row r="7059" spans="1:2">
      <c r="A7059" s="1" t="str">
        <f>"7213.99.90"</f>
        <v>7213.99.90</v>
      </c>
      <c r="B7059" s="2" t="str">
        <f>"Outros"</f>
        <v>Outros</v>
      </c>
    </row>
    <row r="7060" spans="1:2">
      <c r="A7060" s="1" t="str">
        <f>"7214.10.10"</f>
        <v>7214.10.10</v>
      </c>
      <c r="B7060" s="2" t="str">
        <f>"Com um teor de carbono inferior ou"</f>
        <v>Com um teor de carbono inferior ou</v>
      </c>
    </row>
    <row r="7061" spans="1:2">
      <c r="A7061" s="1" t="str">
        <f>"7214.10.90"</f>
        <v>7214.10.90</v>
      </c>
      <c r="B7061" s="2" t="str">
        <f>"Outras"</f>
        <v>Outras</v>
      </c>
    </row>
    <row r="7062" spans="1:2">
      <c r="A7062" s="1" t="str">
        <f>"7214.20.00"</f>
        <v>7214.20.00</v>
      </c>
      <c r="B7062" s="2" t="str">
        <f>"Dentadas, com nervuras, sulcos ou r"</f>
        <v>Dentadas, com nervuras, sulcos ou r</v>
      </c>
    </row>
    <row r="7063" spans="1:2">
      <c r="A7063" s="1" t="str">
        <f>"7214.30.00"</f>
        <v>7214.30.00</v>
      </c>
      <c r="B7063" s="2" t="str">
        <f>"Outras, de acos para tornear"</f>
        <v>Outras, de acos para tornear</v>
      </c>
    </row>
    <row r="7064" spans="1:2">
      <c r="A7064" s="1" t="str">
        <f>"7214.91.00"</f>
        <v>7214.91.00</v>
      </c>
      <c r="B7064" s="2" t="str">
        <f>"DE SEÇÃO TRANSVERSAL RETANGULAR"</f>
        <v>DE SEÇÃO TRANSVERSAL RETANGULAR</v>
      </c>
    </row>
    <row r="7065" spans="1:2">
      <c r="A7065" s="1" t="str">
        <f>"7214.99.10"</f>
        <v>7214.99.10</v>
      </c>
      <c r="B7065" s="2" t="str">
        <f>"DE SEÇÃO CIRCULAR"</f>
        <v>DE SEÇÃO CIRCULAR</v>
      </c>
    </row>
    <row r="7066" spans="1:2">
      <c r="A7066" s="1" t="str">
        <f>"7214.99.90"</f>
        <v>7214.99.90</v>
      </c>
      <c r="B7066" s="2" t="str">
        <f>"Outras"</f>
        <v>Outras</v>
      </c>
    </row>
    <row r="7067" spans="1:2">
      <c r="A7067" s="1" t="str">
        <f>"7215.10.00"</f>
        <v>7215.10.00</v>
      </c>
      <c r="B7067" s="2" t="str">
        <f>"De acos para tornear, simplesmente"</f>
        <v>De acos para tornear, simplesmente</v>
      </c>
    </row>
    <row r="7068" spans="1:2">
      <c r="A7068" s="1" t="str">
        <f>"7215.50.00"</f>
        <v>7215.50.00</v>
      </c>
      <c r="B7068" s="2" t="str">
        <f>"Outras, obtidas/ acabadas a frio"</f>
        <v>Outras, obtidas/ acabadas a frio</v>
      </c>
    </row>
    <row r="7069" spans="1:2">
      <c r="A7069" s="1" t="str">
        <f>"7215.90.10"</f>
        <v>7215.90.10</v>
      </c>
      <c r="B7069" s="2" t="str">
        <f>"Com um teor de carbono inferior ou"</f>
        <v>Com um teor de carbono inferior ou</v>
      </c>
    </row>
    <row r="7070" spans="1:2">
      <c r="A7070" s="1" t="str">
        <f>"7215.90.90"</f>
        <v>7215.90.90</v>
      </c>
      <c r="B7070" s="2" t="str">
        <f>"Outras"</f>
        <v>Outras</v>
      </c>
    </row>
    <row r="7071" spans="1:2">
      <c r="A7071" s="1" t="str">
        <f>"7216.10.00"</f>
        <v>7216.10.00</v>
      </c>
      <c r="B7071" s="2" t="str">
        <f>"ESTRUTURA"</f>
        <v>ESTRUTURA</v>
      </c>
    </row>
    <row r="7072" spans="1:2">
      <c r="A7072" s="1" t="str">
        <f>"7216.21.00"</f>
        <v>7216.21.00</v>
      </c>
      <c r="B7072" s="2" t="str">
        <f>"PERFIS EM L"</f>
        <v>PERFIS EM L</v>
      </c>
    </row>
    <row r="7073" spans="1:2">
      <c r="A7073" s="1" t="str">
        <f>"7216.22.00"</f>
        <v>7216.22.00</v>
      </c>
      <c r="B7073" s="2" t="str">
        <f>"Perfis em T"</f>
        <v>Perfis em T</v>
      </c>
    </row>
    <row r="7074" spans="1:2">
      <c r="A7074" s="1" t="str">
        <f>"7216.31.00"</f>
        <v>7216.31.00</v>
      </c>
      <c r="B7074" s="2" t="str">
        <f>"PERFIS EM U"</f>
        <v>PERFIS EM U</v>
      </c>
    </row>
    <row r="7075" spans="1:2">
      <c r="A7075" s="1" t="str">
        <f>"7216.32.00"</f>
        <v>7216.32.00</v>
      </c>
      <c r="B7075" s="2" t="str">
        <f>"PERFIS EM I"</f>
        <v>PERFIS EM I</v>
      </c>
    </row>
    <row r="7076" spans="1:2">
      <c r="A7076" s="1" t="str">
        <f>"7216.33.00"</f>
        <v>7216.33.00</v>
      </c>
      <c r="B7076" s="2" t="str">
        <f>"OUTROS"</f>
        <v>OUTROS</v>
      </c>
    </row>
    <row r="7077" spans="1:2">
      <c r="A7077" s="1" t="str">
        <f>"7216.40.10"</f>
        <v>7216.40.10</v>
      </c>
      <c r="B7077" s="2" t="str">
        <f>"ALTURA INFERIOR OU IGUAL A 200 MM"</f>
        <v>ALTURA INFERIOR OU IGUAL A 200 MM</v>
      </c>
    </row>
    <row r="7078" spans="1:2">
      <c r="A7078" s="1" t="str">
        <f>"7216.40.90"</f>
        <v>7216.40.90</v>
      </c>
      <c r="B7078" s="2" t="str">
        <f>"Outros"</f>
        <v>Outros</v>
      </c>
    </row>
    <row r="7079" spans="1:2">
      <c r="A7079" s="1" t="str">
        <f>"7216.50.00"</f>
        <v>7216.50.00</v>
      </c>
      <c r="B7079" s="2" t="str">
        <f>"Outros perfis, simplesmente laminad"</f>
        <v>Outros perfis, simplesmente laminad</v>
      </c>
    </row>
    <row r="7080" spans="1:2">
      <c r="A7080" s="1" t="str">
        <f>"7216.61.10"</f>
        <v>7216.61.10</v>
      </c>
      <c r="B7080" s="2" t="str">
        <f>"DE ALTURA INFERIOR A 80 MM"</f>
        <v>DE ALTURA INFERIOR A 80 MM</v>
      </c>
    </row>
    <row r="7081" spans="1:2">
      <c r="A7081" s="1" t="str">
        <f>"7216.61.90"</f>
        <v>7216.61.90</v>
      </c>
      <c r="B7081" s="2" t="str">
        <f>"OUTROS"</f>
        <v>OUTROS</v>
      </c>
    </row>
    <row r="7082" spans="1:2">
      <c r="A7082" s="1" t="str">
        <f>"7216.69.10"</f>
        <v>7216.69.10</v>
      </c>
      <c r="B7082" s="2" t="str">
        <f>"De altura inferior a 80 mm"</f>
        <v>De altura inferior a 80 mm</v>
      </c>
    </row>
    <row r="7083" spans="1:2">
      <c r="A7083" s="1" t="str">
        <f>"7216.69.90"</f>
        <v>7216.69.90</v>
      </c>
      <c r="B7083" s="2" t="str">
        <f>"Outros"</f>
        <v>Outros</v>
      </c>
    </row>
    <row r="7084" spans="1:2">
      <c r="A7084" s="1" t="str">
        <f>"7216.91.00"</f>
        <v>7216.91.00</v>
      </c>
      <c r="B7084" s="2" t="str">
        <f>"Obtidos ou acabados a frio a partir"</f>
        <v>Obtidos ou acabados a frio a partir</v>
      </c>
    </row>
    <row r="7085" spans="1:2">
      <c r="A7085" s="1" t="str">
        <f>"7216.99.00"</f>
        <v>7216.99.00</v>
      </c>
      <c r="B7085" s="2" t="str">
        <f>"OUTROS"</f>
        <v>OUTROS</v>
      </c>
    </row>
    <row r="7086" spans="1:2">
      <c r="A7086" s="1" t="str">
        <f>"7217.10.11"</f>
        <v>7217.10.11</v>
      </c>
      <c r="B7086" s="2" t="str">
        <f>"Com um teor, em peso, de fosforo in"</f>
        <v>Com um teor, em peso, de fosforo in</v>
      </c>
    </row>
    <row r="7087" spans="1:2">
      <c r="A7087" s="1" t="str">
        <f>"7217.10.19"</f>
        <v>7217.10.19</v>
      </c>
      <c r="B7087" s="2" t="str">
        <f>"OUTROS"</f>
        <v>OUTROS</v>
      </c>
    </row>
    <row r="7088" spans="1:2">
      <c r="A7088" s="1" t="str">
        <f>"7217.10.90"</f>
        <v>7217.10.90</v>
      </c>
      <c r="B7088" s="2" t="str">
        <f>"Outros"</f>
        <v>Outros</v>
      </c>
    </row>
    <row r="7089" spans="1:2">
      <c r="A7089" s="1" t="str">
        <f>"7217.20.10"</f>
        <v>7217.20.10</v>
      </c>
      <c r="B7089" s="2" t="str">
        <f>"Com um teor de carbono igual ou sup"</f>
        <v>Com um teor de carbono igual ou sup</v>
      </c>
    </row>
    <row r="7090" spans="1:2">
      <c r="A7090" s="1" t="str">
        <f>"7217.20.90"</f>
        <v>7217.20.90</v>
      </c>
      <c r="B7090" s="2" t="str">
        <f>"OUTROS"</f>
        <v>OUTROS</v>
      </c>
    </row>
    <row r="7091" spans="1:2">
      <c r="A7091" s="1" t="str">
        <f>"7217.30.10"</f>
        <v>7217.30.10</v>
      </c>
      <c r="B7091" s="2" t="str">
        <f>"Com um teor de carbono igual ou sup"</f>
        <v>Com um teor de carbono igual ou sup</v>
      </c>
    </row>
    <row r="7092" spans="1:2">
      <c r="A7092" s="1" t="str">
        <f>"7217.30.90"</f>
        <v>7217.30.90</v>
      </c>
      <c r="B7092" s="2" t="str">
        <f>"Outros"</f>
        <v>Outros</v>
      </c>
    </row>
    <row r="7093" spans="1:2">
      <c r="A7093" s="1" t="str">
        <f>"7217.90.00"</f>
        <v>7217.90.00</v>
      </c>
      <c r="B7093" s="2" t="str">
        <f>"Outros"</f>
        <v>Outros</v>
      </c>
    </row>
    <row r="7094" spans="1:2">
      <c r="A7094" s="1" t="str">
        <f>"7218.10.00"</f>
        <v>7218.10.00</v>
      </c>
      <c r="B7094" s="2" t="str">
        <f>"LINGOTES E OUTRAS FORMAS PRIMÁRIAS"</f>
        <v>LINGOTES E OUTRAS FORMAS PRIMÁRIAS</v>
      </c>
    </row>
    <row r="7095" spans="1:2">
      <c r="A7095" s="1" t="str">
        <f>"7218.90.01"</f>
        <v>7218.90.01</v>
      </c>
      <c r="B7095" s="2" t="str">
        <f>"INATIVO"</f>
        <v>INATIVO</v>
      </c>
    </row>
    <row r="7096" spans="1:2">
      <c r="A7096" s="1" t="str">
        <f>"7218.91.00"</f>
        <v>7218.91.00</v>
      </c>
      <c r="B7096" s="2" t="str">
        <f>"De secao transversal retangular"</f>
        <v>De secao transversal retangular</v>
      </c>
    </row>
    <row r="7097" spans="1:2">
      <c r="A7097" s="1" t="str">
        <f>"7218.99.00"</f>
        <v>7218.99.00</v>
      </c>
      <c r="B7097" s="2" t="str">
        <f>"OUTROS"</f>
        <v>OUTROS</v>
      </c>
    </row>
    <row r="7098" spans="1:2">
      <c r="A7098" s="1" t="str">
        <f>"7219.11.00"</f>
        <v>7219.11.00</v>
      </c>
      <c r="B7098" s="2" t="str">
        <f>"De espessura superior a 10 mm"</f>
        <v>De espessura superior a 10 mm</v>
      </c>
    </row>
    <row r="7099" spans="1:2">
      <c r="A7099" s="1" t="str">
        <f>"7219.12.00"</f>
        <v>7219.12.00</v>
      </c>
      <c r="B7099" s="2" t="str">
        <f>"De espessura igual ou superior a 4,"</f>
        <v>De espessura igual ou superior a 4,</v>
      </c>
    </row>
    <row r="7100" spans="1:2">
      <c r="A7100" s="1" t="str">
        <f>"7219.13.00"</f>
        <v>7219.13.00</v>
      </c>
      <c r="B7100" s="2" t="str">
        <f>"De espessura igual ou superior a 3"</f>
        <v>De espessura igual ou superior a 3</v>
      </c>
    </row>
    <row r="7101" spans="1:2">
      <c r="A7101" s="1" t="str">
        <f>"7219.14.00"</f>
        <v>7219.14.00</v>
      </c>
      <c r="B7101" s="2" t="str">
        <f>"De espessura inferior a 3 mm"</f>
        <v>De espessura inferior a 3 mm</v>
      </c>
    </row>
    <row r="7102" spans="1:2">
      <c r="A7102" s="1" t="str">
        <f>"7219.21.00"</f>
        <v>7219.21.00</v>
      </c>
      <c r="B7102" s="2" t="str">
        <f>"De espessura superior a 10 mm"</f>
        <v>De espessura superior a 10 mm</v>
      </c>
    </row>
    <row r="7103" spans="1:2">
      <c r="A7103" s="1" t="str">
        <f>"7219.22.00"</f>
        <v>7219.22.00</v>
      </c>
      <c r="B7103" s="2" t="str">
        <f>"De espessura igual ou superior a 4,"</f>
        <v>De espessura igual ou superior a 4,</v>
      </c>
    </row>
    <row r="7104" spans="1:2">
      <c r="A7104" s="1" t="str">
        <f>"7219.23.00"</f>
        <v>7219.23.00</v>
      </c>
      <c r="B7104" s="2" t="str">
        <f>"De espessura igual ou superior a 3"</f>
        <v>De espessura igual ou superior a 3</v>
      </c>
    </row>
    <row r="7105" spans="1:2">
      <c r="A7105" s="1" t="str">
        <f>"7219.24.00"</f>
        <v>7219.24.00</v>
      </c>
      <c r="B7105" s="2" t="str">
        <f>"De espessura inferior a 3 mm"</f>
        <v>De espessura inferior a 3 mm</v>
      </c>
    </row>
    <row r="7106" spans="1:2">
      <c r="A7106" s="1" t="str">
        <f>"7219.31.00"</f>
        <v>7219.31.00</v>
      </c>
      <c r="B7106" s="2" t="str">
        <f>"De espessura igual ou superior a 4,"</f>
        <v>De espessura igual ou superior a 4,</v>
      </c>
    </row>
    <row r="7107" spans="1:2">
      <c r="A7107" s="1" t="str">
        <f>"7219.32.00"</f>
        <v>7219.32.00</v>
      </c>
      <c r="B7107" s="2" t="str">
        <f>"De espessura igual ou superior a 3"</f>
        <v>De espessura igual ou superior a 3</v>
      </c>
    </row>
    <row r="7108" spans="1:2">
      <c r="A7108" s="1" t="str">
        <f>"7219.33.00"</f>
        <v>7219.33.00</v>
      </c>
      <c r="B7108" s="2" t="str">
        <f>"DE ESPESS SUPEr A 1 MM, INFER 3MM"</f>
        <v>DE ESPESS SUPEr A 1 MM, INFER 3MM</v>
      </c>
    </row>
    <row r="7109" spans="1:2">
      <c r="A7109" s="1" t="str">
        <f>"7219.34.00"</f>
        <v>7219.34.00</v>
      </c>
      <c r="B7109" s="2" t="str">
        <f>"ESPESSURA IGUAL/SUP 0,5MM E MENOR 1"</f>
        <v>ESPESSURA IGUAL/SUP 0,5MM E MENOR 1</v>
      </c>
    </row>
    <row r="7110" spans="1:2">
      <c r="A7110" s="1" t="str">
        <f>"7219.35.00"</f>
        <v>7219.35.00</v>
      </c>
      <c r="B7110" s="2" t="str">
        <f>"De espessura inferior a 0,5 mm"</f>
        <v>De espessura inferior a 0,5 mm</v>
      </c>
    </row>
    <row r="7111" spans="1:2">
      <c r="A7111" s="1" t="str">
        <f>"7219.90.10"</f>
        <v>7219.90.10</v>
      </c>
      <c r="B7111" s="2" t="str">
        <f>"De espessura inferior a 4,75 mm e d"</f>
        <v>De espessura inferior a 4,75 mm e d</v>
      </c>
    </row>
    <row r="7112" spans="1:2">
      <c r="A7112" s="1" t="str">
        <f>"7219.90.90"</f>
        <v>7219.90.90</v>
      </c>
      <c r="B7112" s="2" t="str">
        <f>"Outros"</f>
        <v>Outros</v>
      </c>
    </row>
    <row r="7113" spans="1:2">
      <c r="A7113" s="1" t="str">
        <f>"7220.11.00"</f>
        <v>7220.11.00</v>
      </c>
      <c r="B7113" s="2" t="str">
        <f>"De espessura igual ou superior a 4,"</f>
        <v>De espessura igual ou superior a 4,</v>
      </c>
    </row>
    <row r="7114" spans="1:2">
      <c r="A7114" s="1" t="str">
        <f>"7220.12.10"</f>
        <v>7220.12.10</v>
      </c>
      <c r="B7114" s="2" t="str">
        <f>"De espessura inferior ou igual a 1,"</f>
        <v>De espessura inferior ou igual a 1,</v>
      </c>
    </row>
    <row r="7115" spans="1:2">
      <c r="A7115" s="1" t="str">
        <f>"7220.12.20"</f>
        <v>7220.12.20</v>
      </c>
      <c r="B7115" s="2" t="str">
        <f>"De espessura superior a 1,5 mm, mas"</f>
        <v>De espessura superior a 1,5 mm, mas</v>
      </c>
    </row>
    <row r="7116" spans="1:2">
      <c r="A7116" s="1" t="str">
        <f>"7220.12.90"</f>
        <v>7220.12.90</v>
      </c>
      <c r="B7116" s="2" t="str">
        <f>"OUTROS"</f>
        <v>OUTROS</v>
      </c>
    </row>
    <row r="7117" spans="1:2">
      <c r="A7117" s="1" t="str">
        <f>"7220.20.10"</f>
        <v>7220.20.10</v>
      </c>
      <c r="B7117" s="2" t="str">
        <f>"De largura inferior ou igual a 23 m"</f>
        <v>De largura inferior ou igual a 23 m</v>
      </c>
    </row>
    <row r="7118" spans="1:2">
      <c r="A7118" s="1" t="str">
        <f>"7220.20.90"</f>
        <v>7220.20.90</v>
      </c>
      <c r="B7118" s="2" t="str">
        <f>"OUTROS"</f>
        <v>OUTROS</v>
      </c>
    </row>
    <row r="7119" spans="1:2">
      <c r="A7119" s="1" t="str">
        <f>"7220.90.00"</f>
        <v>7220.90.00</v>
      </c>
      <c r="B7119" s="2" t="str">
        <f>"OUTROS"</f>
        <v>OUTROS</v>
      </c>
    </row>
    <row r="7120" spans="1:2">
      <c r="A7120" s="1" t="str">
        <f>"7221.00.00"</f>
        <v>7221.00.00</v>
      </c>
      <c r="B7120" s="2" t="str">
        <f>"Fio-maquina de aco inoxidavel."</f>
        <v>Fio-maquina de aco inoxidavel.</v>
      </c>
    </row>
    <row r="7121" spans="1:2">
      <c r="A7121" s="1" t="str">
        <f>"7222.11.00"</f>
        <v>7222.11.00</v>
      </c>
      <c r="B7121" s="2" t="str">
        <f>"De secao circular"</f>
        <v>De secao circular</v>
      </c>
    </row>
    <row r="7122" spans="1:2">
      <c r="A7122" s="1" t="str">
        <f>"7222.19.10"</f>
        <v>7222.19.10</v>
      </c>
      <c r="B7122" s="2" t="str">
        <f>"De secao transversal retangular"</f>
        <v>De secao transversal retangular</v>
      </c>
    </row>
    <row r="7123" spans="1:2">
      <c r="A7123" s="1" t="str">
        <f>"7222.19.90"</f>
        <v>7222.19.90</v>
      </c>
      <c r="B7123" s="2" t="str">
        <f>"OUTRAS"</f>
        <v>OUTRAS</v>
      </c>
    </row>
    <row r="7124" spans="1:2">
      <c r="A7124" s="1" t="str">
        <f>"7222.20.00"</f>
        <v>7222.20.00</v>
      </c>
      <c r="B7124" s="2" t="str">
        <f>"BARRAS OBTIDAS/ACABADAS  A FRIO"</f>
        <v>BARRAS OBTIDAS/ACABADAS  A FRIO</v>
      </c>
    </row>
    <row r="7125" spans="1:2">
      <c r="A7125" s="1" t="str">
        <f>"7222.30.00"</f>
        <v>7222.30.00</v>
      </c>
      <c r="B7125" s="2" t="str">
        <f>"Outras barras"</f>
        <v>Outras barras</v>
      </c>
    </row>
    <row r="7126" spans="1:2">
      <c r="A7126" s="1" t="str">
        <f>"7222.40.10"</f>
        <v>7222.40.10</v>
      </c>
      <c r="B7126" s="2" t="str">
        <f>"De altura igual ou superior a 80 mm"</f>
        <v>De altura igual ou superior a 80 mm</v>
      </c>
    </row>
    <row r="7127" spans="1:2">
      <c r="A7127" s="1" t="str">
        <f>"7222.40.90"</f>
        <v>7222.40.90</v>
      </c>
      <c r="B7127" s="2" t="str">
        <f>"OUTROS"</f>
        <v>OUTROS</v>
      </c>
    </row>
    <row r="7128" spans="1:2">
      <c r="A7128" s="1" t="str">
        <f>"7223.00.00"</f>
        <v>7223.00.00</v>
      </c>
      <c r="B7128" s="2" t="str">
        <f>"Fios de aco inoxidavel."</f>
        <v>Fios de aco inoxidavel.</v>
      </c>
    </row>
    <row r="7129" spans="1:2">
      <c r="A7129" s="1" t="str">
        <f>"7224.10.00"</f>
        <v>7224.10.00</v>
      </c>
      <c r="B7129" s="2" t="str">
        <f>"Lingotes e outras formas primarias"</f>
        <v>Lingotes e outras formas primarias</v>
      </c>
    </row>
    <row r="7130" spans="1:2">
      <c r="A7130" s="1" t="str">
        <f>"7224.90.00"</f>
        <v>7224.90.00</v>
      </c>
      <c r="B7130" s="2" t="str">
        <f>"Outros"</f>
        <v>Outros</v>
      </c>
    </row>
    <row r="7131" spans="1:2">
      <c r="A7131" s="1" t="str">
        <f>"7225.11.00"</f>
        <v>7225.11.00</v>
      </c>
      <c r="B7131" s="2" t="str">
        <f>"De graos orientados"</f>
        <v>De graos orientados</v>
      </c>
    </row>
    <row r="7132" spans="1:2">
      <c r="A7132" s="1" t="str">
        <f>"7225.19.00"</f>
        <v>7225.19.00</v>
      </c>
      <c r="B7132" s="2" t="str">
        <f>"Outros"</f>
        <v>Outros</v>
      </c>
    </row>
    <row r="7133" spans="1:2">
      <c r="A7133" s="1" t="str">
        <f>"7225.30.00"</f>
        <v>7225.30.00</v>
      </c>
      <c r="B7133" s="2" t="str">
        <f>"Outros, simplesmente laminados a qu"</f>
        <v>Outros, simplesmente laminados a qu</v>
      </c>
    </row>
    <row r="7134" spans="1:2">
      <c r="A7134" s="1" t="str">
        <f>"7225.40.10"</f>
        <v>7225.40.10</v>
      </c>
      <c r="B7134" s="2" t="str">
        <f>"De aco, segundo normas AISI D2, D3"</f>
        <v>De aco, segundo normas AISI D2, D3</v>
      </c>
    </row>
    <row r="7135" spans="1:2">
      <c r="A7135" s="1" t="str">
        <f>"7225.40.20"</f>
        <v>7225.40.20</v>
      </c>
      <c r="B7135" s="2" t="str">
        <f>"De acos de corte rapido"</f>
        <v>De acos de corte rapido</v>
      </c>
    </row>
    <row r="7136" spans="1:2">
      <c r="A7136" s="1" t="str">
        <f>"7225.40.90"</f>
        <v>7225.40.90</v>
      </c>
      <c r="B7136" s="2" t="str">
        <f>"Outros"</f>
        <v>Outros</v>
      </c>
    </row>
    <row r="7137" spans="1:2">
      <c r="A7137" s="1" t="str">
        <f>"7225.50.10"</f>
        <v>7225.50.10</v>
      </c>
      <c r="B7137" s="2" t="str">
        <f>"De acos de corte rapido"</f>
        <v>De acos de corte rapido</v>
      </c>
    </row>
    <row r="7138" spans="1:2">
      <c r="A7138" s="1" t="str">
        <f>"7225.50.90"</f>
        <v>7225.50.90</v>
      </c>
      <c r="B7138" s="2" t="str">
        <f>"Outros"</f>
        <v>Outros</v>
      </c>
    </row>
    <row r="7139" spans="1:2">
      <c r="A7139" s="1" t="str">
        <f>"7225.91.00"</f>
        <v>7225.91.00</v>
      </c>
      <c r="B7139" s="2" t="str">
        <f>"Galvanizados eletroliticamente"</f>
        <v>Galvanizados eletroliticamente</v>
      </c>
    </row>
    <row r="7140" spans="1:2">
      <c r="A7140" s="1" t="str">
        <f>"7225.92.00"</f>
        <v>7225.92.00</v>
      </c>
      <c r="B7140" s="2" t="str">
        <f>"Galvanizados por outro processo"</f>
        <v>Galvanizados por outro processo</v>
      </c>
    </row>
    <row r="7141" spans="1:2">
      <c r="A7141" s="1" t="str">
        <f>"7225.99.10"</f>
        <v>7225.99.10</v>
      </c>
      <c r="B7141" s="2" t="str">
        <f>"De acos de corte rapido"</f>
        <v>De acos de corte rapido</v>
      </c>
    </row>
    <row r="7142" spans="1:2">
      <c r="A7142" s="1" t="str">
        <f>"7225.99.90"</f>
        <v>7225.99.90</v>
      </c>
      <c r="B7142" s="2" t="str">
        <f>"Outros"</f>
        <v>Outros</v>
      </c>
    </row>
    <row r="7143" spans="1:2">
      <c r="A7143" s="1" t="str">
        <f>"7226.11.00"</f>
        <v>7226.11.00</v>
      </c>
      <c r="B7143" s="2" t="str">
        <f>"De graos orientados"</f>
        <v>De graos orientados</v>
      </c>
    </row>
    <row r="7144" spans="1:2">
      <c r="A7144" s="1" t="str">
        <f>"7226.19.00"</f>
        <v>7226.19.00</v>
      </c>
      <c r="B7144" s="2" t="str">
        <f>"Outros"</f>
        <v>Outros</v>
      </c>
    </row>
    <row r="7145" spans="1:2">
      <c r="A7145" s="1" t="str">
        <f>"7226.20.10"</f>
        <v>7226.20.10</v>
      </c>
      <c r="B7145" s="2" t="str">
        <f>"De espessura igual ou superior a 1"</f>
        <v>De espessura igual ou superior a 1</v>
      </c>
    </row>
    <row r="7146" spans="1:2">
      <c r="A7146" s="1" t="str">
        <f>"7226.20.90"</f>
        <v>7226.20.90</v>
      </c>
      <c r="B7146" s="2" t="str">
        <f>"Outros"</f>
        <v>Outros</v>
      </c>
    </row>
    <row r="7147" spans="1:2">
      <c r="A7147" s="1" t="str">
        <f>"7226.91.00"</f>
        <v>7226.91.00</v>
      </c>
      <c r="B7147" s="2" t="str">
        <f>"Simplesmente laminados a quente"</f>
        <v>Simplesmente laminados a quente</v>
      </c>
    </row>
    <row r="7148" spans="1:2">
      <c r="A7148" s="1" t="str">
        <f>"7226.92.00"</f>
        <v>7226.92.00</v>
      </c>
      <c r="B7148" s="2" t="str">
        <f>"Simplesmente laminados a frio"</f>
        <v>Simplesmente laminados a frio</v>
      </c>
    </row>
    <row r="7149" spans="1:2">
      <c r="A7149" s="1" t="str">
        <f>"7226.99.00"</f>
        <v>7226.99.00</v>
      </c>
      <c r="B7149" s="2" t="str">
        <f>"Outros"</f>
        <v>Outros</v>
      </c>
    </row>
    <row r="7150" spans="1:2">
      <c r="A7150" s="1" t="str">
        <f>"7227.10.00"</f>
        <v>7227.10.00</v>
      </c>
      <c r="B7150" s="2" t="str">
        <f>"De acos de corte rapido"</f>
        <v>De acos de corte rapido</v>
      </c>
    </row>
    <row r="7151" spans="1:2">
      <c r="A7151" s="1" t="str">
        <f>"7227.20.00"</f>
        <v>7227.20.00</v>
      </c>
      <c r="B7151" s="2" t="str">
        <f>"De acos silicio-manganes"</f>
        <v>De acos silicio-manganes</v>
      </c>
    </row>
    <row r="7152" spans="1:2">
      <c r="A7152" s="1" t="str">
        <f>"7227.90.00"</f>
        <v>7227.90.00</v>
      </c>
      <c r="B7152" s="2" t="str">
        <f>"Outros"</f>
        <v>Outros</v>
      </c>
    </row>
    <row r="7153" spans="1:2">
      <c r="A7153" s="1" t="str">
        <f>"7228.10.10"</f>
        <v>7228.10.10</v>
      </c>
      <c r="B7153" s="2" t="str">
        <f>"Simplesmente laminadas, estiradas o"</f>
        <v>Simplesmente laminadas, estiradas o</v>
      </c>
    </row>
    <row r="7154" spans="1:2">
      <c r="A7154" s="1" t="str">
        <f>"7228.10.90"</f>
        <v>7228.10.90</v>
      </c>
      <c r="B7154" s="2" t="str">
        <f>"Outras"</f>
        <v>Outras</v>
      </c>
    </row>
    <row r="7155" spans="1:2">
      <c r="A7155" s="1" t="str">
        <f>"7228.20.00"</f>
        <v>7228.20.00</v>
      </c>
      <c r="B7155" s="2" t="str">
        <f>"Barras de acos silicio-manganes"</f>
        <v>Barras de acos silicio-manganes</v>
      </c>
    </row>
    <row r="7156" spans="1:2">
      <c r="A7156" s="1" t="str">
        <f>"7228.30.00"</f>
        <v>7228.30.00</v>
      </c>
      <c r="B7156" s="2" t="str">
        <f>"OUTRAS BARRAS, SIMPLESMENTE LAMINAD"</f>
        <v>OUTRAS BARRAS, SIMPLESMENTE LAMINAD</v>
      </c>
    </row>
    <row r="7157" spans="1:2">
      <c r="A7157" s="1" t="str">
        <f>"7228.40.00"</f>
        <v>7228.40.00</v>
      </c>
      <c r="B7157" s="2" t="str">
        <f>"Outras barras, simplesmente forjada"</f>
        <v>Outras barras, simplesmente forjada</v>
      </c>
    </row>
    <row r="7158" spans="1:2">
      <c r="A7158" s="1" t="str">
        <f>"7228.50.00"</f>
        <v>7228.50.00</v>
      </c>
      <c r="B7158" s="2" t="str">
        <f>"Outras barras, simplesmente obtidas"</f>
        <v>Outras barras, simplesmente obtidas</v>
      </c>
    </row>
    <row r="7159" spans="1:2">
      <c r="A7159" s="1" t="str">
        <f>"7228.60.00"</f>
        <v>7228.60.00</v>
      </c>
      <c r="B7159" s="2" t="str">
        <f>"Outras barras"</f>
        <v>Outras barras</v>
      </c>
    </row>
    <row r="7160" spans="1:2">
      <c r="A7160" s="1" t="str">
        <f>"7228.70.00"</f>
        <v>7228.70.00</v>
      </c>
      <c r="B7160" s="2" t="str">
        <f>"Perfis"</f>
        <v>Perfis</v>
      </c>
    </row>
    <row r="7161" spans="1:2">
      <c r="A7161" s="1" t="str">
        <f>"7228.80.00"</f>
        <v>7228.80.00</v>
      </c>
      <c r="B7161" s="2" t="str">
        <f>"Barras ocas para perfuracao"</f>
        <v>Barras ocas para perfuracao</v>
      </c>
    </row>
    <row r="7162" spans="1:2">
      <c r="A7162" s="1" t="str">
        <f>"7229.20.00"</f>
        <v>7229.20.00</v>
      </c>
      <c r="B7162" s="2" t="str">
        <f>"DE AÇOS SILÍCIO-MANGANÊS"</f>
        <v>DE AÇOS SILÍCIO-MANGANÊS</v>
      </c>
    </row>
    <row r="7163" spans="1:2">
      <c r="A7163" s="1" t="str">
        <f>"7229.90.00"</f>
        <v>7229.90.00</v>
      </c>
      <c r="B7163" s="2" t="str">
        <f>"Outros"</f>
        <v>Outros</v>
      </c>
    </row>
    <row r="7164" spans="1:2">
      <c r="A7164" s="1" t="str">
        <f>"7301.10.00"</f>
        <v>7301.10.00</v>
      </c>
      <c r="B7164" s="2" t="str">
        <f>"Estacas-pranchas"</f>
        <v>Estacas-pranchas</v>
      </c>
    </row>
    <row r="7165" spans="1:2">
      <c r="A7165" s="1" t="str">
        <f>"7301.20.00"</f>
        <v>7301.20.00</v>
      </c>
      <c r="B7165" s="2" t="str">
        <f>"Perfis"</f>
        <v>Perfis</v>
      </c>
    </row>
    <row r="7166" spans="1:2">
      <c r="A7166" s="1" t="str">
        <f>"7302.10.10"</f>
        <v>7302.10.10</v>
      </c>
      <c r="B7166" s="2" t="str">
        <f>"De aco, de peso linear igual ou sup"</f>
        <v>De aco, de peso linear igual ou sup</v>
      </c>
    </row>
    <row r="7167" spans="1:2">
      <c r="A7167" s="1" t="str">
        <f>"7302.10.90"</f>
        <v>7302.10.90</v>
      </c>
      <c r="B7167" s="2" t="str">
        <f>"Outros"</f>
        <v>Outros</v>
      </c>
    </row>
    <row r="7168" spans="1:2">
      <c r="A7168" s="1" t="str">
        <f>"7302.30.00"</f>
        <v>7302.30.00</v>
      </c>
      <c r="B7168" s="2" t="str">
        <f>"Agulhas, crossimas, alavancas para"</f>
        <v>Agulhas, crossimas, alavancas para</v>
      </c>
    </row>
    <row r="7169" spans="1:2">
      <c r="A7169" s="1" t="str">
        <f>"7302.40.00"</f>
        <v>7302.40.00</v>
      </c>
      <c r="B7169" s="2" t="str">
        <f>"Talas de juncao (Eclissas*) e placa"</f>
        <v>Talas de juncao (Eclissas*) e placa</v>
      </c>
    </row>
    <row r="7170" spans="1:2">
      <c r="A7170" s="1" t="str">
        <f>"7302.90.00"</f>
        <v>7302.90.00</v>
      </c>
      <c r="B7170" s="2" t="str">
        <f>"Outros"</f>
        <v>Outros</v>
      </c>
    </row>
    <row r="7171" spans="1:2">
      <c r="A7171" s="1" t="str">
        <f>"7303.00.00"</f>
        <v>7303.00.00</v>
      </c>
      <c r="B7171" s="2" t="str">
        <f>"Tubos e perfis ocos, de ferro fundi"</f>
        <v>Tubos e perfis ocos, de ferro fundi</v>
      </c>
    </row>
    <row r="7172" spans="1:2">
      <c r="A7172" s="1" t="str">
        <f>"7304.11.00"</f>
        <v>7304.11.00</v>
      </c>
      <c r="B7172" s="2" t="str">
        <f>"OUTROS"</f>
        <v>OUTROS</v>
      </c>
    </row>
    <row r="7173" spans="1:2">
      <c r="A7173" s="1" t="str">
        <f>"7304.19.00"</f>
        <v>7304.19.00</v>
      </c>
      <c r="B7173" s="2" t="str">
        <f>"OUTROS"</f>
        <v>OUTROS</v>
      </c>
    </row>
    <row r="7174" spans="1:2">
      <c r="A7174" s="1" t="str">
        <f>"7304.22.00"</f>
        <v>7304.22.00</v>
      </c>
      <c r="B7174" s="2" t="str">
        <f>"Hastes de perfuracao de aco inoxida"</f>
        <v>Hastes de perfuracao de aco inoxida</v>
      </c>
    </row>
    <row r="7175" spans="1:2">
      <c r="A7175" s="1" t="str">
        <f>"7304.23.10"</f>
        <v>7304.23.10</v>
      </c>
      <c r="B7175" s="2" t="str">
        <f>"De aco nao ligado"</f>
        <v>De aco nao ligado</v>
      </c>
    </row>
    <row r="7176" spans="1:2">
      <c r="A7176" s="1" t="str">
        <f>"7304.23.90"</f>
        <v>7304.23.90</v>
      </c>
      <c r="B7176" s="2" t="str">
        <f>"Outros"</f>
        <v>Outros</v>
      </c>
    </row>
    <row r="7177" spans="1:2">
      <c r="A7177" s="1" t="str">
        <f>"7304.24.00"</f>
        <v>7304.24.00</v>
      </c>
      <c r="B7177" s="2" t="str">
        <f>"Outros, de aco inoxidavel"</f>
        <v>Outros, de aco inoxidavel</v>
      </c>
    </row>
    <row r="7178" spans="1:2">
      <c r="A7178" s="1" t="str">
        <f>"7304.29.10"</f>
        <v>7304.29.10</v>
      </c>
      <c r="B7178" s="2" t="str">
        <f>"De aco nao ligado"</f>
        <v>De aco nao ligado</v>
      </c>
    </row>
    <row r="7179" spans="1:2">
      <c r="A7179" s="1" t="str">
        <f>"7304.29.31"</f>
        <v>7304.29.31</v>
      </c>
      <c r="B7179" s="2" t="str">
        <f>"De diametro exterior inferior ou ig"</f>
        <v>De diametro exterior inferior ou ig</v>
      </c>
    </row>
    <row r="7180" spans="1:2">
      <c r="A7180" s="1" t="str">
        <f>"7304.29.39"</f>
        <v>7304.29.39</v>
      </c>
      <c r="B7180" s="2" t="str">
        <f>"Outros"</f>
        <v>Outros</v>
      </c>
    </row>
    <row r="7181" spans="1:2">
      <c r="A7181" s="1" t="str">
        <f>"7304.29.90"</f>
        <v>7304.29.90</v>
      </c>
      <c r="B7181" s="2" t="str">
        <f>"Outros"</f>
        <v>Outros</v>
      </c>
    </row>
    <row r="7182" spans="1:2">
      <c r="A7182" s="1" t="str">
        <f>"7304.31.10"</f>
        <v>7304.31.10</v>
      </c>
      <c r="B7182" s="2" t="str">
        <f>"Tubos nao revestidos"</f>
        <v>Tubos nao revestidos</v>
      </c>
    </row>
    <row r="7183" spans="1:2">
      <c r="A7183" s="1" t="str">
        <f>"7304.31.90"</f>
        <v>7304.31.90</v>
      </c>
      <c r="B7183" s="2" t="str">
        <f>"OUTROS"</f>
        <v>OUTROS</v>
      </c>
    </row>
    <row r="7184" spans="1:2">
      <c r="A7184" s="1" t="str">
        <f>"7304.39.10"</f>
        <v>7304.39.10</v>
      </c>
      <c r="B7184" s="2" t="str">
        <f>"TUBOS Ñ REVEST,  DIÂM EXT/INF/229MM"</f>
        <v>TUBOS Ñ REVEST,  DIÂM EXT/INF/229MM</v>
      </c>
    </row>
    <row r="7185" spans="1:2">
      <c r="A7185" s="1" t="str">
        <f>"7304.39.20"</f>
        <v>7304.39.20</v>
      </c>
      <c r="B7185" s="2" t="str">
        <f>"TUBOS REVERT C/ DIÂM INF/IGUA 229MM"</f>
        <v>TUBOS REVERT C/ DIÂM INF/IGUA 229MM</v>
      </c>
    </row>
    <row r="7186" spans="1:2">
      <c r="A7186" s="1" t="str">
        <f>"7304.39.90"</f>
        <v>7304.39.90</v>
      </c>
      <c r="B7186" s="2" t="str">
        <f>"Outros"</f>
        <v>Outros</v>
      </c>
    </row>
    <row r="7187" spans="1:2">
      <c r="A7187" s="1" t="str">
        <f>"7304.41.10"</f>
        <v>7304.41.10</v>
      </c>
      <c r="B7187" s="2" t="str">
        <f>"Tubos capilares de diametro exterio"</f>
        <v>Tubos capilares de diametro exterio</v>
      </c>
    </row>
    <row r="7188" spans="1:2">
      <c r="A7188" s="1" t="str">
        <f>"7304.41.90"</f>
        <v>7304.41.90</v>
      </c>
      <c r="B7188" s="2" t="str">
        <f>"Outros"</f>
        <v>Outros</v>
      </c>
    </row>
    <row r="7189" spans="1:2">
      <c r="A7189" s="1" t="str">
        <f>"7304.49.00"</f>
        <v>7304.49.00</v>
      </c>
      <c r="B7189" s="2" t="str">
        <f>"MANGUEIRA"</f>
        <v>MANGUEIRA</v>
      </c>
    </row>
    <row r="7190" spans="1:2">
      <c r="A7190" s="1" t="str">
        <f>"7304.51.11"</f>
        <v>7304.51.11</v>
      </c>
      <c r="B7190" s="2" t="str">
        <f>"Tubos capilares de diametro exterio"</f>
        <v>Tubos capilares de diametro exterio</v>
      </c>
    </row>
    <row r="7191" spans="1:2">
      <c r="A7191" s="1" t="str">
        <f>"7304.51.19"</f>
        <v>7304.51.19</v>
      </c>
      <c r="B7191" s="2" t="str">
        <f>"Outros"</f>
        <v>Outros</v>
      </c>
    </row>
    <row r="7192" spans="1:2">
      <c r="A7192" s="1" t="str">
        <f>"7304.51.90"</f>
        <v>7304.51.90</v>
      </c>
      <c r="B7192" s="2" t="str">
        <f>"Outros"</f>
        <v>Outros</v>
      </c>
    </row>
    <row r="7193" spans="1:2">
      <c r="A7193" s="1" t="str">
        <f>"7304.59.11"</f>
        <v>7304.59.11</v>
      </c>
      <c r="B7193" s="2" t="str">
        <f>"Com um teor, em peso, de carbono ig"</f>
        <v>Com um teor, em peso, de carbono ig</v>
      </c>
    </row>
    <row r="7194" spans="1:2">
      <c r="A7194" s="1" t="str">
        <f>"7304.59.19"</f>
        <v>7304.59.19</v>
      </c>
      <c r="B7194" s="2" t="str">
        <f>"Outros"</f>
        <v>Outros</v>
      </c>
    </row>
    <row r="7195" spans="1:2">
      <c r="A7195" s="1" t="str">
        <f>"7304.59.90"</f>
        <v>7304.59.90</v>
      </c>
      <c r="B7195" s="2" t="str">
        <f>"Outros"</f>
        <v>Outros</v>
      </c>
    </row>
    <row r="7196" spans="1:2">
      <c r="A7196" s="1" t="str">
        <f>"7304.90.11"</f>
        <v>7304.90.11</v>
      </c>
      <c r="B7196" s="2" t="str">
        <f>"De aco inoxidavel"</f>
        <v>De aco inoxidavel</v>
      </c>
    </row>
    <row r="7197" spans="1:2">
      <c r="A7197" s="1" t="str">
        <f>"7304.90.19"</f>
        <v>7304.90.19</v>
      </c>
      <c r="B7197" s="2" t="str">
        <f>"Outros"</f>
        <v>Outros</v>
      </c>
    </row>
    <row r="7198" spans="1:2">
      <c r="A7198" s="1" t="str">
        <f>"7304.90.90"</f>
        <v>7304.90.90</v>
      </c>
      <c r="B7198" s="2" t="str">
        <f>"Outros"</f>
        <v>Outros</v>
      </c>
    </row>
    <row r="7199" spans="1:2">
      <c r="A7199" s="1" t="str">
        <f>"7305.11.00"</f>
        <v>7305.11.00</v>
      </c>
      <c r="B7199" s="2" t="str">
        <f>"Soldados longitudinalmente por arco"</f>
        <v>Soldados longitudinalmente por arco</v>
      </c>
    </row>
    <row r="7200" spans="1:2">
      <c r="A7200" s="1" t="str">
        <f>"7305.12.00"</f>
        <v>7305.12.00</v>
      </c>
      <c r="B7200" s="2" t="str">
        <f>"Outros, soldados longitudinalmente"</f>
        <v>Outros, soldados longitudinalmente</v>
      </c>
    </row>
    <row r="7201" spans="1:2">
      <c r="A7201" s="1" t="str">
        <f>"7305.19.00"</f>
        <v>7305.19.00</v>
      </c>
      <c r="B7201" s="2" t="str">
        <f>"Outros"</f>
        <v>Outros</v>
      </c>
    </row>
    <row r="7202" spans="1:2">
      <c r="A7202" s="1" t="str">
        <f>"7305.20.00"</f>
        <v>7305.20.00</v>
      </c>
      <c r="B7202" s="2" t="str">
        <f>"Tubos para revestimento de pocos, d"</f>
        <v>Tubos para revestimento de pocos, d</v>
      </c>
    </row>
    <row r="7203" spans="1:2">
      <c r="A7203" s="1" t="str">
        <f>"7305.31.00"</f>
        <v>7305.31.00</v>
      </c>
      <c r="B7203" s="2" t="str">
        <f>"Soldados longitudinalmente"</f>
        <v>Soldados longitudinalmente</v>
      </c>
    </row>
    <row r="7204" spans="1:2">
      <c r="A7204" s="1" t="str">
        <f>"7305.39.00"</f>
        <v>7305.39.00</v>
      </c>
      <c r="B7204" s="2" t="str">
        <f>"Outros"</f>
        <v>Outros</v>
      </c>
    </row>
    <row r="7205" spans="1:2">
      <c r="A7205" s="1" t="str">
        <f>"7305.90.00"</f>
        <v>7305.90.00</v>
      </c>
      <c r="B7205" s="2" t="str">
        <f>"Outros"</f>
        <v>Outros</v>
      </c>
    </row>
    <row r="7206" spans="1:2">
      <c r="A7206" s="1" t="str">
        <f>"7306.11.00"</f>
        <v>7306.11.00</v>
      </c>
      <c r="B7206" s="2" t="str">
        <f>"Soldados, de aco inoxidavel"</f>
        <v>Soldados, de aco inoxidavel</v>
      </c>
    </row>
    <row r="7207" spans="1:2">
      <c r="A7207" s="1" t="str">
        <f>"7306.19.00"</f>
        <v>7306.19.00</v>
      </c>
      <c r="B7207" s="2" t="str">
        <f>"Outros"</f>
        <v>Outros</v>
      </c>
    </row>
    <row r="7208" spans="1:2">
      <c r="A7208" s="1" t="str">
        <f>"7306.21.00"</f>
        <v>7306.21.00</v>
      </c>
      <c r="B7208" s="2" t="str">
        <f>"Soldados, de aco inoxidavel"</f>
        <v>Soldados, de aco inoxidavel</v>
      </c>
    </row>
    <row r="7209" spans="1:2">
      <c r="A7209" s="1" t="str">
        <f>"7306.29.00"</f>
        <v>7306.29.00</v>
      </c>
      <c r="B7209" s="2" t="str">
        <f>"Outros"</f>
        <v>Outros</v>
      </c>
    </row>
    <row r="7210" spans="1:2">
      <c r="A7210" s="1" t="str">
        <f>"7306.30.00"</f>
        <v>7306.30.00</v>
      </c>
      <c r="B7210" s="2" t="str">
        <f>"TUBO"</f>
        <v>TUBO</v>
      </c>
    </row>
    <row r="7211" spans="1:2">
      <c r="A7211" s="1" t="str">
        <f>"7306.40.00"</f>
        <v>7306.40.00</v>
      </c>
      <c r="B7211" s="2" t="str">
        <f>"OUTROS, SOLDADOS, DE SEÇÃO CIRCULAR"</f>
        <v>OUTROS, SOLDADOS, DE SEÇÃO CIRCULAR</v>
      </c>
    </row>
    <row r="7212" spans="1:2">
      <c r="A7212" s="1" t="str">
        <f>"7306.50.00"</f>
        <v>7306.50.00</v>
      </c>
      <c r="B7212" s="2" t="str">
        <f>"Outros, soldados, de secao circular"</f>
        <v>Outros, soldados, de secao circular</v>
      </c>
    </row>
    <row r="7213" spans="1:2">
      <c r="A7213" s="1" t="str">
        <f>"7306.61.00"</f>
        <v>7306.61.00</v>
      </c>
      <c r="B7213" s="2" t="str">
        <f>"DE SEÇÃO QUADRADA OU RETANGULAR"</f>
        <v>DE SEÇÃO QUADRADA OU RETANGULAR</v>
      </c>
    </row>
    <row r="7214" spans="1:2">
      <c r="A7214" s="1" t="str">
        <f>"7306.69.00"</f>
        <v>7306.69.00</v>
      </c>
      <c r="B7214" s="2" t="str">
        <f>"De outras secoes"</f>
        <v>De outras secoes</v>
      </c>
    </row>
    <row r="7215" spans="1:2">
      <c r="A7215" s="1" t="str">
        <f>"7306.90.10"</f>
        <v>7306.90.10</v>
      </c>
      <c r="B7215" s="2" t="str">
        <f>"De ferro ou aco nao ligado"</f>
        <v>De ferro ou aco nao ligado</v>
      </c>
    </row>
    <row r="7216" spans="1:2">
      <c r="A7216" s="1" t="str">
        <f>"7306.90.20"</f>
        <v>7306.90.20</v>
      </c>
      <c r="B7216" s="2" t="str">
        <f>"De aco inoxidavel"</f>
        <v>De aco inoxidavel</v>
      </c>
    </row>
    <row r="7217" spans="1:2">
      <c r="A7217" s="1" t="str">
        <f>"7306.90.90"</f>
        <v>7306.90.90</v>
      </c>
      <c r="B7217" s="2" t="str">
        <f>"Outros"</f>
        <v>Outros</v>
      </c>
    </row>
    <row r="7218" spans="1:2">
      <c r="A7218" s="1" t="str">
        <f>"7307.11.00"</f>
        <v>7307.11.00</v>
      </c>
      <c r="B7218" s="2" t="str">
        <f>"DE FERRO FUNDIDO NÃO MALEÁVEL"</f>
        <v>DE FERRO FUNDIDO NÃO MALEÁVEL</v>
      </c>
    </row>
    <row r="7219" spans="1:2">
      <c r="A7219" s="1" t="str">
        <f>"7307.19.10"</f>
        <v>7307.19.10</v>
      </c>
      <c r="B7219" s="2" t="str">
        <f>"OUTROS"</f>
        <v>OUTROS</v>
      </c>
    </row>
    <row r="7220" spans="1:2">
      <c r="A7220" s="1" t="str">
        <f>"7307.19.20"</f>
        <v>7307.19.20</v>
      </c>
      <c r="B7220" s="2" t="str">
        <f>"DE AÇO - ACESSÓRIOS PARA TUBOS"</f>
        <v>DE AÇO - ACESSÓRIOS PARA TUBOS</v>
      </c>
    </row>
    <row r="7221" spans="1:2">
      <c r="A7221" s="1" t="str">
        <f>"7307.19.90"</f>
        <v>7307.19.90</v>
      </c>
      <c r="B7221" s="2" t="str">
        <f>"OUTROS"</f>
        <v>OUTROS</v>
      </c>
    </row>
    <row r="7222" spans="1:2">
      <c r="A7222" s="1" t="str">
        <f>"7307.21.00"</f>
        <v>7307.21.00</v>
      </c>
      <c r="B7222" s="2" t="str">
        <f>"Flanges"</f>
        <v>Flanges</v>
      </c>
    </row>
    <row r="7223" spans="1:2">
      <c r="A7223" s="1" t="str">
        <f>"7307.22.00"</f>
        <v>7307.22.00</v>
      </c>
      <c r="B7223" s="2" t="str">
        <f>"CONEXÕES PRODUZIDAS DE INOX"</f>
        <v>CONEXÕES PRODUZIDAS DE INOX</v>
      </c>
    </row>
    <row r="7224" spans="1:2">
      <c r="A7224" s="1" t="str">
        <f>"7307.23.00"</f>
        <v>7307.23.00</v>
      </c>
      <c r="B7224" s="2" t="str">
        <f>"ABRACADEIRA"</f>
        <v>ABRACADEIRA</v>
      </c>
    </row>
    <row r="7225" spans="1:2">
      <c r="A7225" s="1" t="str">
        <f>"7307.29.00"</f>
        <v>7307.29.00</v>
      </c>
      <c r="B7225" s="2" t="str">
        <f>"OUTROS - CONEXÃO"</f>
        <v>OUTROS - CONEXÃO</v>
      </c>
    </row>
    <row r="7226" spans="1:2">
      <c r="A7226" s="1" t="str">
        <f>"7307.91.00"</f>
        <v>7307.91.00</v>
      </c>
      <c r="B7226" s="2" t="str">
        <f>"Flange laminado asa"</f>
        <v>Flange laminado asa</v>
      </c>
    </row>
    <row r="7227" spans="1:2">
      <c r="A7227" s="1" t="str">
        <f>"7307.92.00"</f>
        <v>7307.92.00</v>
      </c>
      <c r="B7227" s="2" t="str">
        <f>"COTOVELOS, CURVAS E LUVAS, ROSCADOS"</f>
        <v>COTOVELOS, CURVAS E LUVAS, ROSCADOS</v>
      </c>
    </row>
    <row r="7228" spans="1:2">
      <c r="A7228" s="1" t="str">
        <f>"7307.93.00"</f>
        <v>7307.93.00</v>
      </c>
      <c r="B7228" s="2" t="str">
        <f>"Acessórios para soldar topo a topo"</f>
        <v>Acessórios para soldar topo a topo</v>
      </c>
    </row>
    <row r="7229" spans="1:2">
      <c r="A7229" s="1" t="str">
        <f>"7307.99.00"</f>
        <v>7307.99.00</v>
      </c>
      <c r="B7229" s="2" t="str">
        <f>"outros"</f>
        <v>outros</v>
      </c>
    </row>
    <row r="7230" spans="1:2">
      <c r="A7230" s="1" t="str">
        <f>"7308.10.00"</f>
        <v>7308.10.00</v>
      </c>
      <c r="B7230" s="2" t="str">
        <f>"Pontes e elementos de pontes"</f>
        <v>Pontes e elementos de pontes</v>
      </c>
    </row>
    <row r="7231" spans="1:2">
      <c r="A7231" s="1" t="str">
        <f>"7308.20.00"</f>
        <v>7308.20.00</v>
      </c>
      <c r="B7231" s="2" t="str">
        <f>"OUTROS"</f>
        <v>OUTROS</v>
      </c>
    </row>
    <row r="7232" spans="1:2">
      <c r="A7232" s="1" t="str">
        <f>"7308.30.00"</f>
        <v>7308.30.00</v>
      </c>
      <c r="B7232" s="2" t="str">
        <f>"PORTAS E JANELAS, E SEUS CAIXILHOS"</f>
        <v>PORTAS E JANELAS, E SEUS CAIXILHOS</v>
      </c>
    </row>
    <row r="7233" spans="1:2">
      <c r="A7233" s="1" t="str">
        <f>"7308.40.00"</f>
        <v>7308.40.00</v>
      </c>
      <c r="B7233" s="2" t="str">
        <f>"Material para andaimes,armações"</f>
        <v>Material para andaimes,armações</v>
      </c>
    </row>
    <row r="7234" spans="1:2">
      <c r="A7234" s="1" t="str">
        <f>"7308.90.10"</f>
        <v>7308.90.10</v>
      </c>
      <c r="B7234" s="2" t="str">
        <f>"CHAPAS, BARRAS, PARTE ESTRUTURA MET"</f>
        <v>CHAPAS, BARRAS, PARTE ESTRUTURA MET</v>
      </c>
    </row>
    <row r="7235" spans="1:2">
      <c r="A7235" s="1" t="str">
        <f>"7308.90.90"</f>
        <v>7308.90.90</v>
      </c>
      <c r="B7235" s="2" t="str">
        <f>"OUTROS -PORTA PALETS AÇO"</f>
        <v>OUTROS -PORTA PALETS AÇO</v>
      </c>
    </row>
    <row r="7236" spans="1:2">
      <c r="A7236" s="1" t="str">
        <f>"7309.00.10"</f>
        <v>7309.00.10</v>
      </c>
      <c r="B7236" s="2" t="str">
        <f>"Para armazenamento de graos e outra"</f>
        <v>Para armazenamento de graos e outra</v>
      </c>
    </row>
    <row r="7237" spans="1:2">
      <c r="A7237" s="1" t="str">
        <f>"7309.00.20"</f>
        <v>7309.00.20</v>
      </c>
      <c r="B7237" s="2" t="str">
        <f>"Recipientes isotermicos refrigerado"</f>
        <v>Recipientes isotermicos refrigerado</v>
      </c>
    </row>
    <row r="7238" spans="1:2">
      <c r="A7238" s="1" t="str">
        <f>"7309.00.90"</f>
        <v>7309.00.90</v>
      </c>
      <c r="B7238" s="2" t="str">
        <f>"OUTROS -TANQUE PRIMER"</f>
        <v>OUTROS -TANQUE PRIMER</v>
      </c>
    </row>
    <row r="7239" spans="1:2">
      <c r="A7239" s="1" t="str">
        <f>"7310.10.00"</f>
        <v>7310.10.00</v>
      </c>
      <c r="B7239" s="2" t="str">
        <f>"INATIVA - TANQUE EM AÇO"</f>
        <v>INATIVA - TANQUE EM AÇO</v>
      </c>
    </row>
    <row r="7240" spans="1:2">
      <c r="A7240" s="1" t="str">
        <f>"7310.10.10"</f>
        <v>7310.10.10</v>
      </c>
      <c r="B7240" s="2" t="str">
        <f>"Recipientes isotermicos refrigerado"</f>
        <v>Recipientes isotermicos refrigerado</v>
      </c>
    </row>
    <row r="7241" spans="1:2">
      <c r="A7241" s="1" t="str">
        <f>"7310.10.90"</f>
        <v>7310.10.90</v>
      </c>
      <c r="B7241" s="2" t="str">
        <f>"OUTROS - TAMBOR TAMPA REMOVIVEL"</f>
        <v>OUTROS - TAMBOR TAMPA REMOVIVEL</v>
      </c>
    </row>
    <row r="7242" spans="1:2">
      <c r="A7242" s="1" t="str">
        <f>"7310.21.10"</f>
        <v>7310.21.10</v>
      </c>
      <c r="B7242" s="2" t="str">
        <f>"Proprias para acondicionar produtos"</f>
        <v>Proprias para acondicionar produtos</v>
      </c>
    </row>
    <row r="7243" spans="1:2">
      <c r="A7243" s="1" t="str">
        <f>"7310.21.90"</f>
        <v>7310.21.90</v>
      </c>
      <c r="B7243" s="2" t="str">
        <f>"OUTROS -BALDE METALICO"</f>
        <v>OUTROS -BALDE METALICO</v>
      </c>
    </row>
    <row r="7244" spans="1:2">
      <c r="A7244" s="1" t="str">
        <f>"7310.29.10"</f>
        <v>7310.29.10</v>
      </c>
      <c r="B7244" s="2" t="str">
        <f>"Proprios para acondicionar produtos"</f>
        <v>Proprios para acondicionar produtos</v>
      </c>
    </row>
    <row r="7245" spans="1:2">
      <c r="A7245" s="1" t="str">
        <f>"7310.29.20"</f>
        <v>7310.29.20</v>
      </c>
      <c r="B7245" s="2" t="str">
        <f>"Recipientes isotermicos refrigerado"</f>
        <v>Recipientes isotermicos refrigerado</v>
      </c>
    </row>
    <row r="7246" spans="1:2">
      <c r="A7246" s="1" t="str">
        <f>"7310.29.90"</f>
        <v>7310.29.90</v>
      </c>
      <c r="B7246" s="2" t="str">
        <f>"OUTROS - TINTEIROS"</f>
        <v>OUTROS - TINTEIROS</v>
      </c>
    </row>
    <row r="7247" spans="1:2">
      <c r="A7247" s="1" t="str">
        <f>"7311.00.00"</f>
        <v>7311.00.00</v>
      </c>
      <c r="B7247" s="2" t="str">
        <f>"VASILHAME"</f>
        <v>VASILHAME</v>
      </c>
    </row>
    <row r="7248" spans="1:2">
      <c r="A7248" s="1" t="str">
        <f>"7312.10.10"</f>
        <v>7312.10.10</v>
      </c>
      <c r="B7248" s="2" t="str">
        <f>"De fios de aco revestidos de bronze"</f>
        <v>De fios de aco revestidos de bronze</v>
      </c>
    </row>
    <row r="7249" spans="1:2">
      <c r="A7249" s="1" t="str">
        <f>"7312.10.90"</f>
        <v>7312.10.90</v>
      </c>
      <c r="B7249" s="2" t="str">
        <f>"OUTROS"</f>
        <v>OUTROS</v>
      </c>
    </row>
    <row r="7250" spans="1:2">
      <c r="A7250" s="1" t="str">
        <f>"7312.90.00"</f>
        <v>7312.90.00</v>
      </c>
      <c r="B7250" s="2" t="str">
        <f>"OUTROS"</f>
        <v>OUTROS</v>
      </c>
    </row>
    <row r="7251" spans="1:2">
      <c r="A7251" s="1" t="str">
        <f>"7313.00.00"</f>
        <v>7313.00.00</v>
      </c>
      <c r="B7251" s="2" t="str">
        <f>"ARAME FARPADO, DE FERRO OU AÇO"</f>
        <v>ARAME FARPADO, DE FERRO OU AÇO</v>
      </c>
    </row>
    <row r="7252" spans="1:2">
      <c r="A7252" s="1" t="str">
        <f>"7314.12.00"</f>
        <v>7314.12.00</v>
      </c>
      <c r="B7252" s="2" t="str">
        <f>"Telas metalicas, continuas ou sem f"</f>
        <v>Telas metalicas, continuas ou sem f</v>
      </c>
    </row>
    <row r="7253" spans="1:2">
      <c r="A7253" s="1" t="str">
        <f>"7314.14.00"</f>
        <v>7314.14.00</v>
      </c>
      <c r="B7253" s="2" t="str">
        <f>"Outras telas metalicas tecidas, de"</f>
        <v>Outras telas metalicas tecidas, de</v>
      </c>
    </row>
    <row r="7254" spans="1:2">
      <c r="A7254" s="1" t="str">
        <f>"7314.19.00"</f>
        <v>7314.19.00</v>
      </c>
      <c r="B7254" s="2" t="str">
        <f>"Outras"</f>
        <v>Outras</v>
      </c>
    </row>
    <row r="7255" spans="1:2">
      <c r="A7255" s="1" t="str">
        <f>"7314.20.00"</f>
        <v>7314.20.00</v>
      </c>
      <c r="B7255" s="2" t="str">
        <f>"Grades e redes, soldadas nos pontos"</f>
        <v>Grades e redes, soldadas nos pontos</v>
      </c>
    </row>
    <row r="7256" spans="1:2">
      <c r="A7256" s="1" t="str">
        <f>"7314.31.00"</f>
        <v>7314.31.00</v>
      </c>
      <c r="B7256" s="2" t="str">
        <f>"Galvanizadas"</f>
        <v>Galvanizadas</v>
      </c>
    </row>
    <row r="7257" spans="1:2">
      <c r="A7257" s="1" t="str">
        <f>"7314.39.00"</f>
        <v>7314.39.00</v>
      </c>
      <c r="B7257" s="2" t="str">
        <f>"Outras"</f>
        <v>Outras</v>
      </c>
    </row>
    <row r="7258" spans="1:2">
      <c r="A7258" s="1" t="str">
        <f>"7314.41.00"</f>
        <v>7314.41.00</v>
      </c>
      <c r="B7258" s="2" t="str">
        <f>"Galvanizadas"</f>
        <v>Galvanizadas</v>
      </c>
    </row>
    <row r="7259" spans="1:2">
      <c r="A7259" s="1" t="str">
        <f>"7314.42.00"</f>
        <v>7314.42.00</v>
      </c>
      <c r="B7259" s="2" t="str">
        <f>"Revestidas de plastico"</f>
        <v>Revestidas de plastico</v>
      </c>
    </row>
    <row r="7260" spans="1:2">
      <c r="A7260" s="1" t="str">
        <f>"7314.49.00"</f>
        <v>7314.49.00</v>
      </c>
      <c r="B7260" s="2" t="str">
        <f>"Outras"</f>
        <v>Outras</v>
      </c>
    </row>
    <row r="7261" spans="1:2">
      <c r="A7261" s="1" t="str">
        <f>"7314.50.00"</f>
        <v>7314.50.00</v>
      </c>
      <c r="B7261" s="2" t="str">
        <f>"Chapas e tiras, distendidas"</f>
        <v>Chapas e tiras, distendidas</v>
      </c>
    </row>
    <row r="7262" spans="1:2">
      <c r="A7262" s="1" t="str">
        <f>"7315.11.00"</f>
        <v>7315.11.00</v>
      </c>
      <c r="B7262" s="2" t="str">
        <f>"Correntes de rolos"</f>
        <v>Correntes de rolos</v>
      </c>
    </row>
    <row r="7263" spans="1:2">
      <c r="A7263" s="1" t="str">
        <f>"7315.12.10"</f>
        <v>7315.12.10</v>
      </c>
      <c r="B7263" s="2" t="str">
        <f>"DE TRANSMISSÃO 15"</f>
        <v>DE TRANSMISSÃO 15</v>
      </c>
    </row>
    <row r="7264" spans="1:2">
      <c r="A7264" s="1" t="str">
        <f>"7315.12.90"</f>
        <v>7315.12.90</v>
      </c>
      <c r="B7264" s="2" t="str">
        <f>"Outras"</f>
        <v>Outras</v>
      </c>
    </row>
    <row r="7265" spans="1:2">
      <c r="A7265" s="1" t="str">
        <f>"7315.19.00"</f>
        <v>7315.19.00</v>
      </c>
      <c r="B7265" s="2" t="str">
        <f>"OUTRAS"</f>
        <v>OUTRAS</v>
      </c>
    </row>
    <row r="7266" spans="1:2">
      <c r="A7266" s="1" t="str">
        <f>"7315.20.00"</f>
        <v>7315.20.00</v>
      </c>
      <c r="B7266" s="2" t="str">
        <f>"Correntes antiderrapantes"</f>
        <v>Correntes antiderrapantes</v>
      </c>
    </row>
    <row r="7267" spans="1:2">
      <c r="A7267" s="1" t="str">
        <f>"7315.81.00"</f>
        <v>7315.81.00</v>
      </c>
      <c r="B7267" s="2" t="str">
        <f>"Correntes de elos com suporte"</f>
        <v>Correntes de elos com suporte</v>
      </c>
    </row>
    <row r="7268" spans="1:2">
      <c r="A7268" s="1" t="str">
        <f>"7315.82.00"</f>
        <v>7315.82.00</v>
      </c>
      <c r="B7268" s="2" t="str">
        <f>"Outras correntes, de elos soldados"</f>
        <v>Outras correntes, de elos soldados</v>
      </c>
    </row>
    <row r="7269" spans="1:2">
      <c r="A7269" s="1" t="str">
        <f>"7315.89.00"</f>
        <v>7315.89.00</v>
      </c>
      <c r="B7269" s="2" t="str">
        <f>"Outras"</f>
        <v>Outras</v>
      </c>
    </row>
    <row r="7270" spans="1:2">
      <c r="A7270" s="1" t="str">
        <f>"7315.90.00"</f>
        <v>7315.90.00</v>
      </c>
      <c r="B7270" s="2" t="str">
        <f>"OUTRAS PARTES"</f>
        <v>OUTRAS PARTES</v>
      </c>
    </row>
    <row r="7271" spans="1:2">
      <c r="A7271" s="1" t="str">
        <f>"7316.00.00"</f>
        <v>7316.00.00</v>
      </c>
      <c r="B7271" s="2" t="str">
        <f>"Ancoras, fateixas, e suas partes, d"</f>
        <v>Ancoras, fateixas, e suas partes, d</v>
      </c>
    </row>
    <row r="7272" spans="1:2">
      <c r="A7272" s="1" t="str">
        <f>"7317.00.10"</f>
        <v>7317.00.10</v>
      </c>
      <c r="B7272" s="2" t="str">
        <f>"TACHAS"</f>
        <v>TACHAS</v>
      </c>
    </row>
    <row r="7273" spans="1:2">
      <c r="A7273" s="1" t="str">
        <f>"7317.00.20"</f>
        <v>7317.00.20</v>
      </c>
      <c r="B7273" s="2" t="str">
        <f>"Grampos de fio curvado"</f>
        <v>Grampos de fio curvado</v>
      </c>
    </row>
    <row r="7274" spans="1:2">
      <c r="A7274" s="1" t="str">
        <f>"7317.00.30"</f>
        <v>7317.00.30</v>
      </c>
      <c r="B7274" s="2" t="str">
        <f>"Pontas ou dentes para maquinas text"</f>
        <v>Pontas ou dentes para maquinas text</v>
      </c>
    </row>
    <row r="7275" spans="1:2">
      <c r="A7275" s="1" t="str">
        <f>"7317.00.90"</f>
        <v>7317.00.90</v>
      </c>
      <c r="B7275" s="2" t="str">
        <f>"OUTROS"</f>
        <v>OUTROS</v>
      </c>
    </row>
    <row r="7276" spans="1:2">
      <c r="A7276" s="1" t="str">
        <f>"7318.11.00"</f>
        <v>7318.11.00</v>
      </c>
      <c r="B7276" s="2" t="str">
        <f>"Tira-fundos"</f>
        <v>Tira-fundos</v>
      </c>
    </row>
    <row r="7277" spans="1:2">
      <c r="A7277" s="1" t="str">
        <f>"7318.12.00"</f>
        <v>7318.12.00</v>
      </c>
      <c r="B7277" s="2" t="str">
        <f>"OUTROS"</f>
        <v>OUTROS</v>
      </c>
    </row>
    <row r="7278" spans="1:2">
      <c r="A7278" s="1" t="str">
        <f>"7318.13.00"</f>
        <v>7318.13.00</v>
      </c>
      <c r="B7278" s="2" t="str">
        <f>"outros"</f>
        <v>outros</v>
      </c>
    </row>
    <row r="7279" spans="1:2">
      <c r="A7279" s="1" t="str">
        <f>"7318.14.00"</f>
        <v>7318.14.00</v>
      </c>
      <c r="B7279" s="2" t="str">
        <f>"PARAFUSOS PERFURANTES"</f>
        <v>PARAFUSOS PERFURANTES</v>
      </c>
    </row>
    <row r="7280" spans="1:2">
      <c r="A7280" s="1" t="str">
        <f>"7318.15.00"</f>
        <v>7318.15.00</v>
      </c>
      <c r="B7280" s="2" t="str">
        <f>"OUTROS PARAFUSOS E PINO OU PERNOS"</f>
        <v>OUTROS PARAFUSOS E PINO OU PERNOS</v>
      </c>
    </row>
    <row r="7281" spans="1:2">
      <c r="A7281" s="1" t="str">
        <f>"7318.16.00"</f>
        <v>7318.16.00</v>
      </c>
      <c r="B7281" s="2" t="str">
        <f>"PORCAS"</f>
        <v>PORCAS</v>
      </c>
    </row>
    <row r="7282" spans="1:2">
      <c r="A7282" s="1" t="str">
        <f>"7318.19.00"</f>
        <v>7318.19.00</v>
      </c>
      <c r="B7282" s="2" t="str">
        <f>"OUTROS"</f>
        <v>OUTROS</v>
      </c>
    </row>
    <row r="7283" spans="1:2">
      <c r="A7283" s="1" t="str">
        <f>"7318.21.00"</f>
        <v>7318.21.00</v>
      </c>
      <c r="B7283" s="2" t="str">
        <f>"ARRUELAS PRESSÃO/ ARRUELAS SEGUR"</f>
        <v>ARRUELAS PRESSÃO/ ARRUELAS SEGUR</v>
      </c>
    </row>
    <row r="7284" spans="1:2">
      <c r="A7284" s="1" t="str">
        <f>"7318.22.00"</f>
        <v>7318.22.00</v>
      </c>
      <c r="B7284" s="2" t="str">
        <f>"OUTRAS ARRUELAS"</f>
        <v>OUTRAS ARRUELAS</v>
      </c>
    </row>
    <row r="7285" spans="1:2">
      <c r="A7285" s="1" t="str">
        <f>"7318.23.00"</f>
        <v>7318.23.00</v>
      </c>
      <c r="B7285" s="2" t="str">
        <f>"REBITES"</f>
        <v>REBITES</v>
      </c>
    </row>
    <row r="7286" spans="1:2">
      <c r="A7286" s="1" t="str">
        <f>"7318.24.00"</f>
        <v>7318.24.00</v>
      </c>
      <c r="B7286" s="2" t="str">
        <f>"CHAVET, CAVIL E CONTRAP OU TROÇOS"</f>
        <v>CHAVET, CAVIL E CONTRAP OU TROÇOS</v>
      </c>
    </row>
    <row r="7287" spans="1:2">
      <c r="A7287" s="1" t="str">
        <f>"7318.29.00"</f>
        <v>7318.29.00</v>
      </c>
      <c r="B7287" s="2" t="str">
        <f>"OUTROS"</f>
        <v>OUTROS</v>
      </c>
    </row>
    <row r="7288" spans="1:2">
      <c r="A7288" s="1" t="str">
        <f>"7319.40.00"</f>
        <v>7319.40.00</v>
      </c>
      <c r="B7288" s="2" t="str">
        <f>"Alfinetes de seguranca e outros alf"</f>
        <v>Alfinetes de seguranca e outros alf</v>
      </c>
    </row>
    <row r="7289" spans="1:2">
      <c r="A7289" s="1" t="str">
        <f>"7319.90.00"</f>
        <v>7319.90.00</v>
      </c>
      <c r="B7289" s="2" t="str">
        <f>"Outros"</f>
        <v>Outros</v>
      </c>
    </row>
    <row r="7290" spans="1:2">
      <c r="A7290" s="1" t="str">
        <f>"7320.10.00"</f>
        <v>7320.10.00</v>
      </c>
      <c r="B7290" s="2" t="str">
        <f>"Molas de folhas e suas folhas"</f>
        <v>Molas de folhas e suas folhas</v>
      </c>
    </row>
    <row r="7291" spans="1:2">
      <c r="A7291" s="1" t="str">
        <f>"7320.20.10"</f>
        <v>7320.20.10</v>
      </c>
      <c r="B7291" s="2" t="str">
        <f>"CILÍNDRICAS"</f>
        <v>CILÍNDRICAS</v>
      </c>
    </row>
    <row r="7292" spans="1:2">
      <c r="A7292" s="1" t="str">
        <f>"7320.20.90"</f>
        <v>7320.20.90</v>
      </c>
      <c r="B7292" s="2" t="str">
        <f>"OUTRAS"</f>
        <v>OUTRAS</v>
      </c>
    </row>
    <row r="7293" spans="1:2">
      <c r="A7293" s="1" t="str">
        <f>"7320.90.00"</f>
        <v>7320.90.00</v>
      </c>
      <c r="B7293" s="2" t="str">
        <f>"OUTRAS"</f>
        <v>OUTRAS</v>
      </c>
    </row>
    <row r="7294" spans="1:2">
      <c r="A7294" s="1" t="str">
        <f>"7321.11.00"</f>
        <v>7321.11.00</v>
      </c>
      <c r="B7294" s="2" t="str">
        <f>"A combustiveis gasosos, ou a gas e"</f>
        <v>A combustiveis gasosos, ou a gas e</v>
      </c>
    </row>
    <row r="7295" spans="1:2">
      <c r="A7295" s="1" t="str">
        <f>"7321.12.00"</f>
        <v>7321.12.00</v>
      </c>
      <c r="B7295" s="2" t="str">
        <f>"A combustiveis liquidos"</f>
        <v>A combustiveis liquidos</v>
      </c>
    </row>
    <row r="7296" spans="1:2">
      <c r="A7296" s="1" t="str">
        <f>"7321.19.00"</f>
        <v>7321.19.00</v>
      </c>
      <c r="B7296" s="2" t="str">
        <f>"Outros, incluindo os aparelhos a co"</f>
        <v>Outros, incluindo os aparelhos a co</v>
      </c>
    </row>
    <row r="7297" spans="1:2">
      <c r="A7297" s="1" t="str">
        <f>"7321.81.00"</f>
        <v>7321.81.00</v>
      </c>
      <c r="B7297" s="2" t="str">
        <f>"A combustiveis gasosos, ou a gas e"</f>
        <v>A combustiveis gasosos, ou a gas e</v>
      </c>
    </row>
    <row r="7298" spans="1:2">
      <c r="A7298" s="1" t="str">
        <f>"7321.82.00"</f>
        <v>7321.82.00</v>
      </c>
      <c r="B7298" s="2" t="str">
        <f>"A combustiveis liquidos"</f>
        <v>A combustiveis liquidos</v>
      </c>
    </row>
    <row r="7299" spans="1:2">
      <c r="A7299" s="1" t="str">
        <f>"7321.89.00"</f>
        <v>7321.89.00</v>
      </c>
      <c r="B7299" s="2" t="str">
        <f>"Outros, incluindo os aparelhos a co"</f>
        <v>Outros, incluindo os aparelhos a co</v>
      </c>
    </row>
    <row r="7300" spans="1:2">
      <c r="A7300" s="1" t="str">
        <f>"7321.90.00"</f>
        <v>7321.90.00</v>
      </c>
      <c r="B7300" s="2" t="str">
        <f>"Partes"</f>
        <v>Partes</v>
      </c>
    </row>
    <row r="7301" spans="1:2">
      <c r="A7301" s="1" t="str">
        <f>"7322.11.00"</f>
        <v>7322.11.00</v>
      </c>
      <c r="B7301" s="2" t="str">
        <f>"De ferro fundido"</f>
        <v>De ferro fundido</v>
      </c>
    </row>
    <row r="7302" spans="1:2">
      <c r="A7302" s="1" t="str">
        <f>"7322.19.00"</f>
        <v>7322.19.00</v>
      </c>
      <c r="B7302" s="2" t="str">
        <f>"Outros"</f>
        <v>Outros</v>
      </c>
    </row>
    <row r="7303" spans="1:2">
      <c r="A7303" s="1" t="str">
        <f>"7322.90.10"</f>
        <v>7322.90.10</v>
      </c>
      <c r="B7303" s="2" t="str">
        <f>"Geradores de ar quente a combustive"</f>
        <v>Geradores de ar quente a combustive</v>
      </c>
    </row>
    <row r="7304" spans="1:2">
      <c r="A7304" s="1" t="str">
        <f>"7322.90.90"</f>
        <v>7322.90.90</v>
      </c>
      <c r="B7304" s="2" t="str">
        <f>"OUTROS"</f>
        <v>OUTROS</v>
      </c>
    </row>
    <row r="7305" spans="1:2">
      <c r="A7305" s="1" t="str">
        <f>"7323.10.00"</f>
        <v>7323.10.00</v>
      </c>
      <c r="B7305" s="2" t="str">
        <f>"PALHA DE FERRO OU AÇO / LIMP"</f>
        <v>PALHA DE FERRO OU AÇO / LIMP</v>
      </c>
    </row>
    <row r="7306" spans="1:2">
      <c r="A7306" s="1" t="str">
        <f>"7323.91.00"</f>
        <v>7323.91.00</v>
      </c>
      <c r="B7306" s="2" t="str">
        <f>"De ferro fundido, nao esmaltados"</f>
        <v>De ferro fundido, nao esmaltados</v>
      </c>
    </row>
    <row r="7307" spans="1:2">
      <c r="A7307" s="1" t="str">
        <f>"7323.92.00"</f>
        <v>7323.92.00</v>
      </c>
      <c r="B7307" s="2" t="str">
        <f>"De ferro fundido, esmaltados"</f>
        <v>De ferro fundido, esmaltados</v>
      </c>
    </row>
    <row r="7308" spans="1:2">
      <c r="A7308" s="1" t="str">
        <f>"7323.93.00"</f>
        <v>7323.93.00</v>
      </c>
      <c r="B7308" s="2" t="str">
        <f>"DE AÇO INOXIDÁVEL"</f>
        <v>DE AÇO INOXIDÁVEL</v>
      </c>
    </row>
    <row r="7309" spans="1:2">
      <c r="A7309" s="1" t="str">
        <f>"7323.94.00"</f>
        <v>7323.94.00</v>
      </c>
      <c r="B7309" s="2" t="str">
        <f>"De ferro ou aco, esmaltados"</f>
        <v>De ferro ou aco, esmaltados</v>
      </c>
    </row>
    <row r="7310" spans="1:2">
      <c r="A7310" s="1" t="str">
        <f>"7323.99.00"</f>
        <v>7323.99.00</v>
      </c>
      <c r="B7310" s="2" t="str">
        <f>"Outros"</f>
        <v>Outros</v>
      </c>
    </row>
    <row r="7311" spans="1:2">
      <c r="A7311" s="1" t="str">
        <f>"7324.10.00"</f>
        <v>7324.10.00</v>
      </c>
      <c r="B7311" s="2" t="str">
        <f>"OUTROS"</f>
        <v>OUTROS</v>
      </c>
    </row>
    <row r="7312" spans="1:2">
      <c r="A7312" s="1" t="str">
        <f>"7324.21.00"</f>
        <v>7324.21.00</v>
      </c>
      <c r="B7312" s="2" t="str">
        <f>"De ferro fundido, mesmo esmaltadas"</f>
        <v>De ferro fundido, mesmo esmaltadas</v>
      </c>
    </row>
    <row r="7313" spans="1:2">
      <c r="A7313" s="1" t="str">
        <f>"7324.29.00"</f>
        <v>7324.29.00</v>
      </c>
      <c r="B7313" s="2" t="str">
        <f>"OUTRAS"</f>
        <v>OUTRAS</v>
      </c>
    </row>
    <row r="7314" spans="1:2">
      <c r="A7314" s="1" t="str">
        <f>"7324.90.00"</f>
        <v>7324.90.00</v>
      </c>
      <c r="B7314" s="2" t="str">
        <f>"OUTROS, INCLUINDO AS PARTES"</f>
        <v>OUTROS, INCLUINDO AS PARTES</v>
      </c>
    </row>
    <row r="7315" spans="1:2">
      <c r="A7315" s="1" t="str">
        <f>"7325.10.00"</f>
        <v>7325.10.00</v>
      </c>
      <c r="B7315" s="2" t="str">
        <f>"De ferro fundido, não maleável"</f>
        <v>De ferro fundido, não maleável</v>
      </c>
    </row>
    <row r="7316" spans="1:2">
      <c r="A7316" s="1" t="str">
        <f>"7325.91.00"</f>
        <v>7325.91.00</v>
      </c>
      <c r="B7316" s="2" t="str">
        <f>"ESFERAS/ARTEFATOS SEMELH, P/MOINHOS"</f>
        <v>ESFERAS/ARTEFATOS SEMELH, P/MOINHOS</v>
      </c>
    </row>
    <row r="7317" spans="1:2">
      <c r="A7317" s="1" t="str">
        <f>"7325.99.00"</f>
        <v>7325.99.00</v>
      </c>
      <c r="B7317" s="2" t="str">
        <f>"INATIVO"</f>
        <v>INATIVO</v>
      </c>
    </row>
    <row r="7318" spans="1:2">
      <c r="A7318" s="1" t="str">
        <f>"7325.99.10"</f>
        <v>7325.99.10</v>
      </c>
      <c r="B7318" s="2" t="str">
        <f>"OUTRAS OBRAS MOLDADAS, DE FERRO FUN"</f>
        <v>OUTRAS OBRAS MOLDADAS, DE FERRO FUN</v>
      </c>
    </row>
    <row r="7319" spans="1:2">
      <c r="A7319" s="1" t="str">
        <f>"7325.99.90"</f>
        <v>7325.99.90</v>
      </c>
      <c r="B7319" s="2" t="str">
        <f>"OUTRAS"</f>
        <v>OUTRAS</v>
      </c>
    </row>
    <row r="7320" spans="1:2">
      <c r="A7320" s="1" t="str">
        <f>"7326.11.00"</f>
        <v>7326.11.00</v>
      </c>
      <c r="B7320" s="2" t="str">
        <f>"Esferas e artigos semelhantes, para"</f>
        <v>Esferas e artigos semelhantes, para</v>
      </c>
    </row>
    <row r="7321" spans="1:2">
      <c r="A7321" s="1" t="str">
        <f>"7326.19.00"</f>
        <v>7326.19.00</v>
      </c>
      <c r="B7321" s="2" t="str">
        <f>"CHUMBADOR"</f>
        <v>CHUMBADOR</v>
      </c>
    </row>
    <row r="7322" spans="1:2">
      <c r="A7322" s="1" t="str">
        <f>"7326.20.00"</f>
        <v>7326.20.00</v>
      </c>
      <c r="B7322" s="2" t="str">
        <f>"Obras de fio de ferro ou aco"</f>
        <v>Obras de fio de ferro ou aco</v>
      </c>
    </row>
    <row r="7323" spans="1:2">
      <c r="A7323" s="1" t="str">
        <f>"7326.90.00"</f>
        <v>7326.90.00</v>
      </c>
      <c r="B7323" s="2" t="str">
        <f>"INATIVA - QUADRO DE COMANDO P/MOTOR"</f>
        <v>INATIVA - QUADRO DE COMANDO P/MOTOR</v>
      </c>
    </row>
    <row r="7324" spans="1:2">
      <c r="A7324" s="1" t="str">
        <f>"7326.90.10"</f>
        <v>7326.90.10</v>
      </c>
      <c r="B7324" s="2" t="str">
        <f>"Calotas elipticas de aco ao niquel,"</f>
        <v>Calotas elipticas de aco ao niquel,</v>
      </c>
    </row>
    <row r="7325" spans="1:2">
      <c r="A7325" s="1" t="str">
        <f>"7326.90.90"</f>
        <v>7326.90.90</v>
      </c>
      <c r="B7325" s="2" t="str">
        <f>"outros"</f>
        <v>outros</v>
      </c>
    </row>
    <row r="7326" spans="1:2">
      <c r="A7326" s="1" t="str">
        <f>"7401.00.00"</f>
        <v>7401.00.00</v>
      </c>
      <c r="B7326" s="2" t="str">
        <f>"Mates de cobre; cobre de cementacao"</f>
        <v>Mates de cobre; cobre de cementacao</v>
      </c>
    </row>
    <row r="7327" spans="1:2">
      <c r="A7327" s="1" t="str">
        <f>"7402.00.00"</f>
        <v>7402.00.00</v>
      </c>
      <c r="B7327" s="2" t="str">
        <f>"Cobre nao refinado (afinado*); anod"</f>
        <v>Cobre nao refinado (afinado*); anod</v>
      </c>
    </row>
    <row r="7328" spans="1:2">
      <c r="A7328" s="1" t="str">
        <f>"7403.11.00"</f>
        <v>7403.11.00</v>
      </c>
      <c r="B7328" s="2" t="str">
        <f>"Catodos e seus elementos"</f>
        <v>Catodos e seus elementos</v>
      </c>
    </row>
    <row r="7329" spans="1:2">
      <c r="A7329" s="1" t="str">
        <f>"7403.12.00"</f>
        <v>7403.12.00</v>
      </c>
      <c r="B7329" s="2" t="str">
        <f>"Barras para obtencao de fios (wire-"</f>
        <v>Barras para obtencao de fios (wire-</v>
      </c>
    </row>
    <row r="7330" spans="1:2">
      <c r="A7330" s="1" t="str">
        <f>"7403.13.00"</f>
        <v>7403.13.00</v>
      </c>
      <c r="B7330" s="2" t="str">
        <f>"Palanquilhas (Lingotes*) (billets)"</f>
        <v>Palanquilhas (Lingotes*) (billets)</v>
      </c>
    </row>
    <row r="7331" spans="1:2">
      <c r="A7331" s="1" t="str">
        <f>"7403.19.00"</f>
        <v>7403.19.00</v>
      </c>
      <c r="B7331" s="2" t="str">
        <f>"Outros"</f>
        <v>Outros</v>
      </c>
    </row>
    <row r="7332" spans="1:2">
      <c r="A7332" s="1" t="str">
        <f>"7403.21.00"</f>
        <v>7403.21.00</v>
      </c>
      <c r="B7332" s="2" t="str">
        <f>"A base de cobre-zinco (latao)"</f>
        <v>A base de cobre-zinco (latao)</v>
      </c>
    </row>
    <row r="7333" spans="1:2">
      <c r="A7333" s="1" t="str">
        <f>"7403.22.00"</f>
        <v>7403.22.00</v>
      </c>
      <c r="B7333" s="2" t="str">
        <f>"A base de cobre-estanho (bronze)"</f>
        <v>A base de cobre-estanho (bronze)</v>
      </c>
    </row>
    <row r="7334" spans="1:2">
      <c r="A7334" s="1" t="str">
        <f>"7403.29.00"</f>
        <v>7403.29.00</v>
      </c>
      <c r="B7334" s="2" t="str">
        <f>"Outras ligas de cobre (exceto ligas"</f>
        <v>Outras ligas de cobre (exceto ligas</v>
      </c>
    </row>
    <row r="7335" spans="1:2">
      <c r="A7335" s="1" t="str">
        <f>"7404.00.00"</f>
        <v>7404.00.00</v>
      </c>
      <c r="B7335" s="2" t="str">
        <f>"Desperdicios e residuos, e sucata,"</f>
        <v>Desperdicios e residuos, e sucata,</v>
      </c>
    </row>
    <row r="7336" spans="1:2">
      <c r="A7336" s="1" t="str">
        <f>"7405.00.00"</f>
        <v>7405.00.00</v>
      </c>
      <c r="B7336" s="2" t="str">
        <f>"Ligas-mae de cobre."</f>
        <v>Ligas-mae de cobre.</v>
      </c>
    </row>
    <row r="7337" spans="1:2">
      <c r="A7337" s="1" t="str">
        <f>"7406.10.00"</f>
        <v>7406.10.00</v>
      </c>
      <c r="B7337" s="2" t="str">
        <f>"Pos de estrutura nao lamelar"</f>
        <v>Pos de estrutura nao lamelar</v>
      </c>
    </row>
    <row r="7338" spans="1:2">
      <c r="A7338" s="1" t="str">
        <f>"7406.20.00"</f>
        <v>7406.20.00</v>
      </c>
      <c r="B7338" s="2" t="str">
        <f>"Pos de estrutura lamelar; escamas"</f>
        <v>Pos de estrutura lamelar; escamas</v>
      </c>
    </row>
    <row r="7339" spans="1:2">
      <c r="A7339" s="1" t="str">
        <f>"7407.10.10"</f>
        <v>7407.10.10</v>
      </c>
      <c r="B7339" s="2" t="str">
        <f>"Barras"</f>
        <v>Barras</v>
      </c>
    </row>
    <row r="7340" spans="1:2">
      <c r="A7340" s="1" t="str">
        <f>"7407.10.21"</f>
        <v>7407.10.21</v>
      </c>
      <c r="B7340" s="2" t="str">
        <f>"Ocos"</f>
        <v>Ocos</v>
      </c>
    </row>
    <row r="7341" spans="1:2">
      <c r="A7341" s="1" t="str">
        <f>"7407.10.29"</f>
        <v>7407.10.29</v>
      </c>
      <c r="B7341" s="2" t="str">
        <f>"Outros"</f>
        <v>Outros</v>
      </c>
    </row>
    <row r="7342" spans="1:2">
      <c r="A7342" s="1" t="str">
        <f>"7407.21.10"</f>
        <v>7407.21.10</v>
      </c>
      <c r="B7342" s="2" t="str">
        <f>"Barras"</f>
        <v>Barras</v>
      </c>
    </row>
    <row r="7343" spans="1:2">
      <c r="A7343" s="1" t="str">
        <f>"7407.21.20"</f>
        <v>7407.21.20</v>
      </c>
      <c r="B7343" s="2" t="str">
        <f>"Perfis"</f>
        <v>Perfis</v>
      </c>
    </row>
    <row r="7344" spans="1:2">
      <c r="A7344" s="1" t="str">
        <f>"7407.29.10"</f>
        <v>7407.29.10</v>
      </c>
      <c r="B7344" s="2" t="str">
        <f>"Barras"</f>
        <v>Barras</v>
      </c>
    </row>
    <row r="7345" spans="1:2">
      <c r="A7345" s="1" t="str">
        <f>"7407.29.21"</f>
        <v>7407.29.21</v>
      </c>
      <c r="B7345" s="2" t="str">
        <f>"outros"</f>
        <v>outros</v>
      </c>
    </row>
    <row r="7346" spans="1:2">
      <c r="A7346" s="1" t="str">
        <f>"7407.29.29"</f>
        <v>7407.29.29</v>
      </c>
      <c r="B7346" s="2" t="str">
        <f>"OUTROS"</f>
        <v>OUTROS</v>
      </c>
    </row>
    <row r="7347" spans="1:2">
      <c r="A7347" s="1" t="str">
        <f>"7408.11.00"</f>
        <v>7408.11.00</v>
      </c>
      <c r="B7347" s="2" t="str">
        <f>"Com a maior dimensao da secao trans"</f>
        <v>Com a maior dimensao da secao trans</v>
      </c>
    </row>
    <row r="7348" spans="1:2">
      <c r="A7348" s="1" t="str">
        <f>"7408.19.00"</f>
        <v>7408.19.00</v>
      </c>
      <c r="B7348" s="2" t="str">
        <f>"Outros"</f>
        <v>Outros</v>
      </c>
    </row>
    <row r="7349" spans="1:2">
      <c r="A7349" s="1" t="str">
        <f>"7408.21.00"</f>
        <v>7408.21.00</v>
      </c>
      <c r="B7349" s="2" t="str">
        <f>"A base de cobre-zinco (latao)"</f>
        <v>A base de cobre-zinco (latao)</v>
      </c>
    </row>
    <row r="7350" spans="1:2">
      <c r="A7350" s="1" t="str">
        <f>"7408.22.00"</f>
        <v>7408.22.00</v>
      </c>
      <c r="B7350" s="2" t="str">
        <f>"A base de cobre-niquel (cuproniquel"</f>
        <v>A base de cobre-niquel (cuproniquel</v>
      </c>
    </row>
    <row r="7351" spans="1:2">
      <c r="A7351" s="1" t="str">
        <f>"7408.29.11"</f>
        <v>7408.29.11</v>
      </c>
      <c r="B7351" s="2" t="str">
        <f>"Fosforoso"</f>
        <v>Fosforoso</v>
      </c>
    </row>
    <row r="7352" spans="1:2">
      <c r="A7352" s="1" t="str">
        <f>"7408.29.19"</f>
        <v>7408.29.19</v>
      </c>
      <c r="B7352" s="2" t="str">
        <f>"Outros"</f>
        <v>Outros</v>
      </c>
    </row>
    <row r="7353" spans="1:2">
      <c r="A7353" s="1" t="str">
        <f>"7408.29.90"</f>
        <v>7408.29.90</v>
      </c>
      <c r="B7353" s="2" t="str">
        <f>"Outros"</f>
        <v>Outros</v>
      </c>
    </row>
    <row r="7354" spans="1:2">
      <c r="A7354" s="1" t="str">
        <f>"7409.11.00"</f>
        <v>7409.11.00</v>
      </c>
      <c r="B7354" s="2" t="str">
        <f>"Em rolos"</f>
        <v>Em rolos</v>
      </c>
    </row>
    <row r="7355" spans="1:2">
      <c r="A7355" s="1" t="str">
        <f>"7409.19.00"</f>
        <v>7409.19.00</v>
      </c>
      <c r="B7355" s="2" t="str">
        <f>"Outras"</f>
        <v>Outras</v>
      </c>
    </row>
    <row r="7356" spans="1:2">
      <c r="A7356" s="1" t="str">
        <f>"7409.21.00"</f>
        <v>7409.21.00</v>
      </c>
      <c r="B7356" s="2" t="str">
        <f>"Em rolos"</f>
        <v>Em rolos</v>
      </c>
    </row>
    <row r="7357" spans="1:2">
      <c r="A7357" s="1" t="str">
        <f>"7409.29.00"</f>
        <v>7409.29.00</v>
      </c>
      <c r="B7357" s="2" t="str">
        <f>"Outras"</f>
        <v>Outras</v>
      </c>
    </row>
    <row r="7358" spans="1:2">
      <c r="A7358" s="1" t="str">
        <f>"7409.31.11"</f>
        <v>7409.31.11</v>
      </c>
      <c r="B7358" s="2" t="str">
        <f>"Com uma camada intermediaria de lig"</f>
        <v>Com uma camada intermediaria de lig</v>
      </c>
    </row>
    <row r="7359" spans="1:2">
      <c r="A7359" s="1" t="str">
        <f>"7409.31.19"</f>
        <v>7409.31.19</v>
      </c>
      <c r="B7359" s="2" t="str">
        <f>"Outras"</f>
        <v>Outras</v>
      </c>
    </row>
    <row r="7360" spans="1:2">
      <c r="A7360" s="1" t="str">
        <f>"7409.31.90"</f>
        <v>7409.31.90</v>
      </c>
      <c r="B7360" s="2" t="str">
        <f>"Outras"</f>
        <v>Outras</v>
      </c>
    </row>
    <row r="7361" spans="1:2">
      <c r="A7361" s="1" t="str">
        <f>"7409.39.00"</f>
        <v>7409.39.00</v>
      </c>
      <c r="B7361" s="2" t="str">
        <f>"Outras"</f>
        <v>Outras</v>
      </c>
    </row>
    <row r="7362" spans="1:2">
      <c r="A7362" s="1" t="str">
        <f>"7409.40.10"</f>
        <v>7409.40.10</v>
      </c>
      <c r="B7362" s="2" t="str">
        <f>"Em rolos"</f>
        <v>Em rolos</v>
      </c>
    </row>
    <row r="7363" spans="1:2">
      <c r="A7363" s="1" t="str">
        <f>"7409.40.90"</f>
        <v>7409.40.90</v>
      </c>
      <c r="B7363" s="2" t="str">
        <f>"Outros"</f>
        <v>Outros</v>
      </c>
    </row>
    <row r="7364" spans="1:2">
      <c r="A7364" s="1" t="str">
        <f>"7409.90.00"</f>
        <v>7409.90.00</v>
      </c>
      <c r="B7364" s="2" t="str">
        <f>"De outras ligas de cobre"</f>
        <v>De outras ligas de cobre</v>
      </c>
    </row>
    <row r="7365" spans="1:2">
      <c r="A7365" s="1" t="str">
        <f>"7410.11.12"</f>
        <v>7410.11.12</v>
      </c>
      <c r="B7365" s="2" t="str">
        <f>"De espessura inferior ou igual a 0,"</f>
        <v>De espessura inferior ou igual a 0,</v>
      </c>
    </row>
    <row r="7366" spans="1:2">
      <c r="A7366" s="1" t="str">
        <f>"7410.11.13"</f>
        <v>7410.11.13</v>
      </c>
      <c r="B7366" s="2" t="str">
        <f>"Outras, de espessura inferior ou ig"</f>
        <v>Outras, de espessura inferior ou ig</v>
      </c>
    </row>
    <row r="7367" spans="1:2">
      <c r="A7367" s="1" t="str">
        <f>"7410.11.19"</f>
        <v>7410.11.19</v>
      </c>
      <c r="B7367" s="2" t="str">
        <f>"Outras"</f>
        <v>Outras</v>
      </c>
    </row>
    <row r="7368" spans="1:2">
      <c r="A7368" s="1" t="str">
        <f>"7410.11.90"</f>
        <v>7410.11.90</v>
      </c>
      <c r="B7368" s="2" t="str">
        <f>"Outras"</f>
        <v>Outras</v>
      </c>
    </row>
    <row r="7369" spans="1:2">
      <c r="A7369" s="1" t="str">
        <f>"7410.12.00"</f>
        <v>7410.12.00</v>
      </c>
      <c r="B7369" s="2" t="str">
        <f>"De ligas de cobre"</f>
        <v>De ligas de cobre</v>
      </c>
    </row>
    <row r="7370" spans="1:2">
      <c r="A7370" s="1" t="str">
        <f>"7410.21.10"</f>
        <v>7410.21.10</v>
      </c>
      <c r="B7370" s="2" t="str">
        <f>"Com suporte isolante de resina epox"</f>
        <v>Com suporte isolante de resina epox</v>
      </c>
    </row>
    <row r="7371" spans="1:2">
      <c r="A7371" s="1" t="str">
        <f>"7410.21.20"</f>
        <v>7410.21.20</v>
      </c>
      <c r="B7371" s="2" t="str">
        <f>"Com espessura superior a 0,012 mm,"</f>
        <v>Com espessura superior a 0,012 mm,</v>
      </c>
    </row>
    <row r="7372" spans="1:2">
      <c r="A7372" s="1" t="str">
        <f>"7410.21.30"</f>
        <v>7410.21.30</v>
      </c>
      <c r="B7372" s="2" t="str">
        <f>"Com suporte isolante de resina feno"</f>
        <v>Com suporte isolante de resina feno</v>
      </c>
    </row>
    <row r="7373" spans="1:2">
      <c r="A7373" s="1" t="str">
        <f>"7410.21.90"</f>
        <v>7410.21.90</v>
      </c>
      <c r="B7373" s="2" t="str">
        <f>"Outras"</f>
        <v>Outras</v>
      </c>
    </row>
    <row r="7374" spans="1:2">
      <c r="A7374" s="1" t="str">
        <f>"7410.22.00"</f>
        <v>7410.22.00</v>
      </c>
      <c r="B7374" s="2" t="str">
        <f>"De ligas de cobre"</f>
        <v>De ligas de cobre</v>
      </c>
    </row>
    <row r="7375" spans="1:2">
      <c r="A7375" s="1" t="str">
        <f>"7411.10.10"</f>
        <v>7411.10.10</v>
      </c>
      <c r="B7375" s="2" t="str">
        <f>"NÃO ALETADOS NEM RANHURADOS"</f>
        <v>NÃO ALETADOS NEM RANHURADOS</v>
      </c>
    </row>
    <row r="7376" spans="1:2">
      <c r="A7376" s="1" t="str">
        <f>"7411.10.90"</f>
        <v>7411.10.90</v>
      </c>
      <c r="B7376" s="2" t="str">
        <f>"OUTROS"</f>
        <v>OUTROS</v>
      </c>
    </row>
    <row r="7377" spans="1:2">
      <c r="A7377" s="1" t="str">
        <f>"7411.21.10"</f>
        <v>7411.21.10</v>
      </c>
      <c r="B7377" s="2" t="str">
        <f>"Nao aletados nem ranhurados"</f>
        <v>Nao aletados nem ranhurados</v>
      </c>
    </row>
    <row r="7378" spans="1:2">
      <c r="A7378" s="1" t="str">
        <f>"7411.21.90"</f>
        <v>7411.21.90</v>
      </c>
      <c r="B7378" s="2" t="str">
        <f>"Outros"</f>
        <v>Outros</v>
      </c>
    </row>
    <row r="7379" spans="1:2">
      <c r="A7379" s="1" t="str">
        <f>"7411.22.10"</f>
        <v>7411.22.10</v>
      </c>
      <c r="B7379" s="2" t="str">
        <f>"Nao aletados nem ranhurados"</f>
        <v>Nao aletados nem ranhurados</v>
      </c>
    </row>
    <row r="7380" spans="1:2">
      <c r="A7380" s="1" t="str">
        <f>"7411.22.90"</f>
        <v>7411.22.90</v>
      </c>
      <c r="B7380" s="2" t="str">
        <f>"Outros"</f>
        <v>Outros</v>
      </c>
    </row>
    <row r="7381" spans="1:2">
      <c r="A7381" s="1" t="str">
        <f>"7411.29.10"</f>
        <v>7411.29.10</v>
      </c>
      <c r="B7381" s="2" t="str">
        <f>"Nao aletados nem ranhurados"</f>
        <v>Nao aletados nem ranhurados</v>
      </c>
    </row>
    <row r="7382" spans="1:2">
      <c r="A7382" s="1" t="str">
        <f>"7411.29.90"</f>
        <v>7411.29.90</v>
      </c>
      <c r="B7382" s="2" t="str">
        <f>"OUTROS"</f>
        <v>OUTROS</v>
      </c>
    </row>
    <row r="7383" spans="1:2">
      <c r="A7383" s="1" t="str">
        <f>"7412.10.00"</f>
        <v>7412.10.00</v>
      </c>
      <c r="B7383" s="2" t="str">
        <f>"ESPIGA"</f>
        <v>ESPIGA</v>
      </c>
    </row>
    <row r="7384" spans="1:2">
      <c r="A7384" s="1" t="str">
        <f>"7412.20.00"</f>
        <v>7412.20.00</v>
      </c>
      <c r="B7384" s="2" t="str">
        <f>"DE LIGAS DE COBRE"</f>
        <v>DE LIGAS DE COBRE</v>
      </c>
    </row>
    <row r="7385" spans="1:2">
      <c r="A7385" s="1" t="str">
        <f>"7413.00.00"</f>
        <v>7413.00.00</v>
      </c>
      <c r="B7385" s="2" t="str">
        <f>"CABOS, TRANÇAS E SEMELHANTES, DE CO"</f>
        <v>CABOS, TRANÇAS E SEMELHANTES, DE CO</v>
      </c>
    </row>
    <row r="7386" spans="1:2">
      <c r="A7386" s="1" t="str">
        <f>"7415.10.00"</f>
        <v>7415.10.00</v>
      </c>
      <c r="B7386" s="2" t="str">
        <f>"Tachas, pregos, percevejos, escapul"</f>
        <v>Tachas, pregos, percevejos, escapul</v>
      </c>
    </row>
    <row r="7387" spans="1:2">
      <c r="A7387" s="1" t="str">
        <f>"7415.21.00"</f>
        <v>7415.21.00</v>
      </c>
      <c r="B7387" s="2" t="str">
        <f>"ARRUELAS (INCLUINDO AS DE PRESSÃO)"</f>
        <v>ARRUELAS (INCLUINDO AS DE PRESSÃO)</v>
      </c>
    </row>
    <row r="7388" spans="1:2">
      <c r="A7388" s="1" t="str">
        <f>"7415.29.00"</f>
        <v>7415.29.00</v>
      </c>
      <c r="B7388" s="2" t="str">
        <f>"Outros"</f>
        <v>Outros</v>
      </c>
    </row>
    <row r="7389" spans="1:2">
      <c r="A7389" s="1" t="str">
        <f>"7415.32.00"</f>
        <v>7415.32.00</v>
      </c>
      <c r="B7389" s="2" t="str">
        <f>"INATIVO"</f>
        <v>INATIVO</v>
      </c>
    </row>
    <row r="7390" spans="1:2">
      <c r="A7390" s="1" t="str">
        <f>"7415.33.00"</f>
        <v>7415.33.00</v>
      </c>
      <c r="B7390" s="2" t="str">
        <f>"Parafusos; pinos ou pernos e porcas"</f>
        <v>Parafusos; pinos ou pernos e porcas</v>
      </c>
    </row>
    <row r="7391" spans="1:2">
      <c r="A7391" s="1" t="str">
        <f>"7415.39.00"</f>
        <v>7415.39.00</v>
      </c>
      <c r="B7391" s="2" t="str">
        <f>"OUTROS"</f>
        <v>OUTROS</v>
      </c>
    </row>
    <row r="7392" spans="1:2">
      <c r="A7392" s="1" t="str">
        <f>"7418.10.00"</f>
        <v>7418.10.00</v>
      </c>
      <c r="B7392" s="2" t="str">
        <f>"Servicos de mesa, artigos de cozinh"</f>
        <v>Servicos de mesa, artigos de cozinh</v>
      </c>
    </row>
    <row r="7393" spans="1:2">
      <c r="A7393" s="1" t="str">
        <f>"7418.20.00"</f>
        <v>7418.20.00</v>
      </c>
      <c r="B7393" s="2" t="str">
        <f>"Artefatos de uso doméstico"</f>
        <v>Artefatos de uso doméstico</v>
      </c>
    </row>
    <row r="7394" spans="1:2">
      <c r="A7394" s="1" t="str">
        <f>"7419.10.00"</f>
        <v>7419.10.00</v>
      </c>
      <c r="B7394" s="2" t="str">
        <f>"Correntes, cadeias, e suas partes"</f>
        <v>Correntes, cadeias, e suas partes</v>
      </c>
    </row>
    <row r="7395" spans="1:2">
      <c r="A7395" s="1" t="str">
        <f>"7419.91.00"</f>
        <v>7419.91.00</v>
      </c>
      <c r="B7395" s="2" t="str">
        <f>"Vazadas, moldadas, estampadas ou fo"</f>
        <v>Vazadas, moldadas, estampadas ou fo</v>
      </c>
    </row>
    <row r="7396" spans="1:2">
      <c r="A7396" s="1" t="str">
        <f>"7419.99.10"</f>
        <v>7419.99.10</v>
      </c>
      <c r="B7396" s="2" t="str">
        <f>"TELA METALICA DO FIO DE COBRA"</f>
        <v>TELA METALICA DO FIO DE COBRA</v>
      </c>
    </row>
    <row r="7397" spans="1:2">
      <c r="A7397" s="1" t="str">
        <f>"7419.99.20"</f>
        <v>7419.99.20</v>
      </c>
      <c r="B7397" s="2" t="str">
        <f>"Grades e redes, de fio de cobre; ch"</f>
        <v>Grades e redes, de fio de cobre; ch</v>
      </c>
    </row>
    <row r="7398" spans="1:2">
      <c r="A7398" s="1" t="str">
        <f>"7419.99.30"</f>
        <v>7419.99.30</v>
      </c>
      <c r="B7398" s="2" t="str">
        <f>"Molas"</f>
        <v>Molas</v>
      </c>
    </row>
    <row r="7399" spans="1:2">
      <c r="A7399" s="1" t="str">
        <f>"7419.99.90"</f>
        <v>7419.99.90</v>
      </c>
      <c r="B7399" s="2" t="str">
        <f>"Outras"</f>
        <v>Outras</v>
      </c>
    </row>
    <row r="7400" spans="1:2">
      <c r="A7400" s="1" t="str">
        <f>"7501.10.00"</f>
        <v>7501.10.00</v>
      </c>
      <c r="B7400" s="2" t="str">
        <f>"Mates de niquel"</f>
        <v>Mates de niquel</v>
      </c>
    </row>
    <row r="7401" spans="1:2">
      <c r="A7401" s="1" t="str">
        <f>"7501.20.00"</f>
        <v>7501.20.00</v>
      </c>
      <c r="B7401" s="2" t="str">
        <f>"Sinters de oxidos de niquel e outro"</f>
        <v>Sinters de oxidos de niquel e outro</v>
      </c>
    </row>
    <row r="7402" spans="1:2">
      <c r="A7402" s="1" t="str">
        <f>"7502.10.10"</f>
        <v>7502.10.10</v>
      </c>
      <c r="B7402" s="2" t="str">
        <f>"Catodos"</f>
        <v>Catodos</v>
      </c>
    </row>
    <row r="7403" spans="1:2">
      <c r="A7403" s="1" t="str">
        <f>"7502.10.90"</f>
        <v>7502.10.90</v>
      </c>
      <c r="B7403" s="2" t="str">
        <f>"Outros"</f>
        <v>Outros</v>
      </c>
    </row>
    <row r="7404" spans="1:2">
      <c r="A7404" s="1" t="str">
        <f>"7502.20.00"</f>
        <v>7502.20.00</v>
      </c>
      <c r="B7404" s="2" t="str">
        <f>"Ligas de niquel"</f>
        <v>Ligas de niquel</v>
      </c>
    </row>
    <row r="7405" spans="1:2">
      <c r="A7405" s="1" t="str">
        <f>"7503.00.00"</f>
        <v>7503.00.00</v>
      </c>
      <c r="B7405" s="2" t="str">
        <f>"Desperdicios e residuos, e sucata,"</f>
        <v>Desperdicios e residuos, e sucata,</v>
      </c>
    </row>
    <row r="7406" spans="1:2">
      <c r="A7406" s="1" t="str">
        <f>"7504.00.10"</f>
        <v>7504.00.10</v>
      </c>
      <c r="B7406" s="2" t="str">
        <f>"Nao ligado"</f>
        <v>Nao ligado</v>
      </c>
    </row>
    <row r="7407" spans="1:2">
      <c r="A7407" s="1" t="str">
        <f>"7504.00.90"</f>
        <v>7504.00.90</v>
      </c>
      <c r="B7407" s="2" t="str">
        <f>"Outros"</f>
        <v>Outros</v>
      </c>
    </row>
    <row r="7408" spans="1:2">
      <c r="A7408" s="1" t="str">
        <f>"7505.11.10"</f>
        <v>7505.11.10</v>
      </c>
      <c r="B7408" s="2" t="str">
        <f>"Barras"</f>
        <v>Barras</v>
      </c>
    </row>
    <row r="7409" spans="1:2">
      <c r="A7409" s="1" t="str">
        <f>"7505.11.21"</f>
        <v>7505.11.21</v>
      </c>
      <c r="B7409" s="2" t="str">
        <f>"Ocos"</f>
        <v>Ocos</v>
      </c>
    </row>
    <row r="7410" spans="1:2">
      <c r="A7410" s="1" t="str">
        <f>"7505.11.29"</f>
        <v>7505.11.29</v>
      </c>
      <c r="B7410" s="2" t="str">
        <f>"Outros"</f>
        <v>Outros</v>
      </c>
    </row>
    <row r="7411" spans="1:2">
      <c r="A7411" s="1" t="str">
        <f>"7505.12.10"</f>
        <v>7505.12.10</v>
      </c>
      <c r="B7411" s="2" t="str">
        <f>"Barras"</f>
        <v>Barras</v>
      </c>
    </row>
    <row r="7412" spans="1:2">
      <c r="A7412" s="1" t="str">
        <f>"7505.12.21"</f>
        <v>7505.12.21</v>
      </c>
      <c r="B7412" s="2" t="str">
        <f>"Ocos"</f>
        <v>Ocos</v>
      </c>
    </row>
    <row r="7413" spans="1:2">
      <c r="A7413" s="1" t="str">
        <f>"7505.12.29"</f>
        <v>7505.12.29</v>
      </c>
      <c r="B7413" s="2" t="str">
        <f>"Outros"</f>
        <v>Outros</v>
      </c>
    </row>
    <row r="7414" spans="1:2">
      <c r="A7414" s="1" t="str">
        <f>"7505.21.00"</f>
        <v>7505.21.00</v>
      </c>
      <c r="B7414" s="2" t="str">
        <f>"De niquel nao ligado"</f>
        <v>De niquel nao ligado</v>
      </c>
    </row>
    <row r="7415" spans="1:2">
      <c r="A7415" s="1" t="str">
        <f>"7505.22.00"</f>
        <v>7505.22.00</v>
      </c>
      <c r="B7415" s="2" t="str">
        <f>"DE LIGAS DE NÍQUEL"</f>
        <v>DE LIGAS DE NÍQUEL</v>
      </c>
    </row>
    <row r="7416" spans="1:2">
      <c r="A7416" s="1" t="str">
        <f>"7506.10.00"</f>
        <v>7506.10.00</v>
      </c>
      <c r="B7416" s="2" t="str">
        <f>"De niquel nao ligado"</f>
        <v>De niquel nao ligado</v>
      </c>
    </row>
    <row r="7417" spans="1:2">
      <c r="A7417" s="1" t="str">
        <f>"7506.20.00"</f>
        <v>7506.20.00</v>
      </c>
      <c r="B7417" s="2" t="str">
        <f>"De ligas de niquel"</f>
        <v>De ligas de niquel</v>
      </c>
    </row>
    <row r="7418" spans="1:2">
      <c r="A7418" s="1" t="str">
        <f>"7507.11.00"</f>
        <v>7507.11.00</v>
      </c>
      <c r="B7418" s="2" t="str">
        <f>"De niquel nao ligado"</f>
        <v>De niquel nao ligado</v>
      </c>
    </row>
    <row r="7419" spans="1:2">
      <c r="A7419" s="1" t="str">
        <f>"7507.12.00"</f>
        <v>7507.12.00</v>
      </c>
      <c r="B7419" s="2" t="str">
        <f>"De ligas de niquel"</f>
        <v>De ligas de niquel</v>
      </c>
    </row>
    <row r="7420" spans="1:2">
      <c r="A7420" s="1" t="str">
        <f>"7507.20.00"</f>
        <v>7507.20.00</v>
      </c>
      <c r="B7420" s="2" t="str">
        <f>"Acessorios para tubos"</f>
        <v>Acessorios para tubos</v>
      </c>
    </row>
    <row r="7421" spans="1:2">
      <c r="A7421" s="1" t="str">
        <f>"7508.10.00"</f>
        <v>7508.10.00</v>
      </c>
      <c r="B7421" s="2" t="str">
        <f>"Telas metalicas e grades, de fios d"</f>
        <v>Telas metalicas e grades, de fios d</v>
      </c>
    </row>
    <row r="7422" spans="1:2">
      <c r="A7422" s="1" t="str">
        <f>"7508.90.10"</f>
        <v>7508.90.10</v>
      </c>
      <c r="B7422" s="2" t="str">
        <f>"Cilindros ocos de secao variavel, o"</f>
        <v>Cilindros ocos de secao variavel, o</v>
      </c>
    </row>
    <row r="7423" spans="1:2">
      <c r="A7423" s="1" t="str">
        <f>"7508.90.90"</f>
        <v>7508.90.90</v>
      </c>
      <c r="B7423" s="2" t="str">
        <f>"outros"</f>
        <v>outros</v>
      </c>
    </row>
    <row r="7424" spans="1:2">
      <c r="A7424" s="1" t="str">
        <f>"7601.10.00"</f>
        <v>7601.10.00</v>
      </c>
      <c r="B7424" s="2" t="str">
        <f>"Aluminio nao ligado"</f>
        <v>Aluminio nao ligado</v>
      </c>
    </row>
    <row r="7425" spans="1:2">
      <c r="A7425" s="1" t="str">
        <f>"7601.20.00"</f>
        <v>7601.20.00</v>
      </c>
      <c r="B7425" s="2" t="str">
        <f>"Ligas de aluminio"</f>
        <v>Ligas de aluminio</v>
      </c>
    </row>
    <row r="7426" spans="1:2">
      <c r="A7426" s="1" t="str">
        <f>"7602.00.00"</f>
        <v>7602.00.00</v>
      </c>
      <c r="B7426" s="2" t="str">
        <f>"DESPERDÍCIOS E RESÍDUOS, DE ALUMÍNI"</f>
        <v>DESPERDÍCIOS E RESÍDUOS, DE ALUMÍNI</v>
      </c>
    </row>
    <row r="7427" spans="1:2">
      <c r="A7427" s="1" t="str">
        <f>"7603.10.00"</f>
        <v>7603.10.00</v>
      </c>
      <c r="B7427" s="2" t="str">
        <f>"Pos de estrutura nao lamelar"</f>
        <v>Pos de estrutura nao lamelar</v>
      </c>
    </row>
    <row r="7428" spans="1:2">
      <c r="A7428" s="1" t="str">
        <f>"7603.20.00"</f>
        <v>7603.20.00</v>
      </c>
      <c r="B7428" s="2" t="str">
        <f>"Pos de estrutura lamelar; escamas"</f>
        <v>Pos de estrutura lamelar; escamas</v>
      </c>
    </row>
    <row r="7429" spans="1:2">
      <c r="A7429" s="1" t="str">
        <f>"7604.10.10"</f>
        <v>7604.10.10</v>
      </c>
      <c r="B7429" s="2" t="str">
        <f>"Barras"</f>
        <v>Barras</v>
      </c>
    </row>
    <row r="7430" spans="1:2">
      <c r="A7430" s="1" t="str">
        <f>"7604.10.21"</f>
        <v>7604.10.21</v>
      </c>
      <c r="B7430" s="2" t="str">
        <f>"Ocos"</f>
        <v>Ocos</v>
      </c>
    </row>
    <row r="7431" spans="1:2">
      <c r="A7431" s="1" t="str">
        <f>"7604.10.29"</f>
        <v>7604.10.29</v>
      </c>
      <c r="B7431" s="2" t="str">
        <f>"OUTROS"</f>
        <v>OUTROS</v>
      </c>
    </row>
    <row r="7432" spans="1:2">
      <c r="A7432" s="1" t="str">
        <f>"7604.21.00"</f>
        <v>7604.21.00</v>
      </c>
      <c r="B7432" s="2" t="str">
        <f>"Perfis ocos"</f>
        <v>Perfis ocos</v>
      </c>
    </row>
    <row r="7433" spans="1:2">
      <c r="A7433" s="1" t="str">
        <f>"7604.29.11"</f>
        <v>7604.29.11</v>
      </c>
      <c r="B7433" s="2" t="str">
        <f>"Forjadas, de secao transversal circ"</f>
        <v>Forjadas, de secao transversal circ</v>
      </c>
    </row>
    <row r="7434" spans="1:2">
      <c r="A7434" s="1" t="str">
        <f>"7604.29.19"</f>
        <v>7604.29.19</v>
      </c>
      <c r="B7434" s="2" t="str">
        <f>"OUTRAS"</f>
        <v>OUTRAS</v>
      </c>
    </row>
    <row r="7435" spans="1:2">
      <c r="A7435" s="1" t="str">
        <f>"7604.29.20"</f>
        <v>7604.29.20</v>
      </c>
      <c r="B7435" s="2" t="str">
        <f>"PERFIS"</f>
        <v>PERFIS</v>
      </c>
    </row>
    <row r="7436" spans="1:2">
      <c r="A7436" s="1" t="str">
        <f>"7605.11.10"</f>
        <v>7605.11.10</v>
      </c>
      <c r="B7436" s="2" t="str">
        <f>"Com um teor de aluminio igual ou su"</f>
        <v>Com um teor de aluminio igual ou su</v>
      </c>
    </row>
    <row r="7437" spans="1:2">
      <c r="A7437" s="1" t="str">
        <f>"7605.11.90"</f>
        <v>7605.11.90</v>
      </c>
      <c r="B7437" s="2" t="str">
        <f>"Outros"</f>
        <v>Outros</v>
      </c>
    </row>
    <row r="7438" spans="1:2">
      <c r="A7438" s="1" t="str">
        <f>"7605.19.10"</f>
        <v>7605.19.10</v>
      </c>
      <c r="B7438" s="2" t="str">
        <f>"Com um teor de aluminio igual ou su"</f>
        <v>Com um teor de aluminio igual ou su</v>
      </c>
    </row>
    <row r="7439" spans="1:2">
      <c r="A7439" s="1" t="str">
        <f>"7605.19.90"</f>
        <v>7605.19.90</v>
      </c>
      <c r="B7439" s="2" t="str">
        <f>"Outros"</f>
        <v>Outros</v>
      </c>
    </row>
    <row r="7440" spans="1:2">
      <c r="A7440" s="1" t="str">
        <f>"7605.21.10"</f>
        <v>7605.21.10</v>
      </c>
      <c r="B7440" s="2" t="str">
        <f>"Com um teor, em peso, de aluminio i"</f>
        <v>Com um teor, em peso, de aluminio i</v>
      </c>
    </row>
    <row r="7441" spans="1:2">
      <c r="A7441" s="1" t="str">
        <f>"7605.21.90"</f>
        <v>7605.21.90</v>
      </c>
      <c r="B7441" s="2" t="str">
        <f>"Outros"</f>
        <v>Outros</v>
      </c>
    </row>
    <row r="7442" spans="1:2">
      <c r="A7442" s="1" t="str">
        <f>"7605.29.10"</f>
        <v>7605.29.10</v>
      </c>
      <c r="B7442" s="2" t="str">
        <f>"Com um teor, em peso, de aluminio i"</f>
        <v>Com um teor, em peso, de aluminio i</v>
      </c>
    </row>
    <row r="7443" spans="1:2">
      <c r="A7443" s="1" t="str">
        <f>"7605.29.90"</f>
        <v>7605.29.90</v>
      </c>
      <c r="B7443" s="2" t="str">
        <f>"Outros"</f>
        <v>Outros</v>
      </c>
    </row>
    <row r="7444" spans="1:2">
      <c r="A7444" s="1" t="str">
        <f>"7606.11.10"</f>
        <v>7606.11.10</v>
      </c>
      <c r="B7444" s="2" t="str">
        <f>"Com um teor, em peso, de silicio ig"</f>
        <v>Com um teor, em peso, de silicio ig</v>
      </c>
    </row>
    <row r="7445" spans="1:2">
      <c r="A7445" s="1" t="str">
        <f>"7606.11.90"</f>
        <v>7606.11.90</v>
      </c>
      <c r="B7445" s="2" t="str">
        <f>"OUTRAS"</f>
        <v>OUTRAS</v>
      </c>
    </row>
    <row r="7446" spans="1:2">
      <c r="A7446" s="1" t="str">
        <f>"7606.12.10"</f>
        <v>7606.12.10</v>
      </c>
      <c r="B7446" s="2" t="str">
        <f>"Chapas e tiras, de alumínio, de esp"</f>
        <v>Chapas e tiras, de alumínio, de esp</v>
      </c>
    </row>
    <row r="7447" spans="1:2">
      <c r="A7447" s="1" t="str">
        <f>"7606.12.20"</f>
        <v>7606.12.20</v>
      </c>
      <c r="B7447" s="2" t="str">
        <f>"Com um teor, em peso, de silicio ig"</f>
        <v>Com um teor, em peso, de silicio ig</v>
      </c>
    </row>
    <row r="7448" spans="1:2">
      <c r="A7448" s="1" t="str">
        <f>"7606.12.90"</f>
        <v>7606.12.90</v>
      </c>
      <c r="B7448" s="2" t="str">
        <f>"OUTRAS"</f>
        <v>OUTRAS</v>
      </c>
    </row>
    <row r="7449" spans="1:2">
      <c r="A7449" s="1" t="str">
        <f>"7606.91.00"</f>
        <v>7606.91.00</v>
      </c>
      <c r="B7449" s="2" t="str">
        <f>"DE ALUMÍNIO NÃO LIGADO"</f>
        <v>DE ALUMÍNIO NÃO LIGADO</v>
      </c>
    </row>
    <row r="7450" spans="1:2">
      <c r="A7450" s="1" t="str">
        <f>"7606.92.00"</f>
        <v>7606.92.00</v>
      </c>
      <c r="B7450" s="2" t="str">
        <f>"De ligas de aluminio"</f>
        <v>De ligas de aluminio</v>
      </c>
    </row>
    <row r="7451" spans="1:2">
      <c r="A7451" s="1" t="str">
        <f>"7607.11.10"</f>
        <v>7607.11.10</v>
      </c>
      <c r="B7451" s="2" t="str">
        <f>"Com um teor, em peso, de silicio ig"</f>
        <v>Com um teor, em peso, de silicio ig</v>
      </c>
    </row>
    <row r="7452" spans="1:2">
      <c r="A7452" s="1" t="str">
        <f>"7607.11.90"</f>
        <v>7607.11.90</v>
      </c>
      <c r="B7452" s="2" t="str">
        <f>"OUTRAS"</f>
        <v>OUTRAS</v>
      </c>
    </row>
    <row r="7453" spans="1:2">
      <c r="A7453" s="1" t="str">
        <f>"7607.19.10"</f>
        <v>7607.19.10</v>
      </c>
      <c r="B7453" s="2" t="str">
        <f>"Gravadas, mesmo com camada de oxido"</f>
        <v>Gravadas, mesmo com camada de oxido</v>
      </c>
    </row>
    <row r="7454" spans="1:2">
      <c r="A7454" s="1" t="str">
        <f>"7607.19.90"</f>
        <v>7607.19.90</v>
      </c>
      <c r="B7454" s="2" t="str">
        <f>"OUTRAS"</f>
        <v>OUTRAS</v>
      </c>
    </row>
    <row r="7455" spans="1:2">
      <c r="A7455" s="1" t="str">
        <f>"7607.20.00"</f>
        <v>7607.20.00</v>
      </c>
      <c r="B7455" s="2" t="str">
        <f>"Com suporte"</f>
        <v>Com suporte</v>
      </c>
    </row>
    <row r="7456" spans="1:2">
      <c r="A7456" s="1" t="str">
        <f>"7608.10.00"</f>
        <v>7608.10.00</v>
      </c>
      <c r="B7456" s="2" t="str">
        <f>"DE ALUMÍNIO NÃO LIGADO"</f>
        <v>DE ALUMÍNIO NÃO LIGADO</v>
      </c>
    </row>
    <row r="7457" spans="1:2">
      <c r="A7457" s="1" t="str">
        <f>"7608.20.10"</f>
        <v>7608.20.10</v>
      </c>
      <c r="B7457" s="2" t="str">
        <f>"Sem costura, extrudados e trefilado"</f>
        <v>Sem costura, extrudados e trefilado</v>
      </c>
    </row>
    <row r="7458" spans="1:2">
      <c r="A7458" s="1" t="str">
        <f>"7608.20.90"</f>
        <v>7608.20.90</v>
      </c>
      <c r="B7458" s="2" t="str">
        <f>"TUBO FLEXIVEL"</f>
        <v>TUBO FLEXIVEL</v>
      </c>
    </row>
    <row r="7459" spans="1:2">
      <c r="A7459" s="1" t="str">
        <f>"7609.00.00"</f>
        <v>7609.00.00</v>
      </c>
      <c r="B7459" s="2" t="str">
        <f>"CONDULETE"</f>
        <v>CONDULETE</v>
      </c>
    </row>
    <row r="7460" spans="1:2">
      <c r="A7460" s="1" t="str">
        <f>"7610.10.00"</f>
        <v>7610.10.00</v>
      </c>
      <c r="B7460" s="2" t="str">
        <f>"Portas e janelas, e seus caixilhos,"</f>
        <v>Portas e janelas, e seus caixilhos,</v>
      </c>
    </row>
    <row r="7461" spans="1:2">
      <c r="A7461" s="1" t="str">
        <f>"7610.90.00"</f>
        <v>7610.90.00</v>
      </c>
      <c r="B7461" s="2" t="str">
        <f>"estrutura em aluminio"</f>
        <v>estrutura em aluminio</v>
      </c>
    </row>
    <row r="7462" spans="1:2">
      <c r="A7462" s="1" t="str">
        <f>"7611.00.00"</f>
        <v>7611.00.00</v>
      </c>
      <c r="B7462" s="2" t="str">
        <f>"Reservatorios, toneis, cubas e reci"</f>
        <v>Reservatorios, toneis, cubas e reci</v>
      </c>
    </row>
    <row r="7463" spans="1:2">
      <c r="A7463" s="1" t="str">
        <f>"7612.10.00"</f>
        <v>7612.10.00</v>
      </c>
      <c r="B7463" s="2" t="str">
        <f>"Recipientes tubulares, flexiveis"</f>
        <v>Recipientes tubulares, flexiveis</v>
      </c>
    </row>
    <row r="7464" spans="1:2">
      <c r="A7464" s="1" t="str">
        <f>"7612.90.11"</f>
        <v>7612.90.11</v>
      </c>
      <c r="B7464" s="2" t="str">
        <f>"Para aerossois, com capacidade infe"</f>
        <v>Para aerossois, com capacidade infe</v>
      </c>
    </row>
    <row r="7465" spans="1:2">
      <c r="A7465" s="1" t="str">
        <f>"7612.90.12"</f>
        <v>7612.90.12</v>
      </c>
      <c r="B7465" s="2" t="str">
        <f>"Isotermicos, refrigerados a nitroge"</f>
        <v>Isotermicos, refrigerados a nitroge</v>
      </c>
    </row>
    <row r="7466" spans="1:2">
      <c r="A7466" s="1" t="str">
        <f>"7612.90.19"</f>
        <v>7612.90.19</v>
      </c>
      <c r="B7466" s="2" t="str">
        <f>"OUTROS"</f>
        <v>OUTROS</v>
      </c>
    </row>
    <row r="7467" spans="1:2">
      <c r="A7467" s="1" t="str">
        <f>"7612.90.90"</f>
        <v>7612.90.90</v>
      </c>
      <c r="B7467" s="2" t="str">
        <f>"Outros"</f>
        <v>Outros</v>
      </c>
    </row>
    <row r="7468" spans="1:2">
      <c r="A7468" s="1" t="str">
        <f>"7613.00.00"</f>
        <v>7613.00.00</v>
      </c>
      <c r="B7468" s="2" t="str">
        <f>"Recipientes para gases comprimidos"</f>
        <v>Recipientes para gases comprimidos</v>
      </c>
    </row>
    <row r="7469" spans="1:2">
      <c r="A7469" s="1" t="str">
        <f>"7614.10.10"</f>
        <v>7614.10.10</v>
      </c>
      <c r="B7469" s="2" t="str">
        <f>"Cordas e cabos"</f>
        <v>Cordas e cabos</v>
      </c>
    </row>
    <row r="7470" spans="1:2">
      <c r="A7470" s="1" t="str">
        <f>"7614.10.90"</f>
        <v>7614.10.90</v>
      </c>
      <c r="B7470" s="2" t="str">
        <f>"Outros"</f>
        <v>Outros</v>
      </c>
    </row>
    <row r="7471" spans="1:2">
      <c r="A7471" s="1" t="str">
        <f>"7614.90.10"</f>
        <v>7614.90.10</v>
      </c>
      <c r="B7471" s="2" t="str">
        <f>"Cabos"</f>
        <v>Cabos</v>
      </c>
    </row>
    <row r="7472" spans="1:2">
      <c r="A7472" s="1" t="str">
        <f>"7614.90.90"</f>
        <v>7614.90.90</v>
      </c>
      <c r="B7472" s="2" t="str">
        <f>"Outros"</f>
        <v>Outros</v>
      </c>
    </row>
    <row r="7473" spans="1:2">
      <c r="A7473" s="1" t="str">
        <f>"7615.10.00"</f>
        <v>7615.10.00</v>
      </c>
      <c r="B7473" s="2" t="str">
        <f>"OUTROS"</f>
        <v>OUTROS</v>
      </c>
    </row>
    <row r="7474" spans="1:2">
      <c r="A7474" s="1" t="str">
        <f>"7615.20.00"</f>
        <v>7615.20.00</v>
      </c>
      <c r="B7474" s="2" t="str">
        <f>"Artigos de higiene ou de toucador,"</f>
        <v>Artigos de higiene ou de toucador,</v>
      </c>
    </row>
    <row r="7475" spans="1:2">
      <c r="A7475" s="1" t="str">
        <f>"7616.10.00"</f>
        <v>7616.10.00</v>
      </c>
      <c r="B7475" s="2" t="str">
        <f>"TRACHAS, PREGOS, ESCÁPULAS..."</f>
        <v>TRACHAS, PREGOS, ESCÁPULAS...</v>
      </c>
    </row>
    <row r="7476" spans="1:2">
      <c r="A7476" s="1" t="str">
        <f>"7616.91.00"</f>
        <v>7616.91.00</v>
      </c>
      <c r="B7476" s="2" t="str">
        <f>"Telas metalicas, grades e redes, de"</f>
        <v>Telas metalicas, grades e redes, de</v>
      </c>
    </row>
    <row r="7477" spans="1:2">
      <c r="A7477" s="1" t="str">
        <f>"7616.99.00"</f>
        <v>7616.99.00</v>
      </c>
      <c r="B7477" s="2" t="str">
        <f>"outros"</f>
        <v>outros</v>
      </c>
    </row>
    <row r="7478" spans="1:2">
      <c r="A7478" s="1" t="str">
        <f>"7781.04.27"</f>
        <v>7781.04.27</v>
      </c>
      <c r="B7478" s="2" t="str">
        <f>"INATIVO"</f>
        <v>INATIVO</v>
      </c>
    </row>
    <row r="7479" spans="1:2">
      <c r="A7479" s="1" t="str">
        <f>"7801.10.11"</f>
        <v>7801.10.11</v>
      </c>
      <c r="B7479" s="2" t="str">
        <f>"Em lingotes"</f>
        <v>Em lingotes</v>
      </c>
    </row>
    <row r="7480" spans="1:2">
      <c r="A7480" s="1" t="str">
        <f>"7801.10.19"</f>
        <v>7801.10.19</v>
      </c>
      <c r="B7480" s="2" t="str">
        <f>"Outros"</f>
        <v>Outros</v>
      </c>
    </row>
    <row r="7481" spans="1:2">
      <c r="A7481" s="1" t="str">
        <f>"7801.10.90"</f>
        <v>7801.10.90</v>
      </c>
      <c r="B7481" s="2" t="str">
        <f>"Outros"</f>
        <v>Outros</v>
      </c>
    </row>
    <row r="7482" spans="1:2">
      <c r="A7482" s="1" t="str">
        <f>"7801.91.00"</f>
        <v>7801.91.00</v>
      </c>
      <c r="B7482" s="2" t="str">
        <f>"Que contenham antimonio como segund"</f>
        <v>Que contenham antimonio como segund</v>
      </c>
    </row>
    <row r="7483" spans="1:2">
      <c r="A7483" s="1" t="str">
        <f>"7801.99.00"</f>
        <v>7801.99.00</v>
      </c>
      <c r="B7483" s="2" t="str">
        <f>"Outros"</f>
        <v>Outros</v>
      </c>
    </row>
    <row r="7484" spans="1:2">
      <c r="A7484" s="1" t="str">
        <f>"7802.00.00"</f>
        <v>7802.00.00</v>
      </c>
      <c r="B7484" s="2" t="str">
        <f>"Desperdicios e residuos, e sucata,"</f>
        <v>Desperdicios e residuos, e sucata,</v>
      </c>
    </row>
    <row r="7485" spans="1:2">
      <c r="A7485" s="1" t="str">
        <f>"7804.11.00"</f>
        <v>7804.11.00</v>
      </c>
      <c r="B7485" s="2" t="str">
        <f>"Folhas e tiras, de espessura nao su"</f>
        <v>Folhas e tiras, de espessura nao su</v>
      </c>
    </row>
    <row r="7486" spans="1:2">
      <c r="A7486" s="1" t="str">
        <f>"7804.19.00"</f>
        <v>7804.19.00</v>
      </c>
      <c r="B7486" s="2" t="str">
        <f>"Outras"</f>
        <v>Outras</v>
      </c>
    </row>
    <row r="7487" spans="1:2">
      <c r="A7487" s="1" t="str">
        <f>"7804.20.00"</f>
        <v>7804.20.00</v>
      </c>
      <c r="B7487" s="2" t="str">
        <f>"Pos e escamas"</f>
        <v>Pos e escamas</v>
      </c>
    </row>
    <row r="7488" spans="1:2">
      <c r="A7488" s="1" t="str">
        <f>"7806.00.10"</f>
        <v>7806.00.10</v>
      </c>
      <c r="B7488" s="2" t="str">
        <f>"Barras, perfis e fios"</f>
        <v>Barras, perfis e fios</v>
      </c>
    </row>
    <row r="7489" spans="1:2">
      <c r="A7489" s="1" t="str">
        <f>"7806.00.20"</f>
        <v>7806.00.20</v>
      </c>
      <c r="B7489" s="2" t="str">
        <f>"Tubos e seus acessorios"</f>
        <v>Tubos e seus acessorios</v>
      </c>
    </row>
    <row r="7490" spans="1:2">
      <c r="A7490" s="1" t="str">
        <f>"7806.00.90"</f>
        <v>7806.00.90</v>
      </c>
      <c r="B7490" s="2" t="str">
        <f>"Outras"</f>
        <v>Outras</v>
      </c>
    </row>
    <row r="7491" spans="1:2">
      <c r="A7491" s="1" t="str">
        <f>"7901.11.11"</f>
        <v>7901.11.11</v>
      </c>
      <c r="B7491" s="2" t="str">
        <f>"Em lingotes"</f>
        <v>Em lingotes</v>
      </c>
    </row>
    <row r="7492" spans="1:2">
      <c r="A7492" s="1" t="str">
        <f>"7901.11.19"</f>
        <v>7901.11.19</v>
      </c>
      <c r="B7492" s="2" t="str">
        <f>"Outros"</f>
        <v>Outros</v>
      </c>
    </row>
    <row r="7493" spans="1:2">
      <c r="A7493" s="1" t="str">
        <f>"7901.11.91"</f>
        <v>7901.11.91</v>
      </c>
      <c r="B7493" s="2" t="str">
        <f>"Em lingotes"</f>
        <v>Em lingotes</v>
      </c>
    </row>
    <row r="7494" spans="1:2">
      <c r="A7494" s="1" t="str">
        <f>"7901.11.99"</f>
        <v>7901.11.99</v>
      </c>
      <c r="B7494" s="2" t="str">
        <f>"Outros"</f>
        <v>Outros</v>
      </c>
    </row>
    <row r="7495" spans="1:2">
      <c r="A7495" s="1" t="str">
        <f>"7901.12.10"</f>
        <v>7901.12.10</v>
      </c>
      <c r="B7495" s="2" t="str">
        <f>"Em lingotes"</f>
        <v>Em lingotes</v>
      </c>
    </row>
    <row r="7496" spans="1:2">
      <c r="A7496" s="1" t="str">
        <f>"7901.12.90"</f>
        <v>7901.12.90</v>
      </c>
      <c r="B7496" s="2" t="str">
        <f>"Outros"</f>
        <v>Outros</v>
      </c>
    </row>
    <row r="7497" spans="1:2">
      <c r="A7497" s="1" t="str">
        <f>"7901.20.10"</f>
        <v>7901.20.10</v>
      </c>
      <c r="B7497" s="2" t="str">
        <f>"Em lingotes"</f>
        <v>Em lingotes</v>
      </c>
    </row>
    <row r="7498" spans="1:2">
      <c r="A7498" s="1" t="str">
        <f>"7901.20.90"</f>
        <v>7901.20.90</v>
      </c>
      <c r="B7498" s="2" t="str">
        <f>"Outros"</f>
        <v>Outros</v>
      </c>
    </row>
    <row r="7499" spans="1:2">
      <c r="A7499" s="1" t="str">
        <f>"7902.00.00"</f>
        <v>7902.00.00</v>
      </c>
      <c r="B7499" s="2" t="str">
        <f>"Desperdicios e residuos, e sucata,"</f>
        <v>Desperdicios e residuos, e sucata,</v>
      </c>
    </row>
    <row r="7500" spans="1:2">
      <c r="A7500" s="1" t="str">
        <f>"7903.10.00"</f>
        <v>7903.10.00</v>
      </c>
      <c r="B7500" s="2" t="str">
        <f>"Poeiras de zinco"</f>
        <v>Poeiras de zinco</v>
      </c>
    </row>
    <row r="7501" spans="1:2">
      <c r="A7501" s="1" t="str">
        <f>"7903.90.00"</f>
        <v>7903.90.00</v>
      </c>
      <c r="B7501" s="2" t="str">
        <f>"OUTROS TAMBORES"</f>
        <v>OUTROS TAMBORES</v>
      </c>
    </row>
    <row r="7502" spans="1:2">
      <c r="A7502" s="1" t="str">
        <f>"7904.00.00"</f>
        <v>7904.00.00</v>
      </c>
      <c r="B7502" s="2" t="str">
        <f>"Barras, perfis e fios, de zinco."</f>
        <v>Barras, perfis e fios, de zinco.</v>
      </c>
    </row>
    <row r="7503" spans="1:2">
      <c r="A7503" s="1" t="str">
        <f>"7905.00.00"</f>
        <v>7905.00.00</v>
      </c>
      <c r="B7503" s="2" t="str">
        <f>"Chapas, folhas e tiras, de zinco."</f>
        <v>Chapas, folhas e tiras, de zinco.</v>
      </c>
    </row>
    <row r="7504" spans="1:2">
      <c r="A7504" s="1" t="str">
        <f>"7907.00.10"</f>
        <v>7907.00.10</v>
      </c>
      <c r="B7504" s="2" t="str">
        <f>"Tubos e seus acessorios"</f>
        <v>Tubos e seus acessorios</v>
      </c>
    </row>
    <row r="7505" spans="1:2">
      <c r="A7505" s="1" t="str">
        <f>"7907.00.90"</f>
        <v>7907.00.90</v>
      </c>
      <c r="B7505" s="2" t="str">
        <f>"OUTRAS"</f>
        <v>OUTRAS</v>
      </c>
    </row>
    <row r="7506" spans="1:2">
      <c r="A7506" s="1" t="str">
        <f>"8001.10.00"</f>
        <v>8001.10.00</v>
      </c>
      <c r="B7506" s="2" t="str">
        <f>"Estanho nao ligado"</f>
        <v>Estanho nao ligado</v>
      </c>
    </row>
    <row r="7507" spans="1:2">
      <c r="A7507" s="1" t="str">
        <f>"8001.20.00"</f>
        <v>8001.20.00</v>
      </c>
      <c r="B7507" s="2" t="str">
        <f>"Ligas de estanho"</f>
        <v>Ligas de estanho</v>
      </c>
    </row>
    <row r="7508" spans="1:2">
      <c r="A7508" s="1" t="str">
        <f>"8002.00.00"</f>
        <v>8002.00.00</v>
      </c>
      <c r="B7508" s="2" t="str">
        <f>"Desperdicios e residuos, e sucata,"</f>
        <v>Desperdicios e residuos, e sucata,</v>
      </c>
    </row>
    <row r="7509" spans="1:2">
      <c r="A7509" s="1" t="str">
        <f>"8003.00.00"</f>
        <v>8003.00.00</v>
      </c>
      <c r="B7509" s="2" t="str">
        <f>"Barras, perfis e fios, de estanho."</f>
        <v>Barras, perfis e fios, de estanho.</v>
      </c>
    </row>
    <row r="7510" spans="1:2">
      <c r="A7510" s="1" t="str">
        <f>"8007.00.10"</f>
        <v>8007.00.10</v>
      </c>
      <c r="B7510" s="2" t="str">
        <f>"Chapas, folhas e tiras"</f>
        <v>Chapas, folhas e tiras</v>
      </c>
    </row>
    <row r="7511" spans="1:2">
      <c r="A7511" s="1" t="str">
        <f>"8007.00.20"</f>
        <v>8007.00.20</v>
      </c>
      <c r="B7511" s="2" t="str">
        <f>"Pos e escamas"</f>
        <v>Pos e escamas</v>
      </c>
    </row>
    <row r="7512" spans="1:2">
      <c r="A7512" s="1" t="str">
        <f>"8007.00.30"</f>
        <v>8007.00.30</v>
      </c>
      <c r="B7512" s="2" t="str">
        <f>"Tubos e seus acessorios"</f>
        <v>Tubos e seus acessorios</v>
      </c>
    </row>
    <row r="7513" spans="1:2">
      <c r="A7513" s="1" t="str">
        <f>"8007.00.90"</f>
        <v>8007.00.90</v>
      </c>
      <c r="B7513" s="2" t="str">
        <f>"Outras"</f>
        <v>Outras</v>
      </c>
    </row>
    <row r="7514" spans="1:2">
      <c r="A7514" s="1" t="str">
        <f>"8101.10.00"</f>
        <v>8101.10.00</v>
      </c>
      <c r="B7514" s="2" t="str">
        <f>"Pos"</f>
        <v>Pos</v>
      </c>
    </row>
    <row r="7515" spans="1:2">
      <c r="A7515" s="1" t="str">
        <f>"8101.94.00"</f>
        <v>8101.94.00</v>
      </c>
      <c r="B7515" s="2" t="str">
        <f>"Tungstenio (volframio) em formas br"</f>
        <v>Tungstenio (volframio) em formas br</v>
      </c>
    </row>
    <row r="7516" spans="1:2">
      <c r="A7516" s="1" t="str">
        <f>"8101.96.00"</f>
        <v>8101.96.00</v>
      </c>
      <c r="B7516" s="2" t="str">
        <f>"ELETRODO TUNGSTENIO"</f>
        <v>ELETRODO TUNGSTENIO</v>
      </c>
    </row>
    <row r="7517" spans="1:2">
      <c r="A7517" s="1" t="str">
        <f>"8101.97.00"</f>
        <v>8101.97.00</v>
      </c>
      <c r="B7517" s="2" t="str">
        <f>"Desperdicios e residuos, e sucata"</f>
        <v>Desperdicios e residuos, e sucata</v>
      </c>
    </row>
    <row r="7518" spans="1:2">
      <c r="A7518" s="1" t="str">
        <f>"8101.99.10"</f>
        <v>8101.99.10</v>
      </c>
      <c r="B7518" s="2" t="str">
        <f>"Do tipo utilizado na fabricacao de"</f>
        <v>Do tipo utilizado na fabricacao de</v>
      </c>
    </row>
    <row r="7519" spans="1:2">
      <c r="A7519" s="1" t="str">
        <f>"8101.99.90"</f>
        <v>8101.99.90</v>
      </c>
      <c r="B7519" s="2" t="str">
        <f>"Outros"</f>
        <v>Outros</v>
      </c>
    </row>
    <row r="7520" spans="1:2">
      <c r="A7520" s="1" t="str">
        <f>"8102.10.00"</f>
        <v>8102.10.00</v>
      </c>
      <c r="B7520" s="2" t="str">
        <f>"Pos"</f>
        <v>Pos</v>
      </c>
    </row>
    <row r="7521" spans="1:2">
      <c r="A7521" s="1" t="str">
        <f>"8102.94.00"</f>
        <v>8102.94.00</v>
      </c>
      <c r="B7521" s="2" t="str">
        <f>"Molibdenio em formas brutas, inclui"</f>
        <v>Molibdenio em formas brutas, inclui</v>
      </c>
    </row>
    <row r="7522" spans="1:2">
      <c r="A7522" s="1" t="str">
        <f>"8102.95.00"</f>
        <v>8102.95.00</v>
      </c>
      <c r="B7522" s="2" t="str">
        <f>"Barras, exceto as simplesmente obti"</f>
        <v>Barras, exceto as simplesmente obti</v>
      </c>
    </row>
    <row r="7523" spans="1:2">
      <c r="A7523" s="1" t="str">
        <f>"8102.96.00"</f>
        <v>8102.96.00</v>
      </c>
      <c r="B7523" s="2" t="str">
        <f>"Fios"</f>
        <v>Fios</v>
      </c>
    </row>
    <row r="7524" spans="1:2">
      <c r="A7524" s="1" t="str">
        <f>"8102.97.00"</f>
        <v>8102.97.00</v>
      </c>
      <c r="B7524" s="2" t="str">
        <f>"Desperdicios e residuos, e sucata"</f>
        <v>Desperdicios e residuos, e sucata</v>
      </c>
    </row>
    <row r="7525" spans="1:2">
      <c r="A7525" s="1" t="str">
        <f>"8102.99.00"</f>
        <v>8102.99.00</v>
      </c>
      <c r="B7525" s="2" t="str">
        <f>"Outros"</f>
        <v>Outros</v>
      </c>
    </row>
    <row r="7526" spans="1:2">
      <c r="A7526" s="1" t="str">
        <f>"8103.20.00"</f>
        <v>8103.20.00</v>
      </c>
      <c r="B7526" s="2" t="str">
        <f>"Tantalo em formas brutas, incluindo"</f>
        <v>Tantalo em formas brutas, incluindo</v>
      </c>
    </row>
    <row r="7527" spans="1:2">
      <c r="A7527" s="1" t="str">
        <f>"8103.30.00"</f>
        <v>8103.30.00</v>
      </c>
      <c r="B7527" s="2" t="str">
        <f>"Desperdicios e residuos, e sucata"</f>
        <v>Desperdicios e residuos, e sucata</v>
      </c>
    </row>
    <row r="7528" spans="1:2">
      <c r="A7528" s="1" t="str">
        <f>"8103.90.00"</f>
        <v>8103.90.00</v>
      </c>
      <c r="B7528" s="2" t="str">
        <f>"Outros"</f>
        <v>Outros</v>
      </c>
    </row>
    <row r="7529" spans="1:2">
      <c r="A7529" s="1" t="str">
        <f>"8104.11.00"</f>
        <v>8104.11.00</v>
      </c>
      <c r="B7529" s="2" t="str">
        <f>"Que contenha pelo menos 99,8 %, em"</f>
        <v>Que contenha pelo menos 99,8 %, em</v>
      </c>
    </row>
    <row r="7530" spans="1:2">
      <c r="A7530" s="1" t="str">
        <f>"8104.19.00"</f>
        <v>8104.19.00</v>
      </c>
      <c r="B7530" s="2" t="str">
        <f>"Outros"</f>
        <v>Outros</v>
      </c>
    </row>
    <row r="7531" spans="1:2">
      <c r="A7531" s="1" t="str">
        <f>"8104.20.00"</f>
        <v>8104.20.00</v>
      </c>
      <c r="B7531" s="2" t="str">
        <f>"Desperdicios e residuos, e sucata"</f>
        <v>Desperdicios e residuos, e sucata</v>
      </c>
    </row>
    <row r="7532" spans="1:2">
      <c r="A7532" s="1" t="str">
        <f>"8104.30.00"</f>
        <v>8104.30.00</v>
      </c>
      <c r="B7532" s="2" t="str">
        <f>"Aparas, residuos de torno e granulo"</f>
        <v>Aparas, residuos de torno e granulo</v>
      </c>
    </row>
    <row r="7533" spans="1:2">
      <c r="A7533" s="1" t="str">
        <f>"8104.90.00"</f>
        <v>8104.90.00</v>
      </c>
      <c r="B7533" s="2" t="str">
        <f>"Outros"</f>
        <v>Outros</v>
      </c>
    </row>
    <row r="7534" spans="1:2">
      <c r="A7534" s="1" t="str">
        <f>"8105.20.10"</f>
        <v>8105.20.10</v>
      </c>
      <c r="B7534" s="2" t="str">
        <f>"Em formas brutas"</f>
        <v>Em formas brutas</v>
      </c>
    </row>
    <row r="7535" spans="1:2">
      <c r="A7535" s="1" t="str">
        <f>"8105.20.21"</f>
        <v>8105.20.21</v>
      </c>
      <c r="B7535" s="2" t="str">
        <f>"De ligas a base de cobalto-cromo-tu"</f>
        <v>De ligas a base de cobalto-cromo-tu</v>
      </c>
    </row>
    <row r="7536" spans="1:2">
      <c r="A7536" s="1" t="str">
        <f>"8105.20.29"</f>
        <v>8105.20.29</v>
      </c>
      <c r="B7536" s="2" t="str">
        <f>"Outros"</f>
        <v>Outros</v>
      </c>
    </row>
    <row r="7537" spans="1:2">
      <c r="A7537" s="1" t="str">
        <f>"8105.20.90"</f>
        <v>8105.20.90</v>
      </c>
      <c r="B7537" s="2" t="str">
        <f>"Outros"</f>
        <v>Outros</v>
      </c>
    </row>
    <row r="7538" spans="1:2">
      <c r="A7538" s="1" t="str">
        <f>"8105.30.00"</f>
        <v>8105.30.00</v>
      </c>
      <c r="B7538" s="2" t="str">
        <f>"Desperdicios e residuos, e sucata"</f>
        <v>Desperdicios e residuos, e sucata</v>
      </c>
    </row>
    <row r="7539" spans="1:2">
      <c r="A7539" s="1" t="str">
        <f>"8105.90.10"</f>
        <v>8105.90.10</v>
      </c>
      <c r="B7539" s="2" t="str">
        <f>"Chapas, folhas, tiras, fios, hastes"</f>
        <v>Chapas, folhas, tiras, fios, hastes</v>
      </c>
    </row>
    <row r="7540" spans="1:2">
      <c r="A7540" s="1" t="str">
        <f>"8105.90.90"</f>
        <v>8105.90.90</v>
      </c>
      <c r="B7540" s="2" t="str">
        <f>"Outros"</f>
        <v>Outros</v>
      </c>
    </row>
    <row r="7541" spans="1:2">
      <c r="A7541" s="1" t="str">
        <f>"8106.00.10"</f>
        <v>8106.00.10</v>
      </c>
      <c r="B7541" s="2" t="str">
        <f>"Em formas brutas"</f>
        <v>Em formas brutas</v>
      </c>
    </row>
    <row r="7542" spans="1:2">
      <c r="A7542" s="1" t="str">
        <f>"8106.00.90"</f>
        <v>8106.00.90</v>
      </c>
      <c r="B7542" s="2" t="str">
        <f>"Outros"</f>
        <v>Outros</v>
      </c>
    </row>
    <row r="7543" spans="1:2">
      <c r="A7543" s="1" t="str">
        <f>"8107.20.10"</f>
        <v>8107.20.10</v>
      </c>
      <c r="B7543" s="2" t="str">
        <f>"Em formas brutas"</f>
        <v>Em formas brutas</v>
      </c>
    </row>
    <row r="7544" spans="1:2">
      <c r="A7544" s="1" t="str">
        <f>"8107.20.20"</f>
        <v>8107.20.20</v>
      </c>
      <c r="B7544" s="2" t="str">
        <f>"Pos"</f>
        <v>Pos</v>
      </c>
    </row>
    <row r="7545" spans="1:2">
      <c r="A7545" s="1" t="str">
        <f>"8107.30.00"</f>
        <v>8107.30.00</v>
      </c>
      <c r="B7545" s="2" t="str">
        <f>"Desperdicios e residuos, e sucata"</f>
        <v>Desperdicios e residuos, e sucata</v>
      </c>
    </row>
    <row r="7546" spans="1:2">
      <c r="A7546" s="1" t="str">
        <f>"8107.90.00"</f>
        <v>8107.90.00</v>
      </c>
      <c r="B7546" s="2" t="str">
        <f>"Outros"</f>
        <v>Outros</v>
      </c>
    </row>
    <row r="7547" spans="1:2">
      <c r="A7547" s="1" t="str">
        <f>"8108.20.00"</f>
        <v>8108.20.00</v>
      </c>
      <c r="B7547" s="2" t="str">
        <f>"Titanio em formas brutas; pos"</f>
        <v>Titanio em formas brutas; pos</v>
      </c>
    </row>
    <row r="7548" spans="1:2">
      <c r="A7548" s="1" t="str">
        <f>"8108.30.00"</f>
        <v>8108.30.00</v>
      </c>
      <c r="B7548" s="2" t="str">
        <f>"Desperdicios e residuos, e sucata"</f>
        <v>Desperdicios e residuos, e sucata</v>
      </c>
    </row>
    <row r="7549" spans="1:2">
      <c r="A7549" s="1" t="str">
        <f>"8108.90.00"</f>
        <v>8108.90.00</v>
      </c>
      <c r="B7549" s="2" t="str">
        <f>"Outros"</f>
        <v>Outros</v>
      </c>
    </row>
    <row r="7550" spans="1:2">
      <c r="A7550" s="1" t="str">
        <f>"8109.20.00"</f>
        <v>8109.20.00</v>
      </c>
      <c r="B7550" s="2" t="str">
        <f>"Zirconio em formas brutas; pos"</f>
        <v>Zirconio em formas brutas; pos</v>
      </c>
    </row>
    <row r="7551" spans="1:2">
      <c r="A7551" s="1" t="str">
        <f>"8109.30.00"</f>
        <v>8109.30.00</v>
      </c>
      <c r="B7551" s="2" t="str">
        <f>"Desperdicios e residuos, e sucata"</f>
        <v>Desperdicios e residuos, e sucata</v>
      </c>
    </row>
    <row r="7552" spans="1:2">
      <c r="A7552" s="1" t="str">
        <f>"8109.90.00"</f>
        <v>8109.90.00</v>
      </c>
      <c r="B7552" s="2" t="str">
        <f>"OUTROS -ESFERAS OX ZIRC"</f>
        <v>OUTROS -ESFERAS OX ZIRC</v>
      </c>
    </row>
    <row r="7553" spans="1:2">
      <c r="A7553" s="1" t="str">
        <f>"8110.10.10"</f>
        <v>8110.10.10</v>
      </c>
      <c r="B7553" s="2" t="str">
        <f>"Em formas brutas"</f>
        <v>Em formas brutas</v>
      </c>
    </row>
    <row r="7554" spans="1:2">
      <c r="A7554" s="1" t="str">
        <f>"8110.10.20"</f>
        <v>8110.10.20</v>
      </c>
      <c r="B7554" s="2" t="str">
        <f>"Pos"</f>
        <v>Pos</v>
      </c>
    </row>
    <row r="7555" spans="1:2">
      <c r="A7555" s="1" t="str">
        <f>"8110.20.00"</f>
        <v>8110.20.00</v>
      </c>
      <c r="B7555" s="2" t="str">
        <f>"Desperdicios e residuos, e sucata"</f>
        <v>Desperdicios e residuos, e sucata</v>
      </c>
    </row>
    <row r="7556" spans="1:2">
      <c r="A7556" s="1" t="str">
        <f>"8110.90.00"</f>
        <v>8110.90.00</v>
      </c>
      <c r="B7556" s="2" t="str">
        <f>"Outros"</f>
        <v>Outros</v>
      </c>
    </row>
    <row r="7557" spans="1:2">
      <c r="A7557" s="1" t="str">
        <f>"8111.00.10"</f>
        <v>8111.00.10</v>
      </c>
      <c r="B7557" s="2" t="str">
        <f>"Em formas brutas"</f>
        <v>Em formas brutas</v>
      </c>
    </row>
    <row r="7558" spans="1:2">
      <c r="A7558" s="1" t="str">
        <f>"8111.00.20"</f>
        <v>8111.00.20</v>
      </c>
      <c r="B7558" s="2" t="str">
        <f>"Chapas, folhas, tiras, fios, hastes"</f>
        <v>Chapas, folhas, tiras, fios, hastes</v>
      </c>
    </row>
    <row r="7559" spans="1:2">
      <c r="A7559" s="1" t="str">
        <f>"8111.00.90"</f>
        <v>8111.00.90</v>
      </c>
      <c r="B7559" s="2" t="str">
        <f>"Outros"</f>
        <v>Outros</v>
      </c>
    </row>
    <row r="7560" spans="1:2">
      <c r="A7560" s="1" t="str">
        <f>"8112.12.00"</f>
        <v>8112.12.00</v>
      </c>
      <c r="B7560" s="2" t="str">
        <f>"Em formas brutas; pos"</f>
        <v>Em formas brutas; pos</v>
      </c>
    </row>
    <row r="7561" spans="1:2">
      <c r="A7561" s="1" t="str">
        <f>"8112.13.00"</f>
        <v>8112.13.00</v>
      </c>
      <c r="B7561" s="2" t="str">
        <f>"Desperdicios e residuos, e sucata"</f>
        <v>Desperdicios e residuos, e sucata</v>
      </c>
    </row>
    <row r="7562" spans="1:2">
      <c r="A7562" s="1" t="str">
        <f>"8112.19.00"</f>
        <v>8112.19.00</v>
      </c>
      <c r="B7562" s="2" t="str">
        <f>"Outros"</f>
        <v>Outros</v>
      </c>
    </row>
    <row r="7563" spans="1:2">
      <c r="A7563" s="1" t="str">
        <f>"8112.21.10"</f>
        <v>8112.21.10</v>
      </c>
      <c r="B7563" s="2" t="str">
        <f>"Em formas brutas"</f>
        <v>Em formas brutas</v>
      </c>
    </row>
    <row r="7564" spans="1:2">
      <c r="A7564" s="1" t="str">
        <f>"8112.21.20"</f>
        <v>8112.21.20</v>
      </c>
      <c r="B7564" s="2" t="str">
        <f>"Pos"</f>
        <v>Pos</v>
      </c>
    </row>
    <row r="7565" spans="1:2">
      <c r="A7565" s="1" t="str">
        <f>"8112.22.00"</f>
        <v>8112.22.00</v>
      </c>
      <c r="B7565" s="2" t="str">
        <f>"Desperdicios e residuos, e sucata"</f>
        <v>Desperdicios e residuos, e sucata</v>
      </c>
    </row>
    <row r="7566" spans="1:2">
      <c r="A7566" s="1" t="str">
        <f>"8112.29.00"</f>
        <v>8112.29.00</v>
      </c>
      <c r="B7566" s="2" t="str">
        <f>"Outros"</f>
        <v>Outros</v>
      </c>
    </row>
    <row r="7567" spans="1:2">
      <c r="A7567" s="1" t="str">
        <f>"8112.51.00"</f>
        <v>8112.51.00</v>
      </c>
      <c r="B7567" s="2" t="str">
        <f>"Em formas brutas; pos"</f>
        <v>Em formas brutas; pos</v>
      </c>
    </row>
    <row r="7568" spans="1:2">
      <c r="A7568" s="1" t="str">
        <f>"8112.52.00"</f>
        <v>8112.52.00</v>
      </c>
      <c r="B7568" s="2" t="str">
        <f>"Desperdicios e residuos, e sucata"</f>
        <v>Desperdicios e residuos, e sucata</v>
      </c>
    </row>
    <row r="7569" spans="1:2">
      <c r="A7569" s="1" t="str">
        <f>"8112.59.00"</f>
        <v>8112.59.00</v>
      </c>
      <c r="B7569" s="2" t="str">
        <f>"Outros"</f>
        <v>Outros</v>
      </c>
    </row>
    <row r="7570" spans="1:2">
      <c r="A7570" s="1" t="str">
        <f>"8112.92.00"</f>
        <v>8112.92.00</v>
      </c>
      <c r="B7570" s="2" t="str">
        <f>"Em formas brutas; desperdicios e re"</f>
        <v>Em formas brutas; desperdicios e re</v>
      </c>
    </row>
    <row r="7571" spans="1:2">
      <c r="A7571" s="1" t="str">
        <f>"8112.99.00"</f>
        <v>8112.99.00</v>
      </c>
      <c r="B7571" s="2" t="str">
        <f>"Outros"</f>
        <v>Outros</v>
      </c>
    </row>
    <row r="7572" spans="1:2">
      <c r="A7572" s="1" t="str">
        <f>"8113.00.10"</f>
        <v>8113.00.10</v>
      </c>
      <c r="B7572" s="2" t="str">
        <f>"Chapas, folhas, tiras, fios, hastes"</f>
        <v>Chapas, folhas, tiras, fios, hastes</v>
      </c>
    </row>
    <row r="7573" spans="1:2">
      <c r="A7573" s="1" t="str">
        <f>"8113.00.90"</f>
        <v>8113.00.90</v>
      </c>
      <c r="B7573" s="2" t="str">
        <f>"Outros"</f>
        <v>Outros</v>
      </c>
    </row>
    <row r="7574" spans="1:2">
      <c r="A7574" s="1" t="str">
        <f>"8181.90.00"</f>
        <v>8181.90.00</v>
      </c>
      <c r="B7574" s="2" t="str">
        <f>"INATIVO"</f>
        <v>INATIVO</v>
      </c>
    </row>
    <row r="7575" spans="1:2">
      <c r="A7575" s="1" t="str">
        <f>"8201.10.00"</f>
        <v>8201.10.00</v>
      </c>
      <c r="B7575" s="2" t="str">
        <f>"PÁS"</f>
        <v>PÁS</v>
      </c>
    </row>
    <row r="7576" spans="1:2">
      <c r="A7576" s="1" t="str">
        <f>"8201.30.00"</f>
        <v>8201.30.00</v>
      </c>
      <c r="B7576" s="2" t="str">
        <f>"ALVIÕES, PICARETA, ENXADA, SACHOS"</f>
        <v>ALVIÕES, PICARETA, ENXADA, SACHOS</v>
      </c>
    </row>
    <row r="7577" spans="1:2">
      <c r="A7577" s="1" t="str">
        <f>"8201.40.00"</f>
        <v>8201.40.00</v>
      </c>
      <c r="B7577" s="2" t="str">
        <f>"MACHADOS, PODÕES E GUME"</f>
        <v>MACHADOS, PODÕES E GUME</v>
      </c>
    </row>
    <row r="7578" spans="1:2">
      <c r="A7578" s="1" t="str">
        <f>"8201.50.00"</f>
        <v>8201.50.00</v>
      </c>
      <c r="B7578" s="2" t="str">
        <f>"Tesouras de podar (incluindo as tes"</f>
        <v>Tesouras de podar (incluindo as tes</v>
      </c>
    </row>
    <row r="7579" spans="1:2">
      <c r="A7579" s="1" t="str">
        <f>"8201.60.00"</f>
        <v>8201.60.00</v>
      </c>
      <c r="B7579" s="2" t="str">
        <f>"Tesouras para sebes, tesouras de po"</f>
        <v>Tesouras para sebes, tesouras de po</v>
      </c>
    </row>
    <row r="7580" spans="1:2">
      <c r="A7580" s="1" t="str">
        <f>"8201.90.00"</f>
        <v>8201.90.00</v>
      </c>
      <c r="B7580" s="2" t="str">
        <f>"Outras ferramentas manuais para agr"</f>
        <v>Outras ferramentas manuais para agr</v>
      </c>
    </row>
    <row r="7581" spans="1:2">
      <c r="A7581" s="1" t="str">
        <f>"8202.10.00"</f>
        <v>8202.10.00</v>
      </c>
      <c r="B7581" s="2" t="str">
        <f>"SERRAS MANUAIS"</f>
        <v>SERRAS MANUAIS</v>
      </c>
    </row>
    <row r="7582" spans="1:2">
      <c r="A7582" s="1" t="str">
        <f>"8202.20.00"</f>
        <v>8202.20.00</v>
      </c>
      <c r="B7582" s="2" t="str">
        <f>"FOLHAS DE SERRAS DE FITA"</f>
        <v>FOLHAS DE SERRAS DE FITA</v>
      </c>
    </row>
    <row r="7583" spans="1:2">
      <c r="A7583" s="1" t="str">
        <f>"8202.31.00"</f>
        <v>8202.31.00</v>
      </c>
      <c r="B7583" s="2" t="str">
        <f>"COM PARTE OPERANTE DE AÇO"</f>
        <v>COM PARTE OPERANTE DE AÇO</v>
      </c>
    </row>
    <row r="7584" spans="1:2">
      <c r="A7584" s="1" t="str">
        <f>"8202.39.00"</f>
        <v>8202.39.00</v>
      </c>
      <c r="B7584" s="2" t="str">
        <f>"Outras, incluindo as partes"</f>
        <v>Outras, incluindo as partes</v>
      </c>
    </row>
    <row r="7585" spans="1:2">
      <c r="A7585" s="1" t="str">
        <f>"8202.40.00"</f>
        <v>8202.40.00</v>
      </c>
      <c r="B7585" s="2" t="str">
        <f>"Correntes cortantes de serras"</f>
        <v>Correntes cortantes de serras</v>
      </c>
    </row>
    <row r="7586" spans="1:2">
      <c r="A7586" s="1" t="str">
        <f>"8202.91.00"</f>
        <v>8202.91.00</v>
      </c>
      <c r="B7586" s="2" t="str">
        <f>"FOLHAS DE SERRAS RETILÍNEAS, PARA T"</f>
        <v>FOLHAS DE SERRAS RETILÍNEAS, PARA T</v>
      </c>
    </row>
    <row r="7587" spans="1:2">
      <c r="A7587" s="1" t="str">
        <f>"8202.99.10"</f>
        <v>8202.99.10</v>
      </c>
      <c r="B7587" s="2" t="str">
        <f>"Retas, nao denteadas, para serrar p"</f>
        <v>Retas, nao denteadas, para serrar p</v>
      </c>
    </row>
    <row r="7588" spans="1:2">
      <c r="A7588" s="1" t="str">
        <f>"8202.99.90"</f>
        <v>8202.99.90</v>
      </c>
      <c r="B7588" s="2" t="str">
        <f>"OUTROS SERRA COPO"</f>
        <v>OUTROS SERRA COPO</v>
      </c>
    </row>
    <row r="7589" spans="1:2">
      <c r="A7589" s="1" t="str">
        <f>"8203.10.10"</f>
        <v>8203.10.10</v>
      </c>
      <c r="B7589" s="2" t="str">
        <f>"LIMAS E GROSAS"</f>
        <v>LIMAS E GROSAS</v>
      </c>
    </row>
    <row r="7590" spans="1:2">
      <c r="A7590" s="1" t="str">
        <f>"8203.10.90"</f>
        <v>8203.10.90</v>
      </c>
      <c r="B7590" s="2" t="str">
        <f>"OUTRAS"</f>
        <v>OUTRAS</v>
      </c>
    </row>
    <row r="7591" spans="1:2">
      <c r="A7591" s="1" t="str">
        <f>"8203.20.10"</f>
        <v>8203.20.10</v>
      </c>
      <c r="B7591" s="2" t="str">
        <f>"ALICATES"</f>
        <v>ALICATES</v>
      </c>
    </row>
    <row r="7592" spans="1:2">
      <c r="A7592" s="1" t="str">
        <f>"8203.20.90"</f>
        <v>8203.20.90</v>
      </c>
      <c r="B7592" s="2" t="str">
        <f>"OUTRA"</f>
        <v>OUTRA</v>
      </c>
    </row>
    <row r="7593" spans="1:2">
      <c r="A7593" s="1" t="str">
        <f>"8203.30.00"</f>
        <v>8203.30.00</v>
      </c>
      <c r="B7593" s="2" t="str">
        <f>"CISALHAS PARA METAIS E FERRAMENTAS"</f>
        <v>CISALHAS PARA METAIS E FERRAMENTAS</v>
      </c>
    </row>
    <row r="7594" spans="1:2">
      <c r="A7594" s="1" t="str">
        <f>"8203.40.00"</f>
        <v>8203.40.00</v>
      </c>
      <c r="B7594" s="2" t="str">
        <f>"CORTA-TUBOS, CORTA-PINOS, SACA-BOCA"</f>
        <v>CORTA-TUBOS, CORTA-PINOS, SACA-BOCA</v>
      </c>
    </row>
    <row r="7595" spans="1:2">
      <c r="A7595" s="1" t="str">
        <f>"8204.11.00"</f>
        <v>8204.11.00</v>
      </c>
      <c r="B7595" s="2" t="str">
        <f>"DE ABERTURA FIXA"</f>
        <v>DE ABERTURA FIXA</v>
      </c>
    </row>
    <row r="7596" spans="1:2">
      <c r="A7596" s="1" t="str">
        <f>"8204.12.00"</f>
        <v>8204.12.00</v>
      </c>
      <c r="B7596" s="2" t="str">
        <f>"DE ABERTURA VARIÁVEL"</f>
        <v>DE ABERTURA VARIÁVEL</v>
      </c>
    </row>
    <row r="7597" spans="1:2">
      <c r="A7597" s="1" t="str">
        <f>"8204.20.00"</f>
        <v>8204.20.00</v>
      </c>
      <c r="B7597" s="2" t="str">
        <f>"CHAVES DE CAIXA INTERCAMBIAVEIS"</f>
        <v>CHAVES DE CAIXA INTERCAMBIAVEIS</v>
      </c>
    </row>
    <row r="7598" spans="1:2">
      <c r="A7598" s="1" t="str">
        <f>"8205.10.00"</f>
        <v>8205.10.00</v>
      </c>
      <c r="B7598" s="2" t="str">
        <f>"FERRAMENTAS DE FURAS E ROSCAL"</f>
        <v>FERRAMENTAS DE FURAS E ROSCAL</v>
      </c>
    </row>
    <row r="7599" spans="1:2">
      <c r="A7599" s="1" t="str">
        <f>"8205.20.00"</f>
        <v>8205.20.00</v>
      </c>
      <c r="B7599" s="2" t="str">
        <f>"MARTELOS E MARRETAS"</f>
        <v>MARTELOS E MARRETAS</v>
      </c>
    </row>
    <row r="7600" spans="1:2">
      <c r="A7600" s="1" t="str">
        <f>"8205.30.00"</f>
        <v>8205.30.00</v>
      </c>
      <c r="B7600" s="2" t="str">
        <f>"Plainas, formoes, goivas e ferramen"</f>
        <v>Plainas, formoes, goivas e ferramen</v>
      </c>
    </row>
    <row r="7601" spans="1:2">
      <c r="A7601" s="1" t="str">
        <f>"8205.40.00"</f>
        <v>8205.40.00</v>
      </c>
      <c r="B7601" s="2" t="str">
        <f>"CHAVES DE FENDA"</f>
        <v>CHAVES DE FENDA</v>
      </c>
    </row>
    <row r="7602" spans="1:2">
      <c r="A7602" s="1" t="str">
        <f>"8205.51.00"</f>
        <v>8205.51.00</v>
      </c>
      <c r="B7602" s="2" t="str">
        <f>"De uso doméstico"</f>
        <v>De uso doméstico</v>
      </c>
    </row>
    <row r="7603" spans="1:2">
      <c r="A7603" s="1" t="str">
        <f>"8205.59.00"</f>
        <v>8205.59.00</v>
      </c>
      <c r="B7603" s="2" t="str">
        <f>"Outras"</f>
        <v>Outras</v>
      </c>
    </row>
    <row r="7604" spans="1:2">
      <c r="A7604" s="1" t="str">
        <f>"8205.60.00"</f>
        <v>8205.60.00</v>
      </c>
      <c r="B7604" s="2" t="str">
        <f>"Lampadas ou lamparinas, de soldar ("</f>
        <v>Lampadas ou lamparinas, de soldar (</v>
      </c>
    </row>
    <row r="7605" spans="1:2">
      <c r="A7605" s="1" t="str">
        <f>"8205.70.00"</f>
        <v>8205.70.00</v>
      </c>
      <c r="B7605" s="2" t="str">
        <f>"TORNOS DE APERTAR, SARGENTOS"</f>
        <v>TORNOS DE APERTAR, SARGENTOS</v>
      </c>
    </row>
    <row r="7606" spans="1:2">
      <c r="A7606" s="1" t="str">
        <f>"8205.90.00"</f>
        <v>8205.90.00</v>
      </c>
      <c r="B7606" s="2" t="str">
        <f>"OUTROS - FERRAMENTAS MANUAIIS"</f>
        <v>OUTROS - FERRAMENTAS MANUAIIS</v>
      </c>
    </row>
    <row r="7607" spans="1:2">
      <c r="A7607" s="1" t="str">
        <f>"8206.00.00"</f>
        <v>8206.00.00</v>
      </c>
      <c r="B7607" s="2" t="str">
        <f>"Ferramentas de pelo menos duas das"</f>
        <v>Ferramentas de pelo menos duas das</v>
      </c>
    </row>
    <row r="7608" spans="1:2">
      <c r="A7608" s="1" t="str">
        <f>"8207.13.00"</f>
        <v>8207.13.00</v>
      </c>
      <c r="B7608" s="2" t="str">
        <f>"COM PARTE OPERANTE DE CERAMAIS"</f>
        <v>COM PARTE OPERANTE DE CERAMAIS</v>
      </c>
    </row>
    <row r="7609" spans="1:2">
      <c r="A7609" s="1" t="str">
        <f>"8207.19.00"</f>
        <v>8207.19.00</v>
      </c>
      <c r="B7609" s="2" t="str">
        <f>"OUTRAS, INCLUINDO AS PARTES"</f>
        <v>OUTRAS, INCLUINDO AS PARTES</v>
      </c>
    </row>
    <row r="7610" spans="1:2">
      <c r="A7610" s="1" t="str">
        <f>"8207.20.00"</f>
        <v>8207.20.00</v>
      </c>
      <c r="B7610" s="2" t="str">
        <f>"Fieiras de estiramento ou de extrus"</f>
        <v>Fieiras de estiramento ou de extrus</v>
      </c>
    </row>
    <row r="7611" spans="1:2">
      <c r="A7611" s="1" t="str">
        <f>"8207.30.00"</f>
        <v>8207.30.00</v>
      </c>
      <c r="B7611" s="2" t="str">
        <f>"Ferramenta de embutir,estampar,punc"</f>
        <v>Ferramenta de embutir,estampar,punc</v>
      </c>
    </row>
    <row r="7612" spans="1:2">
      <c r="A7612" s="1" t="str">
        <f>"8207.40.10"</f>
        <v>8207.40.10</v>
      </c>
      <c r="B7612" s="2" t="str">
        <f>"DE ROSCAR INTERIORMENTE"</f>
        <v>DE ROSCAR INTERIORMENTE</v>
      </c>
    </row>
    <row r="7613" spans="1:2">
      <c r="A7613" s="1" t="str">
        <f>"8207.40.20"</f>
        <v>8207.40.20</v>
      </c>
      <c r="B7613" s="2" t="str">
        <f>"cabecote"</f>
        <v>cabecote</v>
      </c>
    </row>
    <row r="7614" spans="1:2">
      <c r="A7614" s="1" t="str">
        <f>"8207.50.11"</f>
        <v>8207.50.11</v>
      </c>
      <c r="B7614" s="2" t="str">
        <f>"HELICOIDAIS C/ DIÂM. INF./ IGUAL 52"</f>
        <v>HELICOIDAIS C/ DIÂM. INF./ IGUAL 52</v>
      </c>
    </row>
    <row r="7615" spans="1:2">
      <c r="A7615" s="1" t="str">
        <f>"8207.50.19"</f>
        <v>8207.50.19</v>
      </c>
      <c r="B7615" s="2" t="str">
        <f>"OUTRAS"</f>
        <v>OUTRAS</v>
      </c>
    </row>
    <row r="7616" spans="1:2">
      <c r="A7616" s="1" t="str">
        <f>"8207.50.90"</f>
        <v>8207.50.90</v>
      </c>
      <c r="B7616" s="2" t="str">
        <f>"OUTRAS"</f>
        <v>OUTRAS</v>
      </c>
    </row>
    <row r="7617" spans="1:2">
      <c r="A7617" s="1" t="str">
        <f>"8207.60.00"</f>
        <v>8207.60.00</v>
      </c>
      <c r="B7617" s="2" t="str">
        <f>"Ferramentas de mandrilar (escarear*"</f>
        <v>Ferramentas de mandrilar (escarear*</v>
      </c>
    </row>
    <row r="7618" spans="1:2">
      <c r="A7618" s="1" t="str">
        <f>"8207.70.10"</f>
        <v>8207.70.10</v>
      </c>
      <c r="B7618" s="2" t="str">
        <f>"De topo"</f>
        <v>De topo</v>
      </c>
    </row>
    <row r="7619" spans="1:2">
      <c r="A7619" s="1" t="str">
        <f>"8207.70.20"</f>
        <v>8207.70.20</v>
      </c>
      <c r="B7619" s="2" t="str">
        <f>"Para cortar engrenagens"</f>
        <v>Para cortar engrenagens</v>
      </c>
    </row>
    <row r="7620" spans="1:2">
      <c r="A7620" s="1" t="str">
        <f>"8207.70.90"</f>
        <v>8207.70.90</v>
      </c>
      <c r="B7620" s="2" t="str">
        <f>"Outros"</f>
        <v>Outros</v>
      </c>
    </row>
    <row r="7621" spans="1:2">
      <c r="A7621" s="1" t="str">
        <f>"8207.80.00"</f>
        <v>8207.80.00</v>
      </c>
      <c r="B7621" s="2" t="str">
        <f>"Ferramentas de tornear"</f>
        <v>Ferramentas de tornear</v>
      </c>
    </row>
    <row r="7622" spans="1:2">
      <c r="A7622" s="1" t="str">
        <f>"8207.90.00"</f>
        <v>8207.90.00</v>
      </c>
      <c r="B7622" s="2" t="str">
        <f>"OUTRAS FERRAMENTAS INTERCAMBIAVEIS"</f>
        <v>OUTRAS FERRAMENTAS INTERCAMBIAVEIS</v>
      </c>
    </row>
    <row r="7623" spans="1:2">
      <c r="A7623" s="1" t="str">
        <f>"8208.10.00"</f>
        <v>8208.10.00</v>
      </c>
      <c r="B7623" s="2" t="str">
        <f>"PARA TRABALHAR METAIS CORTADOR LAMI"</f>
        <v>PARA TRABALHAR METAIS CORTADOR LAMI</v>
      </c>
    </row>
    <row r="7624" spans="1:2">
      <c r="A7624" s="1" t="str">
        <f>"8208.20.00"</f>
        <v>8208.20.00</v>
      </c>
      <c r="B7624" s="2" t="str">
        <f>"Para trabalhar madeira"</f>
        <v>Para trabalhar madeira</v>
      </c>
    </row>
    <row r="7625" spans="1:2">
      <c r="A7625" s="1" t="str">
        <f>"8208.30.00"</f>
        <v>8208.30.00</v>
      </c>
      <c r="B7625" s="2" t="str">
        <f>"Para aparelhos de cozinha ou para m"</f>
        <v>Para aparelhos de cozinha ou para m</v>
      </c>
    </row>
    <row r="7626" spans="1:2">
      <c r="A7626" s="1" t="str">
        <f>"8208.40.00"</f>
        <v>8208.40.00</v>
      </c>
      <c r="B7626" s="2" t="str">
        <f>"Para maquinas de agricultura, horti"</f>
        <v>Para maquinas de agricultura, horti</v>
      </c>
    </row>
    <row r="7627" spans="1:2">
      <c r="A7627" s="1" t="str">
        <f>"8208.90.00"</f>
        <v>8208.90.00</v>
      </c>
      <c r="B7627" s="2" t="str">
        <f>"OUTRAS FACAS E LAMINAS CORTANTES"</f>
        <v>OUTRAS FACAS E LAMINAS CORTANTES</v>
      </c>
    </row>
    <row r="7628" spans="1:2">
      <c r="A7628" s="1" t="str">
        <f>"8209.00.11"</f>
        <v>8209.00.11</v>
      </c>
      <c r="B7628" s="2" t="str">
        <f>"Intercambiaveis"</f>
        <v>Intercambiaveis</v>
      </c>
    </row>
    <row r="7629" spans="1:2">
      <c r="A7629" s="1" t="str">
        <f>"8209.00.19"</f>
        <v>8209.00.19</v>
      </c>
      <c r="B7629" s="2" t="str">
        <f>"Outras"</f>
        <v>Outras</v>
      </c>
    </row>
    <row r="7630" spans="1:2">
      <c r="A7630" s="1" t="str">
        <f>"8209.00.90"</f>
        <v>8209.00.90</v>
      </c>
      <c r="B7630" s="2" t="str">
        <f>"Outros"</f>
        <v>Outros</v>
      </c>
    </row>
    <row r="7631" spans="1:2">
      <c r="A7631" s="1" t="str">
        <f>"8210.00.10"</f>
        <v>8210.00.10</v>
      </c>
      <c r="B7631" s="2" t="str">
        <f>"Moinhos"</f>
        <v>Moinhos</v>
      </c>
    </row>
    <row r="7632" spans="1:2">
      <c r="A7632" s="1" t="str">
        <f>"8210.00.90"</f>
        <v>8210.00.90</v>
      </c>
      <c r="B7632" s="2" t="str">
        <f>"Outros"</f>
        <v>Outros</v>
      </c>
    </row>
    <row r="7633" spans="1:2">
      <c r="A7633" s="1" t="str">
        <f>"8211.10.00"</f>
        <v>8211.10.00</v>
      </c>
      <c r="B7633" s="2" t="str">
        <f>"Sortidos"</f>
        <v>Sortidos</v>
      </c>
    </row>
    <row r="7634" spans="1:2">
      <c r="A7634" s="1" t="str">
        <f>"8211.91.00"</f>
        <v>8211.91.00</v>
      </c>
      <c r="B7634" s="2" t="str">
        <f>"Facas de mesa, de lamina fixa"</f>
        <v>Facas de mesa, de lamina fixa</v>
      </c>
    </row>
    <row r="7635" spans="1:2">
      <c r="A7635" s="1" t="str">
        <f>"8211.92.10"</f>
        <v>8211.92.10</v>
      </c>
      <c r="B7635" s="2" t="str">
        <f>"Para cozinha e acougue"</f>
        <v>Para cozinha e acougue</v>
      </c>
    </row>
    <row r="7636" spans="1:2">
      <c r="A7636" s="1" t="str">
        <f>"8211.92.20"</f>
        <v>8211.92.20</v>
      </c>
      <c r="B7636" s="2" t="str">
        <f>"Para caca"</f>
        <v>Para caca</v>
      </c>
    </row>
    <row r="7637" spans="1:2">
      <c r="A7637" s="1" t="str">
        <f>"8211.92.90"</f>
        <v>8211.92.90</v>
      </c>
      <c r="B7637" s="2" t="str">
        <f>"Outras"</f>
        <v>Outras</v>
      </c>
    </row>
    <row r="7638" spans="1:2">
      <c r="A7638" s="1" t="str">
        <f>"8211.93.10"</f>
        <v>8211.93.10</v>
      </c>
      <c r="B7638" s="2" t="str">
        <f>"Podadeiras e suas partes"</f>
        <v>Podadeiras e suas partes</v>
      </c>
    </row>
    <row r="7639" spans="1:2">
      <c r="A7639" s="1" t="str">
        <f>"8211.93.20"</f>
        <v>8211.93.20</v>
      </c>
      <c r="B7639" s="2" t="str">
        <f>"Canivetes com uma ou varias laminas"</f>
        <v>Canivetes com uma ou varias laminas</v>
      </c>
    </row>
    <row r="7640" spans="1:2">
      <c r="A7640" s="1" t="str">
        <f>"8211.93.90"</f>
        <v>8211.93.90</v>
      </c>
      <c r="B7640" s="2" t="str">
        <f>"OUTRAS"</f>
        <v>OUTRAS</v>
      </c>
    </row>
    <row r="7641" spans="1:2">
      <c r="A7641" s="1" t="str">
        <f>"8211.94.00"</f>
        <v>8211.94.00</v>
      </c>
      <c r="B7641" s="2" t="str">
        <f>"LAMINA ESTILETE"</f>
        <v>LAMINA ESTILETE</v>
      </c>
    </row>
    <row r="7642" spans="1:2">
      <c r="A7642" s="1" t="str">
        <f>"8211.95.00"</f>
        <v>8211.95.00</v>
      </c>
      <c r="B7642" s="2" t="str">
        <f>"Cabos de metais comuns"</f>
        <v>Cabos de metais comuns</v>
      </c>
    </row>
    <row r="7643" spans="1:2">
      <c r="A7643" s="1" t="str">
        <f>"8212.10.10"</f>
        <v>8212.10.10</v>
      </c>
      <c r="B7643" s="2" t="str">
        <f>"Navalhas"</f>
        <v>Navalhas</v>
      </c>
    </row>
    <row r="7644" spans="1:2">
      <c r="A7644" s="1" t="str">
        <f>"8212.10.20"</f>
        <v>8212.10.20</v>
      </c>
      <c r="B7644" s="2" t="str">
        <f>"Aparelhos"</f>
        <v>Aparelhos</v>
      </c>
    </row>
    <row r="7645" spans="1:2">
      <c r="A7645" s="1" t="str">
        <f>"8212.20.10"</f>
        <v>8212.20.10</v>
      </c>
      <c r="B7645" s="2" t="str">
        <f>"LAMINAS"</f>
        <v>LAMINAS</v>
      </c>
    </row>
    <row r="7646" spans="1:2">
      <c r="A7646" s="1" t="str">
        <f>"8212.20.20"</f>
        <v>8212.20.20</v>
      </c>
      <c r="B7646" s="2" t="str">
        <f>"Esbocos em tiras"</f>
        <v>Esbocos em tiras</v>
      </c>
    </row>
    <row r="7647" spans="1:2">
      <c r="A7647" s="1" t="str">
        <f>"8212.90.00"</f>
        <v>8212.90.00</v>
      </c>
      <c r="B7647" s="2" t="str">
        <f>"Outras partes"</f>
        <v>Outras partes</v>
      </c>
    </row>
    <row r="7648" spans="1:2">
      <c r="A7648" s="1" t="str">
        <f>"8213.00.00"</f>
        <v>8213.00.00</v>
      </c>
      <c r="B7648" s="2" t="str">
        <f>"TESOURAS E SUAS LÂMINAS."</f>
        <v>TESOURAS E SUAS LÂMINAS.</v>
      </c>
    </row>
    <row r="7649" spans="1:2">
      <c r="A7649" s="1" t="str">
        <f>"8214.10.00"</f>
        <v>8214.10.00</v>
      </c>
      <c r="B7649" s="2" t="str">
        <f>"ESPÁTULAS, ABRE-CARTAS, RASPADEIRAS"</f>
        <v>ESPÁTULAS, ABRE-CARTAS, RASPADEIRAS</v>
      </c>
    </row>
    <row r="7650" spans="1:2">
      <c r="A7650" s="1" t="str">
        <f>"8214.20.00"</f>
        <v>8214.20.00</v>
      </c>
      <c r="B7650" s="2" t="str">
        <f>"Utensilios e sortidos de utensilios"</f>
        <v>Utensilios e sortidos de utensilios</v>
      </c>
    </row>
    <row r="7651" spans="1:2">
      <c r="A7651" s="1" t="str">
        <f>"8214.90.10"</f>
        <v>8214.90.10</v>
      </c>
      <c r="B7651" s="2" t="str">
        <f>"Maquinas de tosquiar e suas partes"</f>
        <v>Maquinas de tosquiar e suas partes</v>
      </c>
    </row>
    <row r="7652" spans="1:2">
      <c r="A7652" s="1" t="str">
        <f>"8214.90.90"</f>
        <v>8214.90.90</v>
      </c>
      <c r="B7652" s="2" t="str">
        <f>"Outros"</f>
        <v>Outros</v>
      </c>
    </row>
    <row r="7653" spans="1:2">
      <c r="A7653" s="1" t="str">
        <f>"8215.10.00"</f>
        <v>8215.10.00</v>
      </c>
      <c r="B7653" s="2" t="str">
        <f>"Sortidos que contenham pelo menos u"</f>
        <v>Sortidos que contenham pelo menos u</v>
      </c>
    </row>
    <row r="7654" spans="1:2">
      <c r="A7654" s="1" t="str">
        <f>"8215.20.00"</f>
        <v>8215.20.00</v>
      </c>
      <c r="B7654" s="2" t="str">
        <f>"Outros sortidos"</f>
        <v>Outros sortidos</v>
      </c>
    </row>
    <row r="7655" spans="1:2">
      <c r="A7655" s="1" t="str">
        <f>"8215.91.00"</f>
        <v>8215.91.00</v>
      </c>
      <c r="B7655" s="2" t="str">
        <f>"Prateados, dourados ou platinados"</f>
        <v>Prateados, dourados ou platinados</v>
      </c>
    </row>
    <row r="7656" spans="1:2">
      <c r="A7656" s="1" t="str">
        <f>"8215.99.10"</f>
        <v>8215.99.10</v>
      </c>
      <c r="B7656" s="2" t="str">
        <f>"De aco inoxidavel"</f>
        <v>De aco inoxidavel</v>
      </c>
    </row>
    <row r="7657" spans="1:2">
      <c r="A7657" s="1" t="str">
        <f>"8215.99.90"</f>
        <v>8215.99.90</v>
      </c>
      <c r="B7657" s="2" t="str">
        <f>"Outros"</f>
        <v>Outros</v>
      </c>
    </row>
    <row r="7658" spans="1:2">
      <c r="A7658" s="1" t="str">
        <f>"8301.10.00"</f>
        <v>8301.10.00</v>
      </c>
      <c r="B7658" s="2" t="str">
        <f>"cadeados"</f>
        <v>cadeados</v>
      </c>
    </row>
    <row r="7659" spans="1:2">
      <c r="A7659" s="1" t="str">
        <f>"8301.20.00"</f>
        <v>8301.20.00</v>
      </c>
      <c r="B7659" s="2" t="str">
        <f>"Fechaduras do tipo utilizado em vei"</f>
        <v>Fechaduras do tipo utilizado em vei</v>
      </c>
    </row>
    <row r="7660" spans="1:2">
      <c r="A7660" s="1" t="str">
        <f>"8301.30.00"</f>
        <v>8301.30.00</v>
      </c>
      <c r="B7660" s="2" t="str">
        <f>"Fechaduras do tipo utilizado em mov"</f>
        <v>Fechaduras do tipo utilizado em mov</v>
      </c>
    </row>
    <row r="7661" spans="1:2">
      <c r="A7661" s="1" t="str">
        <f>"8301.40.00"</f>
        <v>8301.40.00</v>
      </c>
      <c r="B7661" s="2" t="str">
        <f>"OUTRAS FECHADURAS; FERROLHOS"</f>
        <v>OUTRAS FECHADURAS; FERROLHOS</v>
      </c>
    </row>
    <row r="7662" spans="1:2">
      <c r="A7662" s="1" t="str">
        <f>"8301.50.00"</f>
        <v>8301.50.00</v>
      </c>
      <c r="B7662" s="2" t="str">
        <f>"FECHOS/ARMAÇÕES C/ FECHO E  FECHADU"</f>
        <v>FECHOS/ARMAÇÕES C/ FECHO E  FECHADU</v>
      </c>
    </row>
    <row r="7663" spans="1:2">
      <c r="A7663" s="1" t="str">
        <f>"8301.60.00"</f>
        <v>8301.60.00</v>
      </c>
      <c r="B7663" s="2" t="str">
        <f>"Partes"</f>
        <v>Partes</v>
      </c>
    </row>
    <row r="7664" spans="1:2">
      <c r="A7664" s="1" t="str">
        <f>"8301.70.00"</f>
        <v>8301.70.00</v>
      </c>
      <c r="B7664" s="2" t="str">
        <f>"Chaves apresentadas isoladamente"</f>
        <v>Chaves apresentadas isoladamente</v>
      </c>
    </row>
    <row r="7665" spans="1:2">
      <c r="A7665" s="1" t="str">
        <f>"8302.10.00"</f>
        <v>8302.10.00</v>
      </c>
      <c r="B7665" s="2" t="str">
        <f>"Dobradiças de qualquer tipo"</f>
        <v>Dobradiças de qualquer tipo</v>
      </c>
    </row>
    <row r="7666" spans="1:2">
      <c r="A7666" s="1" t="str">
        <f>"8302.20.00"</f>
        <v>8302.20.00</v>
      </c>
      <c r="B7666" s="2" t="str">
        <f>"RODÍZIOS"</f>
        <v>RODÍZIOS</v>
      </c>
    </row>
    <row r="7667" spans="1:2">
      <c r="A7667" s="1" t="str">
        <f>"8302.30.00"</f>
        <v>8302.30.00</v>
      </c>
      <c r="B7667" s="2" t="str">
        <f>"Outras guarnicoes, ferragens e arti"</f>
        <v>Outras guarnicoes, ferragens e arti</v>
      </c>
    </row>
    <row r="7668" spans="1:2">
      <c r="A7668" s="1" t="str">
        <f>"8302.41.00"</f>
        <v>8302.41.00</v>
      </c>
      <c r="B7668" s="2" t="str">
        <f>"Para construcoes"</f>
        <v>Para construcoes</v>
      </c>
    </row>
    <row r="7669" spans="1:2">
      <c r="A7669" s="1" t="str">
        <f>"8302.42.00"</f>
        <v>8302.42.00</v>
      </c>
      <c r="B7669" s="2" t="str">
        <f>"OUTROS, PARA MÓVEIS"</f>
        <v>OUTROS, PARA MÓVEIS</v>
      </c>
    </row>
    <row r="7670" spans="1:2">
      <c r="A7670" s="1" t="str">
        <f>"8302.49.00"</f>
        <v>8302.49.00</v>
      </c>
      <c r="B7670" s="2" t="str">
        <f>"OUTROS"</f>
        <v>OUTROS</v>
      </c>
    </row>
    <row r="7671" spans="1:2">
      <c r="A7671" s="1" t="str">
        <f>"8302.50.00"</f>
        <v>8302.50.00</v>
      </c>
      <c r="B7671" s="2" t="str">
        <f>"Pateras, porta-chapeus, cabides e a"</f>
        <v>Pateras, porta-chapeus, cabides e a</v>
      </c>
    </row>
    <row r="7672" spans="1:2">
      <c r="A7672" s="1" t="str">
        <f>"8302.60.00"</f>
        <v>8302.60.00</v>
      </c>
      <c r="B7672" s="2" t="str">
        <f>"FECHOS AUTOMÁTICOS PARA PORTAS"</f>
        <v>FECHOS AUTOMÁTICOS PARA PORTAS</v>
      </c>
    </row>
    <row r="7673" spans="1:2">
      <c r="A7673" s="1" t="str">
        <f>"8303.00.00"</f>
        <v>8303.00.00</v>
      </c>
      <c r="B7673" s="2" t="str">
        <f>"COFRES-FORTES, PORTAS BLINDADAS"</f>
        <v>COFRES-FORTES, PORTAS BLINDADAS</v>
      </c>
    </row>
    <row r="7674" spans="1:2">
      <c r="A7674" s="1" t="str">
        <f>"8304.00.00"</f>
        <v>8304.00.00</v>
      </c>
      <c r="B7674" s="2" t="str">
        <f>"CHAV. SUPORTE PASTA SUSP  ACRIMET"</f>
        <v>CHAV. SUPORTE PASTA SUSP  ACRIMET</v>
      </c>
    </row>
    <row r="7675" spans="1:2">
      <c r="A7675" s="1" t="str">
        <f>"8305.10.00"</f>
        <v>8305.10.00</v>
      </c>
      <c r="B7675" s="2" t="str">
        <f>"Ferragens encadernação de folhas"</f>
        <v>Ferragens encadernação de folhas</v>
      </c>
    </row>
    <row r="7676" spans="1:2">
      <c r="A7676" s="1" t="str">
        <f>"8305.20.00"</f>
        <v>8305.20.00</v>
      </c>
      <c r="B7676" s="2" t="str">
        <f>"GRAMPOS APRESENTADOS EM BARRETAS"</f>
        <v>GRAMPOS APRESENTADOS EM BARRETAS</v>
      </c>
    </row>
    <row r="7677" spans="1:2">
      <c r="A7677" s="1" t="str">
        <f>"8305.90.00"</f>
        <v>8305.90.00</v>
      </c>
      <c r="B7677" s="2" t="str">
        <f>"OUTROS, INCLUINDO AS PARTES"</f>
        <v>OUTROS, INCLUINDO AS PARTES</v>
      </c>
    </row>
    <row r="7678" spans="1:2">
      <c r="A7678" s="1" t="str">
        <f>"8306.10.00"</f>
        <v>8306.10.00</v>
      </c>
      <c r="B7678" s="2" t="str">
        <f>"Sinos, campainhas, gongos e artigos"</f>
        <v>Sinos, campainhas, gongos e artigos</v>
      </c>
    </row>
    <row r="7679" spans="1:2">
      <c r="A7679" s="1" t="str">
        <f>"8306.21.00"</f>
        <v>8306.21.00</v>
      </c>
      <c r="B7679" s="2" t="str">
        <f>"Prateados, dourados ou platinados"</f>
        <v>Prateados, dourados ou platinados</v>
      </c>
    </row>
    <row r="7680" spans="1:2">
      <c r="A7680" s="1" t="str">
        <f>"8306.29.00"</f>
        <v>8306.29.00</v>
      </c>
      <c r="B7680" s="2" t="str">
        <f>"Outros"</f>
        <v>Outros</v>
      </c>
    </row>
    <row r="7681" spans="1:2">
      <c r="A7681" s="1" t="str">
        <f>"8306.30.00"</f>
        <v>8306.30.00</v>
      </c>
      <c r="B7681" s="2" t="str">
        <f>"Molduras para fotografias, gravuras"</f>
        <v>Molduras para fotografias, gravuras</v>
      </c>
    </row>
    <row r="7682" spans="1:2">
      <c r="A7682" s="1" t="str">
        <f>"8307.10.00"</f>
        <v>8307.10.00</v>
      </c>
      <c r="B7682" s="2" t="str">
        <f>"INATIVA - MANG MET 1.1/2"</f>
        <v>INATIVA - MANG MET 1.1/2</v>
      </c>
    </row>
    <row r="7683" spans="1:2">
      <c r="A7683" s="1" t="str">
        <f>"8307.10.10"</f>
        <v>8307.10.10</v>
      </c>
      <c r="B7683" s="2" t="str">
        <f>"Do tipo utilizado na explotacao sub"</f>
        <v>Do tipo utilizado na explotacao sub</v>
      </c>
    </row>
    <row r="7684" spans="1:2">
      <c r="A7684" s="1" t="str">
        <f>"8307.10.90"</f>
        <v>8307.10.90</v>
      </c>
      <c r="B7684" s="2" t="str">
        <f>"OUTROS"</f>
        <v>OUTROS</v>
      </c>
    </row>
    <row r="7685" spans="1:2">
      <c r="A7685" s="1" t="str">
        <f>"8307.90.00"</f>
        <v>8307.90.00</v>
      </c>
      <c r="B7685" s="2" t="str">
        <f>"DE OUTROS METAIS COMUNS"</f>
        <v>DE OUTROS METAIS COMUNS</v>
      </c>
    </row>
    <row r="7686" spans="1:2">
      <c r="A7686" s="1" t="str">
        <f>"8308.10.00"</f>
        <v>8308.10.00</v>
      </c>
      <c r="B7686" s="2" t="str">
        <f>"Grampos, colchetes e ilhoses"</f>
        <v>Grampos, colchetes e ilhoses</v>
      </c>
    </row>
    <row r="7687" spans="1:2">
      <c r="A7687" s="1" t="str">
        <f>"8308.20.00"</f>
        <v>8308.20.00</v>
      </c>
      <c r="B7687" s="2" t="str">
        <f>"REBITES TUBULARES OU DE HASTE FENDI"</f>
        <v>REBITES TUBULARES OU DE HASTE FENDI</v>
      </c>
    </row>
    <row r="7688" spans="1:2">
      <c r="A7688" s="1" t="str">
        <f>"8308.90.10"</f>
        <v>8308.90.10</v>
      </c>
      <c r="B7688" s="2" t="str">
        <f>"Fivelas"</f>
        <v>Fivelas</v>
      </c>
    </row>
    <row r="7689" spans="1:2">
      <c r="A7689" s="1" t="str">
        <f>"8308.90.20"</f>
        <v>8308.90.20</v>
      </c>
      <c r="B7689" s="2" t="str">
        <f>"Contas e lantejoulas"</f>
        <v>Contas e lantejoulas</v>
      </c>
    </row>
    <row r="7690" spans="1:2">
      <c r="A7690" s="1" t="str">
        <f>"8308.90.90"</f>
        <v>8308.90.90</v>
      </c>
      <c r="B7690" s="2" t="str">
        <f>"OUTROS"</f>
        <v>OUTROS</v>
      </c>
    </row>
    <row r="7691" spans="1:2">
      <c r="A7691" s="1" t="str">
        <f>"8309.10.00"</f>
        <v>8309.10.00</v>
      </c>
      <c r="B7691" s="2" t="str">
        <f>"Capsulas de coroa"</f>
        <v>Capsulas de coroa</v>
      </c>
    </row>
    <row r="7692" spans="1:2">
      <c r="A7692" s="1" t="str">
        <f>"8309.90.00"</f>
        <v>8309.90.00</v>
      </c>
      <c r="B7692" s="2" t="str">
        <f>"OUTROS - SELO POLIESTER"</f>
        <v>OUTROS - SELO POLIESTER</v>
      </c>
    </row>
    <row r="7693" spans="1:2">
      <c r="A7693" s="1" t="str">
        <f>"8310.00.00"</f>
        <v>8310.00.00</v>
      </c>
      <c r="B7693" s="2" t="str">
        <f>"PLACAS INDICAD/ SINALIZAD/ ENDEREÇ"</f>
        <v>PLACAS INDICAD/ SINALIZAD/ ENDEREÇ</v>
      </c>
    </row>
    <row r="7694" spans="1:2">
      <c r="A7694" s="1" t="str">
        <f>"8311.10.00"</f>
        <v>8311.10.00</v>
      </c>
      <c r="B7694" s="2" t="str">
        <f>"ELETRODOS REVEST SOLDAR ARCO/METAIS"</f>
        <v>ELETRODOS REVEST SOLDAR ARCO/METAIS</v>
      </c>
    </row>
    <row r="7695" spans="1:2">
      <c r="A7695" s="1" t="str">
        <f>"8311.20.00"</f>
        <v>8311.20.00</v>
      </c>
      <c r="B7695" s="2" t="str">
        <f>"Fios revestidos interiormente para"</f>
        <v>Fios revestidos interiormente para</v>
      </c>
    </row>
    <row r="7696" spans="1:2">
      <c r="A7696" s="1" t="str">
        <f>"8311.30.00"</f>
        <v>8311.30.00</v>
      </c>
      <c r="B7696" s="2" t="str">
        <f>"VARET./FIOS P/ SOLDA CHAMA, DE META"</f>
        <v>VARET./FIOS P/ SOLDA CHAMA, DE META</v>
      </c>
    </row>
    <row r="7697" spans="1:2">
      <c r="A7697" s="1" t="str">
        <f>"8311.90.00"</f>
        <v>8311.90.00</v>
      </c>
      <c r="B7697" s="2" t="str">
        <f>"OUTROS"</f>
        <v>OUTROS</v>
      </c>
    </row>
    <row r="7698" spans="1:2">
      <c r="A7698" s="1" t="str">
        <f>"8401.10.00"</f>
        <v>8401.10.00</v>
      </c>
      <c r="B7698" s="2" t="str">
        <f>"Reatores nucleares"</f>
        <v>Reatores nucleares</v>
      </c>
    </row>
    <row r="7699" spans="1:2">
      <c r="A7699" s="1" t="str">
        <f>"8401.20.00"</f>
        <v>8401.20.00</v>
      </c>
      <c r="B7699" s="2" t="str">
        <f>"Maquinas e aparelhos para a separac"</f>
        <v>Maquinas e aparelhos para a separac</v>
      </c>
    </row>
    <row r="7700" spans="1:2">
      <c r="A7700" s="1" t="str">
        <f>"8401.30.00"</f>
        <v>8401.30.00</v>
      </c>
      <c r="B7700" s="2" t="str">
        <f>"Elementos combustiveis (cartuchos)"</f>
        <v>Elementos combustiveis (cartuchos)</v>
      </c>
    </row>
    <row r="7701" spans="1:2">
      <c r="A7701" s="1" t="str">
        <f>"8401.40.00"</f>
        <v>8401.40.00</v>
      </c>
      <c r="B7701" s="2" t="str">
        <f>"Partes de reatores nucleares"</f>
        <v>Partes de reatores nucleares</v>
      </c>
    </row>
    <row r="7702" spans="1:2">
      <c r="A7702" s="1" t="str">
        <f>"8402.11.00"</f>
        <v>8402.11.00</v>
      </c>
      <c r="B7702" s="2" t="str">
        <f>"Caldeiras aquatubulares com produca"</f>
        <v>Caldeiras aquatubulares com produca</v>
      </c>
    </row>
    <row r="7703" spans="1:2">
      <c r="A7703" s="1" t="str">
        <f>"8402.12.00"</f>
        <v>8402.12.00</v>
      </c>
      <c r="B7703" s="2" t="str">
        <f>"Caldeiras aquatubulares com produca"</f>
        <v>Caldeiras aquatubulares com produca</v>
      </c>
    </row>
    <row r="7704" spans="1:2">
      <c r="A7704" s="1" t="str">
        <f>"8402.19.00"</f>
        <v>8402.19.00</v>
      </c>
      <c r="B7704" s="2" t="str">
        <f>"Outras caldeiras para producao de v"</f>
        <v>Outras caldeiras para producao de v</v>
      </c>
    </row>
    <row r="7705" spans="1:2">
      <c r="A7705" s="1" t="str">
        <f>"8402.20.00"</f>
        <v>8402.20.00</v>
      </c>
      <c r="B7705" s="2" t="str">
        <f>"Caldeiras denominadas ôde agua supe"</f>
        <v>Caldeiras denominadas ôde agua supe</v>
      </c>
    </row>
    <row r="7706" spans="1:2">
      <c r="A7706" s="1" t="str">
        <f>"8402.90.00"</f>
        <v>8402.90.00</v>
      </c>
      <c r="B7706" s="2" t="str">
        <f>"Partes"</f>
        <v>Partes</v>
      </c>
    </row>
    <row r="7707" spans="1:2">
      <c r="A7707" s="1" t="str">
        <f>"8403.10.10"</f>
        <v>8403.10.10</v>
      </c>
      <c r="B7707" s="2" t="str">
        <f>"Com capacidade inferior ou igual a"</f>
        <v>Com capacidade inferior ou igual a</v>
      </c>
    </row>
    <row r="7708" spans="1:2">
      <c r="A7708" s="1" t="str">
        <f>"8403.10.90"</f>
        <v>8403.10.90</v>
      </c>
      <c r="B7708" s="2" t="str">
        <f>"Outras"</f>
        <v>Outras</v>
      </c>
    </row>
    <row r="7709" spans="1:2">
      <c r="A7709" s="1" t="str">
        <f>"8403.90.00"</f>
        <v>8403.90.00</v>
      </c>
      <c r="B7709" s="2" t="str">
        <f>"Partes"</f>
        <v>Partes</v>
      </c>
    </row>
    <row r="7710" spans="1:2">
      <c r="A7710" s="1" t="str">
        <f>"8404.10.10"</f>
        <v>8404.10.10</v>
      </c>
      <c r="B7710" s="2" t="str">
        <f>"Da posicao 84.02"</f>
        <v>Da posicao 84.02</v>
      </c>
    </row>
    <row r="7711" spans="1:2">
      <c r="A7711" s="1" t="str">
        <f>"8404.10.20"</f>
        <v>8404.10.20</v>
      </c>
      <c r="B7711" s="2" t="str">
        <f>"Da posicao 84.03"</f>
        <v>Da posicao 84.03</v>
      </c>
    </row>
    <row r="7712" spans="1:2">
      <c r="A7712" s="1" t="str">
        <f>"8404.20.00"</f>
        <v>8404.20.00</v>
      </c>
      <c r="B7712" s="2" t="str">
        <f>"CIKLOP CP"</f>
        <v>CIKLOP CP</v>
      </c>
    </row>
    <row r="7713" spans="1:2">
      <c r="A7713" s="1" t="str">
        <f>"8404.40.29"</f>
        <v>8404.40.29</v>
      </c>
      <c r="B7713" s="2" t="str">
        <f>"INATIVO"</f>
        <v>INATIVO</v>
      </c>
    </row>
    <row r="7714" spans="1:2">
      <c r="A7714" s="1" t="str">
        <f>"8404.90.10"</f>
        <v>8404.90.10</v>
      </c>
      <c r="B7714" s="2" t="str">
        <f>"De aparelhos auxiliares para caldei"</f>
        <v>De aparelhos auxiliares para caldei</v>
      </c>
    </row>
    <row r="7715" spans="1:2">
      <c r="A7715" s="1" t="str">
        <f>"8404.90.90"</f>
        <v>8404.90.90</v>
      </c>
      <c r="B7715" s="2" t="str">
        <f>"Outras"</f>
        <v>Outras</v>
      </c>
    </row>
    <row r="7716" spans="1:2">
      <c r="A7716" s="1" t="str">
        <f>"8405.10.00"</f>
        <v>8405.10.00</v>
      </c>
      <c r="B7716" s="2" t="str">
        <f>"Geradores de gas de ar (gas pobre)"</f>
        <v>Geradores de gas de ar (gas pobre)</v>
      </c>
    </row>
    <row r="7717" spans="1:2">
      <c r="A7717" s="1" t="str">
        <f>"8405.90.00"</f>
        <v>8405.90.00</v>
      </c>
      <c r="B7717" s="2" t="str">
        <f>"Partes"</f>
        <v>Partes</v>
      </c>
    </row>
    <row r="7718" spans="1:2">
      <c r="A7718" s="1" t="str">
        <f>"8406.10.00"</f>
        <v>8406.10.00</v>
      </c>
      <c r="B7718" s="2" t="str">
        <f>"Turbinas para propulsao de embarcac"</f>
        <v>Turbinas para propulsao de embarcac</v>
      </c>
    </row>
    <row r="7719" spans="1:2">
      <c r="A7719" s="1" t="str">
        <f>"8406.81.00"</f>
        <v>8406.81.00</v>
      </c>
      <c r="B7719" s="2" t="str">
        <f>"Outras turbinas pot. superior 40MW"</f>
        <v>Outras turbinas pot. superior 40MW</v>
      </c>
    </row>
    <row r="7720" spans="1:2">
      <c r="A7720" s="1" t="str">
        <f>"8406.82.00"</f>
        <v>8406.82.00</v>
      </c>
      <c r="B7720" s="2" t="str">
        <f>"De potencia nao superior a 40 MW"</f>
        <v>De potencia nao superior a 40 MW</v>
      </c>
    </row>
    <row r="7721" spans="1:2">
      <c r="A7721" s="1" t="str">
        <f>"8406.90.11"</f>
        <v>8406.90.11</v>
      </c>
      <c r="B7721" s="2" t="str">
        <f>"De turbinas a reacao, de multiplos"</f>
        <v>De turbinas a reacao, de multiplos</v>
      </c>
    </row>
    <row r="7722" spans="1:2">
      <c r="A7722" s="1" t="str">
        <f>"8406.90.19"</f>
        <v>8406.90.19</v>
      </c>
      <c r="B7722" s="2" t="str">
        <f>"OUTRAS"</f>
        <v>OUTRAS</v>
      </c>
    </row>
    <row r="7723" spans="1:2">
      <c r="A7723" s="1" t="str">
        <f>"8406.90.21"</f>
        <v>8406.90.21</v>
      </c>
      <c r="B7723" s="2" t="str">
        <f>"Fixas (de estator)"</f>
        <v>Fixas (de estator)</v>
      </c>
    </row>
    <row r="7724" spans="1:2">
      <c r="A7724" s="1" t="str">
        <f>"8406.90.29"</f>
        <v>8406.90.29</v>
      </c>
      <c r="B7724" s="2" t="str">
        <f>"Outras"</f>
        <v>Outras</v>
      </c>
    </row>
    <row r="7725" spans="1:2">
      <c r="A7725" s="1" t="str">
        <f>"8406.90.90"</f>
        <v>8406.90.90</v>
      </c>
      <c r="B7725" s="2" t="str">
        <f>"Outras"</f>
        <v>Outras</v>
      </c>
    </row>
    <row r="7726" spans="1:2">
      <c r="A7726" s="1" t="str">
        <f>"8407.10.00"</f>
        <v>8407.10.00</v>
      </c>
      <c r="B7726" s="2" t="str">
        <f>"Motores para aviacao"</f>
        <v>Motores para aviacao</v>
      </c>
    </row>
    <row r="7727" spans="1:2">
      <c r="A7727" s="1" t="str">
        <f>"8407.21.10"</f>
        <v>8407.21.10</v>
      </c>
      <c r="B7727" s="2" t="str">
        <f>"Monocilindricos"</f>
        <v>Monocilindricos</v>
      </c>
    </row>
    <row r="7728" spans="1:2">
      <c r="A7728" s="1" t="str">
        <f>"8407.21.90"</f>
        <v>8407.21.90</v>
      </c>
      <c r="B7728" s="2" t="str">
        <f>"Outros"</f>
        <v>Outros</v>
      </c>
    </row>
    <row r="7729" spans="1:2">
      <c r="A7729" s="1" t="str">
        <f>"8407.29.10"</f>
        <v>8407.29.10</v>
      </c>
      <c r="B7729" s="2" t="str">
        <f>"Monocilindricos"</f>
        <v>Monocilindricos</v>
      </c>
    </row>
    <row r="7730" spans="1:2">
      <c r="A7730" s="1" t="str">
        <f>"8407.29.90"</f>
        <v>8407.29.90</v>
      </c>
      <c r="B7730" s="2" t="str">
        <f>"Outros"</f>
        <v>Outros</v>
      </c>
    </row>
    <row r="7731" spans="1:2">
      <c r="A7731" s="1" t="str">
        <f>"8407.31.10"</f>
        <v>8407.31.10</v>
      </c>
      <c r="B7731" s="2" t="str">
        <f>"Monocilindricos"</f>
        <v>Monocilindricos</v>
      </c>
    </row>
    <row r="7732" spans="1:2">
      <c r="A7732" s="1" t="str">
        <f>"8407.31.90"</f>
        <v>8407.31.90</v>
      </c>
      <c r="B7732" s="2" t="str">
        <f>"Outros"</f>
        <v>Outros</v>
      </c>
    </row>
    <row r="7733" spans="1:2">
      <c r="A7733" s="1" t="str">
        <f>"8407.32.00"</f>
        <v>8407.32.00</v>
      </c>
      <c r="B7733" s="2" t="str">
        <f>"De cilindrada superior a 50 cm3, ma"</f>
        <v>De cilindrada superior a 50 cm3, ma</v>
      </c>
    </row>
    <row r="7734" spans="1:2">
      <c r="A7734" s="1" t="str">
        <f>"8407.33.10"</f>
        <v>8407.33.10</v>
      </c>
      <c r="B7734" s="2" t="str">
        <f>"Monocilindricos"</f>
        <v>Monocilindricos</v>
      </c>
    </row>
    <row r="7735" spans="1:2">
      <c r="A7735" s="1" t="str">
        <f>"8407.33.90"</f>
        <v>8407.33.90</v>
      </c>
      <c r="B7735" s="2" t="str">
        <f>"Outros"</f>
        <v>Outros</v>
      </c>
    </row>
    <row r="7736" spans="1:2">
      <c r="A7736" s="1" t="str">
        <f>"8407.34.10"</f>
        <v>8407.34.10</v>
      </c>
      <c r="B7736" s="2" t="str">
        <f>"Monocilindricos"</f>
        <v>Monocilindricos</v>
      </c>
    </row>
    <row r="7737" spans="1:2">
      <c r="A7737" s="1" t="str">
        <f>"8407.34.90"</f>
        <v>8407.34.90</v>
      </c>
      <c r="B7737" s="2" t="str">
        <f>"Outros"</f>
        <v>Outros</v>
      </c>
    </row>
    <row r="7738" spans="1:2">
      <c r="A7738" s="1" t="str">
        <f>"8407.90.00"</f>
        <v>8407.90.00</v>
      </c>
      <c r="B7738" s="2" t="str">
        <f>"OUTROS MOTORES"</f>
        <v>OUTROS MOTORES</v>
      </c>
    </row>
    <row r="7739" spans="1:2">
      <c r="A7739" s="1" t="str">
        <f>"8408.10.10"</f>
        <v>8408.10.10</v>
      </c>
      <c r="B7739" s="2" t="str">
        <f>"Do tipo fora-de-borda"</f>
        <v>Do tipo fora-de-borda</v>
      </c>
    </row>
    <row r="7740" spans="1:2">
      <c r="A7740" s="1" t="str">
        <f>"8408.10.90"</f>
        <v>8408.10.90</v>
      </c>
      <c r="B7740" s="2" t="str">
        <f>"Outros"</f>
        <v>Outros</v>
      </c>
    </row>
    <row r="7741" spans="1:2">
      <c r="A7741" s="1" t="str">
        <f>"8408.20.10"</f>
        <v>8408.20.10</v>
      </c>
      <c r="B7741" s="2" t="str">
        <f>"De cilindrada inferior ou igual a 1"</f>
        <v>De cilindrada inferior ou igual a 1</v>
      </c>
    </row>
    <row r="7742" spans="1:2">
      <c r="A7742" s="1" t="str">
        <f>"8408.20.20"</f>
        <v>8408.20.20</v>
      </c>
      <c r="B7742" s="2" t="str">
        <f>"De cilindrada superior a 1.500 cm3,"</f>
        <v>De cilindrada superior a 1.500 cm3,</v>
      </c>
    </row>
    <row r="7743" spans="1:2">
      <c r="A7743" s="1" t="str">
        <f>"8408.20.30"</f>
        <v>8408.20.30</v>
      </c>
      <c r="B7743" s="2" t="str">
        <f>"De cilindrada superior a 2.500 cm3,"</f>
        <v>De cilindrada superior a 2.500 cm3,</v>
      </c>
    </row>
    <row r="7744" spans="1:2">
      <c r="A7744" s="1" t="str">
        <f>"8408.20.90"</f>
        <v>8408.20.90</v>
      </c>
      <c r="B7744" s="2" t="str">
        <f>"Outros"</f>
        <v>Outros</v>
      </c>
    </row>
    <row r="7745" spans="1:2">
      <c r="A7745" s="1" t="str">
        <f>"8408.90.10"</f>
        <v>8408.90.10</v>
      </c>
      <c r="B7745" s="2" t="str">
        <f>"Estacionarios, de potencia normal I"</f>
        <v>Estacionarios, de potencia normal I</v>
      </c>
    </row>
    <row r="7746" spans="1:2">
      <c r="A7746" s="1" t="str">
        <f>"8408.90.90"</f>
        <v>8408.90.90</v>
      </c>
      <c r="B7746" s="2" t="str">
        <f>"outros"</f>
        <v>outros</v>
      </c>
    </row>
    <row r="7747" spans="1:2">
      <c r="A7747" s="1" t="str">
        <f>"8409.10.00"</f>
        <v>8409.10.00</v>
      </c>
      <c r="B7747" s="2" t="str">
        <f>"De motores para aviacao"</f>
        <v>De motores para aviacao</v>
      </c>
    </row>
    <row r="7748" spans="1:2">
      <c r="A7748" s="1" t="str">
        <f>"8409.91.11"</f>
        <v>8409.91.11</v>
      </c>
      <c r="B7748" s="2" t="str">
        <f>"Bielas"</f>
        <v>Bielas</v>
      </c>
    </row>
    <row r="7749" spans="1:2">
      <c r="A7749" s="1" t="str">
        <f>"8409.91.12"</f>
        <v>8409.91.12</v>
      </c>
      <c r="B7749" s="2" t="str">
        <f>"Blocos de cilindros, cabecotes e ca"</f>
        <v>Blocos de cilindros, cabecotes e ca</v>
      </c>
    </row>
    <row r="7750" spans="1:2">
      <c r="A7750" s="1" t="str">
        <f>"8409.91.13"</f>
        <v>8409.91.13</v>
      </c>
      <c r="B7750" s="2" t="str">
        <f>"Carburadores, com bomba e dispositi"</f>
        <v>Carburadores, com bomba e dispositi</v>
      </c>
    </row>
    <row r="7751" spans="1:2">
      <c r="A7751" s="1" t="str">
        <f>"8409.91.14"</f>
        <v>8409.91.14</v>
      </c>
      <c r="B7751" s="2" t="str">
        <f>"Valvulas de admissao ou de escape"</f>
        <v>Valvulas de admissao ou de escape</v>
      </c>
    </row>
    <row r="7752" spans="1:2">
      <c r="A7752" s="1" t="str">
        <f>"8409.91.15"</f>
        <v>8409.91.15</v>
      </c>
      <c r="B7752" s="2" t="str">
        <f>"Coletores de admissao ou de escape"</f>
        <v>Coletores de admissao ou de escape</v>
      </c>
    </row>
    <row r="7753" spans="1:2">
      <c r="A7753" s="1" t="str">
        <f>"8409.91.16"</f>
        <v>8409.91.16</v>
      </c>
      <c r="B7753" s="2" t="str">
        <f>"Aneis de segmento"</f>
        <v>Aneis de segmento</v>
      </c>
    </row>
    <row r="7754" spans="1:2">
      <c r="A7754" s="1" t="str">
        <f>"8409.91.17"</f>
        <v>8409.91.17</v>
      </c>
      <c r="B7754" s="2" t="str">
        <f>"Guias de valvulas"</f>
        <v>Guias de valvulas</v>
      </c>
    </row>
    <row r="7755" spans="1:2">
      <c r="A7755" s="1" t="str">
        <f>"8409.91.18"</f>
        <v>8409.91.18</v>
      </c>
      <c r="B7755" s="2" t="str">
        <f>"Outros carburadores"</f>
        <v>Outros carburadores</v>
      </c>
    </row>
    <row r="7756" spans="1:2">
      <c r="A7756" s="1" t="str">
        <f>"8409.91.20"</f>
        <v>8409.91.20</v>
      </c>
      <c r="B7756" s="2" t="str">
        <f>"Pistoes ou embolos"</f>
        <v>Pistoes ou embolos</v>
      </c>
    </row>
    <row r="7757" spans="1:2">
      <c r="A7757" s="1" t="str">
        <f>"8409.91.30"</f>
        <v>8409.91.30</v>
      </c>
      <c r="B7757" s="2" t="str">
        <f>"CAMISAS DE CILINDRO"</f>
        <v>CAMISAS DE CILINDRO</v>
      </c>
    </row>
    <row r="7758" spans="1:2">
      <c r="A7758" s="1" t="str">
        <f>"8409.91.40"</f>
        <v>8409.91.40</v>
      </c>
      <c r="B7758" s="2" t="str">
        <f>"Injecao eletronica"</f>
        <v>Injecao eletronica</v>
      </c>
    </row>
    <row r="7759" spans="1:2">
      <c r="A7759" s="1" t="str">
        <f>"8409.91.90"</f>
        <v>8409.91.90</v>
      </c>
      <c r="B7759" s="2" t="str">
        <f>"OUTRAS"</f>
        <v>OUTRAS</v>
      </c>
    </row>
    <row r="7760" spans="1:2">
      <c r="A7760" s="1" t="str">
        <f>"8409.99.12"</f>
        <v>8409.99.12</v>
      </c>
      <c r="B7760" s="2" t="str">
        <f>"Blocos de cilindros e carteres"</f>
        <v>Blocos de cilindros e carteres</v>
      </c>
    </row>
    <row r="7761" spans="1:2">
      <c r="A7761" s="1" t="str">
        <f>"8409.99.14"</f>
        <v>8409.99.14</v>
      </c>
      <c r="B7761" s="2" t="str">
        <f>"Valvulas de admissao ou de escape"</f>
        <v>Valvulas de admissao ou de escape</v>
      </c>
    </row>
    <row r="7762" spans="1:2">
      <c r="A7762" s="1" t="str">
        <f>"8409.99.15"</f>
        <v>8409.99.15</v>
      </c>
      <c r="B7762" s="2" t="str">
        <f>"Coletores de admissao ou de escape"</f>
        <v>Coletores de admissao ou de escape</v>
      </c>
    </row>
    <row r="7763" spans="1:2">
      <c r="A7763" s="1" t="str">
        <f>"8409.99.17"</f>
        <v>8409.99.17</v>
      </c>
      <c r="B7763" s="2" t="str">
        <f>"Guias de valvulas"</f>
        <v>Guias de valvulas</v>
      </c>
    </row>
    <row r="7764" spans="1:2">
      <c r="A7764" s="1" t="str">
        <f>"8409.99.21"</f>
        <v>8409.99.21</v>
      </c>
      <c r="B7764" s="2" t="str">
        <f>"De diametro igual ou superior a 200"</f>
        <v>De diametro igual ou superior a 200</v>
      </c>
    </row>
    <row r="7765" spans="1:2">
      <c r="A7765" s="1" t="str">
        <f>"8409.99.29"</f>
        <v>8409.99.29</v>
      </c>
      <c r="B7765" s="2" t="str">
        <f>"outros"</f>
        <v>outros</v>
      </c>
    </row>
    <row r="7766" spans="1:2">
      <c r="A7766" s="1" t="str">
        <f>"8409.99.30"</f>
        <v>8409.99.30</v>
      </c>
      <c r="B7766" s="2" t="str">
        <f>"outros"</f>
        <v>outros</v>
      </c>
    </row>
    <row r="7767" spans="1:2">
      <c r="A7767" s="1" t="str">
        <f>"8409.99.41"</f>
        <v>8409.99.41</v>
      </c>
      <c r="B7767" s="2" t="str">
        <f>"De peso igual ou superior a 30 kg"</f>
        <v>De peso igual ou superior a 30 kg</v>
      </c>
    </row>
    <row r="7768" spans="1:2">
      <c r="A7768" s="1" t="str">
        <f>"8409.99.49"</f>
        <v>8409.99.49</v>
      </c>
      <c r="B7768" s="2" t="str">
        <f>"Outras"</f>
        <v>Outras</v>
      </c>
    </row>
    <row r="7769" spans="1:2">
      <c r="A7769" s="1" t="str">
        <f>"8409.99.51"</f>
        <v>8409.99.51</v>
      </c>
      <c r="B7769" s="2" t="str">
        <f>"De diametro igual ou superior a 200"</f>
        <v>De diametro igual ou superior a 200</v>
      </c>
    </row>
    <row r="7770" spans="1:2">
      <c r="A7770" s="1" t="str">
        <f>"8409.99.59"</f>
        <v>8409.99.59</v>
      </c>
      <c r="B7770" s="2" t="str">
        <f>"Outros"</f>
        <v>Outros</v>
      </c>
    </row>
    <row r="7771" spans="1:2">
      <c r="A7771" s="1" t="str">
        <f>"8409.99.61"</f>
        <v>8409.99.61</v>
      </c>
      <c r="B7771" s="2" t="str">
        <f>"De diametro igual ou superior a 20"</f>
        <v>De diametro igual ou superior a 20</v>
      </c>
    </row>
    <row r="7772" spans="1:2">
      <c r="A7772" s="1" t="str">
        <f>"8409.99.69"</f>
        <v>8409.99.69</v>
      </c>
      <c r="B7772" s="2" t="str">
        <f>"Outros"</f>
        <v>Outros</v>
      </c>
    </row>
    <row r="7773" spans="1:2">
      <c r="A7773" s="1" t="str">
        <f>"8409.99.71"</f>
        <v>8409.99.71</v>
      </c>
      <c r="B7773" s="2" t="str">
        <f>"De diametro igual ou superior a 200"</f>
        <v>De diametro igual ou superior a 200</v>
      </c>
    </row>
    <row r="7774" spans="1:2">
      <c r="A7774" s="1" t="str">
        <f>"8409.99.79"</f>
        <v>8409.99.79</v>
      </c>
      <c r="B7774" s="2" t="str">
        <f>"Outros"</f>
        <v>Outros</v>
      </c>
    </row>
    <row r="7775" spans="1:2">
      <c r="A7775" s="1" t="str">
        <f>"8409.99.91"</f>
        <v>8409.99.91</v>
      </c>
      <c r="B7775" s="2" t="str">
        <f>"Camisas de cilindro soldadas a cabe"</f>
        <v>Camisas de cilindro soldadas a cabe</v>
      </c>
    </row>
    <row r="7776" spans="1:2">
      <c r="A7776" s="1" t="str">
        <f>"8409.99.99"</f>
        <v>8409.99.99</v>
      </c>
      <c r="B7776" s="2" t="str">
        <f>"OUTRAS"</f>
        <v>OUTRAS</v>
      </c>
    </row>
    <row r="7777" spans="1:2">
      <c r="A7777" s="1" t="str">
        <f>"8410.11.00"</f>
        <v>8410.11.00</v>
      </c>
      <c r="B7777" s="2" t="str">
        <f>"De potencia nao superior a 1.000 kW"</f>
        <v>De potencia nao superior a 1.000 kW</v>
      </c>
    </row>
    <row r="7778" spans="1:2">
      <c r="A7778" s="1" t="str">
        <f>"8410.12.00"</f>
        <v>8410.12.00</v>
      </c>
      <c r="B7778" s="2" t="str">
        <f>"De potencia superior a 1.000 kW, ma"</f>
        <v>De potencia superior a 1.000 kW, ma</v>
      </c>
    </row>
    <row r="7779" spans="1:2">
      <c r="A7779" s="1" t="str">
        <f>"8410.13.00"</f>
        <v>8410.13.00</v>
      </c>
      <c r="B7779" s="2" t="str">
        <f>"De potencia superior a 10.000 kW"</f>
        <v>De potencia superior a 10.000 kW</v>
      </c>
    </row>
    <row r="7780" spans="1:2">
      <c r="A7780" s="1" t="str">
        <f>"8410.90.00"</f>
        <v>8410.90.00</v>
      </c>
      <c r="B7780" s="2" t="str">
        <f>"Partes, incluindo os reguladores"</f>
        <v>Partes, incluindo os reguladores</v>
      </c>
    </row>
    <row r="7781" spans="1:2">
      <c r="A7781" s="1" t="str">
        <f>"8411.11.00"</f>
        <v>8411.11.00</v>
      </c>
      <c r="B7781" s="2" t="str">
        <f>"De empuxo (impulso*) nao superior a"</f>
        <v>De empuxo (impulso*) nao superior a</v>
      </c>
    </row>
    <row r="7782" spans="1:2">
      <c r="A7782" s="1" t="str">
        <f>"8411.12.00"</f>
        <v>8411.12.00</v>
      </c>
      <c r="B7782" s="2" t="str">
        <f>"De empuxo (impulso*) superior a 25"</f>
        <v>De empuxo (impulso*) superior a 25</v>
      </c>
    </row>
    <row r="7783" spans="1:2">
      <c r="A7783" s="1" t="str">
        <f>"8411.21.00"</f>
        <v>8411.21.00</v>
      </c>
      <c r="B7783" s="2" t="str">
        <f>"De potencia nao superior a 1.100 kW"</f>
        <v>De potencia nao superior a 1.100 kW</v>
      </c>
    </row>
    <row r="7784" spans="1:2">
      <c r="A7784" s="1" t="str">
        <f>"8411.22.00"</f>
        <v>8411.22.00</v>
      </c>
      <c r="B7784" s="2" t="str">
        <f>"De potencia superior a 1.100 kW"</f>
        <v>De potencia superior a 1.100 kW</v>
      </c>
    </row>
    <row r="7785" spans="1:2">
      <c r="A7785" s="1" t="str">
        <f>"8411.81.00"</f>
        <v>8411.81.00</v>
      </c>
      <c r="B7785" s="2" t="str">
        <f>"De potencia nao superior a 5.000 kW"</f>
        <v>De potencia nao superior a 5.000 kW</v>
      </c>
    </row>
    <row r="7786" spans="1:2">
      <c r="A7786" s="1" t="str">
        <f>"8411.82.00"</f>
        <v>8411.82.00</v>
      </c>
      <c r="B7786" s="2" t="str">
        <f>"De potencia superior a 5.000 kW"</f>
        <v>De potencia superior a 5.000 kW</v>
      </c>
    </row>
    <row r="7787" spans="1:2">
      <c r="A7787" s="1" t="str">
        <f>"8411.91.00"</f>
        <v>8411.91.00</v>
      </c>
      <c r="B7787" s="2" t="str">
        <f>"De turborreatores ou de turbopropul"</f>
        <v>De turborreatores ou de turbopropul</v>
      </c>
    </row>
    <row r="7788" spans="1:2">
      <c r="A7788" s="1" t="str">
        <f>"8411.99.00"</f>
        <v>8411.99.00</v>
      </c>
      <c r="B7788" s="2" t="str">
        <f>"Outras"</f>
        <v>Outras</v>
      </c>
    </row>
    <row r="7789" spans="1:2">
      <c r="A7789" s="1" t="str">
        <f>"8412.10.00"</f>
        <v>8412.10.00</v>
      </c>
      <c r="B7789" s="2" t="str">
        <f>"Propulsores a reacao, excluindo os"</f>
        <v>Propulsores a reacao, excluindo os</v>
      </c>
    </row>
    <row r="7790" spans="1:2">
      <c r="A7790" s="1" t="str">
        <f>"8412.21.10"</f>
        <v>8412.21.10</v>
      </c>
      <c r="B7790" s="2" t="str">
        <f>"CILINDROS HIDRÁULICOS"</f>
        <v>CILINDROS HIDRÁULICOS</v>
      </c>
    </row>
    <row r="7791" spans="1:2">
      <c r="A7791" s="1" t="str">
        <f>"8412.21.90"</f>
        <v>8412.21.90</v>
      </c>
      <c r="B7791" s="2" t="str">
        <f>"OUTROS"</f>
        <v>OUTROS</v>
      </c>
    </row>
    <row r="7792" spans="1:2">
      <c r="A7792" s="1" t="str">
        <f>"8412.29.00"</f>
        <v>8412.29.00</v>
      </c>
      <c r="B7792" s="2" t="str">
        <f>"Outros"</f>
        <v>Outros</v>
      </c>
    </row>
    <row r="7793" spans="1:2">
      <c r="A7793" s="1" t="str">
        <f>"8412.31.10"</f>
        <v>8412.31.10</v>
      </c>
      <c r="B7793" s="2" t="str">
        <f>"CILINDRO MINI DIAM 40X50"</f>
        <v>CILINDRO MINI DIAM 40X50</v>
      </c>
    </row>
    <row r="7794" spans="1:2">
      <c r="A7794" s="1" t="str">
        <f>"8412.31.90"</f>
        <v>8412.31.90</v>
      </c>
      <c r="B7794" s="2" t="str">
        <f>"OUTROS"</f>
        <v>OUTROS</v>
      </c>
    </row>
    <row r="7795" spans="1:2">
      <c r="A7795" s="1" t="str">
        <f>"8412.39.00"</f>
        <v>8412.39.00</v>
      </c>
      <c r="B7795" s="2" t="str">
        <f>"Outros"</f>
        <v>Outros</v>
      </c>
    </row>
    <row r="7796" spans="1:2">
      <c r="A7796" s="1" t="str">
        <f>"8412.80.00"</f>
        <v>8412.80.00</v>
      </c>
      <c r="B7796" s="2" t="str">
        <f>"Outros"</f>
        <v>Outros</v>
      </c>
    </row>
    <row r="7797" spans="1:2">
      <c r="A7797" s="1" t="str">
        <f>"8412.90.10"</f>
        <v>8412.90.10</v>
      </c>
      <c r="B7797" s="2" t="str">
        <f>"De propulsores a reacao"</f>
        <v>De propulsores a reacao</v>
      </c>
    </row>
    <row r="7798" spans="1:2">
      <c r="A7798" s="1" t="str">
        <f>"8412.90.20"</f>
        <v>8412.90.20</v>
      </c>
      <c r="B7798" s="2" t="str">
        <f>"De maquinas a vapor de movimento re"</f>
        <v>De maquinas a vapor de movimento re</v>
      </c>
    </row>
    <row r="7799" spans="1:2">
      <c r="A7799" s="1" t="str">
        <f>"8412.90.80"</f>
        <v>8412.90.80</v>
      </c>
      <c r="B7799" s="2" t="str">
        <f>"OUTRAS, DE MÁQUINAS DAS SUBPOSIÇÕES"</f>
        <v>OUTRAS, DE MÁQUINAS DAS SUBPOSIÇÕES</v>
      </c>
    </row>
    <row r="7800" spans="1:2">
      <c r="A7800" s="1" t="str">
        <f>"8412.90.90"</f>
        <v>8412.90.90</v>
      </c>
      <c r="B7800" s="2" t="str">
        <f>"Outras"</f>
        <v>Outras</v>
      </c>
    </row>
    <row r="7801" spans="1:2">
      <c r="A7801" s="1" t="str">
        <f>"8413.11.00"</f>
        <v>8413.11.00</v>
      </c>
      <c r="B7801" s="2" t="str">
        <f>"Bombas para distribuicao de combust"</f>
        <v>Bombas para distribuicao de combust</v>
      </c>
    </row>
    <row r="7802" spans="1:2">
      <c r="A7802" s="1" t="str">
        <f>"8413.19.00"</f>
        <v>8413.19.00</v>
      </c>
      <c r="B7802" s="2" t="str">
        <f>"Outras"</f>
        <v>Outras</v>
      </c>
    </row>
    <row r="7803" spans="1:2">
      <c r="A7803" s="1" t="str">
        <f>"8413.20.00"</f>
        <v>8413.20.00</v>
      </c>
      <c r="B7803" s="2" t="str">
        <f>"BOMBAS MANUAIS  EXC 841311/ 841319"</f>
        <v>BOMBAS MANUAIS  EXC 841311/ 841319</v>
      </c>
    </row>
    <row r="7804" spans="1:2">
      <c r="A7804" s="1" t="str">
        <f>"8413.30.10"</f>
        <v>8413.30.10</v>
      </c>
      <c r="B7804" s="2" t="str">
        <f>"OUTROS"</f>
        <v>OUTROS</v>
      </c>
    </row>
    <row r="7805" spans="1:2">
      <c r="A7805" s="1" t="str">
        <f>"8413.30.20"</f>
        <v>8413.30.20</v>
      </c>
      <c r="B7805" s="2" t="str">
        <f>"Injetoras de combustivel para motor"</f>
        <v>Injetoras de combustivel para motor</v>
      </c>
    </row>
    <row r="7806" spans="1:2">
      <c r="A7806" s="1" t="str">
        <f>"8413.30.30"</f>
        <v>8413.30.30</v>
      </c>
      <c r="B7806" s="2" t="str">
        <f>"Para óleo lubrificante"</f>
        <v>Para óleo lubrificante</v>
      </c>
    </row>
    <row r="7807" spans="1:2">
      <c r="A7807" s="1" t="str">
        <f>"8413.30.90"</f>
        <v>8413.30.90</v>
      </c>
      <c r="B7807" s="2" t="str">
        <f>"BOMAS - OUTRAS"</f>
        <v>BOMAS - OUTRAS</v>
      </c>
    </row>
    <row r="7808" spans="1:2">
      <c r="A7808" s="1" t="str">
        <f>"8413.40.00"</f>
        <v>8413.40.00</v>
      </c>
      <c r="B7808" s="2" t="str">
        <f>"Bombas para concreto (betao*)"</f>
        <v>Bombas para concreto (betao*)</v>
      </c>
    </row>
    <row r="7809" spans="1:2">
      <c r="A7809" s="1" t="str">
        <f>"8413.50.10"</f>
        <v>8413.50.10</v>
      </c>
      <c r="B7809" s="2" t="str">
        <f>"INGERSOLL RAND ARO BOMBA DIAFRAGMA"</f>
        <v>INGERSOLL RAND ARO BOMBA DIAFRAGMA</v>
      </c>
    </row>
    <row r="7810" spans="1:2">
      <c r="A7810" s="1" t="str">
        <f>"8413.50.90"</f>
        <v>8413.50.90</v>
      </c>
      <c r="B7810" s="2" t="str">
        <f>"OUTRAS BOMBA PNEUMATICA DE DIAFRAGM"</f>
        <v>OUTRAS BOMBA PNEUMATICA DE DIAFRAGM</v>
      </c>
    </row>
    <row r="7811" spans="1:2">
      <c r="A7811" s="1" t="str">
        <f>"8413.60.11"</f>
        <v>8413.60.11</v>
      </c>
      <c r="B7811" s="2" t="str">
        <f>"DE ENGRENAGEM"</f>
        <v>DE ENGRENAGEM</v>
      </c>
    </row>
    <row r="7812" spans="1:2">
      <c r="A7812" s="1" t="str">
        <f>"8413.60.19"</f>
        <v>8413.60.19</v>
      </c>
      <c r="B7812" s="2" t="str">
        <f>"OUTRAS"</f>
        <v>OUTRAS</v>
      </c>
    </row>
    <row r="7813" spans="1:2">
      <c r="A7813" s="1" t="str">
        <f>"8413.60.90"</f>
        <v>8413.60.90</v>
      </c>
      <c r="B7813" s="2" t="str">
        <f>"OUTRAS -BOMBA NEMO ACIONAMENTO"</f>
        <v>OUTRAS -BOMBA NEMO ACIONAMENTO</v>
      </c>
    </row>
    <row r="7814" spans="1:2">
      <c r="A7814" s="1" t="str">
        <f>"8413.70.10"</f>
        <v>8413.70.10</v>
      </c>
      <c r="B7814" s="2" t="str">
        <f>"BOMBAS"</f>
        <v>BOMBAS</v>
      </c>
    </row>
    <row r="7815" spans="1:2">
      <c r="A7815" s="1" t="str">
        <f>"8413.70.80"</f>
        <v>8413.70.80</v>
      </c>
      <c r="B7815" s="2" t="str">
        <f>"OUTRAS, VAZÃO INF OU IGUL 300 L/MIN"</f>
        <v>OUTRAS, VAZÃO INF OU IGUL 300 L/MIN</v>
      </c>
    </row>
    <row r="7816" spans="1:2">
      <c r="A7816" s="1" t="str">
        <f>"8413.70.90"</f>
        <v>8413.70.90</v>
      </c>
      <c r="B7816" s="2" t="str">
        <f>"BOMBA DE RESFRIAMENTO"</f>
        <v>BOMBA DE RESFRIAMENTO</v>
      </c>
    </row>
    <row r="7817" spans="1:2">
      <c r="A7817" s="1" t="str">
        <f>"8413.81.00"</f>
        <v>8413.81.00</v>
      </c>
      <c r="B7817" s="2" t="str">
        <f>"Bombas"</f>
        <v>Bombas</v>
      </c>
    </row>
    <row r="7818" spans="1:2">
      <c r="A7818" s="1" t="str">
        <f>"8413.82.00"</f>
        <v>8413.82.00</v>
      </c>
      <c r="B7818" s="2" t="str">
        <f>"Elevadores de liquidos"</f>
        <v>Elevadores de liquidos</v>
      </c>
    </row>
    <row r="7819" spans="1:2">
      <c r="A7819" s="1" t="str">
        <f>"8413.91.00"</f>
        <v>8413.91.00</v>
      </c>
      <c r="B7819" s="2" t="str">
        <f>"INATIVA - BOMBA HIDRAULICA DE JATO"</f>
        <v>INATIVA - BOMBA HIDRAULICA DE JATO</v>
      </c>
    </row>
    <row r="7820" spans="1:2">
      <c r="A7820" s="1" t="str">
        <f>"8413.91.10"</f>
        <v>8413.91.10</v>
      </c>
      <c r="B7820" s="2" t="str">
        <f>"Hastes de bombeamento, do tipo util"</f>
        <v>Hastes de bombeamento, do tipo util</v>
      </c>
    </row>
    <row r="7821" spans="1:2">
      <c r="A7821" s="1" t="str">
        <f>"8413.91.90"</f>
        <v>8413.91.90</v>
      </c>
      <c r="B7821" s="2" t="str">
        <f>"OUTRAS PARTES DE BOMBAS"</f>
        <v>OUTRAS PARTES DE BOMBAS</v>
      </c>
    </row>
    <row r="7822" spans="1:2">
      <c r="A7822" s="1" t="str">
        <f>"8413.92.00"</f>
        <v>8413.92.00</v>
      </c>
      <c r="B7822" s="2" t="str">
        <f>"De elevadores de liquidos"</f>
        <v>De elevadores de liquidos</v>
      </c>
    </row>
    <row r="7823" spans="1:2">
      <c r="A7823" s="1" t="str">
        <f>"8414.10.00"</f>
        <v>8414.10.00</v>
      </c>
      <c r="B7823" s="2" t="str">
        <f>"Bombas de vacuo"</f>
        <v>Bombas de vacuo</v>
      </c>
    </row>
    <row r="7824" spans="1:2">
      <c r="A7824" s="1" t="str">
        <f>"8414.20.00"</f>
        <v>8414.20.00</v>
      </c>
      <c r="B7824" s="2" t="str">
        <f>"Bombas de ar, de mao ou de pe"</f>
        <v>Bombas de ar, de mao ou de pe</v>
      </c>
    </row>
    <row r="7825" spans="1:2">
      <c r="A7825" s="1" t="str">
        <f>"8414.30.11"</f>
        <v>8414.30.11</v>
      </c>
      <c r="B7825" s="2" t="str">
        <f>"Com capacidade inferior a 4.700 fri"</f>
        <v>Com capacidade inferior a 4.700 fri</v>
      </c>
    </row>
    <row r="7826" spans="1:2">
      <c r="A7826" s="1" t="str">
        <f>"8414.30.19"</f>
        <v>8414.30.19</v>
      </c>
      <c r="B7826" s="2" t="str">
        <f>"OUTROS - CP SCROLL"</f>
        <v>OUTROS - CP SCROLL</v>
      </c>
    </row>
    <row r="7827" spans="1:2">
      <c r="A7827" s="1" t="str">
        <f>"8414.30.91"</f>
        <v>8414.30.91</v>
      </c>
      <c r="B7827" s="2" t="str">
        <f>"Com capacidade inferior ou igual a"</f>
        <v>Com capacidade inferior ou igual a</v>
      </c>
    </row>
    <row r="7828" spans="1:2">
      <c r="A7828" s="1" t="str">
        <f>"8414.30.99"</f>
        <v>8414.30.99</v>
      </c>
      <c r="B7828" s="2" t="str">
        <f>"Outros"</f>
        <v>Outros</v>
      </c>
    </row>
    <row r="7829" spans="1:2">
      <c r="A7829" s="1" t="str">
        <f>"8414.40.10"</f>
        <v>8414.40.10</v>
      </c>
      <c r="B7829" s="2" t="str">
        <f>"OUTROS"</f>
        <v>OUTROS</v>
      </c>
    </row>
    <row r="7830" spans="1:2">
      <c r="A7830" s="1" t="str">
        <f>"8414.40.20"</f>
        <v>8414.40.20</v>
      </c>
      <c r="B7830" s="2" t="str">
        <f>"De parafuso"</f>
        <v>De parafuso</v>
      </c>
    </row>
    <row r="7831" spans="1:2">
      <c r="A7831" s="1" t="str">
        <f>"8414.40.90"</f>
        <v>8414.40.90</v>
      </c>
      <c r="B7831" s="2" t="str">
        <f>"Outros"</f>
        <v>Outros</v>
      </c>
    </row>
    <row r="7832" spans="1:2">
      <c r="A7832" s="1" t="str">
        <f>"8414.51.10"</f>
        <v>8414.51.10</v>
      </c>
      <c r="B7832" s="2" t="str">
        <f>"DE MESA"</f>
        <v>DE MESA</v>
      </c>
    </row>
    <row r="7833" spans="1:2">
      <c r="A7833" s="1" t="str">
        <f>"8414.51.20"</f>
        <v>8414.51.20</v>
      </c>
      <c r="B7833" s="2" t="str">
        <f>"De teto"</f>
        <v>De teto</v>
      </c>
    </row>
    <row r="7834" spans="1:2">
      <c r="A7834" s="1" t="str">
        <f>"8414.51.90"</f>
        <v>8414.51.90</v>
      </c>
      <c r="B7834" s="2" t="str">
        <f>"OUTROS VENTILADORES C/ MOTOR ELÉTRI"</f>
        <v>OUTROS VENTILADORES C/ MOTOR ELÉTRI</v>
      </c>
    </row>
    <row r="7835" spans="1:2">
      <c r="A7835" s="1" t="str">
        <f>"8414.59.10"</f>
        <v>8414.59.10</v>
      </c>
      <c r="B7835" s="2" t="str">
        <f>"OUTROS"</f>
        <v>OUTROS</v>
      </c>
    </row>
    <row r="7836" spans="1:2">
      <c r="A7836" s="1" t="str">
        <f>"8414.59.90"</f>
        <v>8414.59.90</v>
      </c>
      <c r="B7836" s="2" t="str">
        <f>"OUTROS - VENTILADORES"</f>
        <v>OUTROS - VENTILADORES</v>
      </c>
    </row>
    <row r="7837" spans="1:2">
      <c r="A7837" s="1" t="str">
        <f>"8414.59.99"</f>
        <v>8414.59.99</v>
      </c>
      <c r="B7837" s="2" t="str">
        <f>"INATIVO"</f>
        <v>INATIVO</v>
      </c>
    </row>
    <row r="7838" spans="1:2">
      <c r="A7838" s="1" t="str">
        <f>"8414.60.00"</f>
        <v>8414.60.00</v>
      </c>
      <c r="B7838" s="2" t="str">
        <f>"Coifas (Exaustores*) com dimensao h"</f>
        <v>Coifas (Exaustores*) com dimensao h</v>
      </c>
    </row>
    <row r="7839" spans="1:2">
      <c r="A7839" s="1" t="str">
        <f>"8414.80.11"</f>
        <v>8414.80.11</v>
      </c>
      <c r="B7839" s="2" t="str">
        <f>"Estacionarios, de pistao"</f>
        <v>Estacionarios, de pistao</v>
      </c>
    </row>
    <row r="7840" spans="1:2">
      <c r="A7840" s="1" t="str">
        <f>"8414.80.12"</f>
        <v>8414.80.12</v>
      </c>
      <c r="B7840" s="2" t="str">
        <f>"De parafuso"</f>
        <v>De parafuso</v>
      </c>
    </row>
    <row r="7841" spans="1:2">
      <c r="A7841" s="1" t="str">
        <f>"8414.80.13"</f>
        <v>8414.80.13</v>
      </c>
      <c r="B7841" s="2" t="str">
        <f>"De lobulos paralelos (tipo Roots)"</f>
        <v>De lobulos paralelos (tipo Roots)</v>
      </c>
    </row>
    <row r="7842" spans="1:2">
      <c r="A7842" s="1" t="str">
        <f>"8414.80.19"</f>
        <v>8414.80.19</v>
      </c>
      <c r="B7842" s="2" t="str">
        <f>"compressor"</f>
        <v>compressor</v>
      </c>
    </row>
    <row r="7843" spans="1:2">
      <c r="A7843" s="1" t="str">
        <f>"8414.80.21"</f>
        <v>8414.80.21</v>
      </c>
      <c r="B7843" s="2" t="str">
        <f>"Turboalimentadores de ar, de peso i"</f>
        <v>Turboalimentadores de ar, de peso i</v>
      </c>
    </row>
    <row r="7844" spans="1:2">
      <c r="A7844" s="1" t="str">
        <f>"8414.80.22"</f>
        <v>8414.80.22</v>
      </c>
      <c r="B7844" s="2" t="str">
        <f>"Turboalimentadores de ar, de peso s"</f>
        <v>Turboalimentadores de ar, de peso s</v>
      </c>
    </row>
    <row r="7845" spans="1:2">
      <c r="A7845" s="1" t="str">
        <f>"8414.80.29"</f>
        <v>8414.80.29</v>
      </c>
      <c r="B7845" s="2" t="str">
        <f>"Outros"</f>
        <v>Outros</v>
      </c>
    </row>
    <row r="7846" spans="1:2">
      <c r="A7846" s="1" t="str">
        <f>"8414.80.31"</f>
        <v>8414.80.31</v>
      </c>
      <c r="B7846" s="2" t="str">
        <f>"De pistao"</f>
        <v>De pistao</v>
      </c>
    </row>
    <row r="7847" spans="1:2">
      <c r="A7847" s="1" t="str">
        <f>"8414.80.32"</f>
        <v>8414.80.32</v>
      </c>
      <c r="B7847" s="2" t="str">
        <f>"De parafuso"</f>
        <v>De parafuso</v>
      </c>
    </row>
    <row r="7848" spans="1:2">
      <c r="A7848" s="1" t="str">
        <f>"8414.80.33"</f>
        <v>8414.80.33</v>
      </c>
      <c r="B7848" s="2" t="str">
        <f>"Centrifugos, de vazao maxima inferi"</f>
        <v>Centrifugos, de vazao maxima inferi</v>
      </c>
    </row>
    <row r="7849" spans="1:2">
      <c r="A7849" s="1" t="str">
        <f>"8414.80.38"</f>
        <v>8414.80.38</v>
      </c>
      <c r="B7849" s="2" t="str">
        <f>"Outros compressores centrifugos"</f>
        <v>Outros compressores centrifugos</v>
      </c>
    </row>
    <row r="7850" spans="1:2">
      <c r="A7850" s="1" t="str">
        <f>"8414.80.39"</f>
        <v>8414.80.39</v>
      </c>
      <c r="B7850" s="2" t="str">
        <f>"Outros"</f>
        <v>Outros</v>
      </c>
    </row>
    <row r="7851" spans="1:2">
      <c r="A7851" s="1" t="str">
        <f>"8414.80.90"</f>
        <v>8414.80.90</v>
      </c>
      <c r="B7851" s="2" t="str">
        <f>"OUTROS"</f>
        <v>OUTROS</v>
      </c>
    </row>
    <row r="7852" spans="1:2">
      <c r="A7852" s="1" t="str">
        <f>"8414.90.10"</f>
        <v>8414.90.10</v>
      </c>
      <c r="B7852" s="2" t="str">
        <f>"Partes - de bombas"</f>
        <v>Partes - de bombas</v>
      </c>
    </row>
    <row r="7853" spans="1:2">
      <c r="A7853" s="1" t="str">
        <f>"8414.90.20"</f>
        <v>8414.90.20</v>
      </c>
      <c r="B7853" s="2" t="str">
        <f>"conjunto grelha"</f>
        <v>conjunto grelha</v>
      </c>
    </row>
    <row r="7854" spans="1:2">
      <c r="A7854" s="1" t="str">
        <f>"8414.90.31"</f>
        <v>8414.90.31</v>
      </c>
      <c r="B7854" s="2" t="str">
        <f>"Pistoes ou embolos"</f>
        <v>Pistoes ou embolos</v>
      </c>
    </row>
    <row r="7855" spans="1:2">
      <c r="A7855" s="1" t="str">
        <f>"8414.90.32"</f>
        <v>8414.90.32</v>
      </c>
      <c r="B7855" s="2" t="str">
        <f>"Aneis de segmento"</f>
        <v>Aneis de segmento</v>
      </c>
    </row>
    <row r="7856" spans="1:2">
      <c r="A7856" s="1" t="str">
        <f>"8414.90.33"</f>
        <v>8414.90.33</v>
      </c>
      <c r="B7856" s="2" t="str">
        <f>"Blocos de cilindros, cabecotes e ca"</f>
        <v>Blocos de cilindros, cabecotes e ca</v>
      </c>
    </row>
    <row r="7857" spans="1:2">
      <c r="A7857" s="1" t="str">
        <f>"8414.90.34"</f>
        <v>8414.90.34</v>
      </c>
      <c r="B7857" s="2" t="str">
        <f>"Valvulas"</f>
        <v>Valvulas</v>
      </c>
    </row>
    <row r="7858" spans="1:2">
      <c r="A7858" s="1" t="str">
        <f>"8414.90.39"</f>
        <v>8414.90.39</v>
      </c>
      <c r="B7858" s="2" t="str">
        <f>"OUTRAS KIT DE SERVIÇO"</f>
        <v>OUTRAS KIT DE SERVIÇO</v>
      </c>
    </row>
    <row r="7859" spans="1:2">
      <c r="A7859" s="1" t="str">
        <f>"8415.10.11"</f>
        <v>8415.10.11</v>
      </c>
      <c r="B7859" s="2" t="str">
        <f>"DO TIPO SPLIT-SYSTEM (SISTEMA COM E"</f>
        <v>DO TIPO SPLIT-SYSTEM (SISTEMA COM E</v>
      </c>
    </row>
    <row r="7860" spans="1:2">
      <c r="A7860" s="1" t="str">
        <f>"8415.10.19"</f>
        <v>8415.10.19</v>
      </c>
      <c r="B7860" s="2" t="str">
        <f>"OUTROS"</f>
        <v>OUTROS</v>
      </c>
    </row>
    <row r="7861" spans="1:2">
      <c r="A7861" s="1" t="str">
        <f>"8415.10.90"</f>
        <v>8415.10.90</v>
      </c>
      <c r="B7861" s="2" t="str">
        <f>"OUTROS"</f>
        <v>OUTROS</v>
      </c>
    </row>
    <row r="7862" spans="1:2">
      <c r="A7862" s="1" t="str">
        <f>"8415.20.10"</f>
        <v>8415.20.10</v>
      </c>
      <c r="B7862" s="2" t="str">
        <f>"Com capacidade inferior ou igual a"</f>
        <v>Com capacidade inferior ou igual a</v>
      </c>
    </row>
    <row r="7863" spans="1:2">
      <c r="A7863" s="1" t="str">
        <f>"8415.20.90"</f>
        <v>8415.20.90</v>
      </c>
      <c r="B7863" s="2" t="str">
        <f>"Outros"</f>
        <v>Outros</v>
      </c>
    </row>
    <row r="7864" spans="1:2">
      <c r="A7864" s="1" t="str">
        <f>"8415.81.10"</f>
        <v>8415.81.10</v>
      </c>
      <c r="B7864" s="2" t="str">
        <f>"Com capacidade inferior ou igual a"</f>
        <v>Com capacidade inferior ou igual a</v>
      </c>
    </row>
    <row r="7865" spans="1:2">
      <c r="A7865" s="1" t="str">
        <f>"8415.81.90"</f>
        <v>8415.81.90</v>
      </c>
      <c r="B7865" s="2" t="str">
        <f>"OUTROS"</f>
        <v>OUTROS</v>
      </c>
    </row>
    <row r="7866" spans="1:2">
      <c r="A7866" s="1" t="str">
        <f>"8415.82.10"</f>
        <v>8415.82.10</v>
      </c>
      <c r="B7866" s="2" t="str">
        <f>"C/ CAPACIDADE INF/IGUAL 30000FRIG/H"</f>
        <v>C/ CAPACIDADE INF/IGUAL 30000FRIG/H</v>
      </c>
    </row>
    <row r="7867" spans="1:2">
      <c r="A7867" s="1" t="str">
        <f>"8415.82.90"</f>
        <v>8415.82.90</v>
      </c>
      <c r="B7867" s="2" t="str">
        <f>"OUTRAS"</f>
        <v>OUTRAS</v>
      </c>
    </row>
    <row r="7868" spans="1:2">
      <c r="A7868" s="1" t="str">
        <f>"8415.83.00"</f>
        <v>8415.83.00</v>
      </c>
      <c r="B7868" s="2" t="str">
        <f>"Sem dispositivo de refrigeracao"</f>
        <v>Sem dispositivo de refrigeracao</v>
      </c>
    </row>
    <row r="7869" spans="1:2">
      <c r="A7869" s="1" t="str">
        <f>"8415.90.10"</f>
        <v>8415.90.10</v>
      </c>
      <c r="B7869" s="2" t="str">
        <f>"Unidades evaporadoras (internas) de"</f>
        <v>Unidades evaporadoras (internas) de</v>
      </c>
    </row>
    <row r="7870" spans="1:2">
      <c r="A7870" s="1" t="str">
        <f>"8415.90.20"</f>
        <v>8415.90.20</v>
      </c>
      <c r="B7870" s="2" t="str">
        <f>"Unidades condensadoras (externas) d"</f>
        <v>Unidades condensadoras (externas) d</v>
      </c>
    </row>
    <row r="7871" spans="1:2">
      <c r="A7871" s="1" t="str">
        <f>"8415.90.90"</f>
        <v>8415.90.90</v>
      </c>
      <c r="B7871" s="2" t="str">
        <f>"Outras"</f>
        <v>Outras</v>
      </c>
    </row>
    <row r="7872" spans="1:2">
      <c r="A7872" s="1" t="str">
        <f>"8416.10.00"</f>
        <v>8416.10.00</v>
      </c>
      <c r="B7872" s="2" t="str">
        <f>"conjunto de queimadores"</f>
        <v>conjunto de queimadores</v>
      </c>
    </row>
    <row r="7873" spans="1:2">
      <c r="A7873" s="1" t="str">
        <f>"8416.20.10"</f>
        <v>8416.20.10</v>
      </c>
      <c r="B7873" s="2" t="str">
        <f>"DE GASES"</f>
        <v>DE GASES</v>
      </c>
    </row>
    <row r="7874" spans="1:2">
      <c r="A7874" s="1" t="str">
        <f>"8416.20.90"</f>
        <v>8416.20.90</v>
      </c>
      <c r="B7874" s="2" t="str">
        <f>"Outros"</f>
        <v>Outros</v>
      </c>
    </row>
    <row r="7875" spans="1:2">
      <c r="A7875" s="1" t="str">
        <f>"8416.30.00"</f>
        <v>8416.30.00</v>
      </c>
      <c r="B7875" s="2" t="str">
        <f>"Fornalhas automaticas, incluindo as"</f>
        <v>Fornalhas automaticas, incluindo as</v>
      </c>
    </row>
    <row r="7876" spans="1:2">
      <c r="A7876" s="1" t="str">
        <f>"8416.90.00"</f>
        <v>8416.90.00</v>
      </c>
      <c r="B7876" s="2" t="str">
        <f>"PARTES"</f>
        <v>PARTES</v>
      </c>
    </row>
    <row r="7877" spans="1:2">
      <c r="A7877" s="1" t="str">
        <f>"8417.10.10"</f>
        <v>8417.10.10</v>
      </c>
      <c r="B7877" s="2" t="str">
        <f>"Fornos industriais para fusao de me"</f>
        <v>Fornos industriais para fusao de me</v>
      </c>
    </row>
    <row r="7878" spans="1:2">
      <c r="A7878" s="1" t="str">
        <f>"8417.10.20"</f>
        <v>8417.10.20</v>
      </c>
      <c r="B7878" s="2" t="str">
        <f>"Fornos industriais para tratamento"</f>
        <v>Fornos industriais para tratamento</v>
      </c>
    </row>
    <row r="7879" spans="1:2">
      <c r="A7879" s="1" t="str">
        <f>"8417.10.90"</f>
        <v>8417.10.90</v>
      </c>
      <c r="B7879" s="2" t="str">
        <f>"Outros"</f>
        <v>Outros</v>
      </c>
    </row>
    <row r="7880" spans="1:2">
      <c r="A7880" s="1" t="str">
        <f>"8417.20.00"</f>
        <v>8417.20.00</v>
      </c>
      <c r="B7880" s="2" t="str">
        <f>"Fornos de padaria, pastelaria ou pa"</f>
        <v>Fornos de padaria, pastelaria ou pa</v>
      </c>
    </row>
    <row r="7881" spans="1:2">
      <c r="A7881" s="1" t="str">
        <f>"8417.80.10"</f>
        <v>8417.80.10</v>
      </c>
      <c r="B7881" s="2" t="str">
        <f>"Fornos industriais para ceramica"</f>
        <v>Fornos industriais para ceramica</v>
      </c>
    </row>
    <row r="7882" spans="1:2">
      <c r="A7882" s="1" t="str">
        <f>"8417.80.20"</f>
        <v>8417.80.20</v>
      </c>
      <c r="B7882" s="2" t="str">
        <f>"Fornos industriais para fusao de vi"</f>
        <v>Fornos industriais para fusao de vi</v>
      </c>
    </row>
    <row r="7883" spans="1:2">
      <c r="A7883" s="1" t="str">
        <f>"8417.80.90"</f>
        <v>8417.80.90</v>
      </c>
      <c r="B7883" s="2" t="str">
        <f>"Outros"</f>
        <v>Outros</v>
      </c>
    </row>
    <row r="7884" spans="1:2">
      <c r="A7884" s="1" t="str">
        <f>"8417.90.00"</f>
        <v>8417.90.00</v>
      </c>
      <c r="B7884" s="2" t="str">
        <f>"Partes"</f>
        <v>Partes</v>
      </c>
    </row>
    <row r="7885" spans="1:2">
      <c r="A7885" s="1" t="str">
        <f>"8418.10.00"</f>
        <v>8418.10.00</v>
      </c>
      <c r="B7885" s="2" t="str">
        <f>"OUTROS"</f>
        <v>OUTROS</v>
      </c>
    </row>
    <row r="7886" spans="1:2">
      <c r="A7886" s="1" t="str">
        <f>"8418.21.00"</f>
        <v>8418.21.00</v>
      </c>
      <c r="B7886" s="2" t="str">
        <f>"DE COMPRESSÃO"</f>
        <v>DE COMPRESSÃO</v>
      </c>
    </row>
    <row r="7887" spans="1:2">
      <c r="A7887" s="1" t="str">
        <f>"8418.29.00"</f>
        <v>8418.29.00</v>
      </c>
      <c r="B7887" s="2" t="str">
        <f>"outros"</f>
        <v>outros</v>
      </c>
    </row>
    <row r="7888" spans="1:2">
      <c r="A7888" s="1" t="str">
        <f>"8418.30.00"</f>
        <v>8418.30.00</v>
      </c>
      <c r="B7888" s="2" t="str">
        <f>"Congeladores (freezers) horizontais"</f>
        <v>Congeladores (freezers) horizontais</v>
      </c>
    </row>
    <row r="7889" spans="1:2">
      <c r="A7889" s="1" t="str">
        <f>"8418.40.00"</f>
        <v>8418.40.00</v>
      </c>
      <c r="B7889" s="2" t="str">
        <f>"CONGELADORES (FREEZERS) VERTICAIS T"</f>
        <v>CONGELADORES (FREEZERS) VERTICAIS T</v>
      </c>
    </row>
    <row r="7890" spans="1:2">
      <c r="A7890" s="1" t="str">
        <f>"8418.50.10"</f>
        <v>8418.50.10</v>
      </c>
      <c r="B7890" s="2" t="str">
        <f>"Congeladores (freezers)"</f>
        <v>Congeladores (freezers)</v>
      </c>
    </row>
    <row r="7891" spans="1:2">
      <c r="A7891" s="1" t="str">
        <f>"8418.50.90"</f>
        <v>8418.50.90</v>
      </c>
      <c r="B7891" s="2" t="str">
        <f>"OUTROS"</f>
        <v>OUTROS</v>
      </c>
    </row>
    <row r="7892" spans="1:2">
      <c r="A7892" s="1" t="str">
        <f>"8418.61.00"</f>
        <v>8418.61.00</v>
      </c>
      <c r="B7892" s="2" t="str">
        <f>"Bombas de calor, exceto as maquinas"</f>
        <v>Bombas de calor, exceto as maquinas</v>
      </c>
    </row>
    <row r="7893" spans="1:2">
      <c r="A7893" s="1" t="str">
        <f>"8418.69.10"</f>
        <v>8418.69.10</v>
      </c>
      <c r="B7893" s="2" t="str">
        <f>"Maquinas nao domesticas para prepar"</f>
        <v>Maquinas nao domesticas para prepar</v>
      </c>
    </row>
    <row r="7894" spans="1:2">
      <c r="A7894" s="1" t="str">
        <f>"8418.69.20"</f>
        <v>8418.69.20</v>
      </c>
      <c r="B7894" s="2" t="str">
        <f>"Resfriadores de leite"</f>
        <v>Resfriadores de leite</v>
      </c>
    </row>
    <row r="7895" spans="1:2">
      <c r="A7895" s="1" t="str">
        <f>"8418.69.31"</f>
        <v>8418.69.31</v>
      </c>
      <c r="B7895" s="2" t="str">
        <f>"EX"" 01 - BEBEDOUROS REFRIGERADOS"</f>
        <v>EX" 01 - BEBEDOUROS REFRIGERADOS</v>
      </c>
    </row>
    <row r="7896" spans="1:2">
      <c r="A7896" s="1" t="str">
        <f>"8418.69.32"</f>
        <v>8418.69.32</v>
      </c>
      <c r="B7896" s="2" t="str">
        <f>"De bebidas carbonatadas"</f>
        <v>De bebidas carbonatadas</v>
      </c>
    </row>
    <row r="7897" spans="1:2">
      <c r="A7897" s="1" t="str">
        <f>"8418.69.40"</f>
        <v>8418.69.40</v>
      </c>
      <c r="B7897" s="2" t="str">
        <f>"Grupos frigorificos de compressao c"</f>
        <v>Grupos frigorificos de compressao c</v>
      </c>
    </row>
    <row r="7898" spans="1:2">
      <c r="A7898" s="1" t="str">
        <f>"8418.69.91"</f>
        <v>8418.69.91</v>
      </c>
      <c r="B7898" s="2" t="str">
        <f>"Resfriadores de agua, de absorcao p"</f>
        <v>Resfriadores de agua, de absorcao p</v>
      </c>
    </row>
    <row r="7899" spans="1:2">
      <c r="A7899" s="1" t="str">
        <f>"8418.69.99"</f>
        <v>8418.69.99</v>
      </c>
      <c r="B7899" s="2" t="str">
        <f>"unidade resfriadora de liquido"</f>
        <v>unidade resfriadora de liquido</v>
      </c>
    </row>
    <row r="7900" spans="1:2">
      <c r="A7900" s="1" t="str">
        <f>"8418.91.00"</f>
        <v>8418.91.00</v>
      </c>
      <c r="B7900" s="2" t="str">
        <f>"Moveis concebidos para receber um e"</f>
        <v>Moveis concebidos para receber um e</v>
      </c>
    </row>
    <row r="7901" spans="1:2">
      <c r="A7901" s="1" t="str">
        <f>"8418.99.00"</f>
        <v>8418.99.00</v>
      </c>
      <c r="B7901" s="2" t="str">
        <f>"OUTRAS"</f>
        <v>OUTRAS</v>
      </c>
    </row>
    <row r="7902" spans="1:2">
      <c r="A7902" s="1" t="str">
        <f>"8419.11.00"</f>
        <v>8419.11.00</v>
      </c>
      <c r="B7902" s="2" t="str">
        <f>"DE AQUECIMENTO INSTANTÂNEO, A GÁS"</f>
        <v>DE AQUECIMENTO INSTANTÂNEO, A GÁS</v>
      </c>
    </row>
    <row r="7903" spans="1:2">
      <c r="A7903" s="1" t="str">
        <f>"8419.19.10"</f>
        <v>8419.19.10</v>
      </c>
      <c r="B7903" s="2" t="str">
        <f>"AQUECEDORES SOLARES DE ÁGUA"</f>
        <v>AQUECEDORES SOLARES DE ÁGUA</v>
      </c>
    </row>
    <row r="7904" spans="1:2">
      <c r="A7904" s="1" t="str">
        <f>"8419.19.90"</f>
        <v>8419.19.90</v>
      </c>
      <c r="B7904" s="2" t="str">
        <f>"OUTROS"</f>
        <v>OUTROS</v>
      </c>
    </row>
    <row r="7905" spans="1:2">
      <c r="A7905" s="1" t="str">
        <f>"8419.20.00"</f>
        <v>8419.20.00</v>
      </c>
      <c r="B7905" s="2" t="str">
        <f>"Esterilizadores medico-cirurgicos o"</f>
        <v>Esterilizadores medico-cirurgicos o</v>
      </c>
    </row>
    <row r="7906" spans="1:2">
      <c r="A7906" s="1" t="str">
        <f>"8419.31.00"</f>
        <v>8419.31.00</v>
      </c>
      <c r="B7906" s="2" t="str">
        <f>"Para produtos agricolas"</f>
        <v>Para produtos agricolas</v>
      </c>
    </row>
    <row r="7907" spans="1:2">
      <c r="A7907" s="1" t="str">
        <f>"8419.32.00"</f>
        <v>8419.32.00</v>
      </c>
      <c r="B7907" s="2" t="str">
        <f>"PARA MADEIRAS, PASTAS DE PAPEL, PAP"</f>
        <v>PARA MADEIRAS, PASTAS DE PAPEL, PAP</v>
      </c>
    </row>
    <row r="7908" spans="1:2">
      <c r="A7908" s="1" t="str">
        <f>"8419.35.00"</f>
        <v>8419.35.00</v>
      </c>
      <c r="B7908" s="2" t="str">
        <f>"OUTROS, PARA MADEIRAS, PASTAS DE PA"</f>
        <v>OUTROS, PARA MADEIRAS, PASTAS DE PA</v>
      </c>
    </row>
    <row r="7909" spans="1:2">
      <c r="A7909" s="1" t="str">
        <f>"8419.39.00"</f>
        <v>8419.39.00</v>
      </c>
      <c r="B7909" s="2" t="str">
        <f>"Outros"</f>
        <v>Outros</v>
      </c>
    </row>
    <row r="7910" spans="1:2">
      <c r="A7910" s="1" t="str">
        <f>"8419.40.10"</f>
        <v>8419.40.10</v>
      </c>
      <c r="B7910" s="2" t="str">
        <f>"De destilacao de agua"</f>
        <v>De destilacao de agua</v>
      </c>
    </row>
    <row r="7911" spans="1:2">
      <c r="A7911" s="1" t="str">
        <f>"8419.40.20"</f>
        <v>8419.40.20</v>
      </c>
      <c r="B7911" s="2" t="str">
        <f>"De destilacao ou retificacao de alc"</f>
        <v>De destilacao ou retificacao de alc</v>
      </c>
    </row>
    <row r="7912" spans="1:2">
      <c r="A7912" s="1" t="str">
        <f>"8419.40.90"</f>
        <v>8419.40.90</v>
      </c>
      <c r="B7912" s="2" t="str">
        <f>"Outros"</f>
        <v>Outros</v>
      </c>
    </row>
    <row r="7913" spans="1:2">
      <c r="A7913" s="1" t="str">
        <f>"8419.50.10"</f>
        <v>8419.50.10</v>
      </c>
      <c r="B7913" s="2" t="str">
        <f>"De placas"</f>
        <v>De placas</v>
      </c>
    </row>
    <row r="7914" spans="1:2">
      <c r="A7914" s="1" t="str">
        <f>"8419.50.21"</f>
        <v>8419.50.21</v>
      </c>
      <c r="B7914" s="2" t="str">
        <f>"Metalicos"</f>
        <v>Metalicos</v>
      </c>
    </row>
    <row r="7915" spans="1:2">
      <c r="A7915" s="1" t="str">
        <f>"8419.50.22"</f>
        <v>8419.50.22</v>
      </c>
      <c r="B7915" s="2" t="str">
        <f>"De grafita"</f>
        <v>De grafita</v>
      </c>
    </row>
    <row r="7916" spans="1:2">
      <c r="A7916" s="1" t="str">
        <f>"8419.50.29"</f>
        <v>8419.50.29</v>
      </c>
      <c r="B7916" s="2" t="str">
        <f>"Outros"</f>
        <v>Outros</v>
      </c>
    </row>
    <row r="7917" spans="1:2">
      <c r="A7917" s="1" t="str">
        <f>"8419.50.90"</f>
        <v>8419.50.90</v>
      </c>
      <c r="B7917" s="2" t="str">
        <f>"OUTROS"</f>
        <v>OUTROS</v>
      </c>
    </row>
    <row r="7918" spans="1:2">
      <c r="A7918" s="1" t="str">
        <f>"8419.60.00"</f>
        <v>8419.60.00</v>
      </c>
      <c r="B7918" s="2" t="str">
        <f>"Aparelhos e dispositivos para lique"</f>
        <v>Aparelhos e dispositivos para lique</v>
      </c>
    </row>
    <row r="7919" spans="1:2">
      <c r="A7919" s="1" t="str">
        <f>"8419.69.20"</f>
        <v>8419.69.20</v>
      </c>
      <c r="B7919" s="2" t="str">
        <f>"INATIVA - ESTUFA"</f>
        <v>INATIVA - ESTUFA</v>
      </c>
    </row>
    <row r="7920" spans="1:2">
      <c r="A7920" s="1" t="str">
        <f>"8419.81.10"</f>
        <v>8419.81.10</v>
      </c>
      <c r="B7920" s="2" t="str">
        <f>"Autoclaves"</f>
        <v>Autoclaves</v>
      </c>
    </row>
    <row r="7921" spans="1:2">
      <c r="A7921" s="1" t="str">
        <f>"8419.81.90"</f>
        <v>8419.81.90</v>
      </c>
      <c r="B7921" s="2" t="str">
        <f>"Outros"</f>
        <v>Outros</v>
      </c>
    </row>
    <row r="7922" spans="1:2">
      <c r="A7922" s="1" t="str">
        <f>"8419.89.11"</f>
        <v>8419.89.11</v>
      </c>
      <c r="B7922" s="2" t="str">
        <f>"De alimentos, mediante Ultra Alta T"</f>
        <v>De alimentos, mediante Ultra Alta T</v>
      </c>
    </row>
    <row r="7923" spans="1:2">
      <c r="A7923" s="1" t="str">
        <f>"8419.89.19"</f>
        <v>8419.89.19</v>
      </c>
      <c r="B7923" s="2" t="str">
        <f>"Outros"</f>
        <v>Outros</v>
      </c>
    </row>
    <row r="7924" spans="1:2">
      <c r="A7924" s="1" t="str">
        <f>"8419.89.20"</f>
        <v>8419.89.20</v>
      </c>
      <c r="B7924" s="2" t="str">
        <f>"ESTUFAS"</f>
        <v>ESTUFAS</v>
      </c>
    </row>
    <row r="7925" spans="1:2">
      <c r="A7925" s="1" t="str">
        <f>"8419.89.30"</f>
        <v>8419.89.30</v>
      </c>
      <c r="B7925" s="2" t="str">
        <f>"Torrefadores"</f>
        <v>Torrefadores</v>
      </c>
    </row>
    <row r="7926" spans="1:2">
      <c r="A7926" s="1" t="str">
        <f>"8419.89.40"</f>
        <v>8419.89.40</v>
      </c>
      <c r="B7926" s="2" t="str">
        <f>"Evaporadores"</f>
        <v>Evaporadores</v>
      </c>
    </row>
    <row r="7927" spans="1:2">
      <c r="A7927" s="1" t="str">
        <f>"8419.89.91"</f>
        <v>8419.89.91</v>
      </c>
      <c r="B7927" s="2" t="str">
        <f>"Recipiente refrigerador, com dispos"</f>
        <v>Recipiente refrigerador, com dispos</v>
      </c>
    </row>
    <row r="7928" spans="1:2">
      <c r="A7928" s="1" t="str">
        <f>"8419.89.99"</f>
        <v>8419.89.99</v>
      </c>
      <c r="B7928" s="2" t="str">
        <f>"agitador magnetico"</f>
        <v>agitador magnetico</v>
      </c>
    </row>
    <row r="7929" spans="1:2">
      <c r="A7929" s="1" t="str">
        <f>"8419.90.10"</f>
        <v>8419.90.10</v>
      </c>
      <c r="B7929" s="2" t="str">
        <f>"AQUECED ÁGUA SUBPOSIÇ 841911/841919"</f>
        <v>AQUECED ÁGUA SUBPOSIÇ 841911/841919</v>
      </c>
    </row>
    <row r="7930" spans="1:2">
      <c r="A7930" s="1" t="str">
        <f>"8419.90.20"</f>
        <v>8419.90.20</v>
      </c>
      <c r="B7930" s="2" t="str">
        <f>"De colunas de destilacao ou de reti"</f>
        <v>De colunas de destilacao ou de reti</v>
      </c>
    </row>
    <row r="7931" spans="1:2">
      <c r="A7931" s="1" t="str">
        <f>"8419.90.31"</f>
        <v>8419.90.31</v>
      </c>
      <c r="B7931" s="2" t="str">
        <f>"ROTOR COMPLETO"</f>
        <v>ROTOR COMPLETO</v>
      </c>
    </row>
    <row r="7932" spans="1:2">
      <c r="A7932" s="1" t="str">
        <f>"8419.90.39"</f>
        <v>8419.90.39</v>
      </c>
      <c r="B7932" s="2" t="str">
        <f>"Outras"</f>
        <v>Outras</v>
      </c>
    </row>
    <row r="7933" spans="1:2">
      <c r="A7933" s="1" t="str">
        <f>"8419.90.40"</f>
        <v>8419.90.40</v>
      </c>
      <c r="B7933" s="2" t="str">
        <f>"PEÇAS"</f>
        <v>PEÇAS</v>
      </c>
    </row>
    <row r="7934" spans="1:2">
      <c r="A7934" s="1" t="str">
        <f>"8419.90.90"</f>
        <v>8419.90.90</v>
      </c>
      <c r="B7934" s="2" t="str">
        <f>"OUTRAS LAMPADA DE SECAGEM"</f>
        <v>OUTRAS LAMPADA DE SECAGEM</v>
      </c>
    </row>
    <row r="7935" spans="1:2">
      <c r="A7935" s="1" t="str">
        <f>"8420.10.10"</f>
        <v>8420.10.10</v>
      </c>
      <c r="B7935" s="2" t="str">
        <f>"CALANDRAS - OUTROS"</f>
        <v>CALANDRAS - OUTROS</v>
      </c>
    </row>
    <row r="7936" spans="1:2">
      <c r="A7936" s="1" t="str">
        <f>"8420.10.90"</f>
        <v>8420.10.90</v>
      </c>
      <c r="B7936" s="2" t="str">
        <f>"Outros"</f>
        <v>Outros</v>
      </c>
    </row>
    <row r="7937" spans="1:2">
      <c r="A7937" s="1" t="str">
        <f>"8420.91.00"</f>
        <v>8420.91.00</v>
      </c>
      <c r="B7937" s="2" t="str">
        <f>"CILINDROS"</f>
        <v>CILINDROS</v>
      </c>
    </row>
    <row r="7938" spans="1:2">
      <c r="A7938" s="1" t="str">
        <f>"8420.99.00"</f>
        <v>8420.99.00</v>
      </c>
      <c r="B7938" s="2" t="str">
        <f>"Outras"</f>
        <v>Outras</v>
      </c>
    </row>
    <row r="7939" spans="1:2">
      <c r="A7939" s="1" t="str">
        <f>"8421.11.10"</f>
        <v>8421.11.10</v>
      </c>
      <c r="B7939" s="2" t="str">
        <f>"Com capacidade de processamento de"</f>
        <v>Com capacidade de processamento de</v>
      </c>
    </row>
    <row r="7940" spans="1:2">
      <c r="A7940" s="1" t="str">
        <f>"8421.11.90"</f>
        <v>8421.11.90</v>
      </c>
      <c r="B7940" s="2" t="str">
        <f>"Outras"</f>
        <v>Outras</v>
      </c>
    </row>
    <row r="7941" spans="1:2">
      <c r="A7941" s="1" t="str">
        <f>"8421.12.10"</f>
        <v>8421.12.10</v>
      </c>
      <c r="B7941" s="2" t="str">
        <f>"Com tambor de capacidade inferior o"</f>
        <v>Com tambor de capacidade inferior o</v>
      </c>
    </row>
    <row r="7942" spans="1:2">
      <c r="A7942" s="1" t="str">
        <f>"8421.12.90"</f>
        <v>8421.12.90</v>
      </c>
      <c r="B7942" s="2" t="str">
        <f>"Outros"</f>
        <v>Outros</v>
      </c>
    </row>
    <row r="7943" spans="1:2">
      <c r="A7943" s="1" t="str">
        <f>"8421.19.10"</f>
        <v>8421.19.10</v>
      </c>
      <c r="B7943" s="2" t="str">
        <f>"Centrifugadores para laboratorios d"</f>
        <v>Centrifugadores para laboratorios d</v>
      </c>
    </row>
    <row r="7944" spans="1:2">
      <c r="A7944" s="1" t="str">
        <f>"8421.19.90"</f>
        <v>8421.19.90</v>
      </c>
      <c r="B7944" s="2" t="str">
        <f>"Outros"</f>
        <v>Outros</v>
      </c>
    </row>
    <row r="7945" spans="1:2">
      <c r="A7945" s="1" t="str">
        <f>"8421.21.00"</f>
        <v>8421.21.00</v>
      </c>
      <c r="B7945" s="2" t="str">
        <f>"DEPURAR PAGUA - DESMI"</f>
        <v>DEPURAR PAGUA - DESMI</v>
      </c>
    </row>
    <row r="7946" spans="1:2">
      <c r="A7946" s="1" t="str">
        <f>"8421.22.00"</f>
        <v>8421.22.00</v>
      </c>
      <c r="B7946" s="2" t="str">
        <f>"PARA FILTRAR OU DEPURAR BEBIDAS"</f>
        <v>PARA FILTRAR OU DEPURAR BEBIDAS</v>
      </c>
    </row>
    <row r="7947" spans="1:2">
      <c r="A7947" s="1" t="str">
        <f>"8421.23.00"</f>
        <v>8421.23.00</v>
      </c>
      <c r="B7947" s="2" t="str">
        <f>"FILTRO DE ÓLEO MOTORHO333624 HYSTER"</f>
        <v>FILTRO DE ÓLEO MOTORHO333624 HYSTER</v>
      </c>
    </row>
    <row r="7948" spans="1:2">
      <c r="A7948" s="1" t="str">
        <f>"8421.29.11"</f>
        <v>8421.29.11</v>
      </c>
      <c r="B7948" s="2" t="str">
        <f>"Capilares"</f>
        <v>Capilares</v>
      </c>
    </row>
    <row r="7949" spans="1:2">
      <c r="A7949" s="1" t="str">
        <f>"8421.29.19"</f>
        <v>8421.29.19</v>
      </c>
      <c r="B7949" s="2" t="str">
        <f>"Outros"</f>
        <v>Outros</v>
      </c>
    </row>
    <row r="7950" spans="1:2">
      <c r="A7950" s="1" t="str">
        <f>"8421.29.20"</f>
        <v>8421.29.20</v>
      </c>
      <c r="B7950" s="2" t="str">
        <f>"Aparelho de osmose inversa"</f>
        <v>Aparelho de osmose inversa</v>
      </c>
    </row>
    <row r="7951" spans="1:2">
      <c r="A7951" s="1" t="str">
        <f>"8421.29.30"</f>
        <v>8421.29.30</v>
      </c>
      <c r="B7951" s="2" t="str">
        <f>"FILTROS-PRENSA"</f>
        <v>FILTROS-PRENSA</v>
      </c>
    </row>
    <row r="7952" spans="1:2">
      <c r="A7952" s="1" t="str">
        <f>"8421.29.90"</f>
        <v>8421.29.90</v>
      </c>
      <c r="B7952" s="2" t="str">
        <f>"OUTROS"</f>
        <v>OUTROS</v>
      </c>
    </row>
    <row r="7953" spans="1:2">
      <c r="A7953" s="1" t="str">
        <f>"8421.31.00"</f>
        <v>8421.31.00</v>
      </c>
      <c r="B7953" s="2" t="str">
        <f>"FILTROS ENTRAD AR P/ MOTORES INGNIÇ"</f>
        <v>FILTROS ENTRAD AR P/ MOTORES INGNIÇ</v>
      </c>
    </row>
    <row r="7954" spans="1:2">
      <c r="A7954" s="1" t="str">
        <f>"8421.39.10"</f>
        <v>8421.39.10</v>
      </c>
      <c r="B7954" s="2" t="str">
        <f>"FILTROS ELETROSTÁTICOS"</f>
        <v>FILTROS ELETROSTÁTICOS</v>
      </c>
    </row>
    <row r="7955" spans="1:2">
      <c r="A7955" s="1" t="str">
        <f>"8421.39.20"</f>
        <v>8421.39.20</v>
      </c>
      <c r="B7955" s="2" t="str">
        <f>"Depuradores por conversao catalitic"</f>
        <v>Depuradores por conversao catalitic</v>
      </c>
    </row>
    <row r="7956" spans="1:2">
      <c r="A7956" s="1" t="str">
        <f>"8421.39.30"</f>
        <v>8421.39.30</v>
      </c>
      <c r="B7956" s="2" t="str">
        <f>"Concentradores de oxigenio por depu"</f>
        <v>Concentradores de oxigenio por depu</v>
      </c>
    </row>
    <row r="7957" spans="1:2">
      <c r="A7957" s="1" t="str">
        <f>"8421.39.90"</f>
        <v>8421.39.90</v>
      </c>
      <c r="B7957" s="2" t="str">
        <f>"OUTROS APARELHOS PARA FILTRAR OU DE"</f>
        <v>OUTROS APARELHOS PARA FILTRAR OU DE</v>
      </c>
    </row>
    <row r="7958" spans="1:2">
      <c r="A7958" s="1" t="str">
        <f>"8421.91.10"</f>
        <v>8421.91.10</v>
      </c>
      <c r="B7958" s="2" t="str">
        <f>"De secadores de roupa do item 8421."</f>
        <v>De secadores de roupa do item 8421.</v>
      </c>
    </row>
    <row r="7959" spans="1:2">
      <c r="A7959" s="1" t="str">
        <f>"8421.91.91"</f>
        <v>8421.91.91</v>
      </c>
      <c r="B7959" s="2" t="str">
        <f>"TAMBORES ROTATIVOS COM PRATOS"</f>
        <v>TAMBORES ROTATIVOS COM PRATOS</v>
      </c>
    </row>
    <row r="7960" spans="1:2">
      <c r="A7960" s="1" t="str">
        <f>"8421.91.99"</f>
        <v>8421.91.99</v>
      </c>
      <c r="B7960" s="2" t="str">
        <f>"Outras"</f>
        <v>Outras</v>
      </c>
    </row>
    <row r="7961" spans="1:2">
      <c r="A7961" s="1" t="str">
        <f>"8421.99.10"</f>
        <v>8421.99.10</v>
      </c>
      <c r="B7961" s="2" t="str">
        <f>"copo filtro"</f>
        <v>copo filtro</v>
      </c>
    </row>
    <row r="7962" spans="1:2">
      <c r="A7962" s="1" t="str">
        <f>"8421.99.20"</f>
        <v>8421.99.20</v>
      </c>
      <c r="B7962" s="2" t="str">
        <f>"Do tipo utilizado em linhas de sang"</f>
        <v>Do tipo utilizado em linhas de sang</v>
      </c>
    </row>
    <row r="7963" spans="1:2">
      <c r="A7963" s="1" t="str">
        <f>"8421.99.90"</f>
        <v>8421.99.90</v>
      </c>
      <c r="B7963" s="2" t="str">
        <f>"INATIVA - BOMBA HIDRAULICA"</f>
        <v>INATIVA - BOMBA HIDRAULICA</v>
      </c>
    </row>
    <row r="7964" spans="1:2">
      <c r="A7964" s="1" t="str">
        <f>"8421.99.91"</f>
        <v>8421.99.91</v>
      </c>
      <c r="B7964" s="2" t="str">
        <f>"Cartuchos de membrana de aparelhos"</f>
        <v>Cartuchos de membrana de aparelhos</v>
      </c>
    </row>
    <row r="7965" spans="1:2">
      <c r="A7965" s="1" t="str">
        <f>"8421.99.99"</f>
        <v>8421.99.99</v>
      </c>
      <c r="B7965" s="2" t="str">
        <f>"OUTRAS PARTES DE CENTRIFUGADORES"</f>
        <v>OUTRAS PARTES DE CENTRIFUGADORES</v>
      </c>
    </row>
    <row r="7966" spans="1:2">
      <c r="A7966" s="1" t="str">
        <f>"8422.11.00"</f>
        <v>8422.11.00</v>
      </c>
      <c r="B7966" s="2" t="str">
        <f>"Do tipo domestico"</f>
        <v>Do tipo domestico</v>
      </c>
    </row>
    <row r="7967" spans="1:2">
      <c r="A7967" s="1" t="str">
        <f>"8422.19.00"</f>
        <v>8422.19.00</v>
      </c>
      <c r="B7967" s="2" t="str">
        <f>"Outras"</f>
        <v>Outras</v>
      </c>
    </row>
    <row r="7968" spans="1:2">
      <c r="A7968" s="1" t="str">
        <f>"8422.20.00"</f>
        <v>8422.20.00</v>
      </c>
      <c r="B7968" s="2" t="str">
        <f>"Maquinas e aparelhos para limpar ou"</f>
        <v>Maquinas e aparelhos para limpar ou</v>
      </c>
    </row>
    <row r="7969" spans="1:2">
      <c r="A7969" s="1" t="str">
        <f>"8422.30.10"</f>
        <v>8422.30.10</v>
      </c>
      <c r="B7969" s="2" t="str">
        <f>"MAQUINAS PARA ENCHER GARRAFAS"</f>
        <v>MAQUINAS PARA ENCHER GARRAFAS</v>
      </c>
    </row>
    <row r="7970" spans="1:2">
      <c r="A7970" s="1" t="str">
        <f>"8422.30.21"</f>
        <v>8422.30.21</v>
      </c>
      <c r="B7970" s="2" t="str">
        <f>"Para encher caixas ou sacos com po"</f>
        <v>Para encher caixas ou sacos com po</v>
      </c>
    </row>
    <row r="7971" spans="1:2">
      <c r="A7971" s="1" t="str">
        <f>"8422.30.22"</f>
        <v>8422.30.22</v>
      </c>
      <c r="B7971" s="2" t="str">
        <f>"Para encher e fechar embalagens con"</f>
        <v>Para encher e fechar embalagens con</v>
      </c>
    </row>
    <row r="7972" spans="1:2">
      <c r="A7972" s="1" t="str">
        <f>"8422.30.23"</f>
        <v>8422.30.23</v>
      </c>
      <c r="B7972" s="2" t="str">
        <f>"Para encher e fechar recipientes tu"</f>
        <v>Para encher e fechar recipientes tu</v>
      </c>
    </row>
    <row r="7973" spans="1:2">
      <c r="A7973" s="1" t="str">
        <f>"8422.30.29"</f>
        <v>8422.30.29</v>
      </c>
      <c r="B7973" s="2" t="str">
        <f>"OUTROS"</f>
        <v>OUTROS</v>
      </c>
    </row>
    <row r="7974" spans="1:2">
      <c r="A7974" s="1" t="str">
        <f>"8422.30.30"</f>
        <v>8422.30.30</v>
      </c>
      <c r="B7974" s="2" t="str">
        <f>"Para gaseificar bebidas"</f>
        <v>Para gaseificar bebidas</v>
      </c>
    </row>
    <row r="7975" spans="1:2">
      <c r="A7975" s="1" t="str">
        <f>"8422.40.10"</f>
        <v>8422.40.10</v>
      </c>
      <c r="B7975" s="2" t="str">
        <f>"Horizontais, proprias para empacota"</f>
        <v>Horizontais, proprias para empacota</v>
      </c>
    </row>
    <row r="7976" spans="1:2">
      <c r="A7976" s="1" t="str">
        <f>"8422.40.20"</f>
        <v>8422.40.20</v>
      </c>
      <c r="B7976" s="2" t="str">
        <f>"Automatica, para embalar tubos ou b"</f>
        <v>Automatica, para embalar tubos ou b</v>
      </c>
    </row>
    <row r="7977" spans="1:2">
      <c r="A7977" s="1" t="str">
        <f>"8422.40.30"</f>
        <v>8422.40.30</v>
      </c>
      <c r="B7977" s="2" t="str">
        <f>"De empacotar embalagens confecciona"</f>
        <v>De empacotar embalagens confecciona</v>
      </c>
    </row>
    <row r="7978" spans="1:2">
      <c r="A7978" s="1" t="str">
        <f>"8422.40.90"</f>
        <v>8422.40.90</v>
      </c>
      <c r="B7978" s="2" t="str">
        <f>"OUTROS - APLICADOR FITA ADESIVA"</f>
        <v>OUTROS - APLICADOR FITA ADESIVA</v>
      </c>
    </row>
    <row r="7979" spans="1:2">
      <c r="A7979" s="1" t="str">
        <f>"8422.90.10"</f>
        <v>8422.90.10</v>
      </c>
      <c r="B7979" s="2" t="str">
        <f>"De maquinas de lavar louca, de uso"</f>
        <v>De maquinas de lavar louca, de uso</v>
      </c>
    </row>
    <row r="7980" spans="1:2">
      <c r="A7980" s="1" t="str">
        <f>"8422.90.90"</f>
        <v>8422.90.90</v>
      </c>
      <c r="B7980" s="2" t="str">
        <f>"OUTRAS"</f>
        <v>OUTRAS</v>
      </c>
    </row>
    <row r="7981" spans="1:2">
      <c r="A7981" s="1" t="str">
        <f>"8423.10.00"</f>
        <v>8423.10.00</v>
      </c>
      <c r="B7981" s="2" t="str">
        <f>"OUTROS"</f>
        <v>OUTROS</v>
      </c>
    </row>
    <row r="7982" spans="1:2">
      <c r="A7982" s="1" t="str">
        <f>"8423.20.00"</f>
        <v>8423.20.00</v>
      </c>
      <c r="B7982" s="2" t="str">
        <f>"Basculas de pesagem continua em tra"</f>
        <v>Basculas de pesagem continua em tra</v>
      </c>
    </row>
    <row r="7983" spans="1:2">
      <c r="A7983" s="1" t="str">
        <f>"8423.30.11"</f>
        <v>8423.30.11</v>
      </c>
      <c r="B7983" s="2" t="str">
        <f>"Com aparelhos perifericos, que cons"</f>
        <v>Com aparelhos perifericos, que cons</v>
      </c>
    </row>
    <row r="7984" spans="1:2">
      <c r="A7984" s="1" t="str">
        <f>"8423.30.19"</f>
        <v>8423.30.19</v>
      </c>
      <c r="B7984" s="2" t="str">
        <f>"Outras"</f>
        <v>Outras</v>
      </c>
    </row>
    <row r="7985" spans="1:2">
      <c r="A7985" s="1" t="str">
        <f>"8423.30.90"</f>
        <v>8423.30.90</v>
      </c>
      <c r="B7985" s="2" t="str">
        <f>"OUTRAS"</f>
        <v>OUTRAS</v>
      </c>
    </row>
    <row r="7986" spans="1:2">
      <c r="A7986" s="1" t="str">
        <f>"8423.81.10"</f>
        <v>8423.81.10</v>
      </c>
      <c r="B7986" s="2" t="str">
        <f>"De mesa, com dipositivo registrador"</f>
        <v>De mesa, com dipositivo registrador</v>
      </c>
    </row>
    <row r="7987" spans="1:2">
      <c r="A7987" s="1" t="str">
        <f>"8423.81.90"</f>
        <v>8423.81.90</v>
      </c>
      <c r="B7987" s="2" t="str">
        <f>"OUTROS"</f>
        <v>OUTROS</v>
      </c>
    </row>
    <row r="7988" spans="1:2">
      <c r="A7988" s="1" t="str">
        <f>"8423.82.00"</f>
        <v>8423.82.00</v>
      </c>
      <c r="B7988" s="2" t="str">
        <f>"CAPACIDADE SUP. A 30KG -BALANCA"</f>
        <v>CAPACIDADE SUP. A 30KG -BALANCA</v>
      </c>
    </row>
    <row r="7989" spans="1:2">
      <c r="A7989" s="1" t="str">
        <f>"8423.89.00"</f>
        <v>8423.89.00</v>
      </c>
      <c r="B7989" s="2" t="str">
        <f>"OUTROS"</f>
        <v>OUTROS</v>
      </c>
    </row>
    <row r="7990" spans="1:2">
      <c r="A7990" s="1" t="str">
        <f>"8423.90.00"</f>
        <v>8423.90.00</v>
      </c>
      <c r="B7990" s="2" t="str">
        <f>"INATIVO"</f>
        <v>INATIVO</v>
      </c>
    </row>
    <row r="7991" spans="1:2">
      <c r="A7991" s="1" t="str">
        <f>"8423.90.10"</f>
        <v>8423.90.10</v>
      </c>
      <c r="B7991" s="2" t="str">
        <f>"Pesos"</f>
        <v>Pesos</v>
      </c>
    </row>
    <row r="7992" spans="1:2">
      <c r="A7992" s="1" t="str">
        <f>"8423.90.20"</f>
        <v>8423.90.20</v>
      </c>
      <c r="B7992" s="2" t="str">
        <f>"INATIVO"</f>
        <v>INATIVO</v>
      </c>
    </row>
    <row r="7993" spans="1:2">
      <c r="A7993" s="1" t="str">
        <f>"8423.90.21"</f>
        <v>8423.90.21</v>
      </c>
      <c r="B7993" s="2" t="str">
        <f>"De aparelhos ou instrumentos da sub"</f>
        <v>De aparelhos ou instrumentos da sub</v>
      </c>
    </row>
    <row r="7994" spans="1:2">
      <c r="A7994" s="1" t="str">
        <f>"8423.90.29"</f>
        <v>8423.90.29</v>
      </c>
      <c r="B7994" s="2" t="str">
        <f>"Outras"</f>
        <v>Outras</v>
      </c>
    </row>
    <row r="7995" spans="1:2">
      <c r="A7995" s="1" t="str">
        <f>"8424.10.00"</f>
        <v>8424.10.00</v>
      </c>
      <c r="B7995" s="2" t="str">
        <f>"EXTINTOR DE INCENDIO"</f>
        <v>EXTINTOR DE INCENDIO</v>
      </c>
    </row>
    <row r="7996" spans="1:2">
      <c r="A7996" s="1" t="str">
        <f>"8424.20.00"</f>
        <v>8424.20.00</v>
      </c>
      <c r="B7996" s="2" t="str">
        <f>"PISTOLA PARA COLA"</f>
        <v>PISTOLA PARA COLA</v>
      </c>
    </row>
    <row r="7997" spans="1:2">
      <c r="A7997" s="1" t="str">
        <f>"8424.30.10"</f>
        <v>8424.30.10</v>
      </c>
      <c r="B7997" s="2" t="str">
        <f>"MÁQUINAS E APARELHOS LIMP JATO ÁGUA"</f>
        <v>MÁQUINAS E APARELHOS LIMP JATO ÁGUA</v>
      </c>
    </row>
    <row r="7998" spans="1:2">
      <c r="A7998" s="1" t="str">
        <f>"8424.30.20"</f>
        <v>8424.30.20</v>
      </c>
      <c r="B7998" s="2" t="str">
        <f>"De jato de areia propria para desga"</f>
        <v>De jato de areia propria para desga</v>
      </c>
    </row>
    <row r="7999" spans="1:2">
      <c r="A7999" s="1" t="str">
        <f>"8424.30.30"</f>
        <v>8424.30.30</v>
      </c>
      <c r="B7999" s="2" t="str">
        <f>"Perfuradoras por jato de agua com p"</f>
        <v>Perfuradoras por jato de agua com p</v>
      </c>
    </row>
    <row r="8000" spans="1:2">
      <c r="A8000" s="1" t="str">
        <f>"8424.30.90"</f>
        <v>8424.30.90</v>
      </c>
      <c r="B8000" s="2" t="str">
        <f>"OUTROS"</f>
        <v>OUTROS</v>
      </c>
    </row>
    <row r="8001" spans="1:2">
      <c r="A8001" s="1" t="str">
        <f>"8424.41.00"</f>
        <v>8424.41.00</v>
      </c>
      <c r="B8001" s="2" t="str">
        <f>"Pulverizadores portateis"</f>
        <v>Pulverizadores portateis</v>
      </c>
    </row>
    <row r="8002" spans="1:2">
      <c r="A8002" s="1" t="str">
        <f>"8424.49.00"</f>
        <v>8424.49.00</v>
      </c>
      <c r="B8002" s="2" t="str">
        <f>"Outros"</f>
        <v>Outros</v>
      </c>
    </row>
    <row r="8003" spans="1:2">
      <c r="A8003" s="1" t="str">
        <f>"8424.81.21"</f>
        <v>8424.81.21</v>
      </c>
      <c r="B8003" s="2" t="str">
        <f>"INATIVO"</f>
        <v>INATIVO</v>
      </c>
    </row>
    <row r="8004" spans="1:2">
      <c r="A8004" s="1" t="str">
        <f>"8424.81.29"</f>
        <v>8424.81.29</v>
      </c>
      <c r="B8004" s="2" t="str">
        <f>"INATIVO"</f>
        <v>INATIVO</v>
      </c>
    </row>
    <row r="8005" spans="1:2">
      <c r="A8005" s="1" t="str">
        <f>"8424.82.21"</f>
        <v>8424.82.21</v>
      </c>
      <c r="B8005" s="2" t="str">
        <f>"Por aspersao"</f>
        <v>Por aspersao</v>
      </c>
    </row>
    <row r="8006" spans="1:2">
      <c r="A8006" s="1" t="str">
        <f>"8424.82.29"</f>
        <v>8424.82.29</v>
      </c>
      <c r="B8006" s="2" t="str">
        <f>"Outros"</f>
        <v>Outros</v>
      </c>
    </row>
    <row r="8007" spans="1:2">
      <c r="A8007" s="1" t="str">
        <f>"8424.82.90"</f>
        <v>8424.82.90</v>
      </c>
      <c r="B8007" s="2" t="str">
        <f>"Outros"</f>
        <v>Outros</v>
      </c>
    </row>
    <row r="8008" spans="1:2">
      <c r="A8008" s="1" t="str">
        <f>"8424.89.10"</f>
        <v>8424.89.10</v>
      </c>
      <c r="B8008" s="2" t="str">
        <f>"Aparelhos de pulverizacao constitui"</f>
        <v>Aparelhos de pulverizacao constitui</v>
      </c>
    </row>
    <row r="8009" spans="1:2">
      <c r="A8009" s="1" t="str">
        <f>"8424.89.20"</f>
        <v>8424.89.20</v>
      </c>
      <c r="B8009" s="2" t="str">
        <f>"Aparelhos automaticos para projetar"</f>
        <v>Aparelhos automaticos para projetar</v>
      </c>
    </row>
    <row r="8010" spans="1:2">
      <c r="A8010" s="1" t="str">
        <f>"8424.89.90"</f>
        <v>8424.89.90</v>
      </c>
      <c r="B8010" s="2" t="str">
        <f>"OUTROS"</f>
        <v>OUTROS</v>
      </c>
    </row>
    <row r="8011" spans="1:2">
      <c r="A8011" s="1" t="str">
        <f>"8424.90.10"</f>
        <v>8424.90.10</v>
      </c>
      <c r="B8011" s="2" t="str">
        <f>"DE APARELHOS DA SUBPOSIÇÃO"</f>
        <v>DE APARELHOS DA SUBPOSIÇÃO</v>
      </c>
    </row>
    <row r="8012" spans="1:2">
      <c r="A8012" s="1" t="str">
        <f>"8424.90.90"</f>
        <v>8424.90.90</v>
      </c>
      <c r="B8012" s="2" t="str">
        <f>"OUTRAS"</f>
        <v>OUTRAS</v>
      </c>
    </row>
    <row r="8013" spans="1:2">
      <c r="A8013" s="1" t="str">
        <f>"8425.11.00"</f>
        <v>8425.11.00</v>
      </c>
      <c r="B8013" s="2" t="str">
        <f>"De motor eletrico"</f>
        <v>De motor eletrico</v>
      </c>
    </row>
    <row r="8014" spans="1:2">
      <c r="A8014" s="1" t="str">
        <f>"8425.19.10"</f>
        <v>8425.19.10</v>
      </c>
      <c r="B8014" s="2" t="str">
        <f>"TALHAS, CADERNAIS E MOITÕES,MANUAIS"</f>
        <v>TALHAS, CADERNAIS E MOITÕES,MANUAIS</v>
      </c>
    </row>
    <row r="8015" spans="1:2">
      <c r="A8015" s="1" t="str">
        <f>"8425.19.90"</f>
        <v>8425.19.90</v>
      </c>
      <c r="B8015" s="2" t="str">
        <f>"OUTROS"</f>
        <v>OUTROS</v>
      </c>
    </row>
    <row r="8016" spans="1:2">
      <c r="A8016" s="1" t="str">
        <f>"8425.31.10"</f>
        <v>8425.31.10</v>
      </c>
      <c r="B8016" s="2" t="str">
        <f>"COM CAPAC. INFER. / IGUAL A 100T"</f>
        <v>COM CAPAC. INFER. / IGUAL A 100T</v>
      </c>
    </row>
    <row r="8017" spans="1:2">
      <c r="A8017" s="1" t="str">
        <f>"8425.31.90"</f>
        <v>8425.31.90</v>
      </c>
      <c r="B8017" s="2" t="str">
        <f>"Outros"</f>
        <v>Outros</v>
      </c>
    </row>
    <row r="8018" spans="1:2">
      <c r="A8018" s="1" t="str">
        <f>"8425.39.10"</f>
        <v>8425.39.10</v>
      </c>
      <c r="B8018" s="2" t="str">
        <f>"Com capacidade inferior ou igual a"</f>
        <v>Com capacidade inferior ou igual a</v>
      </c>
    </row>
    <row r="8019" spans="1:2">
      <c r="A8019" s="1" t="str">
        <f>"8425.39.90"</f>
        <v>8425.39.90</v>
      </c>
      <c r="B8019" s="2" t="str">
        <f>"Outros"</f>
        <v>Outros</v>
      </c>
    </row>
    <row r="8020" spans="1:2">
      <c r="A8020" s="1" t="str">
        <f>"8425.41.00"</f>
        <v>8425.41.00</v>
      </c>
      <c r="B8020" s="2" t="str">
        <f>"Elevadores fixos de veiculos, para"</f>
        <v>Elevadores fixos de veiculos, para</v>
      </c>
    </row>
    <row r="8021" spans="1:2">
      <c r="A8021" s="1" t="str">
        <f>"8425.42.00"</f>
        <v>8425.42.00</v>
      </c>
      <c r="B8021" s="2" t="str">
        <f>"OUTROS"</f>
        <v>OUTROS</v>
      </c>
    </row>
    <row r="8022" spans="1:2">
      <c r="A8022" s="1" t="str">
        <f>"8425.49.10"</f>
        <v>8425.49.10</v>
      </c>
      <c r="B8022" s="2" t="str">
        <f>"Manuais"</f>
        <v>Manuais</v>
      </c>
    </row>
    <row r="8023" spans="1:2">
      <c r="A8023" s="1" t="str">
        <f>"8425.49.90"</f>
        <v>8425.49.90</v>
      </c>
      <c r="B8023" s="2" t="str">
        <f>"Outros"</f>
        <v>Outros</v>
      </c>
    </row>
    <row r="8024" spans="1:2">
      <c r="A8024" s="1" t="str">
        <f>"8426.11.00"</f>
        <v>8426.11.00</v>
      </c>
      <c r="B8024" s="2" t="str">
        <f>"VIGAS, ROLANTES, SUPORTES FIXO"</f>
        <v>VIGAS, ROLANTES, SUPORTES FIXO</v>
      </c>
    </row>
    <row r="8025" spans="1:2">
      <c r="A8025" s="1" t="str">
        <f>"8426.12.00"</f>
        <v>8426.12.00</v>
      </c>
      <c r="B8025" s="2" t="str">
        <f>"Porticos moveis de pneumaticos e ca"</f>
        <v>Porticos moveis de pneumaticos e ca</v>
      </c>
    </row>
    <row r="8026" spans="1:2">
      <c r="A8026" s="1" t="str">
        <f>"8426.19.00"</f>
        <v>8426.19.00</v>
      </c>
      <c r="B8026" s="2" t="str">
        <f>"Outros"</f>
        <v>Outros</v>
      </c>
    </row>
    <row r="8027" spans="1:2">
      <c r="A8027" s="1" t="str">
        <f>"8426.20.00"</f>
        <v>8426.20.00</v>
      </c>
      <c r="B8027" s="2" t="str">
        <f>"Guindastes de torre"</f>
        <v>Guindastes de torre</v>
      </c>
    </row>
    <row r="8028" spans="1:2">
      <c r="A8028" s="1" t="str">
        <f>"8426.30.00"</f>
        <v>8426.30.00</v>
      </c>
      <c r="B8028" s="2" t="str">
        <f>"Guindastes de portico"</f>
        <v>Guindastes de portico</v>
      </c>
    </row>
    <row r="8029" spans="1:2">
      <c r="A8029" s="1" t="str">
        <f>"8426.41.10"</f>
        <v>8426.41.10</v>
      </c>
      <c r="B8029" s="2" t="str">
        <f>"Com deslocamento em sentido longitu"</f>
        <v>Com deslocamento em sentido longitu</v>
      </c>
    </row>
    <row r="8030" spans="1:2">
      <c r="A8030" s="1" t="str">
        <f>"8426.41.90"</f>
        <v>8426.41.90</v>
      </c>
      <c r="B8030" s="2" t="str">
        <f>"Outros"</f>
        <v>Outros</v>
      </c>
    </row>
    <row r="8031" spans="1:2">
      <c r="A8031" s="1" t="str">
        <f>"8426.49.10"</f>
        <v>8426.49.10</v>
      </c>
      <c r="B8031" s="2" t="str">
        <f>"De lagartas, com capacidade de elev"</f>
        <v>De lagartas, com capacidade de elev</v>
      </c>
    </row>
    <row r="8032" spans="1:2">
      <c r="A8032" s="1" t="str">
        <f>"8426.49.90"</f>
        <v>8426.49.90</v>
      </c>
      <c r="B8032" s="2" t="str">
        <f>"Outros"</f>
        <v>Outros</v>
      </c>
    </row>
    <row r="8033" spans="1:2">
      <c r="A8033" s="1" t="str">
        <f>"8426.91.00"</f>
        <v>8426.91.00</v>
      </c>
      <c r="B8033" s="2" t="str">
        <f>"Proprios para serem montados em vei"</f>
        <v>Proprios para serem montados em vei</v>
      </c>
    </row>
    <row r="8034" spans="1:2">
      <c r="A8034" s="1" t="str">
        <f>"8426.99.00"</f>
        <v>8426.99.00</v>
      </c>
      <c r="B8034" s="9" t="s">
        <v>4</v>
      </c>
    </row>
    <row r="8035" spans="1:2">
      <c r="A8035" s="1" t="str">
        <f>"8427.10.11"</f>
        <v>8427.10.11</v>
      </c>
      <c r="B8035" s="2" t="str">
        <f>"De capacidade de carga superior a 6"</f>
        <v>De capacidade de carga superior a 6</v>
      </c>
    </row>
    <row r="8036" spans="1:2">
      <c r="A8036" s="1" t="str">
        <f>"8427.10.19"</f>
        <v>8427.10.19</v>
      </c>
      <c r="B8036" s="2" t="str">
        <f>"outras"</f>
        <v>outras</v>
      </c>
    </row>
    <row r="8037" spans="1:2">
      <c r="A8037" s="1" t="str">
        <f>"8427.10.90"</f>
        <v>8427.10.90</v>
      </c>
      <c r="B8037" s="2" t="str">
        <f>"OUTROS -PLATAFORMA DE TRABALHO"</f>
        <v>OUTROS -PLATAFORMA DE TRABALHO</v>
      </c>
    </row>
    <row r="8038" spans="1:2">
      <c r="A8038" s="1" t="str">
        <f>"8427.20.10"</f>
        <v>8427.20.10</v>
      </c>
      <c r="B8038" s="2" t="str">
        <f>"Empilhadeiras com capacidade de car"</f>
        <v>Empilhadeiras com capacidade de car</v>
      </c>
    </row>
    <row r="8039" spans="1:2">
      <c r="A8039" s="1" t="str">
        <f>"8427.20.90"</f>
        <v>8427.20.90</v>
      </c>
      <c r="B8039" s="2" t="str">
        <f>"OUTROS"</f>
        <v>OUTROS</v>
      </c>
    </row>
    <row r="8040" spans="1:2">
      <c r="A8040" s="1" t="str">
        <f>"8427.90.00"</f>
        <v>8427.90.00</v>
      </c>
      <c r="B8040" s="2" t="str">
        <f>"OUTROS -CARRO HID P/PALLET"</f>
        <v>OUTROS -CARRO HID P/PALLET</v>
      </c>
    </row>
    <row r="8041" spans="1:2">
      <c r="A8041" s="1" t="str">
        <f>"8428.10.00"</f>
        <v>8428.10.00</v>
      </c>
      <c r="B8041" s="2" t="str">
        <f>"ELEVADORES E MONTA-CARGAS"</f>
        <v>ELEVADORES E MONTA-CARGAS</v>
      </c>
    </row>
    <row r="8042" spans="1:2">
      <c r="A8042" s="1" t="str">
        <f>"8428.20.10"</f>
        <v>8428.20.10</v>
      </c>
      <c r="B8042" s="2" t="str">
        <f>"Transportadores tubulares (transvas"</f>
        <v>Transportadores tubulares (transvas</v>
      </c>
    </row>
    <row r="8043" spans="1:2">
      <c r="A8043" s="1" t="str">
        <f>"8428.20.90"</f>
        <v>8428.20.90</v>
      </c>
      <c r="B8043" s="2" t="str">
        <f>"OUTROS - APARE4LHO PARA MOVIMENTACA"</f>
        <v>OUTROS - APARE4LHO PARA MOVIMENTACA</v>
      </c>
    </row>
    <row r="8044" spans="1:2">
      <c r="A8044" s="1" t="str">
        <f>"8428.31.00"</f>
        <v>8428.31.00</v>
      </c>
      <c r="B8044" s="2" t="str">
        <f>"Especialmente concebidos para uso s"</f>
        <v>Especialmente concebidos para uso s</v>
      </c>
    </row>
    <row r="8045" spans="1:2">
      <c r="A8045" s="1" t="str">
        <f>"8428.32.00"</f>
        <v>8428.32.00</v>
      </c>
      <c r="B8045" s="2" t="str">
        <f>"Outros, de cacamba (balde*)"</f>
        <v>Outros, de cacamba (balde*)</v>
      </c>
    </row>
    <row r="8046" spans="1:2">
      <c r="A8046" s="1" t="str">
        <f>"8428.33.00"</f>
        <v>8428.33.00</v>
      </c>
      <c r="B8046" s="2" t="str">
        <f>"Outros, de tira ou correia"</f>
        <v>Outros, de tira ou correia</v>
      </c>
    </row>
    <row r="8047" spans="1:2">
      <c r="A8047" s="1" t="str">
        <f>"8428.39.10"</f>
        <v>8428.39.10</v>
      </c>
      <c r="B8047" s="2" t="str">
        <f>"De correntes"</f>
        <v>De correntes</v>
      </c>
    </row>
    <row r="8048" spans="1:2">
      <c r="A8048" s="1" t="str">
        <f>"8428.39.20"</f>
        <v>8428.39.20</v>
      </c>
      <c r="B8048" s="2" t="str">
        <f>"De rolos motores"</f>
        <v>De rolos motores</v>
      </c>
    </row>
    <row r="8049" spans="1:2">
      <c r="A8049" s="1" t="str">
        <f>"8428.39.30"</f>
        <v>8428.39.30</v>
      </c>
      <c r="B8049" s="2" t="str">
        <f>"De pincas laterais, do tipo utiliza"</f>
        <v>De pincas laterais, do tipo utiliza</v>
      </c>
    </row>
    <row r="8050" spans="1:2">
      <c r="A8050" s="1" t="str">
        <f>"8428.39.90"</f>
        <v>8428.39.90</v>
      </c>
      <c r="B8050" s="2" t="str">
        <f>"outros"</f>
        <v>outros</v>
      </c>
    </row>
    <row r="8051" spans="1:2">
      <c r="A8051" s="1" t="str">
        <f>"8428.40.00"</f>
        <v>8428.40.00</v>
      </c>
      <c r="B8051" s="2" t="str">
        <f>"Escadas e tapetes, rolantes"</f>
        <v>Escadas e tapetes, rolantes</v>
      </c>
    </row>
    <row r="8052" spans="1:2">
      <c r="A8052" s="1" t="str">
        <f>"8428.60.00"</f>
        <v>8428.60.00</v>
      </c>
      <c r="B8052" s="2" t="str">
        <f>"Telefericos (incluindo as telecadei"</f>
        <v>Telefericos (incluindo as telecadei</v>
      </c>
    </row>
    <row r="8053" spans="1:2">
      <c r="A8053" s="1" t="str">
        <f>"8428.90.10"</f>
        <v>8428.90.10</v>
      </c>
      <c r="B8053" s="2" t="str">
        <f>"Do tipo utilizado para desembarque"</f>
        <v>Do tipo utilizado para desembarque</v>
      </c>
    </row>
    <row r="8054" spans="1:2">
      <c r="A8054" s="1" t="str">
        <f>"8428.90.20"</f>
        <v>8428.90.20</v>
      </c>
      <c r="B8054" s="2" t="str">
        <f>"Transportadores-elevadores (transel"</f>
        <v>Transportadores-elevadores (transel</v>
      </c>
    </row>
    <row r="8055" spans="1:2">
      <c r="A8055" s="1" t="str">
        <f>"8428.90.30"</f>
        <v>8428.90.30</v>
      </c>
      <c r="B8055" s="2" t="str">
        <f>"Maquina para formacao de pilhas de"</f>
        <v>Maquina para formacao de pilhas de</v>
      </c>
    </row>
    <row r="8056" spans="1:2">
      <c r="A8056" s="1" t="str">
        <f>"8428.90.90"</f>
        <v>8428.90.90</v>
      </c>
      <c r="B8056" s="2" t="str">
        <f>"OUTROS"</f>
        <v>OUTROS</v>
      </c>
    </row>
    <row r="8057" spans="1:2">
      <c r="A8057" s="1" t="str">
        <f>"8429.11.10"</f>
        <v>8429.11.10</v>
      </c>
      <c r="B8057" s="2" t="str">
        <f>"De potencia no volante igual ou sup"</f>
        <v>De potencia no volante igual ou sup</v>
      </c>
    </row>
    <row r="8058" spans="1:2">
      <c r="A8058" s="1" t="str">
        <f>"8429.11.90"</f>
        <v>8429.11.90</v>
      </c>
      <c r="B8058" s="2" t="str">
        <f>"BATERIA TRACIONARIA"</f>
        <v>BATERIA TRACIONARIA</v>
      </c>
    </row>
    <row r="8059" spans="1:2">
      <c r="A8059" s="1" t="str">
        <f>"8429.19.10"</f>
        <v>8429.19.10</v>
      </c>
      <c r="B8059" s="2" t="str">
        <f>"Bulldozers de potencia no volante i"</f>
        <v>Bulldozers de potencia no volante i</v>
      </c>
    </row>
    <row r="8060" spans="1:2">
      <c r="A8060" s="1" t="str">
        <f>"8429.19.90"</f>
        <v>8429.19.90</v>
      </c>
      <c r="B8060" s="2" t="str">
        <f>"Outros"</f>
        <v>Outros</v>
      </c>
    </row>
    <row r="8061" spans="1:2">
      <c r="A8061" s="1" t="str">
        <f>"8429.20.10"</f>
        <v>8429.20.10</v>
      </c>
      <c r="B8061" s="2" t="str">
        <f>"Motoniveladores articulados, de pot"</f>
        <v>Motoniveladores articulados, de pot</v>
      </c>
    </row>
    <row r="8062" spans="1:2">
      <c r="A8062" s="1" t="str">
        <f>"8429.20.90"</f>
        <v>8429.20.90</v>
      </c>
      <c r="B8062" s="2" t="str">
        <f>"Outros"</f>
        <v>Outros</v>
      </c>
    </row>
    <row r="8063" spans="1:2">
      <c r="A8063" s="1" t="str">
        <f>"8429.30.00"</f>
        <v>8429.30.00</v>
      </c>
      <c r="B8063" s="2" t="str">
        <f>"Raspo-transportadores (scrapers)"</f>
        <v>Raspo-transportadores (scrapers)</v>
      </c>
    </row>
    <row r="8064" spans="1:2">
      <c r="A8064" s="1" t="str">
        <f>"8429.40.00"</f>
        <v>8429.40.00</v>
      </c>
      <c r="B8064" s="2" t="str">
        <f>"COMPACTADORES E ROLOS OU CILINDROS"</f>
        <v>COMPACTADORES E ROLOS OU CILINDROS</v>
      </c>
    </row>
    <row r="8065" spans="1:2">
      <c r="A8065" s="1" t="str">
        <f>"8429.51.11"</f>
        <v>8429.51.11</v>
      </c>
      <c r="B8065" s="2" t="str">
        <f>"Do tipo das utilizadas em minas sub"</f>
        <v>Do tipo das utilizadas em minas sub</v>
      </c>
    </row>
    <row r="8066" spans="1:2">
      <c r="A8066" s="1" t="str">
        <f>"8429.51.19"</f>
        <v>8429.51.19</v>
      </c>
      <c r="B8066" s="2" t="str">
        <f>"outros"</f>
        <v>outros</v>
      </c>
    </row>
    <row r="8067" spans="1:2">
      <c r="A8067" s="1" t="str">
        <f>"8429.51.21"</f>
        <v>8429.51.21</v>
      </c>
      <c r="B8067" s="2" t="str">
        <f>"De potencia no volante igual ou sup"</f>
        <v>De potencia no volante igual ou sup</v>
      </c>
    </row>
    <row r="8068" spans="1:2">
      <c r="A8068" s="1" t="str">
        <f>"8429.51.29"</f>
        <v>8429.51.29</v>
      </c>
      <c r="B8068" s="2" t="str">
        <f>"Outras"</f>
        <v>Outras</v>
      </c>
    </row>
    <row r="8069" spans="1:2">
      <c r="A8069" s="1" t="str">
        <f>"8429.51.91"</f>
        <v>8429.51.91</v>
      </c>
      <c r="B8069" s="2" t="str">
        <f>"De potencia no volante igual ou sup"</f>
        <v>De potencia no volante igual ou sup</v>
      </c>
    </row>
    <row r="8070" spans="1:2">
      <c r="A8070" s="1" t="str">
        <f>"8429.51.92"</f>
        <v>8429.51.92</v>
      </c>
      <c r="B8070" s="2" t="str">
        <f>"De potencia no volante inferior ou"</f>
        <v>De potencia no volante inferior ou</v>
      </c>
    </row>
    <row r="8071" spans="1:2">
      <c r="A8071" s="1" t="str">
        <f>"8429.51.99"</f>
        <v>8429.51.99</v>
      </c>
      <c r="B8071" s="2" t="str">
        <f>"Outras"</f>
        <v>Outras</v>
      </c>
    </row>
    <row r="8072" spans="1:2">
      <c r="A8072" s="1" t="str">
        <f>"8429.52.11"</f>
        <v>8429.52.11</v>
      </c>
      <c r="B8072" s="2" t="str">
        <f>"De potencia no volante igual ou sup"</f>
        <v>De potencia no volante igual ou sup</v>
      </c>
    </row>
    <row r="8073" spans="1:2">
      <c r="A8073" s="1" t="str">
        <f>"8429.52.12"</f>
        <v>8429.52.12</v>
      </c>
      <c r="B8073" s="2" t="str">
        <f>"De potencia no volante inferior ou"</f>
        <v>De potencia no volante inferior ou</v>
      </c>
    </row>
    <row r="8074" spans="1:2">
      <c r="A8074" s="1" t="str">
        <f>"8429.52.19"</f>
        <v>8429.52.19</v>
      </c>
      <c r="B8074" s="2" t="str">
        <f>"Outras"</f>
        <v>Outras</v>
      </c>
    </row>
    <row r="8075" spans="1:2">
      <c r="A8075" s="1" t="str">
        <f>"8429.52.20"</f>
        <v>8429.52.20</v>
      </c>
      <c r="B8075" s="2" t="str">
        <f>"Infraestruturas motoras, proprias p"</f>
        <v>Infraestruturas motoras, proprias p</v>
      </c>
    </row>
    <row r="8076" spans="1:2">
      <c r="A8076" s="1" t="str">
        <f>"8429.52.90"</f>
        <v>8429.52.90</v>
      </c>
      <c r="B8076" s="2" t="str">
        <f>"Outras"</f>
        <v>Outras</v>
      </c>
    </row>
    <row r="8077" spans="1:2">
      <c r="A8077" s="1" t="str">
        <f>"8429.59.00"</f>
        <v>8429.59.00</v>
      </c>
      <c r="B8077" s="2" t="str">
        <f>"Outros"</f>
        <v>Outros</v>
      </c>
    </row>
    <row r="8078" spans="1:2">
      <c r="A8078" s="1" t="str">
        <f>"8430.10.00"</f>
        <v>8430.10.00</v>
      </c>
      <c r="B8078" s="2" t="str">
        <f>"Bate-estacas e arranca-estacas"</f>
        <v>Bate-estacas e arranca-estacas</v>
      </c>
    </row>
    <row r="8079" spans="1:2">
      <c r="A8079" s="1" t="str">
        <f>"8430.20.00"</f>
        <v>8430.20.00</v>
      </c>
      <c r="B8079" s="2" t="str">
        <f>"Limpa-neves"</f>
        <v>Limpa-neves</v>
      </c>
    </row>
    <row r="8080" spans="1:2">
      <c r="A8080" s="1" t="str">
        <f>"8430.31.10"</f>
        <v>8430.31.10</v>
      </c>
      <c r="B8080" s="2" t="str">
        <f>"Cortadores de carvao ou de rocha"</f>
        <v>Cortadores de carvao ou de rocha</v>
      </c>
    </row>
    <row r="8081" spans="1:2">
      <c r="A8081" s="1" t="str">
        <f>"8430.31.90"</f>
        <v>8430.31.90</v>
      </c>
      <c r="B8081" s="2" t="str">
        <f>"Outros"</f>
        <v>Outros</v>
      </c>
    </row>
    <row r="8082" spans="1:2">
      <c r="A8082" s="1" t="str">
        <f>"8430.39.10"</f>
        <v>8430.39.10</v>
      </c>
      <c r="B8082" s="2" t="str">
        <f>"Cortadores de carvao ou de rocha"</f>
        <v>Cortadores de carvao ou de rocha</v>
      </c>
    </row>
    <row r="8083" spans="1:2">
      <c r="A8083" s="1" t="str">
        <f>"8430.39.90"</f>
        <v>8430.39.90</v>
      </c>
      <c r="B8083" s="2" t="str">
        <f>"Outras"</f>
        <v>Outras</v>
      </c>
    </row>
    <row r="8084" spans="1:2">
      <c r="A8084" s="1" t="str">
        <f>"8430.41.10"</f>
        <v>8430.41.10</v>
      </c>
      <c r="B8084" s="2" t="str">
        <f>"Perfuratriz de percussao"</f>
        <v>Perfuratriz de percussao</v>
      </c>
    </row>
    <row r="8085" spans="1:2">
      <c r="A8085" s="1" t="str">
        <f>"8430.41.20"</f>
        <v>8430.41.20</v>
      </c>
      <c r="B8085" s="2" t="str">
        <f>"Perfuratriz rotativa"</f>
        <v>Perfuratriz rotativa</v>
      </c>
    </row>
    <row r="8086" spans="1:2">
      <c r="A8086" s="1" t="str">
        <f>"8430.41.30"</f>
        <v>8430.41.30</v>
      </c>
      <c r="B8086" s="2" t="str">
        <f>"Maquinas de sondagem, rotativas"</f>
        <v>Maquinas de sondagem, rotativas</v>
      </c>
    </row>
    <row r="8087" spans="1:2">
      <c r="A8087" s="1" t="str">
        <f>"8430.41.90"</f>
        <v>8430.41.90</v>
      </c>
      <c r="B8087" s="2" t="str">
        <f>"Outras"</f>
        <v>Outras</v>
      </c>
    </row>
    <row r="8088" spans="1:2">
      <c r="A8088" s="1" t="str">
        <f>"8430.49.10"</f>
        <v>8430.49.10</v>
      </c>
      <c r="B8088" s="2" t="str">
        <f>"Perfuratriz de percussao"</f>
        <v>Perfuratriz de percussao</v>
      </c>
    </row>
    <row r="8089" spans="1:2">
      <c r="A8089" s="1" t="str">
        <f>"8430.49.20"</f>
        <v>8430.49.20</v>
      </c>
      <c r="B8089" s="2" t="str">
        <f>"Maquinas de sondagem, rotativas"</f>
        <v>Maquinas de sondagem, rotativas</v>
      </c>
    </row>
    <row r="8090" spans="1:2">
      <c r="A8090" s="1" t="str">
        <f>"8430.49.90"</f>
        <v>8430.49.90</v>
      </c>
      <c r="B8090" s="2" t="str">
        <f>"Outras"</f>
        <v>Outras</v>
      </c>
    </row>
    <row r="8091" spans="1:2">
      <c r="A8091" s="1" t="str">
        <f>"8430.50.00"</f>
        <v>8430.50.00</v>
      </c>
      <c r="B8091" s="2" t="str">
        <f>"Outras maquinas e aparelhos, autopr"</f>
        <v>Outras maquinas e aparelhos, autopr</v>
      </c>
    </row>
    <row r="8092" spans="1:2">
      <c r="A8092" s="1" t="str">
        <f>"8430.61.00"</f>
        <v>8430.61.00</v>
      </c>
      <c r="B8092" s="2" t="str">
        <f>"Maquinas de comprimir ou de compact"</f>
        <v>Maquinas de comprimir ou de compact</v>
      </c>
    </row>
    <row r="8093" spans="1:2">
      <c r="A8093" s="1" t="str">
        <f>"8430.69.11"</f>
        <v>8430.69.11</v>
      </c>
      <c r="B8093" s="2" t="str">
        <f>"Com capacidade de carga superior a"</f>
        <v>Com capacidade de carga superior a</v>
      </c>
    </row>
    <row r="8094" spans="1:2">
      <c r="A8094" s="1" t="str">
        <f>"8430.69.19"</f>
        <v>8430.69.19</v>
      </c>
      <c r="B8094" s="2" t="str">
        <f>"Outros"</f>
        <v>Outros</v>
      </c>
    </row>
    <row r="8095" spans="1:2">
      <c r="A8095" s="1" t="str">
        <f>"8430.69.90"</f>
        <v>8430.69.90</v>
      </c>
      <c r="B8095" s="2" t="str">
        <f>"Outros"</f>
        <v>Outros</v>
      </c>
    </row>
    <row r="8096" spans="1:2">
      <c r="A8096" s="1" t="str">
        <f>"8431.10.10"</f>
        <v>8431.10.10</v>
      </c>
      <c r="B8096" s="2" t="str">
        <f>"ALAVANCA"</f>
        <v>ALAVANCA</v>
      </c>
    </row>
    <row r="8097" spans="1:2">
      <c r="A8097" s="1" t="str">
        <f>"8431.10.90"</f>
        <v>8431.10.90</v>
      </c>
      <c r="B8097" s="2" t="str">
        <f>"Outras"</f>
        <v>Outras</v>
      </c>
    </row>
    <row r="8098" spans="1:2">
      <c r="A8098" s="1" t="str">
        <f>"8431.20.11"</f>
        <v>8431.20.11</v>
      </c>
      <c r="B8098" s="2" t="str">
        <f>"AUTOPROPULSADAS-PAR GARFOS EMPILHAD"</f>
        <v>AUTOPROPULSADAS-PAR GARFOS EMPILHAD</v>
      </c>
    </row>
    <row r="8099" spans="1:2">
      <c r="A8099" s="1" t="str">
        <f>"8431.20.19"</f>
        <v>8431.20.19</v>
      </c>
      <c r="B8099" s="2" t="str">
        <f>"BASE DUPLE"</f>
        <v>BASE DUPLE</v>
      </c>
    </row>
    <row r="8100" spans="1:2">
      <c r="A8100" s="1" t="str">
        <f>"8431.20.90"</f>
        <v>8431.20.90</v>
      </c>
      <c r="B8100" s="2" t="str">
        <f>"OUTRAS"</f>
        <v>OUTRAS</v>
      </c>
    </row>
    <row r="8101" spans="1:2">
      <c r="A8101" s="1" t="str">
        <f>"8431.31.10"</f>
        <v>8431.31.10</v>
      </c>
      <c r="B8101" s="2" t="str">
        <f>"De elevadores"</f>
        <v>De elevadores</v>
      </c>
    </row>
    <row r="8102" spans="1:2">
      <c r="A8102" s="1" t="str">
        <f>"8431.31.90"</f>
        <v>8431.31.90</v>
      </c>
      <c r="B8102" s="2" t="str">
        <f>"OUTRAS"</f>
        <v>OUTRAS</v>
      </c>
    </row>
    <row r="8103" spans="1:2">
      <c r="A8103" s="1" t="str">
        <f>"8431.39.00"</f>
        <v>8431.39.00</v>
      </c>
      <c r="B8103" s="2" t="str">
        <f>"Outras"</f>
        <v>Outras</v>
      </c>
    </row>
    <row r="8104" spans="1:2">
      <c r="A8104" s="1" t="str">
        <f>"8431.39.90"</f>
        <v>8431.39.90</v>
      </c>
      <c r="B8104" s="2" t="str">
        <f>"INATIVO"</f>
        <v>INATIVO</v>
      </c>
    </row>
    <row r="8105" spans="1:2">
      <c r="A8105" s="1" t="str">
        <f>"8431.41.00"</f>
        <v>8431.41.00</v>
      </c>
      <c r="B8105" s="2" t="str">
        <f>"CAÇAMBAS, PÁS,GANCHOS E TENESES"</f>
        <v>CAÇAMBAS, PÁS,GANCHOS E TENESES</v>
      </c>
    </row>
    <row r="8106" spans="1:2">
      <c r="A8106" s="1" t="str">
        <f>"8431.42.00"</f>
        <v>8431.42.00</v>
      </c>
      <c r="B8106" s="2" t="str">
        <f>"Laminas para bulldozers ou angledoz"</f>
        <v>Laminas para bulldozers ou angledoz</v>
      </c>
    </row>
    <row r="8107" spans="1:2">
      <c r="A8107" s="1" t="str">
        <f>"8431.43.10"</f>
        <v>8431.43.10</v>
      </c>
      <c r="B8107" s="2" t="str">
        <f>"De maquinas de sondagem rotativas"</f>
        <v>De maquinas de sondagem rotativas</v>
      </c>
    </row>
    <row r="8108" spans="1:2">
      <c r="A8108" s="1" t="str">
        <f>"8431.43.90"</f>
        <v>8431.43.90</v>
      </c>
      <c r="B8108" s="2" t="str">
        <f>"Outras"</f>
        <v>Outras</v>
      </c>
    </row>
    <row r="8109" spans="1:2">
      <c r="A8109" s="1" t="str">
        <f>"8431.49.10"</f>
        <v>8431.49.10</v>
      </c>
      <c r="B8109" s="2" t="str">
        <f>"De maquinas ou aparelhos da posicao"</f>
        <v>De maquinas ou aparelhos da posicao</v>
      </c>
    </row>
    <row r="8110" spans="1:2">
      <c r="A8110" s="1" t="str">
        <f>"8431.49.21"</f>
        <v>8431.49.21</v>
      </c>
      <c r="B8110" s="2" t="str">
        <f>"Cabinas"</f>
        <v>Cabinas</v>
      </c>
    </row>
    <row r="8111" spans="1:2">
      <c r="A8111" s="1" t="str">
        <f>"8431.49.22"</f>
        <v>8431.49.22</v>
      </c>
      <c r="B8111" s="2" t="str">
        <f>"Lagartas"</f>
        <v>Lagartas</v>
      </c>
    </row>
    <row r="8112" spans="1:2">
      <c r="A8112" s="1" t="str">
        <f>"8431.49.23"</f>
        <v>8431.49.23</v>
      </c>
      <c r="B8112" s="2" t="str">
        <f>"Tanques de combustivel e demais res"</f>
        <v>Tanques de combustivel e demais res</v>
      </c>
    </row>
    <row r="8113" spans="1:2">
      <c r="A8113" s="1" t="str">
        <f>"8431.49.29"</f>
        <v>8431.49.29</v>
      </c>
      <c r="B8113" s="2" t="str">
        <f>"outros"</f>
        <v>outros</v>
      </c>
    </row>
    <row r="8114" spans="1:2">
      <c r="A8114" s="1" t="str">
        <f>"8432.10.00"</f>
        <v>8432.10.00</v>
      </c>
      <c r="B8114" s="2" t="str">
        <f>"Arados e charruas"</f>
        <v>Arados e charruas</v>
      </c>
    </row>
    <row r="8115" spans="1:2">
      <c r="A8115" s="1" t="str">
        <f>"8432.21.00"</f>
        <v>8432.21.00</v>
      </c>
      <c r="B8115" s="2" t="str">
        <f>"Grades de discos"</f>
        <v>Grades de discos</v>
      </c>
    </row>
    <row r="8116" spans="1:2">
      <c r="A8116" s="1" t="str">
        <f>"8432.29.00"</f>
        <v>8432.29.00</v>
      </c>
      <c r="B8116" s="2" t="str">
        <f>"Outros"</f>
        <v>Outros</v>
      </c>
    </row>
    <row r="8117" spans="1:2">
      <c r="A8117" s="1" t="str">
        <f>"8432.31.10"</f>
        <v>8432.31.10</v>
      </c>
      <c r="B8117" s="2" t="str">
        <f>"Semeadores-adubadores"</f>
        <v>Semeadores-adubadores</v>
      </c>
    </row>
    <row r="8118" spans="1:2">
      <c r="A8118" s="1" t="str">
        <f>"8432.31.90"</f>
        <v>8432.31.90</v>
      </c>
      <c r="B8118" s="2" t="str">
        <f>"Outros"</f>
        <v>Outros</v>
      </c>
    </row>
    <row r="8119" spans="1:2">
      <c r="A8119" s="1" t="str">
        <f>"8432.39.10"</f>
        <v>8432.39.10</v>
      </c>
      <c r="B8119" s="2" t="str">
        <f>"Semeadores-adubadores"</f>
        <v>Semeadores-adubadores</v>
      </c>
    </row>
    <row r="8120" spans="1:2">
      <c r="A8120" s="1" t="str">
        <f>"8432.39.90"</f>
        <v>8432.39.90</v>
      </c>
      <c r="B8120" s="2" t="str">
        <f>"Outros"</f>
        <v>Outros</v>
      </c>
    </row>
    <row r="8121" spans="1:2">
      <c r="A8121" s="1" t="str">
        <f>"8432.41.00"</f>
        <v>8432.41.00</v>
      </c>
      <c r="B8121" s="2" t="str">
        <f>"Espalhadores de estrume"</f>
        <v>Espalhadores de estrume</v>
      </c>
    </row>
    <row r="8122" spans="1:2">
      <c r="A8122" s="1" t="str">
        <f>"8432.42.00"</f>
        <v>8432.42.00</v>
      </c>
      <c r="B8122" s="2" t="str">
        <f>"Distribuidores de adubos (fertiliza"</f>
        <v>Distribuidores de adubos (fertiliza</v>
      </c>
    </row>
    <row r="8123" spans="1:2">
      <c r="A8123" s="1" t="str">
        <f>"8432.80.00"</f>
        <v>8432.80.00</v>
      </c>
      <c r="B8123" s="2" t="str">
        <f>"Outras maquinas e aparelhos"</f>
        <v>Outras maquinas e aparelhos</v>
      </c>
    </row>
    <row r="8124" spans="1:2">
      <c r="A8124" s="1" t="str">
        <f>"8432.90.00"</f>
        <v>8432.90.00</v>
      </c>
      <c r="B8124" s="2" t="str">
        <f>"PARTES"</f>
        <v>PARTES</v>
      </c>
    </row>
    <row r="8125" spans="1:2">
      <c r="A8125" s="1" t="str">
        <f>"8433.11.00"</f>
        <v>8433.11.00</v>
      </c>
      <c r="B8125" s="2" t="str">
        <f>"Motorizados, cujo dispositivo de co"</f>
        <v>Motorizados, cujo dispositivo de co</v>
      </c>
    </row>
    <row r="8126" spans="1:2">
      <c r="A8126" s="1" t="str">
        <f>"8433.19.00"</f>
        <v>8433.19.00</v>
      </c>
      <c r="B8126" s="2" t="str">
        <f>"Outros"</f>
        <v>Outros</v>
      </c>
    </row>
    <row r="8127" spans="1:2">
      <c r="A8127" s="1" t="str">
        <f>"8433.20.10"</f>
        <v>8433.20.10</v>
      </c>
      <c r="B8127" s="2" t="str">
        <f>"Com dispositivo de acondicionamento"</f>
        <v>Com dispositivo de acondicionamento</v>
      </c>
    </row>
    <row r="8128" spans="1:2">
      <c r="A8128" s="1" t="str">
        <f>"8433.20.90"</f>
        <v>8433.20.90</v>
      </c>
      <c r="B8128" s="2" t="str">
        <f>"Outras"</f>
        <v>Outras</v>
      </c>
    </row>
    <row r="8129" spans="1:2">
      <c r="A8129" s="1" t="str">
        <f>"8433.30.00"</f>
        <v>8433.30.00</v>
      </c>
      <c r="B8129" s="2" t="str">
        <f>"Outras maquinas e aparelhos para co"</f>
        <v>Outras maquinas e aparelhos para co</v>
      </c>
    </row>
    <row r="8130" spans="1:2">
      <c r="A8130" s="1" t="str">
        <f>"8433.40.00"</f>
        <v>8433.40.00</v>
      </c>
      <c r="B8130" s="2" t="str">
        <f>"Enfardadeiras de palha ou de forrag"</f>
        <v>Enfardadeiras de palha ou de forrag</v>
      </c>
    </row>
    <row r="8131" spans="1:2">
      <c r="A8131" s="1" t="str">
        <f>"8433.51.00"</f>
        <v>8433.51.00</v>
      </c>
      <c r="B8131" s="2" t="str">
        <f>"Colheitadeiras combinadas com debul"</f>
        <v>Colheitadeiras combinadas com debul</v>
      </c>
    </row>
    <row r="8132" spans="1:2">
      <c r="A8132" s="1" t="str">
        <f>"8433.52.00"</f>
        <v>8433.52.00</v>
      </c>
      <c r="B8132" s="2" t="str">
        <f>"Outras maquinas e aparelhos para de"</f>
        <v>Outras maquinas e aparelhos para de</v>
      </c>
    </row>
    <row r="8133" spans="1:2">
      <c r="A8133" s="1" t="str">
        <f>"8433.53.00"</f>
        <v>8433.53.00</v>
      </c>
      <c r="B8133" s="2" t="str">
        <f>"Maquinas para colheita de raizes ou"</f>
        <v>Maquinas para colheita de raizes ou</v>
      </c>
    </row>
    <row r="8134" spans="1:2">
      <c r="A8134" s="1" t="str">
        <f>"8433.59.11"</f>
        <v>8433.59.11</v>
      </c>
      <c r="B8134" s="2" t="str">
        <f>"Com capacidade para trabalhar ate d"</f>
        <v>Com capacidade para trabalhar ate d</v>
      </c>
    </row>
    <row r="8135" spans="1:2">
      <c r="A8135" s="1" t="str">
        <f>"8433.59.19"</f>
        <v>8433.59.19</v>
      </c>
      <c r="B8135" s="2" t="str">
        <f>"Outras"</f>
        <v>Outras</v>
      </c>
    </row>
    <row r="8136" spans="1:2">
      <c r="A8136" s="1" t="str">
        <f>"8433.59.90"</f>
        <v>8433.59.90</v>
      </c>
      <c r="B8136" s="2" t="str">
        <f>"Outros"</f>
        <v>Outros</v>
      </c>
    </row>
    <row r="8137" spans="1:2">
      <c r="A8137" s="1" t="str">
        <f>"8433.60.10"</f>
        <v>8433.60.10</v>
      </c>
      <c r="B8137" s="2" t="str">
        <f>"Selecionadores de fruta"</f>
        <v>Selecionadores de fruta</v>
      </c>
    </row>
    <row r="8138" spans="1:2">
      <c r="A8138" s="1" t="str">
        <f>"8433.60.21"</f>
        <v>8433.60.21</v>
      </c>
      <c r="B8138" s="2" t="str">
        <f>"Com capacidade superior a 250.000 o"</f>
        <v>Com capacidade superior a 250.000 o</v>
      </c>
    </row>
    <row r="8139" spans="1:2">
      <c r="A8139" s="1" t="str">
        <f>"8433.60.29"</f>
        <v>8433.60.29</v>
      </c>
      <c r="B8139" s="2" t="str">
        <f>"Outras"</f>
        <v>Outras</v>
      </c>
    </row>
    <row r="8140" spans="1:2">
      <c r="A8140" s="1" t="str">
        <f>"8433.60.90"</f>
        <v>8433.60.90</v>
      </c>
      <c r="B8140" s="2" t="str">
        <f>"Outras"</f>
        <v>Outras</v>
      </c>
    </row>
    <row r="8141" spans="1:2">
      <c r="A8141" s="1" t="str">
        <f>"8433.90.10"</f>
        <v>8433.90.10</v>
      </c>
      <c r="B8141" s="2" t="str">
        <f>"De cortadores de grama"</f>
        <v>De cortadores de grama</v>
      </c>
    </row>
    <row r="8142" spans="1:2">
      <c r="A8142" s="1" t="str">
        <f>"8433.90.90"</f>
        <v>8433.90.90</v>
      </c>
      <c r="B8142" s="2" t="str">
        <f>"Outras"</f>
        <v>Outras</v>
      </c>
    </row>
    <row r="8143" spans="1:2">
      <c r="A8143" s="1" t="str">
        <f>"8434.10.00"</f>
        <v>8434.10.00</v>
      </c>
      <c r="B8143" s="2" t="str">
        <f>"Maquinas de ordenhar"</f>
        <v>Maquinas de ordenhar</v>
      </c>
    </row>
    <row r="8144" spans="1:2">
      <c r="A8144" s="1" t="str">
        <f>"8434.20.10"</f>
        <v>8434.20.10</v>
      </c>
      <c r="B8144" s="2" t="str">
        <f>"Para tratamento do leite"</f>
        <v>Para tratamento do leite</v>
      </c>
    </row>
    <row r="8145" spans="1:2">
      <c r="A8145" s="1" t="str">
        <f>"8434.20.90"</f>
        <v>8434.20.90</v>
      </c>
      <c r="B8145" s="2" t="str">
        <f>"Outros"</f>
        <v>Outros</v>
      </c>
    </row>
    <row r="8146" spans="1:2">
      <c r="A8146" s="1" t="str">
        <f>"8434.90.00"</f>
        <v>8434.90.00</v>
      </c>
      <c r="B8146" s="2" t="str">
        <f>"Partes"</f>
        <v>Partes</v>
      </c>
    </row>
    <row r="8147" spans="1:2">
      <c r="A8147" s="1" t="str">
        <f>"8435.10.00"</f>
        <v>8435.10.00</v>
      </c>
      <c r="B8147" s="2" t="str">
        <f>"Maquinas e aparelhos"</f>
        <v>Maquinas e aparelhos</v>
      </c>
    </row>
    <row r="8148" spans="1:2">
      <c r="A8148" s="1" t="str">
        <f>"8435.90.00"</f>
        <v>8435.90.00</v>
      </c>
      <c r="B8148" s="2" t="str">
        <f>"Partes"</f>
        <v>Partes</v>
      </c>
    </row>
    <row r="8149" spans="1:2">
      <c r="A8149" s="1" t="str">
        <f>"8436.10.00"</f>
        <v>8436.10.00</v>
      </c>
      <c r="B8149" s="2" t="str">
        <f>"Maquinas e aparelhos para preparaca"</f>
        <v>Maquinas e aparelhos para preparaca</v>
      </c>
    </row>
    <row r="8150" spans="1:2">
      <c r="A8150" s="1" t="str">
        <f>"8436.21.00"</f>
        <v>8436.21.00</v>
      </c>
      <c r="B8150" s="2" t="str">
        <f>"Chocadeiras e criadeiras"</f>
        <v>Chocadeiras e criadeiras</v>
      </c>
    </row>
    <row r="8151" spans="1:2">
      <c r="A8151" s="1" t="str">
        <f>"8436.29.00"</f>
        <v>8436.29.00</v>
      </c>
      <c r="B8151" s="2" t="str">
        <f>"Outros"</f>
        <v>Outros</v>
      </c>
    </row>
    <row r="8152" spans="1:2">
      <c r="A8152" s="1" t="str">
        <f>"8436.80.00"</f>
        <v>8436.80.00</v>
      </c>
      <c r="B8152" s="2" t="str">
        <f>"Outras maquinas e aparelhos"</f>
        <v>Outras maquinas e aparelhos</v>
      </c>
    </row>
    <row r="8153" spans="1:2">
      <c r="A8153" s="1" t="str">
        <f>"8436.91.00"</f>
        <v>8436.91.00</v>
      </c>
      <c r="B8153" s="2" t="str">
        <f>"De maquinas ou aparelhos para avicu"</f>
        <v>De maquinas ou aparelhos para avicu</v>
      </c>
    </row>
    <row r="8154" spans="1:2">
      <c r="A8154" s="1" t="str">
        <f>"8436.99.00"</f>
        <v>8436.99.00</v>
      </c>
      <c r="B8154" s="2" t="str">
        <f>"Outras"</f>
        <v>Outras</v>
      </c>
    </row>
    <row r="8155" spans="1:2">
      <c r="A8155" s="1" t="str">
        <f>"8437.10.00"</f>
        <v>8437.10.00</v>
      </c>
      <c r="B8155" s="2" t="str">
        <f>"MÁQUINAS P/ LIMPEZA/SELEÇÃO/ PENETR"</f>
        <v>MÁQUINAS P/ LIMPEZA/SELEÇÃO/ PENETR</v>
      </c>
    </row>
    <row r="8156" spans="1:2">
      <c r="A8156" s="1" t="str">
        <f>"8437.80.10"</f>
        <v>8437.80.10</v>
      </c>
      <c r="B8156" s="2" t="str">
        <f>"Para trituracao ou moagem de graos"</f>
        <v>Para trituracao ou moagem de graos</v>
      </c>
    </row>
    <row r="8157" spans="1:2">
      <c r="A8157" s="1" t="str">
        <f>"8437.80.90"</f>
        <v>8437.80.90</v>
      </c>
      <c r="B8157" s="2" t="str">
        <f>"Outros"</f>
        <v>Outros</v>
      </c>
    </row>
    <row r="8158" spans="1:2">
      <c r="A8158" s="1" t="str">
        <f>"8437.90.00"</f>
        <v>8437.90.00</v>
      </c>
      <c r="B8158" s="2" t="str">
        <f>"Partes"</f>
        <v>Partes</v>
      </c>
    </row>
    <row r="8159" spans="1:2">
      <c r="A8159" s="1" t="str">
        <f>"8438.10.00"</f>
        <v>8438.10.00</v>
      </c>
      <c r="B8159" s="2" t="str">
        <f>"Maquinas e aparelhos para as indust"</f>
        <v>Maquinas e aparelhos para as indust</v>
      </c>
    </row>
    <row r="8160" spans="1:2">
      <c r="A8160" s="1" t="str">
        <f>"8438.20.11"</f>
        <v>8438.20.11</v>
      </c>
      <c r="B8160" s="2" t="str">
        <f>"Para fabricar bombons de chocolate"</f>
        <v>Para fabricar bombons de chocolate</v>
      </c>
    </row>
    <row r="8161" spans="1:2">
      <c r="A8161" s="1" t="str">
        <f>"8438.20.19"</f>
        <v>8438.20.19</v>
      </c>
      <c r="B8161" s="2" t="str">
        <f>"Outros"</f>
        <v>Outros</v>
      </c>
    </row>
    <row r="8162" spans="1:2">
      <c r="A8162" s="1" t="str">
        <f>"8438.20.90"</f>
        <v>8438.20.90</v>
      </c>
      <c r="B8162" s="2" t="str">
        <f>"Outros"</f>
        <v>Outros</v>
      </c>
    </row>
    <row r="8163" spans="1:2">
      <c r="A8163" s="1" t="str">
        <f>"8438.30.00"</f>
        <v>8438.30.00</v>
      </c>
      <c r="B8163" s="2" t="str">
        <f>"Maquinas e aparelhos para a industr"</f>
        <v>Maquinas e aparelhos para a industr</v>
      </c>
    </row>
    <row r="8164" spans="1:2">
      <c r="A8164" s="1" t="str">
        <f>"8438.40.00"</f>
        <v>8438.40.00</v>
      </c>
      <c r="B8164" s="2" t="str">
        <f>"Maquinas e aparelhos para a industr"</f>
        <v>Maquinas e aparelhos para a industr</v>
      </c>
    </row>
    <row r="8165" spans="1:2">
      <c r="A8165" s="1" t="str">
        <f>"8438.50.00"</f>
        <v>8438.50.00</v>
      </c>
      <c r="B8165" s="2" t="str">
        <f>"Maquinas e aparelhos para preparaca"</f>
        <v>Maquinas e aparelhos para preparaca</v>
      </c>
    </row>
    <row r="8166" spans="1:2">
      <c r="A8166" s="1" t="str">
        <f>"8438.60.00"</f>
        <v>8438.60.00</v>
      </c>
      <c r="B8166" s="2" t="str">
        <f>"Maquinas e aparelhos para preparaca"</f>
        <v>Maquinas e aparelhos para preparaca</v>
      </c>
    </row>
    <row r="8167" spans="1:2">
      <c r="A8167" s="1" t="str">
        <f>"8438.80.10"</f>
        <v>8438.80.10</v>
      </c>
      <c r="B8167" s="2" t="str">
        <f>"Maquinas para extracao de oleo esse"</f>
        <v>Maquinas para extracao de oleo esse</v>
      </c>
    </row>
    <row r="8168" spans="1:2">
      <c r="A8168" s="1" t="str">
        <f>"8438.80.20"</f>
        <v>8438.80.20</v>
      </c>
      <c r="B8168" s="2" t="str">
        <f>"Automatica, para descabecar, cortar"</f>
        <v>Automatica, para descabecar, cortar</v>
      </c>
    </row>
    <row r="8169" spans="1:2">
      <c r="A8169" s="1" t="str">
        <f>"8438.80.90"</f>
        <v>8438.80.90</v>
      </c>
      <c r="B8169" s="2" t="str">
        <f>"Outros"</f>
        <v>Outros</v>
      </c>
    </row>
    <row r="8170" spans="1:2">
      <c r="A8170" s="1" t="str">
        <f>"8438.90.00"</f>
        <v>8438.90.00</v>
      </c>
      <c r="B8170" s="2" t="str">
        <f>"PARTES"</f>
        <v>PARTES</v>
      </c>
    </row>
    <row r="8171" spans="1:2">
      <c r="A8171" s="1" t="str">
        <f>"8439.10.10"</f>
        <v>8439.10.10</v>
      </c>
      <c r="B8171" s="2" t="str">
        <f>"Para tratamento preliminar das mate"</f>
        <v>Para tratamento preliminar das mate</v>
      </c>
    </row>
    <row r="8172" spans="1:2">
      <c r="A8172" s="1" t="str">
        <f>"8439.10.20"</f>
        <v>8439.10.20</v>
      </c>
      <c r="B8172" s="2" t="str">
        <f>"Classificadoras e classificadoras-d"</f>
        <v>Classificadoras e classificadoras-d</v>
      </c>
    </row>
    <row r="8173" spans="1:2">
      <c r="A8173" s="1" t="str">
        <f>"8439.10.30"</f>
        <v>8439.10.30</v>
      </c>
      <c r="B8173" s="2" t="str">
        <f>"Refinadoras"</f>
        <v>Refinadoras</v>
      </c>
    </row>
    <row r="8174" spans="1:2">
      <c r="A8174" s="1" t="str">
        <f>"8439.10.90"</f>
        <v>8439.10.90</v>
      </c>
      <c r="B8174" s="2" t="str">
        <f>"OUTROS"</f>
        <v>OUTROS</v>
      </c>
    </row>
    <row r="8175" spans="1:2">
      <c r="A8175" s="1" t="str">
        <f>"8439.20.00"</f>
        <v>8439.20.00</v>
      </c>
      <c r="B8175" s="2" t="str">
        <f>"Maquinas e aparelhos para fabricaca"</f>
        <v>Maquinas e aparelhos para fabricaca</v>
      </c>
    </row>
    <row r="8176" spans="1:2">
      <c r="A8176" s="1" t="str">
        <f>"8439.30.10"</f>
        <v>8439.30.10</v>
      </c>
      <c r="B8176" s="2" t="str">
        <f>"Bobinadoras-esticadoras"</f>
        <v>Bobinadoras-esticadoras</v>
      </c>
    </row>
    <row r="8177" spans="1:2">
      <c r="A8177" s="1" t="str">
        <f>"8439.30.20"</f>
        <v>8439.30.20</v>
      </c>
      <c r="B8177" s="2" t="str">
        <f>"Maquina impregnadora"</f>
        <v>Maquina impregnadora</v>
      </c>
    </row>
    <row r="8178" spans="1:2">
      <c r="A8178" s="1" t="str">
        <f>"8439.30.30"</f>
        <v>8439.30.30</v>
      </c>
      <c r="B8178" s="2" t="str">
        <f>"Para ondular"</f>
        <v>Para ondular</v>
      </c>
    </row>
    <row r="8179" spans="1:2">
      <c r="A8179" s="1" t="str">
        <f>"8439.30.90"</f>
        <v>8439.30.90</v>
      </c>
      <c r="B8179" s="2" t="str">
        <f>"Outros"</f>
        <v>Outros</v>
      </c>
    </row>
    <row r="8180" spans="1:2">
      <c r="A8180" s="1" t="str">
        <f>"8439.91.00"</f>
        <v>8439.91.00</v>
      </c>
      <c r="B8180" s="2" t="str">
        <f>"DE MÁQUINAS OU APARELHOS PARA FABRI"</f>
        <v>DE MÁQUINAS OU APARELHOS PARA FABRI</v>
      </c>
    </row>
    <row r="8181" spans="1:2">
      <c r="A8181" s="1" t="str">
        <f>"8439.99.00"</f>
        <v>8439.99.00</v>
      </c>
      <c r="B8181" s="2" t="str">
        <f>"INATIVA - LAMINA MAQUINA IMPRESSAO"</f>
        <v>INATIVA - LAMINA MAQUINA IMPRESSAO</v>
      </c>
    </row>
    <row r="8182" spans="1:2">
      <c r="A8182" s="1" t="str">
        <f>"8439.99.10"</f>
        <v>8439.99.10</v>
      </c>
      <c r="B8182" s="2" t="str">
        <f>"ROLOS, CORRUGADORES,FACA EM AÇO ESP"</f>
        <v>ROLOS, CORRUGADORES,FACA EM AÇO ESP</v>
      </c>
    </row>
    <row r="8183" spans="1:2">
      <c r="A8183" s="1" t="str">
        <f>"8439.99.90"</f>
        <v>8439.99.90</v>
      </c>
      <c r="B8183" s="2" t="str">
        <f>"OUTRAS PARTES MÁQUINAS E APARELHOS"</f>
        <v>OUTRAS PARTES MÁQUINAS E APARELHOS</v>
      </c>
    </row>
    <row r="8184" spans="1:2">
      <c r="A8184" s="1" t="str">
        <f>"8440.10.11"</f>
        <v>8440.10.11</v>
      </c>
      <c r="B8184" s="2" t="str">
        <f>"Com alimentacao automatica"</f>
        <v>Com alimentacao automatica</v>
      </c>
    </row>
    <row r="8185" spans="1:2">
      <c r="A8185" s="1" t="str">
        <f>"8440.10.19"</f>
        <v>8440.10.19</v>
      </c>
      <c r="B8185" s="2" t="str">
        <f>"Outros"</f>
        <v>Outros</v>
      </c>
    </row>
    <row r="8186" spans="1:2">
      <c r="A8186" s="1" t="str">
        <f>"8440.10.20"</f>
        <v>8440.10.20</v>
      </c>
      <c r="B8186" s="2" t="str">
        <f>"Maquinas para fabricar capas de pap"</f>
        <v>Maquinas para fabricar capas de pap</v>
      </c>
    </row>
    <row r="8187" spans="1:2">
      <c r="A8187" s="1" t="str">
        <f>"8440.10.90"</f>
        <v>8440.10.90</v>
      </c>
      <c r="B8187" s="2" t="str">
        <f>"OUTROS"</f>
        <v>OUTROS</v>
      </c>
    </row>
    <row r="8188" spans="1:2">
      <c r="A8188" s="1" t="str">
        <f>"8440.90.00"</f>
        <v>8440.90.00</v>
      </c>
      <c r="B8188" s="2" t="str">
        <f>"Partes"</f>
        <v>Partes</v>
      </c>
    </row>
    <row r="8189" spans="1:2">
      <c r="A8189" s="1" t="str">
        <f>"8441.10.10"</f>
        <v>8441.10.10</v>
      </c>
      <c r="B8189" s="2" t="str">
        <f>"Cortadeiras bobinadoras com velocid"</f>
        <v>Cortadeiras bobinadoras com velocid</v>
      </c>
    </row>
    <row r="8190" spans="1:2">
      <c r="A8190" s="1" t="str">
        <f>"8441.10.90"</f>
        <v>8441.10.90</v>
      </c>
      <c r="B8190" s="2" t="str">
        <f>"Cortadeira manual"</f>
        <v>Cortadeira manual</v>
      </c>
    </row>
    <row r="8191" spans="1:2">
      <c r="A8191" s="1" t="str">
        <f>"8441.20.00"</f>
        <v>8441.20.00</v>
      </c>
      <c r="B8191" s="2" t="str">
        <f>"Maquinas para fabricacao de sacos d"</f>
        <v>Maquinas para fabricacao de sacos d</v>
      </c>
    </row>
    <row r="8192" spans="1:2">
      <c r="A8192" s="1" t="str">
        <f>"8441.30.10"</f>
        <v>8441.30.10</v>
      </c>
      <c r="B8192" s="2" t="str">
        <f>"De dobrar e colar, para fabricacao"</f>
        <v>De dobrar e colar, para fabricacao</v>
      </c>
    </row>
    <row r="8193" spans="1:2">
      <c r="A8193" s="1" t="str">
        <f>"8441.30.90"</f>
        <v>8441.30.90</v>
      </c>
      <c r="B8193" s="2" t="str">
        <f>"Outras"</f>
        <v>Outras</v>
      </c>
    </row>
    <row r="8194" spans="1:2">
      <c r="A8194" s="1" t="str">
        <f>"8441.40.00"</f>
        <v>8441.40.00</v>
      </c>
      <c r="B8194" s="2" t="str">
        <f>"MAQ. MOLDAR ARTIG. PAST. PAPEL/CART"</f>
        <v>MAQ. MOLDAR ARTIG. PAST. PAPEL/CART</v>
      </c>
    </row>
    <row r="8195" spans="1:2">
      <c r="A8195" s="1" t="str">
        <f>"8441.80.00"</f>
        <v>8441.80.00</v>
      </c>
      <c r="B8195" s="2" t="str">
        <f>"Outras maquinas e aparelhos"</f>
        <v>Outras maquinas e aparelhos</v>
      </c>
    </row>
    <row r="8196" spans="1:2">
      <c r="A8196" s="1" t="str">
        <f>"8441.90.00"</f>
        <v>8441.90.00</v>
      </c>
      <c r="B8196" s="2" t="str">
        <f>"PARTES PEÇAS MAQ. IMPRESSÃO"</f>
        <v>PARTES PEÇAS MAQ. IMPRESSÃO</v>
      </c>
    </row>
    <row r="8197" spans="1:2">
      <c r="A8197" s="1" t="str">
        <f>"8442.30.10"</f>
        <v>8442.30.10</v>
      </c>
      <c r="B8197" s="2" t="str">
        <f>"De compor por processo fotográfico"</f>
        <v>De compor por processo fotográfico</v>
      </c>
    </row>
    <row r="8198" spans="1:2">
      <c r="A8198" s="1" t="str">
        <f>"8442.30.20"</f>
        <v>8442.30.20</v>
      </c>
      <c r="B8198" s="2" t="str">
        <f>"De compor caracteres tipograficos p"</f>
        <v>De compor caracteres tipograficos p</v>
      </c>
    </row>
    <row r="8199" spans="1:2">
      <c r="A8199" s="1" t="str">
        <f>"8442.30.90"</f>
        <v>8442.30.90</v>
      </c>
      <c r="B8199" s="2" t="str">
        <f>"Outros"</f>
        <v>Outros</v>
      </c>
    </row>
    <row r="8200" spans="1:2">
      <c r="A8200" s="1" t="str">
        <f>"8442.40.10"</f>
        <v>8442.40.10</v>
      </c>
      <c r="B8200" s="2" t="str">
        <f>"De maquinas do item 8442.30.10"</f>
        <v>De maquinas do item 8442.30.10</v>
      </c>
    </row>
    <row r="8201" spans="1:2">
      <c r="A8201" s="1" t="str">
        <f>"8442.40.20"</f>
        <v>8442.40.20</v>
      </c>
      <c r="B8201" s="2" t="str">
        <f>"De maquinas do item 8442.30.20"</f>
        <v>De maquinas do item 8442.30.20</v>
      </c>
    </row>
    <row r="8202" spans="1:2">
      <c r="A8202" s="1" t="str">
        <f>"8442.40.90"</f>
        <v>8442.40.90</v>
      </c>
      <c r="B8202" s="2" t="str">
        <f>"Outras"</f>
        <v>Outras</v>
      </c>
    </row>
    <row r="8203" spans="1:2">
      <c r="A8203" s="1" t="str">
        <f>"8442.50.00"</f>
        <v>8442.50.00</v>
      </c>
      <c r="B8203" s="2" t="str">
        <f>"CILINDRO PARA IMPRESSAO"</f>
        <v>CILINDRO PARA IMPRESSAO</v>
      </c>
    </row>
    <row r="8204" spans="1:2">
      <c r="A8204" s="1" t="str">
        <f>"8442.50.50"</f>
        <v>8442.50.50</v>
      </c>
      <c r="B8204" s="2" t="str">
        <f>"INATIVA - ROLOS PARA IMPRESSAO"</f>
        <v>INATIVA - ROLOS PARA IMPRESSAO</v>
      </c>
    </row>
    <row r="8205" spans="1:2">
      <c r="A8205" s="1" t="str">
        <f>"8443.11.10"</f>
        <v>8443.11.10</v>
      </c>
      <c r="B8205" s="2" t="str">
        <f>"Para impressao multicolor de jornai"</f>
        <v>Para impressao multicolor de jornai</v>
      </c>
    </row>
    <row r="8206" spans="1:2">
      <c r="A8206" s="1" t="str">
        <f>"8443.11.90"</f>
        <v>8443.11.90</v>
      </c>
      <c r="B8206" s="2" t="str">
        <f>"OUTROS"</f>
        <v>OUTROS</v>
      </c>
    </row>
    <row r="8207" spans="1:2">
      <c r="A8207" s="1" t="str">
        <f>"8443.12.00"</f>
        <v>8443.12.00</v>
      </c>
      <c r="B8207" s="2" t="str">
        <f>"Maquinas e aparelhos de impressao,"</f>
        <v>Maquinas e aparelhos de impressao,</v>
      </c>
    </row>
    <row r="8208" spans="1:2">
      <c r="A8208" s="1" t="str">
        <f>"8443.13.10"</f>
        <v>8443.13.10</v>
      </c>
      <c r="B8208" s="2" t="str">
        <f>"Para impressao multicolor de recipi"</f>
        <v>Para impressao multicolor de recipi</v>
      </c>
    </row>
    <row r="8209" spans="1:2">
      <c r="A8209" s="1" t="str">
        <f>"8443.13.21"</f>
        <v>8443.13.21</v>
      </c>
      <c r="B8209" s="2" t="str">
        <f>"Com velocidade de impressao igual o"</f>
        <v>Com velocidade de impressao igual o</v>
      </c>
    </row>
    <row r="8210" spans="1:2">
      <c r="A8210" s="1" t="str">
        <f>"8443.13.29"</f>
        <v>8443.13.29</v>
      </c>
      <c r="B8210" s="2" t="str">
        <f>"Outros"</f>
        <v>Outros</v>
      </c>
    </row>
    <row r="8211" spans="1:2">
      <c r="A8211" s="1" t="str">
        <f>"8443.13.90"</f>
        <v>8443.13.90</v>
      </c>
      <c r="B8211" s="2" t="str">
        <f>"Outros"</f>
        <v>Outros</v>
      </c>
    </row>
    <row r="8212" spans="1:2">
      <c r="A8212" s="1" t="str">
        <f>"8443.14.00"</f>
        <v>8443.14.00</v>
      </c>
      <c r="B8212" s="2" t="str">
        <f>"Maquinas e aparelhos de impressao,"</f>
        <v>Maquinas e aparelhos de impressao,</v>
      </c>
    </row>
    <row r="8213" spans="1:2">
      <c r="A8213" s="1" t="str">
        <f>"8443.15.00"</f>
        <v>8443.15.00</v>
      </c>
      <c r="B8213" s="2" t="str">
        <f>"Maquinas e aparelhos de impressao,"</f>
        <v>Maquinas e aparelhos de impressao,</v>
      </c>
    </row>
    <row r="8214" spans="1:2">
      <c r="A8214" s="1" t="str">
        <f>"8443.16.00"</f>
        <v>8443.16.00</v>
      </c>
      <c r="B8214" s="2" t="str">
        <f>"Maquinas e aparelhos de impressao,"</f>
        <v>Maquinas e aparelhos de impressao,</v>
      </c>
    </row>
    <row r="8215" spans="1:2">
      <c r="A8215" s="1" t="str">
        <f>"8443.17.10"</f>
        <v>8443.17.10</v>
      </c>
      <c r="B8215" s="2" t="str">
        <f>"MÁQUINA P/ IMPRESSAO ROTATIVA"</f>
        <v>MÁQUINA P/ IMPRESSAO ROTATIVA</v>
      </c>
    </row>
    <row r="8216" spans="1:2">
      <c r="A8216" s="1" t="str">
        <f>"8443.17.90"</f>
        <v>8443.17.90</v>
      </c>
      <c r="B8216" s="2" t="str">
        <f>"Outros"</f>
        <v>Outros</v>
      </c>
    </row>
    <row r="8217" spans="1:2">
      <c r="A8217" s="1" t="str">
        <f>"8443.19.10"</f>
        <v>8443.19.10</v>
      </c>
      <c r="B8217" s="2" t="str">
        <f>"Para serigrafia"</f>
        <v>Para serigrafia</v>
      </c>
    </row>
    <row r="8218" spans="1:2">
      <c r="A8218" s="1" t="str">
        <f>"8443.19.90"</f>
        <v>8443.19.90</v>
      </c>
      <c r="B8218" s="2" t="str">
        <f>"APARELHO IMPRESSOS PARA LABORATORIO"</f>
        <v>APARELHO IMPRESSOS PARA LABORATORIO</v>
      </c>
    </row>
    <row r="8219" spans="1:2">
      <c r="A8219" s="1" t="str">
        <f>"8443.30.00"</f>
        <v>8443.30.00</v>
      </c>
      <c r="B8219" s="2" t="str">
        <f>"INATIVA - STATIGRAF"</f>
        <v>INATIVA - STATIGRAF</v>
      </c>
    </row>
    <row r="8220" spans="1:2">
      <c r="A8220" s="1" t="str">
        <f>"8443.31.11"</f>
        <v>8443.31.11</v>
      </c>
      <c r="B8220" s="2" t="str">
        <f>"DE JATO DE TINTA LÍQUIDA"</f>
        <v>DE JATO DE TINTA LÍQUIDA</v>
      </c>
    </row>
    <row r="8221" spans="1:2">
      <c r="A8221" s="1" t="str">
        <f>"8443.31.12"</f>
        <v>8443.31.12</v>
      </c>
      <c r="B8221" s="2" t="str">
        <f>"De transferencia termica de cera so"</f>
        <v>De transferencia termica de cera so</v>
      </c>
    </row>
    <row r="8222" spans="1:2">
      <c r="A8222" s="1" t="str">
        <f>"8443.31.13"</f>
        <v>8443.31.13</v>
      </c>
      <c r="B8222" s="2" t="str">
        <f>"A laser, LED (Diodos Emissores de L"</f>
        <v>A laser, LED (Diodos Emissores de L</v>
      </c>
    </row>
    <row r="8223" spans="1:2">
      <c r="A8223" s="1" t="str">
        <f>"8443.31.14"</f>
        <v>8443.31.14</v>
      </c>
      <c r="B8223" s="2" t="str">
        <f>"A laser, LED (Diodos Emissores de L"</f>
        <v>A laser, LED (Diodos Emissores de L</v>
      </c>
    </row>
    <row r="8224" spans="1:2">
      <c r="A8224" s="1" t="str">
        <f>"8443.31.15"</f>
        <v>8443.31.15</v>
      </c>
      <c r="B8224" s="2" t="str">
        <f>"A laser, LED (Diodos Emissores de L"</f>
        <v>A laser, LED (Diodos Emissores de L</v>
      </c>
    </row>
    <row r="8225" spans="1:2">
      <c r="A8225" s="1" t="str">
        <f>"8443.31.16"</f>
        <v>8443.31.16</v>
      </c>
      <c r="B8225" s="2" t="str">
        <f>"Outras, com largura de impressao su"</f>
        <v>Outras, com largura de impressao su</v>
      </c>
    </row>
    <row r="8226" spans="1:2">
      <c r="A8226" s="1" t="str">
        <f>"8443.31.19"</f>
        <v>8443.31.19</v>
      </c>
      <c r="B8226" s="2" t="str">
        <f>"OUTRAS"</f>
        <v>OUTRAS</v>
      </c>
    </row>
    <row r="8227" spans="1:2">
      <c r="A8227" s="1" t="str">
        <f>"8443.31.91"</f>
        <v>8443.31.91</v>
      </c>
      <c r="B8227" s="2" t="str">
        <f>"Com impressao por sistema termico"</f>
        <v>Com impressao por sistema termico</v>
      </c>
    </row>
    <row r="8228" spans="1:2">
      <c r="A8228" s="1" t="str">
        <f>"8443.31.99"</f>
        <v>8443.31.99</v>
      </c>
      <c r="B8228" s="2" t="str">
        <f>"Outras"</f>
        <v>Outras</v>
      </c>
    </row>
    <row r="8229" spans="1:2">
      <c r="A8229" s="1" t="str">
        <f>"8443.32.21"</f>
        <v>8443.32.21</v>
      </c>
      <c r="B8229" s="2" t="str">
        <f>"De linha"</f>
        <v>De linha</v>
      </c>
    </row>
    <row r="8230" spans="1:2">
      <c r="A8230" s="1" t="str">
        <f>"8443.32.22"</f>
        <v>8443.32.22</v>
      </c>
      <c r="B8230" s="2" t="str">
        <f>"De caracteres Braille"</f>
        <v>De caracteres Braille</v>
      </c>
    </row>
    <row r="8231" spans="1:2">
      <c r="A8231" s="1" t="str">
        <f>"8443.32.23"</f>
        <v>8443.32.23</v>
      </c>
      <c r="B8231" s="2" t="str">
        <f>"Outras matriciais (por pontos)"</f>
        <v>Outras matriciais (por pontos)</v>
      </c>
    </row>
    <row r="8232" spans="1:2">
      <c r="A8232" s="1" t="str">
        <f>"8443.32.29"</f>
        <v>8443.32.29</v>
      </c>
      <c r="B8232" s="2" t="str">
        <f>"Outras"</f>
        <v>Outras</v>
      </c>
    </row>
    <row r="8233" spans="1:2">
      <c r="A8233" s="1" t="str">
        <f>"8443.32.31"</f>
        <v>8443.32.31</v>
      </c>
      <c r="B8233" s="2" t="str">
        <f>"DE JATO DE TINTA LÍQUIDA"</f>
        <v>DE JATO DE TINTA LÍQUIDA</v>
      </c>
    </row>
    <row r="8234" spans="1:2">
      <c r="A8234" s="1" t="str">
        <f>"8443.32.32"</f>
        <v>8443.32.32</v>
      </c>
      <c r="B8234" s="2" t="str">
        <f>"De transferencia termica de cera so"</f>
        <v>De transferencia termica de cera so</v>
      </c>
    </row>
    <row r="8235" spans="1:2">
      <c r="A8235" s="1" t="str">
        <f>"8443.32.33"</f>
        <v>8443.32.33</v>
      </c>
      <c r="B8235" s="2" t="str">
        <f>"A LASER, LED, MONOCROMÁTICAS"</f>
        <v>A LASER, LED, MONOCROMÁTICAS</v>
      </c>
    </row>
    <row r="8236" spans="1:2">
      <c r="A8236" s="1" t="str">
        <f>"8443.32.34"</f>
        <v>8443.32.34</v>
      </c>
      <c r="B8236" s="2" t="str">
        <f>"A laser, LED (Diodos Emissores de L"</f>
        <v>A laser, LED (Diodos Emissores de L</v>
      </c>
    </row>
    <row r="8237" spans="1:2">
      <c r="A8237" s="1" t="str">
        <f>"8443.32.35"</f>
        <v>8443.32.35</v>
      </c>
      <c r="B8237" s="2" t="str">
        <f>"A laser, LED (Diodos Emissores de L"</f>
        <v>A laser, LED (Diodos Emissores de L</v>
      </c>
    </row>
    <row r="8238" spans="1:2">
      <c r="A8238" s="1" t="str">
        <f>"8443.32.36"</f>
        <v>8443.32.36</v>
      </c>
      <c r="B8238" s="2" t="str">
        <f>"A laser, LED (Diodos Emissores de L"</f>
        <v>A laser, LED (Diodos Emissores de L</v>
      </c>
    </row>
    <row r="8239" spans="1:2">
      <c r="A8239" s="1" t="str">
        <f>"8443.32.37"</f>
        <v>8443.32.37</v>
      </c>
      <c r="B8239" s="2" t="str">
        <f>"Termicas, do tipo utilizado em impr"</f>
        <v>Termicas, do tipo utilizado em impr</v>
      </c>
    </row>
    <row r="8240" spans="1:2">
      <c r="A8240" s="1" t="str">
        <f>"8443.32.38"</f>
        <v>8443.32.38</v>
      </c>
      <c r="B8240" s="2" t="str">
        <f>"Outras, com largura de impressao su"</f>
        <v>Outras, com largura de impressao su</v>
      </c>
    </row>
    <row r="8241" spans="1:2">
      <c r="A8241" s="1" t="str">
        <f>"8443.32.39"</f>
        <v>8443.32.39</v>
      </c>
      <c r="B8241" s="2" t="str">
        <f>"OUTRAS"</f>
        <v>OUTRAS</v>
      </c>
    </row>
    <row r="8242" spans="1:2">
      <c r="A8242" s="1" t="str">
        <f>"8443.32.40"</f>
        <v>8443.32.40</v>
      </c>
      <c r="B8242" s="2" t="str">
        <f>"partes e pecas software impressora"</f>
        <v>partes e pecas software impressora</v>
      </c>
    </row>
    <row r="8243" spans="1:2">
      <c r="A8243" s="1" t="str">
        <f>"8443.32.51"</f>
        <v>8443.32.51</v>
      </c>
      <c r="B8243" s="2" t="str">
        <f>"Por meio de penas"</f>
        <v>Por meio de penas</v>
      </c>
    </row>
    <row r="8244" spans="1:2">
      <c r="A8244" s="1" t="str">
        <f>"8443.32.52"</f>
        <v>8443.32.52</v>
      </c>
      <c r="B8244" s="2" t="str">
        <f>"outros"</f>
        <v>outros</v>
      </c>
    </row>
    <row r="8245" spans="1:2">
      <c r="A8245" s="1" t="str">
        <f>"8443.32.59"</f>
        <v>8443.32.59</v>
      </c>
      <c r="B8245" s="2" t="str">
        <f>"Outros"</f>
        <v>Outros</v>
      </c>
    </row>
    <row r="8246" spans="1:2">
      <c r="A8246" s="1" t="str">
        <f>"8443.32.91"</f>
        <v>8443.32.91</v>
      </c>
      <c r="B8246" s="2" t="str">
        <f>"Impressoras de codigo de barras pos"</f>
        <v>Impressoras de codigo de barras pos</v>
      </c>
    </row>
    <row r="8247" spans="1:2">
      <c r="A8247" s="1" t="str">
        <f>"8443.32.99"</f>
        <v>8443.32.99</v>
      </c>
      <c r="B8247" s="2" t="str">
        <f>"impressora zebra"</f>
        <v>impressora zebra</v>
      </c>
    </row>
    <row r="8248" spans="1:2">
      <c r="A8248" s="1" t="str">
        <f>"8443.39.10"</f>
        <v>8443.39.10</v>
      </c>
      <c r="B8248" s="2" t="str">
        <f>"Maquinas de impressao por jato de t"</f>
        <v>Maquinas de impressao por jato de t</v>
      </c>
    </row>
    <row r="8249" spans="1:2">
      <c r="A8249" s="1" t="str">
        <f>"8443.39.21"</f>
        <v>8443.39.21</v>
      </c>
      <c r="B8249" s="2" t="str">
        <f>"De reproducao da imagem do original"</f>
        <v>De reproducao da imagem do original</v>
      </c>
    </row>
    <row r="8250" spans="1:2">
      <c r="A8250" s="1" t="str">
        <f>"8443.39.28"</f>
        <v>8443.39.28</v>
      </c>
      <c r="B8250" s="2" t="str">
        <f>"Outras, por processo indireto"</f>
        <v>Outras, por processo indireto</v>
      </c>
    </row>
    <row r="8251" spans="1:2">
      <c r="A8251" s="1" t="str">
        <f>"8443.39.29"</f>
        <v>8443.39.29</v>
      </c>
      <c r="B8251" s="2" t="str">
        <f>"Outras"</f>
        <v>Outras</v>
      </c>
    </row>
    <row r="8252" spans="1:2">
      <c r="A8252" s="1" t="str">
        <f>"8443.39.30"</f>
        <v>8443.39.30</v>
      </c>
      <c r="B8252" s="2" t="str">
        <f>"Outras maquinas copiadoras"</f>
        <v>Outras maquinas copiadoras</v>
      </c>
    </row>
    <row r="8253" spans="1:2">
      <c r="A8253" s="1" t="str">
        <f>"8443.39.90"</f>
        <v>8443.39.90</v>
      </c>
      <c r="B8253" s="2" t="str">
        <f>"Outros"</f>
        <v>Outros</v>
      </c>
    </row>
    <row r="8254" spans="1:2">
      <c r="A8254" s="1" t="str">
        <f>"8443.40.90"</f>
        <v>8443.40.90</v>
      </c>
      <c r="B8254" s="2" t="str">
        <f>"INATIVA - LABRATESTER"</f>
        <v>INATIVA - LABRATESTER</v>
      </c>
    </row>
    <row r="8255" spans="1:2">
      <c r="A8255" s="1" t="str">
        <f>"8443.59.90"</f>
        <v>8443.59.90</v>
      </c>
      <c r="B8255" s="2" t="str">
        <f>"INATIVA - MAQUINA PARA IMPRESSAO"</f>
        <v>INATIVA - MAQUINA PARA IMPRESSAO</v>
      </c>
    </row>
    <row r="8256" spans="1:2">
      <c r="A8256" s="1" t="str">
        <f>"8443.60.90"</f>
        <v>8443.60.90</v>
      </c>
      <c r="B8256" s="2" t="str">
        <f>"INATIVO"</f>
        <v>INATIVO</v>
      </c>
    </row>
    <row r="8257" spans="1:2">
      <c r="A8257" s="1" t="str">
        <f>"8443.90.90"</f>
        <v>8443.90.90</v>
      </c>
      <c r="B8257" s="2" t="str">
        <f>"INATIVA - UNIDADE FLEXOGRAFICA"</f>
        <v>INATIVA - UNIDADE FLEXOGRAFICA</v>
      </c>
    </row>
    <row r="8258" spans="1:2">
      <c r="A8258" s="1" t="str">
        <f>"8443.91.10"</f>
        <v>8443.91.10</v>
      </c>
      <c r="B8258" s="2" t="str">
        <f>"Reatores nucleares, caldeiras, máqu"</f>
        <v>Reatores nucleares, caldeiras, máqu</v>
      </c>
    </row>
    <row r="8259" spans="1:2">
      <c r="A8259" s="1" t="str">
        <f>"8443.91.91"</f>
        <v>8443.91.91</v>
      </c>
      <c r="B8259" s="2" t="str">
        <f>"Dobradoras"</f>
        <v>Dobradoras</v>
      </c>
    </row>
    <row r="8260" spans="1:2">
      <c r="A8260" s="1" t="str">
        <f>"8443.91.92"</f>
        <v>8443.91.92</v>
      </c>
      <c r="B8260" s="2" t="str">
        <f>"Numeradores automaticos"</f>
        <v>Numeradores automaticos</v>
      </c>
    </row>
    <row r="8261" spans="1:2">
      <c r="A8261" s="1" t="str">
        <f>"8443.91.99"</f>
        <v>8443.91.99</v>
      </c>
      <c r="B8261" s="2" t="str">
        <f>"OUTRAS -BARRA APLICADORA"</f>
        <v>OUTRAS -BARRA APLICADORA</v>
      </c>
    </row>
    <row r="8262" spans="1:2">
      <c r="A8262" s="1" t="str">
        <f>"8443.99.11"</f>
        <v>8443.99.11</v>
      </c>
      <c r="B8262" s="2" t="str">
        <f>"Mecanismos de impressao, mesmo sem"</f>
        <v>Mecanismos de impressao, mesmo sem</v>
      </c>
    </row>
    <row r="8263" spans="1:2">
      <c r="A8263" s="1" t="str">
        <f>"8443.99.12"</f>
        <v>8443.99.12</v>
      </c>
      <c r="B8263" s="2" t="str">
        <f>"Cabecas de impressao"</f>
        <v>Cabecas de impressao</v>
      </c>
    </row>
    <row r="8264" spans="1:2">
      <c r="A8264" s="1" t="str">
        <f>"8443.99.19"</f>
        <v>8443.99.19</v>
      </c>
      <c r="B8264" s="2" t="str">
        <f>"Outros"</f>
        <v>Outros</v>
      </c>
    </row>
    <row r="8265" spans="1:2">
      <c r="A8265" s="1" t="str">
        <f>"8443.99.21"</f>
        <v>8443.99.21</v>
      </c>
      <c r="B8265" s="2" t="str">
        <f>"Mecanismos de impressao, mesmo sem"</f>
        <v>Mecanismos de impressao, mesmo sem</v>
      </c>
    </row>
    <row r="8266" spans="1:2">
      <c r="A8266" s="1" t="str">
        <f>"8443.99.22"</f>
        <v>8443.99.22</v>
      </c>
      <c r="B8266" s="2" t="str">
        <f>"Cabecas de impressao"</f>
        <v>Cabecas de impressao</v>
      </c>
    </row>
    <row r="8267" spans="1:2">
      <c r="A8267" s="1" t="str">
        <f>"8443.99.23"</f>
        <v>8443.99.23</v>
      </c>
      <c r="B8267" s="2" t="str">
        <f>"CARTUCHO DE TINTAS"</f>
        <v>CARTUCHO DE TINTAS</v>
      </c>
    </row>
    <row r="8268" spans="1:2">
      <c r="A8268" s="1" t="str">
        <f>"8443.99.27"</f>
        <v>8443.99.27</v>
      </c>
      <c r="B8268" s="2" t="str">
        <f>"INATIVA - CARTUCHOS DE TINTAS P/ IM"</f>
        <v>INATIVA - CARTUCHOS DE TINTAS P/ IM</v>
      </c>
    </row>
    <row r="8269" spans="1:2">
      <c r="A8269" s="1" t="str">
        <f>"8443.99.29"</f>
        <v>8443.99.29</v>
      </c>
      <c r="B8269" s="2" t="str">
        <f>"TANQUE DE MANUTENÇÃO - EPSON"</f>
        <v>TANQUE DE MANUTENÇÃO - EPSON</v>
      </c>
    </row>
    <row r="8270" spans="1:2">
      <c r="A8270" s="1" t="str">
        <f>"8443.99.31"</f>
        <v>8443.99.31</v>
      </c>
      <c r="B8270" s="2" t="str">
        <f>"Mecanismos de impressao, mesmo sem"</f>
        <v>Mecanismos de impressao, mesmo sem</v>
      </c>
    </row>
    <row r="8271" spans="1:2">
      <c r="A8271" s="1" t="str">
        <f>"8443.99.32"</f>
        <v>8443.99.32</v>
      </c>
      <c r="B8271" s="2" t="str">
        <f>"CILIND RECOB MATÉR S/ SEMIC FOTOELE"</f>
        <v>CILIND RECOB MATÉR S/ SEMIC FOTOELE</v>
      </c>
    </row>
    <row r="8272" spans="1:2">
      <c r="A8272" s="1" t="str">
        <f>"8443.99.33"</f>
        <v>8443.99.33</v>
      </c>
      <c r="B8272" s="2" t="str">
        <f>"Cartuchos de revelador (toners)"</f>
        <v>Cartuchos de revelador (toners)</v>
      </c>
    </row>
    <row r="8273" spans="1:2">
      <c r="A8273" s="1" t="str">
        <f>"8443.99.39"</f>
        <v>8443.99.39</v>
      </c>
      <c r="B8273" s="2" t="str">
        <f>"Outros"</f>
        <v>Outros</v>
      </c>
    </row>
    <row r="8274" spans="1:2">
      <c r="A8274" s="1" t="str">
        <f>"8443.99.41"</f>
        <v>8443.99.41</v>
      </c>
      <c r="B8274" s="2" t="str">
        <f>"Mecanismos de impressao, mesmo sem"</f>
        <v>Mecanismos de impressao, mesmo sem</v>
      </c>
    </row>
    <row r="8275" spans="1:2">
      <c r="A8275" s="1" t="str">
        <f>"8443.99.42"</f>
        <v>8443.99.42</v>
      </c>
      <c r="B8275" s="2" t="str">
        <f>"Cabecas de impressao"</f>
        <v>Cabecas de impressao</v>
      </c>
    </row>
    <row r="8276" spans="1:2">
      <c r="A8276" s="1" t="str">
        <f>"8443.99.49"</f>
        <v>8443.99.49</v>
      </c>
      <c r="B8276" s="2" t="str">
        <f>"Outros"</f>
        <v>Outros</v>
      </c>
    </row>
    <row r="8277" spans="1:2">
      <c r="A8277" s="1" t="str">
        <f>"8443.99.50"</f>
        <v>8443.99.50</v>
      </c>
      <c r="B8277" s="2" t="str">
        <f>"OUTROS MEC IMPRESSÃO, PARTES/ACESSO"</f>
        <v>OUTROS MEC IMPRESSÃO, PARTES/ACESSO</v>
      </c>
    </row>
    <row r="8278" spans="1:2">
      <c r="A8278" s="1" t="str">
        <f>"8443.99.60"</f>
        <v>8443.99.60</v>
      </c>
      <c r="B8278" s="2" t="str">
        <f>"CIRCUITOS IMPRESSOS COM COMPONENTES"</f>
        <v>CIRCUITOS IMPRESSOS COM COMPONENTES</v>
      </c>
    </row>
    <row r="8279" spans="1:2">
      <c r="A8279" s="1" t="str">
        <f>"8443.99.70"</f>
        <v>8443.99.70</v>
      </c>
      <c r="B8279" s="2" t="str">
        <f>"Bandejas e gavetas, suas partes e a"</f>
        <v>Bandejas e gavetas, suas partes e a</v>
      </c>
    </row>
    <row r="8280" spans="1:2">
      <c r="A8280" s="1" t="str">
        <f>"8443.99.80"</f>
        <v>8443.99.80</v>
      </c>
      <c r="B8280" s="2" t="str">
        <f>"Mecanismos de alimentacao ou de tri"</f>
        <v>Mecanismos de alimentacao ou de tri</v>
      </c>
    </row>
    <row r="8281" spans="1:2">
      <c r="A8281" s="1" t="str">
        <f>"8443.99.90"</f>
        <v>8443.99.90</v>
      </c>
      <c r="B8281" s="2" t="str">
        <f>"OUTROS"</f>
        <v>OUTROS</v>
      </c>
    </row>
    <row r="8282" spans="1:2">
      <c r="A8282" s="1" t="str">
        <f>"8444.00.10"</f>
        <v>8444.00.10</v>
      </c>
      <c r="B8282" s="2" t="str">
        <f>"Para extrudar"</f>
        <v>Para extrudar</v>
      </c>
    </row>
    <row r="8283" spans="1:2">
      <c r="A8283" s="1" t="str">
        <f>"8444.00.20"</f>
        <v>8444.00.20</v>
      </c>
      <c r="B8283" s="2" t="str">
        <f>"PARA CORTE OU RUPTURA DE FIBRAS"</f>
        <v>PARA CORTE OU RUPTURA DE FIBRAS</v>
      </c>
    </row>
    <row r="8284" spans="1:2">
      <c r="A8284" s="1" t="str">
        <f>"8444.00.90"</f>
        <v>8444.00.90</v>
      </c>
      <c r="B8284" s="2" t="str">
        <f>"Outras"</f>
        <v>Outras</v>
      </c>
    </row>
    <row r="8285" spans="1:2">
      <c r="A8285" s="1" t="str">
        <f>"8445.11.10"</f>
        <v>8445.11.10</v>
      </c>
      <c r="B8285" s="2" t="str">
        <f>"Para la"</f>
        <v>Para la</v>
      </c>
    </row>
    <row r="8286" spans="1:2">
      <c r="A8286" s="1" t="str">
        <f>"8445.11.20"</f>
        <v>8445.11.20</v>
      </c>
      <c r="B8286" s="2" t="str">
        <f>"Para fibras do Capitulo 53"</f>
        <v>Para fibras do Capitulo 53</v>
      </c>
    </row>
    <row r="8287" spans="1:2">
      <c r="A8287" s="1" t="str">
        <f>"8445.11.90"</f>
        <v>8445.11.90</v>
      </c>
      <c r="B8287" s="2" t="str">
        <f>"Outras"</f>
        <v>Outras</v>
      </c>
    </row>
    <row r="8288" spans="1:2">
      <c r="A8288" s="1" t="str">
        <f>"8445.12.00"</f>
        <v>8445.12.00</v>
      </c>
      <c r="B8288" s="2" t="str">
        <f>"Penteadoras"</f>
        <v>Penteadoras</v>
      </c>
    </row>
    <row r="8289" spans="1:2">
      <c r="A8289" s="1" t="str">
        <f>"8445.13.00"</f>
        <v>8445.13.00</v>
      </c>
      <c r="B8289" s="2" t="str">
        <f>"Bancas de estiramento (banca de fus"</f>
        <v>Bancas de estiramento (banca de fus</v>
      </c>
    </row>
    <row r="8290" spans="1:2">
      <c r="A8290" s="1" t="str">
        <f>"8445.19.10"</f>
        <v>8445.19.10</v>
      </c>
      <c r="B8290" s="2" t="str">
        <f>"Maquinas para a preparacao da seda"</f>
        <v>Maquinas para a preparacao da seda</v>
      </c>
    </row>
    <row r="8291" spans="1:2">
      <c r="A8291" s="1" t="str">
        <f>"8445.19.21"</f>
        <v>8445.19.21</v>
      </c>
      <c r="B8291" s="2" t="str">
        <f>"Para recuperacao de cordas, fios, t"</f>
        <v>Para recuperacao de cordas, fios, t</v>
      </c>
    </row>
    <row r="8292" spans="1:2">
      <c r="A8292" s="1" t="str">
        <f>"8445.19.22"</f>
        <v>8445.19.22</v>
      </c>
      <c r="B8292" s="2" t="str">
        <f>"Descarocadeiras e deslintadeiras de"</f>
        <v>Descarocadeiras e deslintadeiras de</v>
      </c>
    </row>
    <row r="8293" spans="1:2">
      <c r="A8293" s="1" t="str">
        <f>"8445.19.23"</f>
        <v>8445.19.23</v>
      </c>
      <c r="B8293" s="2" t="str">
        <f>"Para desengordurar, lavar, alvejar"</f>
        <v>Para desengordurar, lavar, alvejar</v>
      </c>
    </row>
    <row r="8294" spans="1:2">
      <c r="A8294" s="1" t="str">
        <f>"8445.19.24"</f>
        <v>8445.19.24</v>
      </c>
      <c r="B8294" s="2" t="str">
        <f>"Abridoras de fibras de la"</f>
        <v>Abridoras de fibras de la</v>
      </c>
    </row>
    <row r="8295" spans="1:2">
      <c r="A8295" s="1" t="str">
        <f>"8445.19.25"</f>
        <v>8445.19.25</v>
      </c>
      <c r="B8295" s="2" t="str">
        <f>"Abridoras de fibras do Capitulo 53"</f>
        <v>Abridoras de fibras do Capitulo 53</v>
      </c>
    </row>
    <row r="8296" spans="1:2">
      <c r="A8296" s="1" t="str">
        <f>"8445.19.26"</f>
        <v>8445.19.26</v>
      </c>
      <c r="B8296" s="2" t="str">
        <f>"Maquinas de carbonizar a la"</f>
        <v>Maquinas de carbonizar a la</v>
      </c>
    </row>
    <row r="8297" spans="1:2">
      <c r="A8297" s="1" t="str">
        <f>"8445.19.27"</f>
        <v>8445.19.27</v>
      </c>
      <c r="B8297" s="2" t="str">
        <f>"Para estirar a la"</f>
        <v>Para estirar a la</v>
      </c>
    </row>
    <row r="8298" spans="1:2">
      <c r="A8298" s="1" t="str">
        <f>"8445.19.29"</f>
        <v>8445.19.29</v>
      </c>
      <c r="B8298" s="2" t="str">
        <f>"Outras"</f>
        <v>Outras</v>
      </c>
    </row>
    <row r="8299" spans="1:2">
      <c r="A8299" s="1" t="str">
        <f>"8445.20.00"</f>
        <v>8445.20.00</v>
      </c>
      <c r="B8299" s="2" t="str">
        <f>"Maquinas para fiacao de materias te"</f>
        <v>Maquinas para fiacao de materias te</v>
      </c>
    </row>
    <row r="8300" spans="1:2">
      <c r="A8300" s="1" t="str">
        <f>"8445.30.10"</f>
        <v>8445.30.10</v>
      </c>
      <c r="B8300" s="2" t="str">
        <f>"Retorcedeiras"</f>
        <v>Retorcedeiras</v>
      </c>
    </row>
    <row r="8301" spans="1:2">
      <c r="A8301" s="1" t="str">
        <f>"8445.30.90"</f>
        <v>8445.30.90</v>
      </c>
      <c r="B8301" s="2" t="str">
        <f>"Outras"</f>
        <v>Outras</v>
      </c>
    </row>
    <row r="8302" spans="1:2">
      <c r="A8302" s="1" t="str">
        <f>"8445.40.11"</f>
        <v>8445.40.11</v>
      </c>
      <c r="B8302" s="2" t="str">
        <f>"Bobinadeiras de trama (espuladeiras"</f>
        <v>Bobinadeiras de trama (espuladeiras</v>
      </c>
    </row>
    <row r="8303" spans="1:2">
      <c r="A8303" s="1" t="str">
        <f>"8445.40.12"</f>
        <v>8445.40.12</v>
      </c>
      <c r="B8303" s="2" t="str">
        <f>"Para fios elastanos"</f>
        <v>Para fios elastanos</v>
      </c>
    </row>
    <row r="8304" spans="1:2">
      <c r="A8304" s="1" t="str">
        <f>"8445.40.18"</f>
        <v>8445.40.18</v>
      </c>
      <c r="B8304" s="2" t="str">
        <f>"Outras, com atador automatico"</f>
        <v>Outras, com atador automatico</v>
      </c>
    </row>
    <row r="8305" spans="1:2">
      <c r="A8305" s="1" t="str">
        <f>"8445.40.19"</f>
        <v>8445.40.19</v>
      </c>
      <c r="B8305" s="2" t="str">
        <f>"Outras"</f>
        <v>Outras</v>
      </c>
    </row>
    <row r="8306" spans="1:2">
      <c r="A8306" s="1" t="str">
        <f>"8445.40.21"</f>
        <v>8445.40.21</v>
      </c>
      <c r="B8306" s="2" t="str">
        <f>"Com velocidade de bobinado igual ou"</f>
        <v>Com velocidade de bobinado igual ou</v>
      </c>
    </row>
    <row r="8307" spans="1:2">
      <c r="A8307" s="1" t="str">
        <f>"8445.40.29"</f>
        <v>8445.40.29</v>
      </c>
      <c r="B8307" s="2" t="str">
        <f>"Outras"</f>
        <v>Outras</v>
      </c>
    </row>
    <row r="8308" spans="1:2">
      <c r="A8308" s="1" t="str">
        <f>"8445.40.31"</f>
        <v>8445.40.31</v>
      </c>
      <c r="B8308" s="2" t="str">
        <f>"Com controle de comprimento ou peso"</f>
        <v>Com controle de comprimento ou peso</v>
      </c>
    </row>
    <row r="8309" spans="1:2">
      <c r="A8309" s="1" t="str">
        <f>"8445.40.39"</f>
        <v>8445.40.39</v>
      </c>
      <c r="B8309" s="2" t="str">
        <f>"Outras"</f>
        <v>Outras</v>
      </c>
    </row>
    <row r="8310" spans="1:2">
      <c r="A8310" s="1" t="str">
        <f>"8445.40.40"</f>
        <v>8445.40.40</v>
      </c>
      <c r="B8310" s="2" t="str">
        <f>"Noveleiras automaticas"</f>
        <v>Noveleiras automaticas</v>
      </c>
    </row>
    <row r="8311" spans="1:2">
      <c r="A8311" s="1" t="str">
        <f>"8445.40.90"</f>
        <v>8445.40.90</v>
      </c>
      <c r="B8311" s="2" t="str">
        <f>"Outras"</f>
        <v>Outras</v>
      </c>
    </row>
    <row r="8312" spans="1:2">
      <c r="A8312" s="1" t="str">
        <f>"8445.90.10"</f>
        <v>8445.90.10</v>
      </c>
      <c r="B8312" s="2" t="str">
        <f>"Urdideiras"</f>
        <v>Urdideiras</v>
      </c>
    </row>
    <row r="8313" spans="1:2">
      <c r="A8313" s="1" t="str">
        <f>"8445.90.20"</f>
        <v>8445.90.20</v>
      </c>
      <c r="B8313" s="2" t="str">
        <f>"Passadeiras para lico e pente"</f>
        <v>Passadeiras para lico e pente</v>
      </c>
    </row>
    <row r="8314" spans="1:2">
      <c r="A8314" s="1" t="str">
        <f>"8445.90.30"</f>
        <v>8445.90.30</v>
      </c>
      <c r="B8314" s="2" t="str">
        <f>"Para amarrar urdideiras"</f>
        <v>Para amarrar urdideiras</v>
      </c>
    </row>
    <row r="8315" spans="1:2">
      <c r="A8315" s="1" t="str">
        <f>"8445.90.40"</f>
        <v>8445.90.40</v>
      </c>
      <c r="B8315" s="2" t="str">
        <f>"Automaticas, para colocar lamelas"</f>
        <v>Automaticas, para colocar lamelas</v>
      </c>
    </row>
    <row r="8316" spans="1:2">
      <c r="A8316" s="1" t="str">
        <f>"8445.90.90"</f>
        <v>8445.90.90</v>
      </c>
      <c r="B8316" s="2" t="str">
        <f>"Outras"</f>
        <v>Outras</v>
      </c>
    </row>
    <row r="8317" spans="1:2">
      <c r="A8317" s="1" t="str">
        <f>"8446.10.10"</f>
        <v>8446.10.10</v>
      </c>
      <c r="B8317" s="2" t="str">
        <f>"Com mecanismo Jacquard"</f>
        <v>Com mecanismo Jacquard</v>
      </c>
    </row>
    <row r="8318" spans="1:2">
      <c r="A8318" s="1" t="str">
        <f>"8446.10.90"</f>
        <v>8446.10.90</v>
      </c>
      <c r="B8318" s="2" t="str">
        <f>"Outros"</f>
        <v>Outros</v>
      </c>
    </row>
    <row r="8319" spans="1:2">
      <c r="A8319" s="1" t="str">
        <f>"8446.21.00"</f>
        <v>8446.21.00</v>
      </c>
      <c r="B8319" s="2" t="str">
        <f>"A motor"</f>
        <v>A motor</v>
      </c>
    </row>
    <row r="8320" spans="1:2">
      <c r="A8320" s="1" t="str">
        <f>"8446.29.00"</f>
        <v>8446.29.00</v>
      </c>
      <c r="B8320" s="2" t="str">
        <f>"Outros"</f>
        <v>Outros</v>
      </c>
    </row>
    <row r="8321" spans="1:2">
      <c r="A8321" s="1" t="str">
        <f>"8446.30.10"</f>
        <v>8446.30.10</v>
      </c>
      <c r="B8321" s="2" t="str">
        <f>"A jato de ar"</f>
        <v>A jato de ar</v>
      </c>
    </row>
    <row r="8322" spans="1:2">
      <c r="A8322" s="1" t="str">
        <f>"8446.30.20"</f>
        <v>8446.30.20</v>
      </c>
      <c r="B8322" s="2" t="str">
        <f>"A jato de agua"</f>
        <v>A jato de agua</v>
      </c>
    </row>
    <row r="8323" spans="1:2">
      <c r="A8323" s="1" t="str">
        <f>"8446.30.30"</f>
        <v>8446.30.30</v>
      </c>
      <c r="B8323" s="2" t="str">
        <f>"De projetil"</f>
        <v>De projetil</v>
      </c>
    </row>
    <row r="8324" spans="1:2">
      <c r="A8324" s="1" t="str">
        <f>"8446.30.40"</f>
        <v>8446.30.40</v>
      </c>
      <c r="B8324" s="2" t="str">
        <f>"De pincas"</f>
        <v>De pincas</v>
      </c>
    </row>
    <row r="8325" spans="1:2">
      <c r="A8325" s="1" t="str">
        <f>"8446.30.90"</f>
        <v>8446.30.90</v>
      </c>
      <c r="B8325" s="2" t="str">
        <f>"Outros"</f>
        <v>Outros</v>
      </c>
    </row>
    <row r="8326" spans="1:2">
      <c r="A8326" s="1" t="str">
        <f>"8447.11.00"</f>
        <v>8447.11.00</v>
      </c>
      <c r="B8326" s="2" t="str">
        <f>"Com cilindro de diametro nao superi"</f>
        <v>Com cilindro de diametro nao superi</v>
      </c>
    </row>
    <row r="8327" spans="1:2">
      <c r="A8327" s="1" t="str">
        <f>"8447.12.00"</f>
        <v>8447.12.00</v>
      </c>
      <c r="B8327" s="2" t="str">
        <f>"Com cilindro de diametro superior a"</f>
        <v>Com cilindro de diametro superior a</v>
      </c>
    </row>
    <row r="8328" spans="1:2">
      <c r="A8328" s="1" t="str">
        <f>"8447.20.10"</f>
        <v>8447.20.10</v>
      </c>
      <c r="B8328" s="2" t="str">
        <f>"Teares manuais"</f>
        <v>Teares manuais</v>
      </c>
    </row>
    <row r="8329" spans="1:2">
      <c r="A8329" s="1" t="str">
        <f>"8447.20.21"</f>
        <v>8447.20.21</v>
      </c>
      <c r="B8329" s="2" t="str">
        <f>"Para fabricacao de malhas de urdidu"</f>
        <v>Para fabricacao de malhas de urdidu</v>
      </c>
    </row>
    <row r="8330" spans="1:2">
      <c r="A8330" s="1" t="str">
        <f>"8447.20.29"</f>
        <v>8447.20.29</v>
      </c>
      <c r="B8330" s="2" t="str">
        <f>"Outros"</f>
        <v>Outros</v>
      </c>
    </row>
    <row r="8331" spans="1:2">
      <c r="A8331" s="1" t="str">
        <f>"8447.20.30"</f>
        <v>8447.20.30</v>
      </c>
      <c r="B8331" s="2" t="str">
        <f>"Maquinas de costura por entrelacame"</f>
        <v>Maquinas de costura por entrelacame</v>
      </c>
    </row>
    <row r="8332" spans="1:2">
      <c r="A8332" s="1" t="str">
        <f>"8447.90.10"</f>
        <v>8447.90.10</v>
      </c>
      <c r="B8332" s="2" t="str">
        <f>"Maquinas para fabricacao de redes,"</f>
        <v>Maquinas para fabricacao de redes,</v>
      </c>
    </row>
    <row r="8333" spans="1:2">
      <c r="A8333" s="1" t="str">
        <f>"8447.90.20"</f>
        <v>8447.90.20</v>
      </c>
      <c r="B8333" s="2" t="str">
        <f>"Maquinas automaticas para bordar"</f>
        <v>Maquinas automaticas para bordar</v>
      </c>
    </row>
    <row r="8334" spans="1:2">
      <c r="A8334" s="1" t="str">
        <f>"8447.90.90"</f>
        <v>8447.90.90</v>
      </c>
      <c r="B8334" s="2" t="str">
        <f>"Outras"</f>
        <v>Outras</v>
      </c>
    </row>
    <row r="8335" spans="1:2">
      <c r="A8335" s="1" t="str">
        <f>"8448.11.10"</f>
        <v>8448.11.10</v>
      </c>
      <c r="B8335" s="2" t="str">
        <f>"Ratieras"</f>
        <v>Ratieras</v>
      </c>
    </row>
    <row r="8336" spans="1:2">
      <c r="A8336" s="1" t="str">
        <f>"8448.11.20"</f>
        <v>8448.11.20</v>
      </c>
      <c r="B8336" s="2" t="str">
        <f>"Mecanismos Jacquard"</f>
        <v>Mecanismos Jacquard</v>
      </c>
    </row>
    <row r="8337" spans="1:2">
      <c r="A8337" s="1" t="str">
        <f>"8448.11.90"</f>
        <v>8448.11.90</v>
      </c>
      <c r="B8337" s="2" t="str">
        <f>"outros"</f>
        <v>outros</v>
      </c>
    </row>
    <row r="8338" spans="1:2">
      <c r="A8338" s="1" t="str">
        <f>"8448.19.00"</f>
        <v>8448.19.00</v>
      </c>
      <c r="B8338" s="2" t="str">
        <f>"OUTROS"</f>
        <v>OUTROS</v>
      </c>
    </row>
    <row r="8339" spans="1:2">
      <c r="A8339" s="1" t="str">
        <f>"8448.20.10"</f>
        <v>8448.20.10</v>
      </c>
      <c r="B8339" s="2" t="str">
        <f>"Fieiras para a extrusao"</f>
        <v>Fieiras para a extrusao</v>
      </c>
    </row>
    <row r="8340" spans="1:2">
      <c r="A8340" s="1" t="str">
        <f>"8448.20.20"</f>
        <v>8448.20.20</v>
      </c>
      <c r="B8340" s="2" t="str">
        <f>"Outras partes e acessorios de maqui"</f>
        <v>Outras partes e acessorios de maqui</v>
      </c>
    </row>
    <row r="8341" spans="1:2">
      <c r="A8341" s="1" t="str">
        <f>"8448.20.30"</f>
        <v>8448.20.30</v>
      </c>
      <c r="B8341" s="2" t="str">
        <f>"DE MÁQUINAS PARA CORTE OU RUPTURA"</f>
        <v>DE MÁQUINAS PARA CORTE OU RUPTURA</v>
      </c>
    </row>
    <row r="8342" spans="1:2">
      <c r="A8342" s="1" t="str">
        <f>"8448.20.90"</f>
        <v>8448.20.90</v>
      </c>
      <c r="B8342" s="2" t="str">
        <f>"Outras"</f>
        <v>Outras</v>
      </c>
    </row>
    <row r="8343" spans="1:2">
      <c r="A8343" s="1" t="str">
        <f>"8448.31.00"</f>
        <v>8448.31.00</v>
      </c>
      <c r="B8343" s="2" t="str">
        <f>"Guarnicoes de cardas"</f>
        <v>Guarnicoes de cardas</v>
      </c>
    </row>
    <row r="8344" spans="1:2">
      <c r="A8344" s="1" t="str">
        <f>"8448.32.11"</f>
        <v>8448.32.11</v>
      </c>
      <c r="B8344" s="2" t="str">
        <f>"Chapeus (flats)"</f>
        <v>Chapeus (flats)</v>
      </c>
    </row>
    <row r="8345" spans="1:2">
      <c r="A8345" s="1" t="str">
        <f>"8448.32.19"</f>
        <v>8448.32.19</v>
      </c>
      <c r="B8345" s="2" t="str">
        <f>"Outras"</f>
        <v>Outras</v>
      </c>
    </row>
    <row r="8346" spans="1:2">
      <c r="A8346" s="1" t="str">
        <f>"8448.32.20"</f>
        <v>8448.32.20</v>
      </c>
      <c r="B8346" s="2" t="str">
        <f>"De penteadoras"</f>
        <v>De penteadoras</v>
      </c>
    </row>
    <row r="8347" spans="1:2">
      <c r="A8347" s="1" t="str">
        <f>"8448.32.30"</f>
        <v>8448.32.30</v>
      </c>
      <c r="B8347" s="2" t="str">
        <f>"De bancas de estiramento (bancas de"</f>
        <v>De bancas de estiramento (bancas de</v>
      </c>
    </row>
    <row r="8348" spans="1:2">
      <c r="A8348" s="1" t="str">
        <f>"8448.32.40"</f>
        <v>8448.32.40</v>
      </c>
      <c r="B8348" s="2" t="str">
        <f>"De maquinas para a preparacao da se"</f>
        <v>De maquinas para a preparacao da se</v>
      </c>
    </row>
    <row r="8349" spans="1:2">
      <c r="A8349" s="1" t="str">
        <f>"8448.32.50"</f>
        <v>8448.32.50</v>
      </c>
      <c r="B8349" s="2" t="str">
        <f>"De maquinas para carbonizar la"</f>
        <v>De maquinas para carbonizar la</v>
      </c>
    </row>
    <row r="8350" spans="1:2">
      <c r="A8350" s="1" t="str">
        <f>"8448.32.90"</f>
        <v>8448.32.90</v>
      </c>
      <c r="B8350" s="2" t="str">
        <f>"Outros"</f>
        <v>Outros</v>
      </c>
    </row>
    <row r="8351" spans="1:2">
      <c r="A8351" s="1" t="str">
        <f>"8448.33.10"</f>
        <v>8448.33.10</v>
      </c>
      <c r="B8351" s="2" t="str">
        <f>"Cursores"</f>
        <v>Cursores</v>
      </c>
    </row>
    <row r="8352" spans="1:2">
      <c r="A8352" s="1" t="str">
        <f>"8448.33.90"</f>
        <v>8448.33.90</v>
      </c>
      <c r="B8352" s="2" t="str">
        <f>"Outros"</f>
        <v>Outros</v>
      </c>
    </row>
    <row r="8353" spans="1:2">
      <c r="A8353" s="1" t="str">
        <f>"8448.39.11"</f>
        <v>8448.39.11</v>
      </c>
      <c r="B8353" s="2" t="str">
        <f>"De filatorios intermitentes (selfat"</f>
        <v>De filatorios intermitentes (selfat</v>
      </c>
    </row>
    <row r="8354" spans="1:2">
      <c r="A8354" s="1" t="str">
        <f>"8448.39.12"</f>
        <v>8448.39.12</v>
      </c>
      <c r="B8354" s="2" t="str">
        <f>"De maquinas do tipo tow-to-yarn"</f>
        <v>De maquinas do tipo tow-to-yarn</v>
      </c>
    </row>
    <row r="8355" spans="1:2">
      <c r="A8355" s="1" t="str">
        <f>"8448.39.17"</f>
        <v>8448.39.17</v>
      </c>
      <c r="B8355" s="2" t="str">
        <f>"De outros filatorios"</f>
        <v>De outros filatorios</v>
      </c>
    </row>
    <row r="8356" spans="1:2">
      <c r="A8356" s="1" t="str">
        <f>"8448.39.19"</f>
        <v>8448.39.19</v>
      </c>
      <c r="B8356" s="2" t="str">
        <f>"Outras"</f>
        <v>Outras</v>
      </c>
    </row>
    <row r="8357" spans="1:2">
      <c r="A8357" s="1" t="str">
        <f>"8448.39.21"</f>
        <v>8448.39.21</v>
      </c>
      <c r="B8357" s="2" t="str">
        <f>"De bobinadeiras de trama (espuladei"</f>
        <v>De bobinadeiras de trama (espuladei</v>
      </c>
    </row>
    <row r="8358" spans="1:2">
      <c r="A8358" s="1" t="str">
        <f>"8448.39.22"</f>
        <v>8448.39.22</v>
      </c>
      <c r="B8358" s="2" t="str">
        <f>"De bobinadeiras automaticas para fi"</f>
        <v>De bobinadeiras automaticas para fi</v>
      </c>
    </row>
    <row r="8359" spans="1:2">
      <c r="A8359" s="1" t="str">
        <f>"8448.39.23"</f>
        <v>8448.39.23</v>
      </c>
      <c r="B8359" s="2" t="str">
        <f>"Outras, de bobinadeiras automaticas"</f>
        <v>Outras, de bobinadeiras automaticas</v>
      </c>
    </row>
    <row r="8360" spans="1:2">
      <c r="A8360" s="1" t="str">
        <f>"8448.39.29"</f>
        <v>8448.39.29</v>
      </c>
      <c r="B8360" s="2" t="str">
        <f>"Outras"</f>
        <v>Outras</v>
      </c>
    </row>
    <row r="8361" spans="1:2">
      <c r="A8361" s="1" t="str">
        <f>"8448.39.91"</f>
        <v>8448.39.91</v>
      </c>
      <c r="B8361" s="2" t="str">
        <f>"De urdideiras"</f>
        <v>De urdideiras</v>
      </c>
    </row>
    <row r="8362" spans="1:2">
      <c r="A8362" s="1" t="str">
        <f>"8448.39.92"</f>
        <v>8448.39.92</v>
      </c>
      <c r="B8362" s="2" t="str">
        <f>"De passadeiras para lico e pente"</f>
        <v>De passadeiras para lico e pente</v>
      </c>
    </row>
    <row r="8363" spans="1:2">
      <c r="A8363" s="1" t="str">
        <f>"8448.39.99"</f>
        <v>8448.39.99</v>
      </c>
      <c r="B8363" s="2" t="str">
        <f>"Outras"</f>
        <v>Outras</v>
      </c>
    </row>
    <row r="8364" spans="1:2">
      <c r="A8364" s="1" t="str">
        <f>"8448.42.00"</f>
        <v>8448.42.00</v>
      </c>
      <c r="B8364" s="2" t="str">
        <f>"Pentes, licos e quadros de licos"</f>
        <v>Pentes, licos e quadros de licos</v>
      </c>
    </row>
    <row r="8365" spans="1:2">
      <c r="A8365" s="1" t="str">
        <f>"8448.49.10"</f>
        <v>8448.49.10</v>
      </c>
      <c r="B8365" s="2" t="str">
        <f>"De maquinas ou aparelhos auxiliares"</f>
        <v>De maquinas ou aparelhos auxiliares</v>
      </c>
    </row>
    <row r="8366" spans="1:2">
      <c r="A8366" s="1" t="str">
        <f>"8448.49.20"</f>
        <v>8448.49.20</v>
      </c>
      <c r="B8366" s="2" t="str">
        <f>"De teares para tecidos de largura s"</f>
        <v>De teares para tecidos de largura s</v>
      </c>
    </row>
    <row r="8367" spans="1:2">
      <c r="A8367" s="1" t="str">
        <f>"8448.49.90"</f>
        <v>8448.49.90</v>
      </c>
      <c r="B8367" s="2" t="str">
        <f>"Outras"</f>
        <v>Outras</v>
      </c>
    </row>
    <row r="8368" spans="1:2">
      <c r="A8368" s="1" t="str">
        <f>"8448.51.00"</f>
        <v>8448.51.00</v>
      </c>
      <c r="B8368" s="2" t="str">
        <f>"Platinas, agulhas e outros artigos,"</f>
        <v>Platinas, agulhas e outros artigos,</v>
      </c>
    </row>
    <row r="8369" spans="1:2">
      <c r="A8369" s="1" t="str">
        <f>"8448.59.10"</f>
        <v>8448.59.10</v>
      </c>
      <c r="B8369" s="2" t="str">
        <f>"De teares circulares para malhas"</f>
        <v>De teares circulares para malhas</v>
      </c>
    </row>
    <row r="8370" spans="1:2">
      <c r="A8370" s="1" t="str">
        <f>"8448.59.21"</f>
        <v>8448.59.21</v>
      </c>
      <c r="B8370" s="2" t="str">
        <f>"Manuais"</f>
        <v>Manuais</v>
      </c>
    </row>
    <row r="8371" spans="1:2">
      <c r="A8371" s="1" t="str">
        <f>"8448.59.22"</f>
        <v>8448.59.22</v>
      </c>
      <c r="B8371" s="2" t="str">
        <f>"Para fabricacao de malhas de urdidu"</f>
        <v>Para fabricacao de malhas de urdidu</v>
      </c>
    </row>
    <row r="8372" spans="1:2">
      <c r="A8372" s="1" t="str">
        <f>"8448.59.29"</f>
        <v>8448.59.29</v>
      </c>
      <c r="B8372" s="2" t="str">
        <f>"Outras"</f>
        <v>Outras</v>
      </c>
    </row>
    <row r="8373" spans="1:2">
      <c r="A8373" s="1" t="str">
        <f>"8448.59.30"</f>
        <v>8448.59.30</v>
      </c>
      <c r="B8373" s="2" t="str">
        <f>"De maquinas para fabricacao de rede"</f>
        <v>De maquinas para fabricacao de rede</v>
      </c>
    </row>
    <row r="8374" spans="1:2">
      <c r="A8374" s="1" t="str">
        <f>"8448.59.40"</f>
        <v>8448.59.40</v>
      </c>
      <c r="B8374" s="2" t="str">
        <f>"De maquinas do item 8447.90.90"</f>
        <v>De maquinas do item 8447.90.90</v>
      </c>
    </row>
    <row r="8375" spans="1:2">
      <c r="A8375" s="1" t="str">
        <f>"8448.59.90"</f>
        <v>8448.59.90</v>
      </c>
      <c r="B8375" s="2" t="str">
        <f>"Outras"</f>
        <v>Outras</v>
      </c>
    </row>
    <row r="8376" spans="1:2">
      <c r="A8376" s="1" t="str">
        <f>"8449.00.10"</f>
        <v>8449.00.10</v>
      </c>
      <c r="B8376" s="2" t="str">
        <f>"Maquinas e aparelhos para fabricaca"</f>
        <v>Maquinas e aparelhos para fabricaca</v>
      </c>
    </row>
    <row r="8377" spans="1:2">
      <c r="A8377" s="1" t="str">
        <f>"8449.00.20"</f>
        <v>8449.00.20</v>
      </c>
      <c r="B8377" s="2" t="str">
        <f>"Maquinas e aparelhos para fabricaca"</f>
        <v>Maquinas e aparelhos para fabricaca</v>
      </c>
    </row>
    <row r="8378" spans="1:2">
      <c r="A8378" s="1" t="str">
        <f>"8449.00.80"</f>
        <v>8449.00.80</v>
      </c>
      <c r="B8378" s="2" t="str">
        <f>"Outros"</f>
        <v>Outros</v>
      </c>
    </row>
    <row r="8379" spans="1:2">
      <c r="A8379" s="1" t="str">
        <f>"8449.00.91"</f>
        <v>8449.00.91</v>
      </c>
      <c r="B8379" s="2" t="str">
        <f>"DE MÁQUINAS/APAREL FABR FALSOS TECI"</f>
        <v>DE MÁQUINAS/APAREL FABR FALSOS TECI</v>
      </c>
    </row>
    <row r="8380" spans="1:2">
      <c r="A8380" s="1" t="str">
        <f>"8449.00.99"</f>
        <v>8449.00.99</v>
      </c>
      <c r="B8380" s="2" t="str">
        <f>"Outras"</f>
        <v>Outras</v>
      </c>
    </row>
    <row r="8381" spans="1:2">
      <c r="A8381" s="1" t="str">
        <f>"8450.11.00"</f>
        <v>8450.11.00</v>
      </c>
      <c r="B8381" s="2" t="str">
        <f>"Maquinas inteiramente automaticas"</f>
        <v>Maquinas inteiramente automaticas</v>
      </c>
    </row>
    <row r="8382" spans="1:2">
      <c r="A8382" s="1" t="str">
        <f>"8450.12.00"</f>
        <v>8450.12.00</v>
      </c>
      <c r="B8382" s="2" t="str">
        <f>"Outras maquinas, com secador centri"</f>
        <v>Outras maquinas, com secador centri</v>
      </c>
    </row>
    <row r="8383" spans="1:2">
      <c r="A8383" s="1" t="str">
        <f>"8450.19.00"</f>
        <v>8450.19.00</v>
      </c>
      <c r="B8383" s="2" t="str">
        <f>"OUTRAS"</f>
        <v>OUTRAS</v>
      </c>
    </row>
    <row r="8384" spans="1:2">
      <c r="A8384" s="1" t="str">
        <f>"8450.20.10"</f>
        <v>8450.20.10</v>
      </c>
      <c r="B8384" s="2" t="str">
        <f>"Tuneis continuos"</f>
        <v>Tuneis continuos</v>
      </c>
    </row>
    <row r="8385" spans="1:2">
      <c r="A8385" s="1" t="str">
        <f>"8450.20.90"</f>
        <v>8450.20.90</v>
      </c>
      <c r="B8385" s="2" t="str">
        <f>"Outras"</f>
        <v>Outras</v>
      </c>
    </row>
    <row r="8386" spans="1:2">
      <c r="A8386" s="1" t="str">
        <f>"8450.90.10"</f>
        <v>8450.90.10</v>
      </c>
      <c r="B8386" s="2" t="str">
        <f>"De maquinas da subposicao 8450.20"</f>
        <v>De maquinas da subposicao 8450.20</v>
      </c>
    </row>
    <row r="8387" spans="1:2">
      <c r="A8387" s="1" t="str">
        <f>"8450.90.90"</f>
        <v>8450.90.90</v>
      </c>
      <c r="B8387" s="2" t="str">
        <f>"Outras"</f>
        <v>Outras</v>
      </c>
    </row>
    <row r="8388" spans="1:2">
      <c r="A8388" s="1" t="str">
        <f>"8451.10.00"</f>
        <v>8451.10.00</v>
      </c>
      <c r="B8388" s="2" t="str">
        <f>"Maquinas para lavar a seco"</f>
        <v>Maquinas para lavar a seco</v>
      </c>
    </row>
    <row r="8389" spans="1:2">
      <c r="A8389" s="1" t="str">
        <f>"8451.21.00"</f>
        <v>8451.21.00</v>
      </c>
      <c r="B8389" s="2" t="str">
        <f>"De capacidade, expressa em peso de"</f>
        <v>De capacidade, expressa em peso de</v>
      </c>
    </row>
    <row r="8390" spans="1:2">
      <c r="A8390" s="1" t="str">
        <f>"8451.29.10"</f>
        <v>8451.29.10</v>
      </c>
      <c r="B8390" s="2" t="str">
        <f>"Que funcionem por meio de ondas ele"</f>
        <v>Que funcionem por meio de ondas ele</v>
      </c>
    </row>
    <row r="8391" spans="1:2">
      <c r="A8391" s="1" t="str">
        <f>"8451.29.90"</f>
        <v>8451.29.90</v>
      </c>
      <c r="B8391" s="2" t="str">
        <f>"Outras"</f>
        <v>Outras</v>
      </c>
    </row>
    <row r="8392" spans="1:2">
      <c r="A8392" s="1" t="str">
        <f>"8451.30.10"</f>
        <v>8451.30.10</v>
      </c>
      <c r="B8392" s="2" t="str">
        <f>"Automaticas"</f>
        <v>Automaticas</v>
      </c>
    </row>
    <row r="8393" spans="1:2">
      <c r="A8393" s="1" t="str">
        <f>"8451.30.91"</f>
        <v>8451.30.91</v>
      </c>
      <c r="B8393" s="2" t="str">
        <f>"Prensas para passar de peso inferio"</f>
        <v>Prensas para passar de peso inferio</v>
      </c>
    </row>
    <row r="8394" spans="1:2">
      <c r="A8394" s="1" t="str">
        <f>"8451.30.99"</f>
        <v>8451.30.99</v>
      </c>
      <c r="B8394" s="2" t="str">
        <f>"Outras"</f>
        <v>Outras</v>
      </c>
    </row>
    <row r="8395" spans="1:2">
      <c r="A8395" s="1" t="str">
        <f>"8451.40.10"</f>
        <v>8451.40.10</v>
      </c>
      <c r="B8395" s="2" t="str">
        <f>"Para lavar"</f>
        <v>Para lavar</v>
      </c>
    </row>
    <row r="8396" spans="1:2">
      <c r="A8396" s="1" t="str">
        <f>"8451.40.21"</f>
        <v>8451.40.21</v>
      </c>
      <c r="B8396" s="2" t="str">
        <f>"Para tingir tecidos em rolos; para"</f>
        <v>Para tingir tecidos em rolos; para</v>
      </c>
    </row>
    <row r="8397" spans="1:2">
      <c r="A8397" s="1" t="str">
        <f>"8451.40.29"</f>
        <v>8451.40.29</v>
      </c>
      <c r="B8397" s="2" t="str">
        <f>"OUTROS"</f>
        <v>OUTROS</v>
      </c>
    </row>
    <row r="8398" spans="1:2">
      <c r="A8398" s="1" t="str">
        <f>"8451.40.90"</f>
        <v>8451.40.90</v>
      </c>
      <c r="B8398" s="2" t="str">
        <f>"Outras"</f>
        <v>Outras</v>
      </c>
    </row>
    <row r="8399" spans="1:2">
      <c r="A8399" s="1" t="str">
        <f>"8451.50.10"</f>
        <v>8451.50.10</v>
      </c>
      <c r="B8399" s="2" t="str">
        <f>"Para inspecionar tecidos"</f>
        <v>Para inspecionar tecidos</v>
      </c>
    </row>
    <row r="8400" spans="1:2">
      <c r="A8400" s="1" t="str">
        <f>"8451.50.20"</f>
        <v>8451.50.20</v>
      </c>
      <c r="B8400" s="2" t="str">
        <f>"Automaticas, para enfestar ou corta"</f>
        <v>Automaticas, para enfestar ou corta</v>
      </c>
    </row>
    <row r="8401" spans="1:2">
      <c r="A8401" s="1" t="str">
        <f>"8451.50.90"</f>
        <v>8451.50.90</v>
      </c>
      <c r="B8401" s="2" t="str">
        <f>"Outras"</f>
        <v>Outras</v>
      </c>
    </row>
    <row r="8402" spans="1:2">
      <c r="A8402" s="1" t="str">
        <f>"8451.80.00"</f>
        <v>8451.80.00</v>
      </c>
      <c r="B8402" s="2" t="str">
        <f>"Outras maquinas e aparelhos"</f>
        <v>Outras maquinas e aparelhos</v>
      </c>
    </row>
    <row r="8403" spans="1:2">
      <c r="A8403" s="1" t="str">
        <f>"8451.90.10"</f>
        <v>8451.90.10</v>
      </c>
      <c r="B8403" s="2" t="str">
        <f>"Para as maquinas da subposicao 8451"</f>
        <v>Para as maquinas da subposicao 8451</v>
      </c>
    </row>
    <row r="8404" spans="1:2">
      <c r="A8404" s="1" t="str">
        <f>"8451.90.90"</f>
        <v>8451.90.90</v>
      </c>
      <c r="B8404" s="2" t="str">
        <f>"OUTROS- ESPELHO EM ACO INOX PARA PR"</f>
        <v>OUTROS- ESPELHO EM ACO INOX PARA PR</v>
      </c>
    </row>
    <row r="8405" spans="1:2">
      <c r="A8405" s="1" t="str">
        <f>"8452.10.00"</f>
        <v>8452.10.00</v>
      </c>
      <c r="B8405" s="2" t="str">
        <f>"Maquinas de costura de uso domestic"</f>
        <v>Maquinas de costura de uso domestic</v>
      </c>
    </row>
    <row r="8406" spans="1:2">
      <c r="A8406" s="1" t="str">
        <f>"8452.21.10"</f>
        <v>8452.21.10</v>
      </c>
      <c r="B8406" s="2" t="str">
        <f>"Para costurar couros ou peles"</f>
        <v>Para costurar couros ou peles</v>
      </c>
    </row>
    <row r="8407" spans="1:2">
      <c r="A8407" s="1" t="str">
        <f>"8452.21.20"</f>
        <v>8452.21.20</v>
      </c>
      <c r="B8407" s="2" t="str">
        <f>"Para costurar tecidos"</f>
        <v>Para costurar tecidos</v>
      </c>
    </row>
    <row r="8408" spans="1:2">
      <c r="A8408" s="1" t="str">
        <f>"8452.21.90"</f>
        <v>8452.21.90</v>
      </c>
      <c r="B8408" s="2" t="str">
        <f>"Outras"</f>
        <v>Outras</v>
      </c>
    </row>
    <row r="8409" spans="1:2">
      <c r="A8409" s="1" t="str">
        <f>"8452.29.10"</f>
        <v>8452.29.10</v>
      </c>
      <c r="B8409" s="2" t="str">
        <f>"Para costurar couros ou peles"</f>
        <v>Para costurar couros ou peles</v>
      </c>
    </row>
    <row r="8410" spans="1:2">
      <c r="A8410" s="1" t="str">
        <f>"8452.29.21"</f>
        <v>8452.29.21</v>
      </c>
      <c r="B8410" s="2" t="str">
        <f>"Remalhadeiras"</f>
        <v>Remalhadeiras</v>
      </c>
    </row>
    <row r="8411" spans="1:2">
      <c r="A8411" s="1" t="str">
        <f>"8452.29.22"</f>
        <v>8452.29.22</v>
      </c>
      <c r="B8411" s="2" t="str">
        <f>"Para casear"</f>
        <v>Para casear</v>
      </c>
    </row>
    <row r="8412" spans="1:2">
      <c r="A8412" s="1" t="str">
        <f>"8452.29.23"</f>
        <v>8452.29.23</v>
      </c>
      <c r="B8412" s="2" t="str">
        <f>"Tipo zigue-zague para inserir elast"</f>
        <v>Tipo zigue-zague para inserir elast</v>
      </c>
    </row>
    <row r="8413" spans="1:2">
      <c r="A8413" s="1" t="str">
        <f>"8452.29.24"</f>
        <v>8452.29.24</v>
      </c>
      <c r="B8413" s="2" t="str">
        <f>"De costura reta"</f>
        <v>De costura reta</v>
      </c>
    </row>
    <row r="8414" spans="1:2">
      <c r="A8414" s="1" t="str">
        <f>"8452.29.25"</f>
        <v>8452.29.25</v>
      </c>
      <c r="B8414" s="2" t="str">
        <f>"Galoneiras"</f>
        <v>Galoneiras</v>
      </c>
    </row>
    <row r="8415" spans="1:2">
      <c r="A8415" s="1" t="str">
        <f>"8452.29.29"</f>
        <v>8452.29.29</v>
      </c>
      <c r="B8415" s="2" t="str">
        <f>"Outras"</f>
        <v>Outras</v>
      </c>
    </row>
    <row r="8416" spans="1:2">
      <c r="A8416" s="1" t="str">
        <f>"8452.29.90"</f>
        <v>8452.29.90</v>
      </c>
      <c r="B8416" s="2" t="str">
        <f>"Outras"</f>
        <v>Outras</v>
      </c>
    </row>
    <row r="8417" spans="1:2">
      <c r="A8417" s="1" t="str">
        <f>"8452.30.00"</f>
        <v>8452.30.00</v>
      </c>
      <c r="B8417" s="2" t="str">
        <f>"Agulhas para maquinas de costura"</f>
        <v>Agulhas para maquinas de costura</v>
      </c>
    </row>
    <row r="8418" spans="1:2">
      <c r="A8418" s="1" t="str">
        <f>"8452.90.20"</f>
        <v>8452.90.20</v>
      </c>
      <c r="B8418" s="2" t="str">
        <f>"Moveis, bases e tampas, para maquin"</f>
        <v>Moveis, bases e tampas, para maquin</v>
      </c>
    </row>
    <row r="8419" spans="1:2">
      <c r="A8419" s="1" t="str">
        <f>"8452.90.81"</f>
        <v>8452.90.81</v>
      </c>
      <c r="B8419" s="2" t="str">
        <f>"Guia-fios, lancadeiras e porta-bobi"</f>
        <v>Guia-fios, lancadeiras e porta-bobi</v>
      </c>
    </row>
    <row r="8420" spans="1:2">
      <c r="A8420" s="1" t="str">
        <f>"8452.90.89"</f>
        <v>8452.90.89</v>
      </c>
      <c r="B8420" s="2" t="str">
        <f>"Outras"</f>
        <v>Outras</v>
      </c>
    </row>
    <row r="8421" spans="1:2">
      <c r="A8421" s="1" t="str">
        <f>"8452.90.91"</f>
        <v>8452.90.91</v>
      </c>
      <c r="B8421" s="2" t="str">
        <f>"Guia-fios, lancadeiras nao rotativa"</f>
        <v>Guia-fios, lancadeiras nao rotativa</v>
      </c>
    </row>
    <row r="8422" spans="1:2">
      <c r="A8422" s="1" t="str">
        <f>"8452.90.92"</f>
        <v>8452.90.92</v>
      </c>
      <c r="B8422" s="2" t="str">
        <f>"Para remalhadeiras"</f>
        <v>Para remalhadeiras</v>
      </c>
    </row>
    <row r="8423" spans="1:2">
      <c r="A8423" s="1" t="str">
        <f>"8452.90.93"</f>
        <v>8452.90.93</v>
      </c>
      <c r="B8423" s="2" t="str">
        <f>"Lancadeiras rotativas"</f>
        <v>Lancadeiras rotativas</v>
      </c>
    </row>
    <row r="8424" spans="1:2">
      <c r="A8424" s="1" t="str">
        <f>"8452.90.94"</f>
        <v>8452.90.94</v>
      </c>
      <c r="B8424" s="2" t="str">
        <f>"Corpos moldados por fundicao"</f>
        <v>Corpos moldados por fundicao</v>
      </c>
    </row>
    <row r="8425" spans="1:2">
      <c r="A8425" s="1" t="str">
        <f>"8452.90.99"</f>
        <v>8452.90.99</v>
      </c>
      <c r="B8425" s="2" t="str">
        <f>"Outras"</f>
        <v>Outras</v>
      </c>
    </row>
    <row r="8426" spans="1:2">
      <c r="A8426" s="1" t="str">
        <f>"8453.10.10"</f>
        <v>8453.10.10</v>
      </c>
      <c r="B8426" s="2" t="str">
        <f>"Maquinas para dividir couros com la"</f>
        <v>Maquinas para dividir couros com la</v>
      </c>
    </row>
    <row r="8427" spans="1:2">
      <c r="A8427" s="1" t="str">
        <f>"8453.10.90"</f>
        <v>8453.10.90</v>
      </c>
      <c r="B8427" s="2" t="str">
        <f>"Outros"</f>
        <v>Outros</v>
      </c>
    </row>
    <row r="8428" spans="1:2">
      <c r="A8428" s="1" t="str">
        <f>"8453.20.00"</f>
        <v>8453.20.00</v>
      </c>
      <c r="B8428" s="2" t="str">
        <f>"Maquinas e aparelhos para fabricar"</f>
        <v>Maquinas e aparelhos para fabricar</v>
      </c>
    </row>
    <row r="8429" spans="1:2">
      <c r="A8429" s="1" t="str">
        <f>"8453.80.00"</f>
        <v>8453.80.00</v>
      </c>
      <c r="B8429" s="2" t="str">
        <f>"Outras maquinas e aparelhos"</f>
        <v>Outras maquinas e aparelhos</v>
      </c>
    </row>
    <row r="8430" spans="1:2">
      <c r="A8430" s="1" t="str">
        <f>"8453.90.00"</f>
        <v>8453.90.00</v>
      </c>
      <c r="B8430" s="2" t="str">
        <f>"Partes"</f>
        <v>Partes</v>
      </c>
    </row>
    <row r="8431" spans="1:2">
      <c r="A8431" s="1" t="str">
        <f>"8454.10.00"</f>
        <v>8454.10.00</v>
      </c>
      <c r="B8431" s="2" t="str">
        <f>"Conversores"</f>
        <v>Conversores</v>
      </c>
    </row>
    <row r="8432" spans="1:2">
      <c r="A8432" s="1" t="str">
        <f>"8454.20.10"</f>
        <v>8454.20.10</v>
      </c>
      <c r="B8432" s="2" t="str">
        <f>"Lingoteiras"</f>
        <v>Lingoteiras</v>
      </c>
    </row>
    <row r="8433" spans="1:2">
      <c r="A8433" s="1" t="str">
        <f>"8454.20.90"</f>
        <v>8454.20.90</v>
      </c>
      <c r="B8433" s="2" t="str">
        <f>"Outras"</f>
        <v>Outras</v>
      </c>
    </row>
    <row r="8434" spans="1:2">
      <c r="A8434" s="1" t="str">
        <f>"8454.30.10"</f>
        <v>8454.30.10</v>
      </c>
      <c r="B8434" s="2" t="str">
        <f>"Sob pressao"</f>
        <v>Sob pressao</v>
      </c>
    </row>
    <row r="8435" spans="1:2">
      <c r="A8435" s="1" t="str">
        <f>"8454.30.20"</f>
        <v>8454.30.20</v>
      </c>
      <c r="B8435" s="2" t="str">
        <f>"Por centrifugacao"</f>
        <v>Por centrifugacao</v>
      </c>
    </row>
    <row r="8436" spans="1:2">
      <c r="A8436" s="1" t="str">
        <f>"8454.30.90"</f>
        <v>8454.30.90</v>
      </c>
      <c r="B8436" s="2" t="str">
        <f>"Outras"</f>
        <v>Outras</v>
      </c>
    </row>
    <row r="8437" spans="1:2">
      <c r="A8437" s="1" t="str">
        <f>"8454.90.10"</f>
        <v>8454.90.10</v>
      </c>
      <c r="B8437" s="2" t="str">
        <f>"De maquinas de vazar (moldar) por c"</f>
        <v>De maquinas de vazar (moldar) por c</v>
      </c>
    </row>
    <row r="8438" spans="1:2">
      <c r="A8438" s="1" t="str">
        <f>"8454.90.90"</f>
        <v>8454.90.90</v>
      </c>
      <c r="B8438" s="2" t="str">
        <f>"Outras"</f>
        <v>Outras</v>
      </c>
    </row>
    <row r="8439" spans="1:2">
      <c r="A8439" s="1" t="str">
        <f>"8455.10.00"</f>
        <v>8455.10.00</v>
      </c>
      <c r="B8439" s="2" t="str">
        <f>"Laminadores de tubos"</f>
        <v>Laminadores de tubos</v>
      </c>
    </row>
    <row r="8440" spans="1:2">
      <c r="A8440" s="1" t="str">
        <f>"8455.21.10"</f>
        <v>8455.21.10</v>
      </c>
      <c r="B8440" s="2" t="str">
        <f>"De cilindros lisos"</f>
        <v>De cilindros lisos</v>
      </c>
    </row>
    <row r="8441" spans="1:2">
      <c r="A8441" s="1" t="str">
        <f>"8455.21.90"</f>
        <v>8455.21.90</v>
      </c>
      <c r="B8441" s="2" t="str">
        <f>"Outros"</f>
        <v>Outros</v>
      </c>
    </row>
    <row r="8442" spans="1:2">
      <c r="A8442" s="1" t="str">
        <f>"8455.22.10"</f>
        <v>8455.22.10</v>
      </c>
      <c r="B8442" s="2" t="str">
        <f>"De cilindros lisos"</f>
        <v>De cilindros lisos</v>
      </c>
    </row>
    <row r="8443" spans="1:2">
      <c r="A8443" s="1" t="str">
        <f>"8455.22.90"</f>
        <v>8455.22.90</v>
      </c>
      <c r="B8443" s="2" t="str">
        <f>"Outros"</f>
        <v>Outros</v>
      </c>
    </row>
    <row r="8444" spans="1:2">
      <c r="A8444" s="1" t="str">
        <f>"8455.30.10"</f>
        <v>8455.30.10</v>
      </c>
      <c r="B8444" s="2" t="str">
        <f>"Fundidos, de aco ou ferro fundido n"</f>
        <v>Fundidos, de aco ou ferro fundido n</v>
      </c>
    </row>
    <row r="8445" spans="1:2">
      <c r="A8445" s="1" t="str">
        <f>"8455.30.20"</f>
        <v>8455.30.20</v>
      </c>
      <c r="B8445" s="2" t="str">
        <f>"Forjados, de aco de corte rapido, c"</f>
        <v>Forjados, de aco de corte rapido, c</v>
      </c>
    </row>
    <row r="8446" spans="1:2">
      <c r="A8446" s="1" t="str">
        <f>"8455.30.90"</f>
        <v>8455.30.90</v>
      </c>
      <c r="B8446" s="2" t="str">
        <f>"Outros"</f>
        <v>Outros</v>
      </c>
    </row>
    <row r="8447" spans="1:2">
      <c r="A8447" s="1" t="str">
        <f>"8455.90.00"</f>
        <v>8455.90.00</v>
      </c>
      <c r="B8447" s="2" t="str">
        <f>"Outras partes"</f>
        <v>Outras partes</v>
      </c>
    </row>
    <row r="8448" spans="1:2">
      <c r="A8448" s="1" t="str">
        <f>"8456.11.11"</f>
        <v>8456.11.11</v>
      </c>
      <c r="B8448" s="2" t="str">
        <f>"Para corte de chapas metalicas de e"</f>
        <v>Para corte de chapas metalicas de e</v>
      </c>
    </row>
    <row r="8449" spans="1:2">
      <c r="A8449" s="1" t="str">
        <f>"8456.11.19"</f>
        <v>8456.11.19</v>
      </c>
      <c r="B8449" s="2" t="str">
        <f>"Outras"</f>
        <v>Outras</v>
      </c>
    </row>
    <row r="8450" spans="1:2">
      <c r="A8450" s="1" t="str">
        <f>"8456.11.90"</f>
        <v>8456.11.90</v>
      </c>
      <c r="B8450" s="2" t="str">
        <f>"Outras"</f>
        <v>Outras</v>
      </c>
    </row>
    <row r="8451" spans="1:2">
      <c r="A8451" s="1" t="str">
        <f>"8456.12.11"</f>
        <v>8456.12.11</v>
      </c>
      <c r="B8451" s="2" t="str">
        <f>"Para corte de chapas metalicas de e"</f>
        <v>Para corte de chapas metalicas de e</v>
      </c>
    </row>
    <row r="8452" spans="1:2">
      <c r="A8452" s="1" t="str">
        <f>"8456.12.19"</f>
        <v>8456.12.19</v>
      </c>
      <c r="B8452" s="2" t="str">
        <f>"Outras"</f>
        <v>Outras</v>
      </c>
    </row>
    <row r="8453" spans="1:2">
      <c r="A8453" s="1" t="str">
        <f>"8456.12.90"</f>
        <v>8456.12.90</v>
      </c>
      <c r="B8453" s="2" t="str">
        <f>"Outras"</f>
        <v>Outras</v>
      </c>
    </row>
    <row r="8454" spans="1:2">
      <c r="A8454" s="1" t="str">
        <f>"8456.20.10"</f>
        <v>8456.20.10</v>
      </c>
      <c r="B8454" s="2" t="str">
        <f>"De comando numerico"</f>
        <v>De comando numerico</v>
      </c>
    </row>
    <row r="8455" spans="1:2">
      <c r="A8455" s="1" t="str">
        <f>"8456.20.90"</f>
        <v>8456.20.90</v>
      </c>
      <c r="B8455" s="2" t="str">
        <f>"Outras"</f>
        <v>Outras</v>
      </c>
    </row>
    <row r="8456" spans="1:2">
      <c r="A8456" s="1" t="str">
        <f>"8456.30.11"</f>
        <v>8456.30.11</v>
      </c>
      <c r="B8456" s="2" t="str">
        <f>"Para texturizar superficies cilindr"</f>
        <v>Para texturizar superficies cilindr</v>
      </c>
    </row>
    <row r="8457" spans="1:2">
      <c r="A8457" s="1" t="str">
        <f>"8456.30.19"</f>
        <v>8456.30.19</v>
      </c>
      <c r="B8457" s="2" t="str">
        <f>"Outras"</f>
        <v>Outras</v>
      </c>
    </row>
    <row r="8458" spans="1:2">
      <c r="A8458" s="1" t="str">
        <f>"8456.30.90"</f>
        <v>8456.30.90</v>
      </c>
      <c r="B8458" s="2" t="str">
        <f>"Outras"</f>
        <v>Outras</v>
      </c>
    </row>
    <row r="8459" spans="1:2">
      <c r="A8459" s="1" t="str">
        <f>"8456.40.00"</f>
        <v>8456.40.00</v>
      </c>
      <c r="B8459" s="2" t="str">
        <f>"Que operem por jato de plasma"</f>
        <v>Que operem por jato de plasma</v>
      </c>
    </row>
    <row r="8460" spans="1:2">
      <c r="A8460" s="1" t="str">
        <f>"8456.50.00"</f>
        <v>8456.50.00</v>
      </c>
      <c r="B8460" s="2" t="str">
        <f>"Maquinas de corte a jato de agua"</f>
        <v>Maquinas de corte a jato de agua</v>
      </c>
    </row>
    <row r="8461" spans="1:2">
      <c r="A8461" s="1" t="str">
        <f>"8456.90.00"</f>
        <v>8456.90.00</v>
      </c>
      <c r="B8461" s="2" t="str">
        <f>"Outras"</f>
        <v>Outras</v>
      </c>
    </row>
    <row r="8462" spans="1:2">
      <c r="A8462" s="1" t="str">
        <f>"8457.10.00"</f>
        <v>8457.10.00</v>
      </c>
      <c r="B8462" s="2" t="str">
        <f>"Centros de usinagem (fabricacao*)"</f>
        <v>Centros de usinagem (fabricacao*)</v>
      </c>
    </row>
    <row r="8463" spans="1:2">
      <c r="A8463" s="1" t="str">
        <f>"8457.20.10"</f>
        <v>8457.20.10</v>
      </c>
      <c r="B8463" s="2" t="str">
        <f>"De comando numerico"</f>
        <v>De comando numerico</v>
      </c>
    </row>
    <row r="8464" spans="1:2">
      <c r="A8464" s="1" t="str">
        <f>"8457.20.90"</f>
        <v>8457.20.90</v>
      </c>
      <c r="B8464" s="2" t="str">
        <f>"Outras"</f>
        <v>Outras</v>
      </c>
    </row>
    <row r="8465" spans="1:2">
      <c r="A8465" s="1" t="str">
        <f>"8457.30.10"</f>
        <v>8457.30.10</v>
      </c>
      <c r="B8465" s="2" t="str">
        <f>"De comando numerico"</f>
        <v>De comando numerico</v>
      </c>
    </row>
    <row r="8466" spans="1:2">
      <c r="A8466" s="1" t="str">
        <f>"8457.30.90"</f>
        <v>8457.30.90</v>
      </c>
      <c r="B8466" s="2" t="str">
        <f>"Outras"</f>
        <v>Outras</v>
      </c>
    </row>
    <row r="8467" spans="1:2">
      <c r="A8467" s="1" t="str">
        <f>"8458.11.10"</f>
        <v>8458.11.10</v>
      </c>
      <c r="B8467" s="2" t="str">
        <f>"Revolver"</f>
        <v>Revolver</v>
      </c>
    </row>
    <row r="8468" spans="1:2">
      <c r="A8468" s="1" t="str">
        <f>"8458.11.91"</f>
        <v>8458.11.91</v>
      </c>
      <c r="B8468" s="2" t="str">
        <f>"De 6 ou mais fusos porta-pecas"</f>
        <v>De 6 ou mais fusos porta-pecas</v>
      </c>
    </row>
    <row r="8469" spans="1:2">
      <c r="A8469" s="1" t="str">
        <f>"8458.11.99"</f>
        <v>8458.11.99</v>
      </c>
      <c r="B8469" s="2" t="str">
        <f>"Outros"</f>
        <v>Outros</v>
      </c>
    </row>
    <row r="8470" spans="1:2">
      <c r="A8470" s="1" t="str">
        <f>"8458.19.10"</f>
        <v>8458.19.10</v>
      </c>
      <c r="B8470" s="2" t="str">
        <f>"Revolver"</f>
        <v>Revolver</v>
      </c>
    </row>
    <row r="8471" spans="1:2">
      <c r="A8471" s="1" t="str">
        <f>"8458.19.90"</f>
        <v>8458.19.90</v>
      </c>
      <c r="B8471" s="2" t="str">
        <f>"Outros"</f>
        <v>Outros</v>
      </c>
    </row>
    <row r="8472" spans="1:2">
      <c r="A8472" s="1" t="str">
        <f>"8458.91.00"</f>
        <v>8458.91.00</v>
      </c>
      <c r="B8472" s="2" t="str">
        <f>"De comando numerico"</f>
        <v>De comando numerico</v>
      </c>
    </row>
    <row r="8473" spans="1:2">
      <c r="A8473" s="1" t="str">
        <f>"8458.99.00"</f>
        <v>8458.99.00</v>
      </c>
      <c r="B8473" s="2" t="str">
        <f>"Outros"</f>
        <v>Outros</v>
      </c>
    </row>
    <row r="8474" spans="1:2">
      <c r="A8474" s="1" t="str">
        <f>"8459.10.00"</f>
        <v>8459.10.00</v>
      </c>
      <c r="B8474" s="2" t="str">
        <f>"UNIDADES CABEÇA DESLIZANTE-FURADEIR"</f>
        <v>UNIDADES CABEÇA DESLIZANTE-FURADEIR</v>
      </c>
    </row>
    <row r="8475" spans="1:2">
      <c r="A8475" s="1" t="str">
        <f>"8459.21.10"</f>
        <v>8459.21.10</v>
      </c>
      <c r="B8475" s="2" t="str">
        <f>"Radiais"</f>
        <v>Radiais</v>
      </c>
    </row>
    <row r="8476" spans="1:2">
      <c r="A8476" s="1" t="str">
        <f>"8459.21.91"</f>
        <v>8459.21.91</v>
      </c>
      <c r="B8476" s="2" t="str">
        <f>"De mais de um cabecote mono ou mult"</f>
        <v>De mais de um cabecote mono ou mult</v>
      </c>
    </row>
    <row r="8477" spans="1:2">
      <c r="A8477" s="1" t="str">
        <f>"8459.21.99"</f>
        <v>8459.21.99</v>
      </c>
      <c r="B8477" s="2" t="str">
        <f>"Outras"</f>
        <v>Outras</v>
      </c>
    </row>
    <row r="8478" spans="1:2">
      <c r="A8478" s="1" t="str">
        <f>"8459.29.00"</f>
        <v>8459.29.00</v>
      </c>
      <c r="B8478" s="2" t="str">
        <f>"OUTRAS"</f>
        <v>OUTRAS</v>
      </c>
    </row>
    <row r="8479" spans="1:2">
      <c r="A8479" s="1" t="str">
        <f>"8459.31.00"</f>
        <v>8459.31.00</v>
      </c>
      <c r="B8479" s="2" t="str">
        <f>"De comando numerico"</f>
        <v>De comando numerico</v>
      </c>
    </row>
    <row r="8480" spans="1:2">
      <c r="A8480" s="1" t="str">
        <f>"8459.39.00"</f>
        <v>8459.39.00</v>
      </c>
      <c r="B8480" s="2" t="str">
        <f>"OUTROS"</f>
        <v>OUTROS</v>
      </c>
    </row>
    <row r="8481" spans="1:2">
      <c r="A8481" s="1" t="str">
        <f>"8459.40.00"</f>
        <v>8459.40.00</v>
      </c>
      <c r="B8481" s="2" t="str">
        <f>"INATIVO"</f>
        <v>INATIVO</v>
      </c>
    </row>
    <row r="8482" spans="1:2">
      <c r="A8482" s="1" t="str">
        <f>"8459.41.00"</f>
        <v>8459.41.00</v>
      </c>
      <c r="B8482" s="2" t="str">
        <f>"De comando numerico"</f>
        <v>De comando numerico</v>
      </c>
    </row>
    <row r="8483" spans="1:2">
      <c r="A8483" s="1" t="str">
        <f>"8459.49.00"</f>
        <v>8459.49.00</v>
      </c>
      <c r="B8483" s="2" t="str">
        <f>"Outras"</f>
        <v>Outras</v>
      </c>
    </row>
    <row r="8484" spans="1:2">
      <c r="A8484" s="1" t="str">
        <f>"8459.51.00"</f>
        <v>8459.51.00</v>
      </c>
      <c r="B8484" s="2" t="str">
        <f>"De comando numerico"</f>
        <v>De comando numerico</v>
      </c>
    </row>
    <row r="8485" spans="1:2">
      <c r="A8485" s="1" t="str">
        <f>"8459.59.00"</f>
        <v>8459.59.00</v>
      </c>
      <c r="B8485" s="2" t="str">
        <f>"Outras"</f>
        <v>Outras</v>
      </c>
    </row>
    <row r="8486" spans="1:2">
      <c r="A8486" s="1" t="str">
        <f>"8459.61.00"</f>
        <v>8459.61.00</v>
      </c>
      <c r="B8486" s="2" t="str">
        <f>"De comando numerico"</f>
        <v>De comando numerico</v>
      </c>
    </row>
    <row r="8487" spans="1:2">
      <c r="A8487" s="1" t="str">
        <f>"8459.69.00"</f>
        <v>8459.69.00</v>
      </c>
      <c r="B8487" s="2" t="str">
        <f>"Outras"</f>
        <v>Outras</v>
      </c>
    </row>
    <row r="8488" spans="1:2">
      <c r="A8488" s="1" t="str">
        <f>"8459.70.00"</f>
        <v>8459.70.00</v>
      </c>
      <c r="B8488" s="2" t="str">
        <f>"Outras maquinas para roscar interio"</f>
        <v>Outras maquinas para roscar interio</v>
      </c>
    </row>
    <row r="8489" spans="1:2">
      <c r="A8489" s="1" t="str">
        <f>"8460.12.00"</f>
        <v>8460.12.00</v>
      </c>
      <c r="B8489" s="2" t="str">
        <f>"De comando numerico"</f>
        <v>De comando numerico</v>
      </c>
    </row>
    <row r="8490" spans="1:2">
      <c r="A8490" s="1" t="str">
        <f>"8460.19.00"</f>
        <v>8460.19.00</v>
      </c>
      <c r="B8490" s="2" t="str">
        <f>"Outras"</f>
        <v>Outras</v>
      </c>
    </row>
    <row r="8491" spans="1:2">
      <c r="A8491" s="1" t="str">
        <f>"8460.22.00"</f>
        <v>8460.22.00</v>
      </c>
      <c r="B8491" s="2" t="str">
        <f>"Maquinas para retificar sem centro,"</f>
        <v>Maquinas para retificar sem centro,</v>
      </c>
    </row>
    <row r="8492" spans="1:2">
      <c r="A8492" s="1" t="str">
        <f>"8460.23.00"</f>
        <v>8460.23.00</v>
      </c>
      <c r="B8492" s="2" t="str">
        <f>"Outras maquinas para retificar supe"</f>
        <v>Outras maquinas para retificar supe</v>
      </c>
    </row>
    <row r="8493" spans="1:2">
      <c r="A8493" s="1" t="str">
        <f>"8460.24.00"</f>
        <v>8460.24.00</v>
      </c>
      <c r="B8493" s="2" t="str">
        <f>"Outras, de comando numerico"</f>
        <v>Outras, de comando numerico</v>
      </c>
    </row>
    <row r="8494" spans="1:2">
      <c r="A8494" s="1" t="str">
        <f>"8460.29.00"</f>
        <v>8460.29.00</v>
      </c>
      <c r="B8494" s="2" t="str">
        <f>"Outras"</f>
        <v>Outras</v>
      </c>
    </row>
    <row r="8495" spans="1:2">
      <c r="A8495" s="1" t="str">
        <f>"8460.31.00"</f>
        <v>8460.31.00</v>
      </c>
      <c r="B8495" s="2" t="str">
        <f>"De comando numerico"</f>
        <v>De comando numerico</v>
      </c>
    </row>
    <row r="8496" spans="1:2">
      <c r="A8496" s="1" t="str">
        <f>"8460.39.00"</f>
        <v>8460.39.00</v>
      </c>
      <c r="B8496" s="2" t="str">
        <f>"Outras"</f>
        <v>Outras</v>
      </c>
    </row>
    <row r="8497" spans="1:2">
      <c r="A8497" s="1" t="str">
        <f>"8460.40.11"</f>
        <v>8460.40.11</v>
      </c>
      <c r="B8497" s="2" t="str">
        <f>"OUTROS"</f>
        <v>OUTROS</v>
      </c>
    </row>
    <row r="8498" spans="1:2">
      <c r="A8498" s="1" t="str">
        <f>"8460.40.19"</f>
        <v>8460.40.19</v>
      </c>
      <c r="B8498" s="2" t="str">
        <f>"Outras"</f>
        <v>Outras</v>
      </c>
    </row>
    <row r="8499" spans="1:2">
      <c r="A8499" s="1" t="str">
        <f>"8460.40.91"</f>
        <v>8460.40.91</v>
      </c>
      <c r="B8499" s="2" t="str">
        <f>"Brunidoras para cilindros de diamet"</f>
        <v>Brunidoras para cilindros de diamet</v>
      </c>
    </row>
    <row r="8500" spans="1:2">
      <c r="A8500" s="1" t="str">
        <f>"8460.40.99"</f>
        <v>8460.40.99</v>
      </c>
      <c r="B8500" s="2" t="str">
        <f>"Outras"</f>
        <v>Outras</v>
      </c>
    </row>
    <row r="8501" spans="1:2">
      <c r="A8501" s="1" t="str">
        <f>"8460.90.11"</f>
        <v>8460.90.11</v>
      </c>
      <c r="B8501" s="2" t="str">
        <f>"De polir, com cinco ou mais cabecas"</f>
        <v>De polir, com cinco ou mais cabecas</v>
      </c>
    </row>
    <row r="8502" spans="1:2">
      <c r="A8502" s="1" t="str">
        <f>"8460.90.12"</f>
        <v>8460.90.12</v>
      </c>
      <c r="B8502" s="2" t="str">
        <f>"De esmerilhar, com duas ou mais cab"</f>
        <v>De esmerilhar, com duas ou mais cab</v>
      </c>
    </row>
    <row r="8503" spans="1:2">
      <c r="A8503" s="1" t="str">
        <f>"8460.90.19"</f>
        <v>8460.90.19</v>
      </c>
      <c r="B8503" s="2" t="str">
        <f>"Outras"</f>
        <v>Outras</v>
      </c>
    </row>
    <row r="8504" spans="1:2">
      <c r="A8504" s="1" t="str">
        <f>"8460.90.90"</f>
        <v>8460.90.90</v>
      </c>
      <c r="B8504" s="2" t="str">
        <f>"Outras"</f>
        <v>Outras</v>
      </c>
    </row>
    <row r="8505" spans="1:2">
      <c r="A8505" s="1" t="str">
        <f>"8461.20.10"</f>
        <v>8461.20.10</v>
      </c>
      <c r="B8505" s="2" t="str">
        <f>"Para escatelar"</f>
        <v>Para escatelar</v>
      </c>
    </row>
    <row r="8506" spans="1:2">
      <c r="A8506" s="1" t="str">
        <f>"8461.20.90"</f>
        <v>8461.20.90</v>
      </c>
      <c r="B8506" s="2" t="str">
        <f>"Outras"</f>
        <v>Outras</v>
      </c>
    </row>
    <row r="8507" spans="1:2">
      <c r="A8507" s="1" t="str">
        <f>"8461.30.10"</f>
        <v>8461.30.10</v>
      </c>
      <c r="B8507" s="2" t="str">
        <f>"De comando numerico"</f>
        <v>De comando numerico</v>
      </c>
    </row>
    <row r="8508" spans="1:2">
      <c r="A8508" s="1" t="str">
        <f>"8461.30.90"</f>
        <v>8461.30.90</v>
      </c>
      <c r="B8508" s="2" t="str">
        <f>"Outras"</f>
        <v>Outras</v>
      </c>
    </row>
    <row r="8509" spans="1:2">
      <c r="A8509" s="1" t="str">
        <f>"8461.40.10"</f>
        <v>8461.40.10</v>
      </c>
      <c r="B8509" s="2" t="str">
        <f>"De comando numerico"</f>
        <v>De comando numerico</v>
      </c>
    </row>
    <row r="8510" spans="1:2">
      <c r="A8510" s="1" t="str">
        <f>"8461.40.91"</f>
        <v>8461.40.91</v>
      </c>
      <c r="B8510" s="2" t="str">
        <f>"Redondeadoras de dentes"</f>
        <v>Redondeadoras de dentes</v>
      </c>
    </row>
    <row r="8511" spans="1:2">
      <c r="A8511" s="1" t="str">
        <f>"8461.40.99"</f>
        <v>8461.40.99</v>
      </c>
      <c r="B8511" s="2" t="str">
        <f>"Outras"</f>
        <v>Outras</v>
      </c>
    </row>
    <row r="8512" spans="1:2">
      <c r="A8512" s="1" t="str">
        <f>"8461.50.10"</f>
        <v>8461.50.10</v>
      </c>
      <c r="B8512" s="2" t="str">
        <f>"De fitas sem fim"</f>
        <v>De fitas sem fim</v>
      </c>
    </row>
    <row r="8513" spans="1:2">
      <c r="A8513" s="1" t="str">
        <f>"8461.50.20"</f>
        <v>8461.50.20</v>
      </c>
      <c r="B8513" s="2" t="str">
        <f>"OUTROS"</f>
        <v>OUTROS</v>
      </c>
    </row>
    <row r="8514" spans="1:2">
      <c r="A8514" s="1" t="str">
        <f>"8461.50.90"</f>
        <v>8461.50.90</v>
      </c>
      <c r="B8514" s="2" t="str">
        <f>"Outras"</f>
        <v>Outras</v>
      </c>
    </row>
    <row r="8515" spans="1:2">
      <c r="A8515" s="1" t="str">
        <f>"8461.90.10"</f>
        <v>8461.90.10</v>
      </c>
      <c r="B8515" s="2" t="str">
        <f>"De comando numerico"</f>
        <v>De comando numerico</v>
      </c>
    </row>
    <row r="8516" spans="1:2">
      <c r="A8516" s="1" t="str">
        <f>"8461.90.90"</f>
        <v>8461.90.90</v>
      </c>
      <c r="B8516" s="2" t="str">
        <f>"Outras"</f>
        <v>Outras</v>
      </c>
    </row>
    <row r="8517" spans="1:2">
      <c r="A8517" s="1" t="str">
        <f>"8462.10.11"</f>
        <v>8462.10.11</v>
      </c>
      <c r="B8517" s="2" t="str">
        <f>"Maquinas para estampar"</f>
        <v>Maquinas para estampar</v>
      </c>
    </row>
    <row r="8518" spans="1:2">
      <c r="A8518" s="1" t="str">
        <f>"8462.10.19"</f>
        <v>8462.10.19</v>
      </c>
      <c r="B8518" s="2" t="str">
        <f>"Outras"</f>
        <v>Outras</v>
      </c>
    </row>
    <row r="8519" spans="1:2">
      <c r="A8519" s="1" t="str">
        <f>"8462.10.90"</f>
        <v>8462.10.90</v>
      </c>
      <c r="B8519" s="2" t="str">
        <f>"Outras"</f>
        <v>Outras</v>
      </c>
    </row>
    <row r="8520" spans="1:2">
      <c r="A8520" s="1" t="str">
        <f>"8462.21.00"</f>
        <v>8462.21.00</v>
      </c>
      <c r="B8520" s="2" t="str">
        <f>"De comando numerico"</f>
        <v>De comando numerico</v>
      </c>
    </row>
    <row r="8521" spans="1:2">
      <c r="A8521" s="1" t="str">
        <f>"8462.29.00"</f>
        <v>8462.29.00</v>
      </c>
      <c r="B8521" s="2" t="str">
        <f>"Outras"</f>
        <v>Outras</v>
      </c>
    </row>
    <row r="8522" spans="1:2">
      <c r="A8522" s="1" t="str">
        <f>"8462.31.00"</f>
        <v>8462.31.00</v>
      </c>
      <c r="B8522" s="2" t="str">
        <f>"De comando numerico"</f>
        <v>De comando numerico</v>
      </c>
    </row>
    <row r="8523" spans="1:2">
      <c r="A8523" s="1" t="str">
        <f>"8462.39.10"</f>
        <v>8462.39.10</v>
      </c>
      <c r="B8523" s="2" t="str">
        <f>"Tipo guilhotina"</f>
        <v>Tipo guilhotina</v>
      </c>
    </row>
    <row r="8524" spans="1:2">
      <c r="A8524" s="1" t="str">
        <f>"8462.39.90"</f>
        <v>8462.39.90</v>
      </c>
      <c r="B8524" s="2" t="str">
        <f>"Outras"</f>
        <v>Outras</v>
      </c>
    </row>
    <row r="8525" spans="1:2">
      <c r="A8525" s="1" t="str">
        <f>"8462.41.00"</f>
        <v>8462.41.00</v>
      </c>
      <c r="B8525" s="2" t="str">
        <f>"De comando numerico"</f>
        <v>De comando numerico</v>
      </c>
    </row>
    <row r="8526" spans="1:2">
      <c r="A8526" s="1" t="str">
        <f>"8462.49.00"</f>
        <v>8462.49.00</v>
      </c>
      <c r="B8526" s="2" t="str">
        <f>"outros"</f>
        <v>outros</v>
      </c>
    </row>
    <row r="8527" spans="1:2">
      <c r="A8527" s="1" t="str">
        <f>"8462.91.11"</f>
        <v>8462.91.11</v>
      </c>
      <c r="B8527" s="2" t="str">
        <f>"Para moldagem de pos metalicos por"</f>
        <v>Para moldagem de pos metalicos por</v>
      </c>
    </row>
    <row r="8528" spans="1:2">
      <c r="A8528" s="1" t="str">
        <f>"8462.91.19"</f>
        <v>8462.91.19</v>
      </c>
      <c r="B8528" s="2" t="str">
        <f>"Outras"</f>
        <v>Outras</v>
      </c>
    </row>
    <row r="8529" spans="1:2">
      <c r="A8529" s="1" t="str">
        <f>"8462.91.91"</f>
        <v>8462.91.91</v>
      </c>
      <c r="B8529" s="2" t="str">
        <f>"Para moldagem de pos metalicos por"</f>
        <v>Para moldagem de pos metalicos por</v>
      </c>
    </row>
    <row r="8530" spans="1:2">
      <c r="A8530" s="1" t="str">
        <f>"8462.91.99"</f>
        <v>8462.91.99</v>
      </c>
      <c r="B8530" s="2" t="str">
        <f>"OUTROS PRENSA"</f>
        <v>OUTROS PRENSA</v>
      </c>
    </row>
    <row r="8531" spans="1:2">
      <c r="A8531" s="1" t="str">
        <f>"8462.99.10"</f>
        <v>8462.99.10</v>
      </c>
      <c r="B8531" s="2" t="str">
        <f>"Prensas para moldagem de pos metali"</f>
        <v>Prensas para moldagem de pos metali</v>
      </c>
    </row>
    <row r="8532" spans="1:2">
      <c r="A8532" s="1" t="str">
        <f>"8462.99.20"</f>
        <v>8462.99.20</v>
      </c>
      <c r="B8532" s="2" t="str">
        <f>"Prensas para extrusao"</f>
        <v>Prensas para extrusao</v>
      </c>
    </row>
    <row r="8533" spans="1:2">
      <c r="A8533" s="1" t="str">
        <f>"8462.99.90"</f>
        <v>8462.99.90</v>
      </c>
      <c r="B8533" s="2" t="str">
        <f>"OUTRAS -PRENSA PARA EXTRUSAO"</f>
        <v>OUTRAS -PRENSA PARA EXTRUSAO</v>
      </c>
    </row>
    <row r="8534" spans="1:2">
      <c r="A8534" s="1" t="str">
        <f>"8463.10.10"</f>
        <v>8463.10.10</v>
      </c>
      <c r="B8534" s="2" t="str">
        <f>"Para estirar tubos"</f>
        <v>Para estirar tubos</v>
      </c>
    </row>
    <row r="8535" spans="1:2">
      <c r="A8535" s="1" t="str">
        <f>"8463.10.90"</f>
        <v>8463.10.90</v>
      </c>
      <c r="B8535" s="2" t="str">
        <f>"Outros"</f>
        <v>Outros</v>
      </c>
    </row>
    <row r="8536" spans="1:2">
      <c r="A8536" s="1" t="str">
        <f>"8463.20.10"</f>
        <v>8463.20.10</v>
      </c>
      <c r="B8536" s="2" t="str">
        <f>"De comando numerico"</f>
        <v>De comando numerico</v>
      </c>
    </row>
    <row r="8537" spans="1:2">
      <c r="A8537" s="1" t="str">
        <f>"8463.20.91"</f>
        <v>8463.20.91</v>
      </c>
      <c r="B8537" s="2" t="str">
        <f>"De pente plano, com capacidade de p"</f>
        <v>De pente plano, com capacidade de p</v>
      </c>
    </row>
    <row r="8538" spans="1:2">
      <c r="A8538" s="1" t="str">
        <f>"8463.20.99"</f>
        <v>8463.20.99</v>
      </c>
      <c r="B8538" s="2" t="str">
        <f>"Outras"</f>
        <v>Outras</v>
      </c>
    </row>
    <row r="8539" spans="1:2">
      <c r="A8539" s="1" t="str">
        <f>"8463.30.00"</f>
        <v>8463.30.00</v>
      </c>
      <c r="B8539" s="2" t="str">
        <f>"Maquinas para trabalhar arames e fi"</f>
        <v>Maquinas para trabalhar arames e fi</v>
      </c>
    </row>
    <row r="8540" spans="1:2">
      <c r="A8540" s="1" t="str">
        <f>"8463.90.10"</f>
        <v>8463.90.10</v>
      </c>
      <c r="B8540" s="2" t="str">
        <f>"De comando numerico"</f>
        <v>De comando numerico</v>
      </c>
    </row>
    <row r="8541" spans="1:2">
      <c r="A8541" s="1" t="str">
        <f>"8463.90.90"</f>
        <v>8463.90.90</v>
      </c>
      <c r="B8541" s="2" t="str">
        <f>"Outras"</f>
        <v>Outras</v>
      </c>
    </row>
    <row r="8542" spans="1:2">
      <c r="A8542" s="1" t="str">
        <f>"8464.10.00"</f>
        <v>8464.10.00</v>
      </c>
      <c r="B8542" s="2" t="str">
        <f>"Maquinas para serrar"</f>
        <v>Maquinas para serrar</v>
      </c>
    </row>
    <row r="8543" spans="1:2">
      <c r="A8543" s="1" t="str">
        <f>"8464.20.10"</f>
        <v>8464.20.10</v>
      </c>
      <c r="B8543" s="2" t="str">
        <f>"Para vidro"</f>
        <v>Para vidro</v>
      </c>
    </row>
    <row r="8544" spans="1:2">
      <c r="A8544" s="1" t="str">
        <f>"8464.20.21"</f>
        <v>8464.20.21</v>
      </c>
      <c r="B8544" s="2" t="str">
        <f>"De polir placas, para pavimentacao"</f>
        <v>De polir placas, para pavimentacao</v>
      </c>
    </row>
    <row r="8545" spans="1:2">
      <c r="A8545" s="1" t="str">
        <f>"8464.20.29"</f>
        <v>8464.20.29</v>
      </c>
      <c r="B8545" s="2" t="str">
        <f>"Outras"</f>
        <v>Outras</v>
      </c>
    </row>
    <row r="8546" spans="1:2">
      <c r="A8546" s="1" t="str">
        <f>"8464.20.90"</f>
        <v>8464.20.90</v>
      </c>
      <c r="B8546" s="2" t="str">
        <f>"Outras"</f>
        <v>Outras</v>
      </c>
    </row>
    <row r="8547" spans="1:2">
      <c r="A8547" s="1" t="str">
        <f>"8464.90.11"</f>
        <v>8464.90.11</v>
      </c>
      <c r="B8547" s="2" t="str">
        <f>"De comando numerico, para retificar"</f>
        <v>De comando numerico, para retificar</v>
      </c>
    </row>
    <row r="8548" spans="1:2">
      <c r="A8548" s="1" t="str">
        <f>"8464.90.19"</f>
        <v>8464.90.19</v>
      </c>
      <c r="B8548" s="2" t="str">
        <f>"Outras"</f>
        <v>Outras</v>
      </c>
    </row>
    <row r="8549" spans="1:2">
      <c r="A8549" s="1" t="str">
        <f>"8464.90.90"</f>
        <v>8464.90.90</v>
      </c>
      <c r="B8549" s="2" t="str">
        <f>"Outras"</f>
        <v>Outras</v>
      </c>
    </row>
    <row r="8550" spans="1:2">
      <c r="A8550" s="1" t="str">
        <f>"8465.10.00"</f>
        <v>8465.10.00</v>
      </c>
      <c r="B8550" s="2" t="str">
        <f>"Maquinas-ferramentas capazes de efe"</f>
        <v>Maquinas-ferramentas capazes de efe</v>
      </c>
    </row>
    <row r="8551" spans="1:2">
      <c r="A8551" s="1" t="str">
        <f>"8465.20.00"</f>
        <v>8465.20.00</v>
      </c>
      <c r="B8551" s="2" t="str">
        <f>"Centros de usinagem (fabricacao*)"</f>
        <v>Centros de usinagem (fabricacao*)</v>
      </c>
    </row>
    <row r="8552" spans="1:2">
      <c r="A8552" s="1" t="str">
        <f>"8465.91.10"</f>
        <v>8465.91.10</v>
      </c>
      <c r="B8552" s="2" t="str">
        <f>"De fita sem fim"</f>
        <v>De fita sem fim</v>
      </c>
    </row>
    <row r="8553" spans="1:2">
      <c r="A8553" s="1" t="str">
        <f>"8465.91.20"</f>
        <v>8465.91.20</v>
      </c>
      <c r="B8553" s="2" t="str">
        <f>"SECCIONADORA VERTICAL"</f>
        <v>SECCIONADORA VERTICAL</v>
      </c>
    </row>
    <row r="8554" spans="1:2">
      <c r="A8554" s="1" t="str">
        <f>"8465.91.90"</f>
        <v>8465.91.90</v>
      </c>
      <c r="B8554" s="2" t="str">
        <f>"Outras"</f>
        <v>Outras</v>
      </c>
    </row>
    <row r="8555" spans="1:2">
      <c r="A8555" s="1" t="str">
        <f>"8465.92.11"</f>
        <v>8465.92.11</v>
      </c>
      <c r="B8555" s="2" t="str">
        <f>"Fresadoras"</f>
        <v>Fresadoras</v>
      </c>
    </row>
    <row r="8556" spans="1:2">
      <c r="A8556" s="1" t="str">
        <f>"8465.92.19"</f>
        <v>8465.92.19</v>
      </c>
      <c r="B8556" s="2" t="str">
        <f>"Outras"</f>
        <v>Outras</v>
      </c>
    </row>
    <row r="8557" spans="1:2">
      <c r="A8557" s="1" t="str">
        <f>"8465.92.90"</f>
        <v>8465.92.90</v>
      </c>
      <c r="B8557" s="2" t="str">
        <f>"Outras"</f>
        <v>Outras</v>
      </c>
    </row>
    <row r="8558" spans="1:2">
      <c r="A8558" s="1" t="str">
        <f>"8465.93.10"</f>
        <v>8465.93.10</v>
      </c>
      <c r="B8558" s="2" t="str">
        <f>"LIXADEIRA"</f>
        <v>LIXADEIRA</v>
      </c>
    </row>
    <row r="8559" spans="1:2">
      <c r="A8559" s="1" t="str">
        <f>"8465.93.90"</f>
        <v>8465.93.90</v>
      </c>
      <c r="B8559" s="2" t="str">
        <f>"Outras"</f>
        <v>Outras</v>
      </c>
    </row>
    <row r="8560" spans="1:2">
      <c r="A8560" s="1" t="str">
        <f>"8465.94.00"</f>
        <v>8465.94.00</v>
      </c>
      <c r="B8560" s="2" t="str">
        <f>"MAQUINAS PARA ARQUEAR-ESTICADOR"</f>
        <v>MAQUINAS PARA ARQUEAR-ESTICADOR</v>
      </c>
    </row>
    <row r="8561" spans="1:2">
      <c r="A8561" s="1" t="str">
        <f>"8465.95.11"</f>
        <v>8465.95.11</v>
      </c>
      <c r="B8561" s="2" t="str">
        <f>"Para furar"</f>
        <v>Para furar</v>
      </c>
    </row>
    <row r="8562" spans="1:2">
      <c r="A8562" s="1" t="str">
        <f>"8465.95.12"</f>
        <v>8465.95.12</v>
      </c>
      <c r="B8562" s="2" t="str">
        <f>"Para escatelar"</f>
        <v>Para escatelar</v>
      </c>
    </row>
    <row r="8563" spans="1:2">
      <c r="A8563" s="1" t="str">
        <f>"8465.95.91"</f>
        <v>8465.95.91</v>
      </c>
      <c r="B8563" s="2" t="str">
        <f>"Para furar"</f>
        <v>Para furar</v>
      </c>
    </row>
    <row r="8564" spans="1:2">
      <c r="A8564" s="1" t="str">
        <f>"8465.95.92"</f>
        <v>8465.95.92</v>
      </c>
      <c r="B8564" s="2" t="str">
        <f>"Para escatelar"</f>
        <v>Para escatelar</v>
      </c>
    </row>
    <row r="8565" spans="1:2">
      <c r="A8565" s="1" t="str">
        <f>"8465.96.00"</f>
        <v>8465.96.00</v>
      </c>
      <c r="B8565" s="2" t="str">
        <f>"Maquinas para fender, seccionar ou"</f>
        <v>Maquinas para fender, seccionar ou</v>
      </c>
    </row>
    <row r="8566" spans="1:2">
      <c r="A8566" s="1" t="str">
        <f>"8465.99.00"</f>
        <v>8465.99.00</v>
      </c>
      <c r="B8566" s="2" t="str">
        <f>"OUTRAS -COLETOR"</f>
        <v>OUTRAS -COLETOR</v>
      </c>
    </row>
    <row r="8567" spans="1:2">
      <c r="A8567" s="1" t="str">
        <f>"8466.10.00"</f>
        <v>8466.10.00</v>
      </c>
      <c r="B8567" s="2" t="str">
        <f>"OUTROS"</f>
        <v>OUTROS</v>
      </c>
    </row>
    <row r="8568" spans="1:2">
      <c r="A8568" s="1" t="str">
        <f>"8466.20.10"</f>
        <v>8466.20.10</v>
      </c>
      <c r="B8568" s="2" t="str">
        <f>"Para tornos"</f>
        <v>Para tornos</v>
      </c>
    </row>
    <row r="8569" spans="1:2">
      <c r="A8569" s="1" t="str">
        <f>"8466.20.90"</f>
        <v>8466.20.90</v>
      </c>
      <c r="B8569" s="2" t="str">
        <f>"OUTROS"</f>
        <v>OUTROS</v>
      </c>
    </row>
    <row r="8570" spans="1:2">
      <c r="A8570" s="1" t="str">
        <f>"8466.30.00"</f>
        <v>8466.30.00</v>
      </c>
      <c r="B8570" s="2" t="str">
        <f>"Dispositivos divisores e outros dis"</f>
        <v>Dispositivos divisores e outros dis</v>
      </c>
    </row>
    <row r="8571" spans="1:2">
      <c r="A8571" s="1" t="str">
        <f>"8466.91.00"</f>
        <v>8466.91.00</v>
      </c>
      <c r="B8571" s="2" t="str">
        <f>"PARA MÁQUINAS DE POSIÇÃO 84.64"</f>
        <v>PARA MÁQUINAS DE POSIÇÃO 84.64</v>
      </c>
    </row>
    <row r="8572" spans="1:2">
      <c r="A8572" s="1" t="str">
        <f>"8466.92.00"</f>
        <v>8466.92.00</v>
      </c>
      <c r="B8572" s="2" t="str">
        <f>"PARA MÁQUINAS DA POSIÇÃO 84.65"</f>
        <v>PARA MÁQUINAS DA POSIÇÃO 84.65</v>
      </c>
    </row>
    <row r="8573" spans="1:2">
      <c r="A8573" s="1" t="str">
        <f>"8466.93.11"</f>
        <v>8466.93.11</v>
      </c>
      <c r="B8573" s="2" t="str">
        <f>"Para maquinas da subposicao 8456.20"</f>
        <v>Para maquinas da subposicao 8456.20</v>
      </c>
    </row>
    <row r="8574" spans="1:2">
      <c r="A8574" s="1" t="str">
        <f>"8466.93.19"</f>
        <v>8466.93.19</v>
      </c>
      <c r="B8574" s="2" t="str">
        <f>"OUTRAS"</f>
        <v>OUTRAS</v>
      </c>
    </row>
    <row r="8575" spans="1:2">
      <c r="A8575" s="1" t="str">
        <f>"8466.93.20"</f>
        <v>8466.93.20</v>
      </c>
      <c r="B8575" s="2" t="str">
        <f>"Para máquinas da posição 84.57"</f>
        <v>Para máquinas da posição 84.57</v>
      </c>
    </row>
    <row r="8576" spans="1:2">
      <c r="A8576" s="1" t="str">
        <f>"8466.93.30"</f>
        <v>8466.93.30</v>
      </c>
      <c r="B8576" s="2" t="str">
        <f>"PARA MÁQUINAS DA POSIÇÃO 84.58"</f>
        <v>PARA MÁQUINAS DA POSIÇÃO 84.58</v>
      </c>
    </row>
    <row r="8577" spans="1:2">
      <c r="A8577" s="1" t="str">
        <f>"8466.93.40"</f>
        <v>8466.93.40</v>
      </c>
      <c r="B8577" s="2" t="str">
        <f>"PARA MÁQUINAS DA POSIÇÃO 84.59"</f>
        <v>PARA MÁQUINAS DA POSIÇÃO 84.59</v>
      </c>
    </row>
    <row r="8578" spans="1:2">
      <c r="A8578" s="1" t="str">
        <f>"8466.93.50"</f>
        <v>8466.93.50</v>
      </c>
      <c r="B8578" s="2" t="str">
        <f>"Para maquinas da posicao 84.60"</f>
        <v>Para maquinas da posicao 84.60</v>
      </c>
    </row>
    <row r="8579" spans="1:2">
      <c r="A8579" s="1" t="str">
        <f>"8466.93.60"</f>
        <v>8466.93.60</v>
      </c>
      <c r="B8579" s="2" t="str">
        <f>"Para maquinas da posicao 84.61"</f>
        <v>Para maquinas da posicao 84.61</v>
      </c>
    </row>
    <row r="8580" spans="1:2">
      <c r="A8580" s="1" t="str">
        <f>"8466.94.10"</f>
        <v>8466.94.10</v>
      </c>
      <c r="B8580" s="2" t="str">
        <f>"Para maquinas da subposicao 8462.10"</f>
        <v>Para maquinas da subposicao 8462.10</v>
      </c>
    </row>
    <row r="8581" spans="1:2">
      <c r="A8581" s="1" t="str">
        <f>"8466.94.20"</f>
        <v>8466.94.20</v>
      </c>
      <c r="B8581" s="2" t="str">
        <f>"Para maquinas das subposicoes 8462."</f>
        <v>Para maquinas das subposicoes 8462.</v>
      </c>
    </row>
    <row r="8582" spans="1:2">
      <c r="A8582" s="1" t="str">
        <f>"8466.94.30"</f>
        <v>8466.94.30</v>
      </c>
      <c r="B8582" s="2" t="str">
        <f>"Para prensas para extrusao"</f>
        <v>Para prensas para extrusao</v>
      </c>
    </row>
    <row r="8583" spans="1:2">
      <c r="A8583" s="1" t="str">
        <f>"8466.94.90"</f>
        <v>8466.94.90</v>
      </c>
      <c r="B8583" s="2" t="str">
        <f>"PROTECAO SANFONADA"</f>
        <v>PROTECAO SANFONADA</v>
      </c>
    </row>
    <row r="8584" spans="1:2">
      <c r="A8584" s="1" t="str">
        <f>"8467.11.10"</f>
        <v>8467.11.10</v>
      </c>
      <c r="B8584" s="2" t="str">
        <f>"FURADEIRAS"</f>
        <v>FURADEIRAS</v>
      </c>
    </row>
    <row r="8585" spans="1:2">
      <c r="A8585" s="1" t="str">
        <f>"8467.11.90"</f>
        <v>8467.11.90</v>
      </c>
      <c r="B8585" s="2" t="str">
        <f>"OUTRAS"</f>
        <v>OUTRAS</v>
      </c>
    </row>
    <row r="8586" spans="1:2">
      <c r="A8586" s="1" t="str">
        <f>"8467.19.00"</f>
        <v>8467.19.00</v>
      </c>
      <c r="B8586" s="2" t="str">
        <f>"OUTRAS"</f>
        <v>OUTRAS</v>
      </c>
    </row>
    <row r="8587" spans="1:2">
      <c r="A8587" s="1" t="str">
        <f>"8467.21.00"</f>
        <v>8467.21.00</v>
      </c>
      <c r="B8587" s="2" t="str">
        <f>"FURADEIRAS, PERFURADEIRAS ROTATIVAS"</f>
        <v>FURADEIRAS, PERFURADEIRAS ROTATIVAS</v>
      </c>
    </row>
    <row r="8588" spans="1:2">
      <c r="A8588" s="1" t="str">
        <f>"8467.22.00"</f>
        <v>8467.22.00</v>
      </c>
      <c r="B8588" s="2" t="str">
        <f>"SERRAS"</f>
        <v>SERRAS</v>
      </c>
    </row>
    <row r="8589" spans="1:2">
      <c r="A8589" s="1" t="str">
        <f>"8467.29.10"</f>
        <v>8467.29.10</v>
      </c>
      <c r="B8589" s="2" t="str">
        <f>"Tesouras"</f>
        <v>Tesouras</v>
      </c>
    </row>
    <row r="8590" spans="1:2">
      <c r="A8590" s="1" t="str">
        <f>"8467.29.91"</f>
        <v>8467.29.91</v>
      </c>
      <c r="B8590" s="2" t="str">
        <f>"Cortadoras de tecidos"</f>
        <v>Cortadoras de tecidos</v>
      </c>
    </row>
    <row r="8591" spans="1:2">
      <c r="A8591" s="1" t="str">
        <f>"8467.29.92"</f>
        <v>8467.29.92</v>
      </c>
      <c r="B8591" s="2" t="str">
        <f>"PARAFUSADEIRAS E ROSQUEADEIRAS"</f>
        <v>PARAFUSADEIRAS E ROSQUEADEIRAS</v>
      </c>
    </row>
    <row r="8592" spans="1:2">
      <c r="A8592" s="1" t="str">
        <f>"8467.29.93"</f>
        <v>8467.29.93</v>
      </c>
      <c r="B8592" s="2" t="str">
        <f>"MARTELETE PERFURADOR ROMPEDOR"</f>
        <v>MARTELETE PERFURADOR ROMPEDOR</v>
      </c>
    </row>
    <row r="8593" spans="1:2">
      <c r="A8593" s="1" t="str">
        <f>"8467.29.99"</f>
        <v>8467.29.99</v>
      </c>
      <c r="B8593" s="2" t="str">
        <f>"outras"</f>
        <v>outras</v>
      </c>
    </row>
    <row r="8594" spans="1:2">
      <c r="A8594" s="1" t="str">
        <f>"8467.81.00"</f>
        <v>8467.81.00</v>
      </c>
      <c r="B8594" s="2" t="str">
        <f>"Serras de corrente"</f>
        <v>Serras de corrente</v>
      </c>
    </row>
    <row r="8595" spans="1:2">
      <c r="A8595" s="1" t="str">
        <f>"8467.89.00"</f>
        <v>8467.89.00</v>
      </c>
      <c r="B8595" s="2" t="str">
        <f>"OUTROS"</f>
        <v>OUTROS</v>
      </c>
    </row>
    <row r="8596" spans="1:2">
      <c r="A8596" s="1" t="str">
        <f>"8467.91.00"</f>
        <v>8467.91.00</v>
      </c>
      <c r="B8596" s="2" t="str">
        <f>"De serras de corrente"</f>
        <v>De serras de corrente</v>
      </c>
    </row>
    <row r="8597" spans="1:2">
      <c r="A8597" s="1" t="str">
        <f>"8467.92.00"</f>
        <v>8467.92.00</v>
      </c>
      <c r="B8597" s="2" t="str">
        <f>"De ferramentas pneumaticas"</f>
        <v>De ferramentas pneumaticas</v>
      </c>
    </row>
    <row r="8598" spans="1:2">
      <c r="A8598" s="1" t="str">
        <f>"8467.99.00"</f>
        <v>8467.99.00</v>
      </c>
      <c r="B8598" s="2" t="str">
        <f>"OUTRAS"</f>
        <v>OUTRAS</v>
      </c>
    </row>
    <row r="8599" spans="1:2">
      <c r="A8599" s="1" t="str">
        <f>"8468.10.00"</f>
        <v>8468.10.00</v>
      </c>
      <c r="B8599" s="2" t="str">
        <f>"Maçaricos de uso manual"</f>
        <v>Maçaricos de uso manual</v>
      </c>
    </row>
    <row r="8600" spans="1:2">
      <c r="A8600" s="1" t="str">
        <f>"8468.20.00"</f>
        <v>8468.20.00</v>
      </c>
      <c r="B8600" s="2" t="str">
        <f>"Outras maquinas e aparelhos a gas"</f>
        <v>Outras maquinas e aparelhos a gas</v>
      </c>
    </row>
    <row r="8601" spans="1:2">
      <c r="A8601" s="1" t="str">
        <f>"8468.80.10"</f>
        <v>8468.80.10</v>
      </c>
      <c r="B8601" s="2" t="str">
        <f>"Para soldar por friccao"</f>
        <v>Para soldar por friccao</v>
      </c>
    </row>
    <row r="8602" spans="1:2">
      <c r="A8602" s="1" t="str">
        <f>"8468.80.90"</f>
        <v>8468.80.90</v>
      </c>
      <c r="B8602" s="2" t="str">
        <f>"Outras"</f>
        <v>Outras</v>
      </c>
    </row>
    <row r="8603" spans="1:2">
      <c r="A8603" s="1" t="str">
        <f>"8468.90.10"</f>
        <v>8468.90.10</v>
      </c>
      <c r="B8603" s="2" t="str">
        <f>"De maçaricos de uso manual"</f>
        <v>De maçaricos de uso manual</v>
      </c>
    </row>
    <row r="8604" spans="1:2">
      <c r="A8604" s="1" t="str">
        <f>"8468.90.20"</f>
        <v>8468.90.20</v>
      </c>
      <c r="B8604" s="2" t="str">
        <f>"De maquinas ou aparelhos para solda"</f>
        <v>De maquinas ou aparelhos para solda</v>
      </c>
    </row>
    <row r="8605" spans="1:2">
      <c r="A8605" s="1" t="str">
        <f>"8468.90.90"</f>
        <v>8468.90.90</v>
      </c>
      <c r="B8605" s="2" t="str">
        <f>"Outras"</f>
        <v>Outras</v>
      </c>
    </row>
    <row r="8606" spans="1:2">
      <c r="A8606" s="1" t="str">
        <f>"8470.10.00"</f>
        <v>8470.10.00</v>
      </c>
      <c r="B8606" s="2" t="str">
        <f>"CALCUL. ELETRON. E MAQ. BOLSO"</f>
        <v>CALCUL. ELETRON. E MAQ. BOLSO</v>
      </c>
    </row>
    <row r="8607" spans="1:2">
      <c r="A8607" s="1" t="str">
        <f>"8470.21.00"</f>
        <v>8470.21.00</v>
      </c>
      <c r="B8607" s="2" t="str">
        <f>"Com dispositivo impressor incorpora"</f>
        <v>Com dispositivo impressor incorpora</v>
      </c>
    </row>
    <row r="8608" spans="1:2">
      <c r="A8608" s="1" t="str">
        <f>"8470.29.00"</f>
        <v>8470.29.00</v>
      </c>
      <c r="B8608" s="2" t="str">
        <f>"outros"</f>
        <v>outros</v>
      </c>
    </row>
    <row r="8609" spans="1:2">
      <c r="A8609" s="1" t="str">
        <f>"8470.30.00"</f>
        <v>8470.30.00</v>
      </c>
      <c r="B8609" s="2" t="str">
        <f>"Outras maquinas de calcular"</f>
        <v>Outras maquinas de calcular</v>
      </c>
    </row>
    <row r="8610" spans="1:2">
      <c r="A8610" s="1" t="str">
        <f>"8470.50.11"</f>
        <v>8470.50.11</v>
      </c>
      <c r="B8610" s="2" t="str">
        <f>"Com capacidade de comunicacao bidir"</f>
        <v>Com capacidade de comunicacao bidir</v>
      </c>
    </row>
    <row r="8611" spans="1:2">
      <c r="A8611" s="1" t="str">
        <f>"8470.50.19"</f>
        <v>8470.50.19</v>
      </c>
      <c r="B8611" s="2" t="str">
        <f>"Outras"</f>
        <v>Outras</v>
      </c>
    </row>
    <row r="8612" spans="1:2">
      <c r="A8612" s="1" t="str">
        <f>"8470.50.90"</f>
        <v>8470.50.90</v>
      </c>
      <c r="B8612" s="2" t="str">
        <f>"Outras"</f>
        <v>Outras</v>
      </c>
    </row>
    <row r="8613" spans="1:2">
      <c r="A8613" s="1" t="str">
        <f>"8470.90.10"</f>
        <v>8470.90.10</v>
      </c>
      <c r="B8613" s="2" t="str">
        <f>"Maquinas de franquear correspondenc"</f>
        <v>Maquinas de franquear correspondenc</v>
      </c>
    </row>
    <row r="8614" spans="1:2">
      <c r="A8614" s="1" t="str">
        <f>"8470.90.90"</f>
        <v>8470.90.90</v>
      </c>
      <c r="B8614" s="2" t="str">
        <f>"Outras"</f>
        <v>Outras</v>
      </c>
    </row>
    <row r="8615" spans="1:2">
      <c r="A8615" s="1" t="str">
        <f>"8471.30.11"</f>
        <v>8471.30.11</v>
      </c>
      <c r="B8615" s="2" t="str">
        <f>"De peso inferior a 350 g, com tecla"</f>
        <v>De peso inferior a 350 g, com tecla</v>
      </c>
    </row>
    <row r="8616" spans="1:2">
      <c r="A8616" s="1" t="str">
        <f>"8471.30.12"</f>
        <v>8471.30.12</v>
      </c>
      <c r="B8616" s="2" t="str">
        <f>"MAQUINAS DE PROCESSAMENTO DE DADOS"</f>
        <v>MAQUINAS DE PROCESSAMENTO DE DADOS</v>
      </c>
    </row>
    <row r="8617" spans="1:2">
      <c r="A8617" s="1" t="str">
        <f>"8471.30.19"</f>
        <v>8471.30.19</v>
      </c>
      <c r="B8617" s="2" t="str">
        <f>"OUTROS -NOTEBOOK"</f>
        <v>OUTROS -NOTEBOOK</v>
      </c>
    </row>
    <row r="8618" spans="1:2">
      <c r="A8618" s="1" t="str">
        <f>"8471.30.90"</f>
        <v>8471.30.90</v>
      </c>
      <c r="B8618" s="2" t="str">
        <f>"OUTRAS -MAQ. AUT. PROCESSAMENTOS DA"</f>
        <v>OUTRAS -MAQ. AUT. PROCESSAMENTOS DA</v>
      </c>
    </row>
    <row r="8619" spans="1:2">
      <c r="A8619" s="1" t="str">
        <f>"8471.41.10"</f>
        <v>8471.41.10</v>
      </c>
      <c r="B8619" s="2" t="str">
        <f>"SEM TECLADO, C/ RECONHEC ESCRITA"</f>
        <v>SEM TECLADO, C/ RECONHEC ESCRITA</v>
      </c>
    </row>
    <row r="8620" spans="1:2">
      <c r="A8620" s="1" t="str">
        <f>"8471.41.90"</f>
        <v>8471.41.90</v>
      </c>
      <c r="B8620" s="2" t="str">
        <f>"Outras"</f>
        <v>Outras</v>
      </c>
    </row>
    <row r="8621" spans="1:2">
      <c r="A8621" s="1" t="str">
        <f>"8471.49.00"</f>
        <v>8471.49.00</v>
      </c>
      <c r="B8621" s="2" t="str">
        <f>"OUTRAS, APRESENt SOB FORMA SISTEMA"</f>
        <v>OUTRAS, APRESENt SOB FORMA SISTEMA</v>
      </c>
    </row>
    <row r="8622" spans="1:2">
      <c r="A8622" s="1" t="str">
        <f>"8471.50.10"</f>
        <v>8471.50.10</v>
      </c>
      <c r="B8622" s="2" t="str">
        <f>"PEQ CAPACID BASEADA  MICROPROCESSAD"</f>
        <v>PEQ CAPACID BASEADA  MICROPROCESSAD</v>
      </c>
    </row>
    <row r="8623" spans="1:2">
      <c r="A8623" s="1" t="str">
        <f>"8471.50.20"</f>
        <v>8471.50.20</v>
      </c>
      <c r="B8623" s="2" t="str">
        <f>"De media capacidade, podendo conter"</f>
        <v>De media capacidade, podendo conter</v>
      </c>
    </row>
    <row r="8624" spans="1:2">
      <c r="A8624" s="1" t="str">
        <f>"8471.50.30"</f>
        <v>8471.50.30</v>
      </c>
      <c r="B8624" s="2" t="str">
        <f>"De grande capacidade, podendo conte"</f>
        <v>De grande capacidade, podendo conte</v>
      </c>
    </row>
    <row r="8625" spans="1:2">
      <c r="A8625" s="1" t="str">
        <f>"8471.50.40"</f>
        <v>8471.50.40</v>
      </c>
      <c r="B8625" s="2" t="str">
        <f>"De muito grande capacidade, podendo"</f>
        <v>De muito grande capacidade, podendo</v>
      </c>
    </row>
    <row r="8626" spans="1:2">
      <c r="A8626" s="1" t="str">
        <f>"8471.50.90"</f>
        <v>8471.50.90</v>
      </c>
      <c r="B8626" s="2" t="str">
        <f>"Outras"</f>
        <v>Outras</v>
      </c>
    </row>
    <row r="8627" spans="1:2">
      <c r="A8627" s="1" t="str">
        <f>"8471.60.52"</f>
        <v>8471.60.52</v>
      </c>
      <c r="B8627" s="2" t="str">
        <f>"TECLADOS"</f>
        <v>TECLADOS</v>
      </c>
    </row>
    <row r="8628" spans="1:2">
      <c r="A8628" s="1" t="str">
        <f>"8471.60.53"</f>
        <v>8471.60.53</v>
      </c>
      <c r="B8628" s="2" t="str">
        <f>"INDICADORES OU APONTADORES"</f>
        <v>INDICADORES OU APONTADORES</v>
      </c>
    </row>
    <row r="8629" spans="1:2">
      <c r="A8629" s="1" t="str">
        <f>"8471.60.54"</f>
        <v>8471.60.54</v>
      </c>
      <c r="B8629" s="2" t="str">
        <f>"MESAS DIGITALIZADORAS"</f>
        <v>MESAS DIGITALIZADORAS</v>
      </c>
    </row>
    <row r="8630" spans="1:2">
      <c r="A8630" s="1" t="str">
        <f>"8471.60.59"</f>
        <v>8471.60.59</v>
      </c>
      <c r="B8630" s="2" t="str">
        <f>"OUTROS - PEN DRIVES"</f>
        <v>OUTROS - PEN DRIVES</v>
      </c>
    </row>
    <row r="8631" spans="1:2">
      <c r="A8631" s="1" t="str">
        <f>"8471.60.61"</f>
        <v>8471.60.61</v>
      </c>
      <c r="B8631" s="2" t="str">
        <f>"Com unidade de saida por video mono"</f>
        <v>Com unidade de saida por video mono</v>
      </c>
    </row>
    <row r="8632" spans="1:2">
      <c r="A8632" s="1" t="str">
        <f>"8471.60.62"</f>
        <v>8471.60.62</v>
      </c>
      <c r="B8632" s="2" t="str">
        <f>"Com unidade de saída por vídeo poli"</f>
        <v>Com unidade de saída por vídeo poli</v>
      </c>
    </row>
    <row r="8633" spans="1:2">
      <c r="A8633" s="1" t="str">
        <f>"8471.60.80"</f>
        <v>8471.60.80</v>
      </c>
      <c r="B8633" s="2" t="str">
        <f>"Terminais de auto-atendimento banca"</f>
        <v>Terminais de auto-atendimento banca</v>
      </c>
    </row>
    <row r="8634" spans="1:2">
      <c r="A8634" s="1" t="str">
        <f>"8471.60.90"</f>
        <v>8471.60.90</v>
      </c>
      <c r="B8634" s="2" t="str">
        <f>"Outras"</f>
        <v>Outras</v>
      </c>
    </row>
    <row r="8635" spans="1:2">
      <c r="A8635" s="1" t="str">
        <f>"8471.70.10"</f>
        <v>8471.70.10</v>
      </c>
      <c r="B8635" s="2" t="str">
        <f>"De discos magnéticos"</f>
        <v>De discos magnéticos</v>
      </c>
    </row>
    <row r="8636" spans="1:2">
      <c r="A8636" s="1" t="str">
        <f>"8471.70.11"</f>
        <v>8471.70.11</v>
      </c>
      <c r="B8636" s="2" t="str">
        <f>"Para discos flexiveis"</f>
        <v>Para discos flexiveis</v>
      </c>
    </row>
    <row r="8637" spans="1:2">
      <c r="A8637" s="1" t="str">
        <f>"8471.70.12"</f>
        <v>8471.70.12</v>
      </c>
      <c r="B8637" s="2" t="str">
        <f>"DISCO RIGIDO - HARDWARE"</f>
        <v>DISCO RIGIDO - HARDWARE</v>
      </c>
    </row>
    <row r="8638" spans="1:2">
      <c r="A8638" s="1" t="str">
        <f>"8471.70.19"</f>
        <v>8471.70.19</v>
      </c>
      <c r="B8638" s="2" t="str">
        <f>"SISTEMA DE ARMAZENAMENTO"</f>
        <v>SISTEMA DE ARMAZENAMENTO</v>
      </c>
    </row>
    <row r="8639" spans="1:2">
      <c r="A8639" s="1" t="str">
        <f>"8471.70.21"</f>
        <v>8471.70.21</v>
      </c>
      <c r="B8639" s="2" t="str">
        <f>"Exclusivamente para leitura"</f>
        <v>Exclusivamente para leitura</v>
      </c>
    </row>
    <row r="8640" spans="1:2">
      <c r="A8640" s="1" t="str">
        <f>"8471.70.29"</f>
        <v>8471.70.29</v>
      </c>
      <c r="B8640" s="2" t="str">
        <f>"OUTROS"</f>
        <v>OUTROS</v>
      </c>
    </row>
    <row r="8641" spans="1:2">
      <c r="A8641" s="1" t="str">
        <f>"8471.70.30"</f>
        <v>8471.70.30</v>
      </c>
      <c r="B8641" s="2" t="str">
        <f>"De fitas magnéticas"</f>
        <v>De fitas magnéticas</v>
      </c>
    </row>
    <row r="8642" spans="1:2">
      <c r="A8642" s="1" t="str">
        <f>"8471.70.32"</f>
        <v>8471.70.32</v>
      </c>
      <c r="B8642" s="2" t="str">
        <f>"Para cartuchos"</f>
        <v>Para cartuchos</v>
      </c>
    </row>
    <row r="8643" spans="1:2">
      <c r="A8643" s="1" t="str">
        <f>"8471.70.33"</f>
        <v>8471.70.33</v>
      </c>
      <c r="B8643" s="2" t="str">
        <f>"Para cassetes"</f>
        <v>Para cassetes</v>
      </c>
    </row>
    <row r="8644" spans="1:2">
      <c r="A8644" s="1" t="str">
        <f>"8471.70.39"</f>
        <v>8471.70.39</v>
      </c>
      <c r="B8644" s="2" t="str">
        <f>"Outras"</f>
        <v>Outras</v>
      </c>
    </row>
    <row r="8645" spans="1:2">
      <c r="A8645" s="1" t="str">
        <f>"8471.70.40"</f>
        <v>8471.70.40</v>
      </c>
      <c r="B8645" s="2" t="str">
        <f>"De estado sólido (SSD - Solid-State"</f>
        <v>De estado sólido (SSD - Solid-State</v>
      </c>
    </row>
    <row r="8646" spans="1:2">
      <c r="A8646" s="1" t="str">
        <f>"8471.70.90"</f>
        <v>8471.70.90</v>
      </c>
      <c r="B8646" s="2" t="str">
        <f>"Outras"</f>
        <v>Outras</v>
      </c>
    </row>
    <row r="8647" spans="1:2">
      <c r="A8647" s="1" t="str">
        <f>"8471.80.00"</f>
        <v>8471.80.00</v>
      </c>
      <c r="B8647" s="2" t="str">
        <f>"OUTROS"</f>
        <v>OUTROS</v>
      </c>
    </row>
    <row r="8648" spans="1:2">
      <c r="A8648" s="1" t="str">
        <f>"8471.90.11"</f>
        <v>8471.90.11</v>
      </c>
      <c r="B8648" s="2" t="str">
        <f>"De cartoes magneticos"</f>
        <v>De cartoes magneticos</v>
      </c>
    </row>
    <row r="8649" spans="1:2">
      <c r="A8649" s="1" t="str">
        <f>"8471.90.12"</f>
        <v>8471.90.12</v>
      </c>
      <c r="B8649" s="2" t="str">
        <f>"LEITORES DE CÓDIGOS DE BARRAS"</f>
        <v>LEITORES DE CÓDIGOS DE BARRAS</v>
      </c>
    </row>
    <row r="8650" spans="1:2">
      <c r="A8650" s="1" t="str">
        <f>"8471.90.13"</f>
        <v>8471.90.13</v>
      </c>
      <c r="B8650" s="2" t="str">
        <f>"Leitores de caracteres magnetizavei"</f>
        <v>Leitores de caracteres magnetizavei</v>
      </c>
    </row>
    <row r="8651" spans="1:2">
      <c r="A8651" s="1" t="str">
        <f>"8471.90.14"</f>
        <v>8471.90.14</v>
      </c>
      <c r="B8651" s="2" t="str">
        <f>"Digitalizadores de imagens (scanner"</f>
        <v>Digitalizadores de imagens (scanner</v>
      </c>
    </row>
    <row r="8652" spans="1:2">
      <c r="A8652" s="1" t="str">
        <f>"8471.90.19"</f>
        <v>8471.90.19</v>
      </c>
      <c r="B8652" s="2" t="str">
        <f>"Outros"</f>
        <v>Outros</v>
      </c>
    </row>
    <row r="8653" spans="1:2">
      <c r="A8653" s="1" t="str">
        <f>"8471.90.90"</f>
        <v>8471.90.90</v>
      </c>
      <c r="B8653" s="2" t="str">
        <f>"OUTROS"</f>
        <v>OUTROS</v>
      </c>
    </row>
    <row r="8654" spans="1:2">
      <c r="A8654" s="1" t="str">
        <f>"8472.10.00"</f>
        <v>8472.10.00</v>
      </c>
      <c r="B8654" s="2" t="str">
        <f>"Duplicadores"</f>
        <v>Duplicadores</v>
      </c>
    </row>
    <row r="8655" spans="1:2">
      <c r="A8655" s="1" t="str">
        <f>"8472.30.10"</f>
        <v>8472.30.10</v>
      </c>
      <c r="B8655" s="2" t="str">
        <f>"Maquinas automaticas para obliterar"</f>
        <v>Maquinas automaticas para obliterar</v>
      </c>
    </row>
    <row r="8656" spans="1:2">
      <c r="A8656" s="1" t="str">
        <f>"8472.30.20"</f>
        <v>8472.30.20</v>
      </c>
      <c r="B8656" s="2" t="str">
        <f>"Maquinas automaticas para selecao d"</f>
        <v>Maquinas automaticas para selecao d</v>
      </c>
    </row>
    <row r="8657" spans="1:2">
      <c r="A8657" s="1" t="str">
        <f>"8472.30.30"</f>
        <v>8472.30.30</v>
      </c>
      <c r="B8657" s="2" t="str">
        <f>"Maquinas automaticas para selecao e"</f>
        <v>Maquinas automaticas para selecao e</v>
      </c>
    </row>
    <row r="8658" spans="1:2">
      <c r="A8658" s="1" t="str">
        <f>"8472.30.90"</f>
        <v>8472.30.90</v>
      </c>
      <c r="B8658" s="2" t="str">
        <f>"Outras"</f>
        <v>Outras</v>
      </c>
    </row>
    <row r="8659" spans="1:2">
      <c r="A8659" s="1" t="str">
        <f>"8472.90.10"</f>
        <v>8472.90.10</v>
      </c>
      <c r="B8659" s="2" t="str">
        <f>"Distribuidores (dispensadores) auto"</f>
        <v>Distribuidores (dispensadores) auto</v>
      </c>
    </row>
    <row r="8660" spans="1:2">
      <c r="A8660" s="1" t="str">
        <f>"8472.90.21"</f>
        <v>8472.90.21</v>
      </c>
      <c r="B8660" s="2" t="str">
        <f>"Eletronicas, com capacidade de comu"</f>
        <v>Eletronicas, com capacidade de comu</v>
      </c>
    </row>
    <row r="8661" spans="1:2">
      <c r="A8661" s="1" t="str">
        <f>"8472.90.29"</f>
        <v>8472.90.29</v>
      </c>
      <c r="B8661" s="2" t="str">
        <f>"Outras"</f>
        <v>Outras</v>
      </c>
    </row>
    <row r="8662" spans="1:2">
      <c r="A8662" s="1" t="str">
        <f>"8472.90.30"</f>
        <v>8472.90.30</v>
      </c>
      <c r="B8662" s="2" t="str">
        <f>"Maquinas para selecionar e contar m"</f>
        <v>Maquinas para selecionar e contar m</v>
      </c>
    </row>
    <row r="8663" spans="1:2">
      <c r="A8663" s="1" t="str">
        <f>"8472.90.40"</f>
        <v>8472.90.40</v>
      </c>
      <c r="B8663" s="2" t="str">
        <f>"MÁQUINAS PARA APONTAR LÁPIS, PERFUR"</f>
        <v>MÁQUINAS PARA APONTAR LÁPIS, PERFUR</v>
      </c>
    </row>
    <row r="8664" spans="1:2">
      <c r="A8664" s="1" t="str">
        <f>"8472.90.51"</f>
        <v>8472.90.51</v>
      </c>
      <c r="B8664" s="2" t="str">
        <f>"Com capacidade de classificacao sup"</f>
        <v>Com capacidade de classificacao sup</v>
      </c>
    </row>
    <row r="8665" spans="1:2">
      <c r="A8665" s="1" t="str">
        <f>"8472.90.59"</f>
        <v>8472.90.59</v>
      </c>
      <c r="B8665" s="2" t="str">
        <f>"Outras"</f>
        <v>Outras</v>
      </c>
    </row>
    <row r="8666" spans="1:2">
      <c r="A8666" s="1" t="str">
        <f>"8472.90.91"</f>
        <v>8472.90.91</v>
      </c>
      <c r="B8666" s="2" t="str">
        <f>"Maquinas para imprimir enderecos ou"</f>
        <v>Maquinas para imprimir enderecos ou</v>
      </c>
    </row>
    <row r="8667" spans="1:2">
      <c r="A8667" s="1" t="str">
        <f>"8472.90.99"</f>
        <v>8472.90.99</v>
      </c>
      <c r="B8667" s="2" t="str">
        <f>"OUTROS"</f>
        <v>OUTROS</v>
      </c>
    </row>
    <row r="8668" spans="1:2">
      <c r="A8668" s="1" t="str">
        <f>"8473.21.00"</f>
        <v>8473.21.00</v>
      </c>
      <c r="B8668" s="2" t="str">
        <f>"Das calculadoras eletronicas das su"</f>
        <v>Das calculadoras eletronicas das su</v>
      </c>
    </row>
    <row r="8669" spans="1:2">
      <c r="A8669" s="1" t="str">
        <f>"8473.29.10"</f>
        <v>8473.29.10</v>
      </c>
      <c r="B8669" s="2" t="str">
        <f>"Circuitos impressos com componentes"</f>
        <v>Circuitos impressos com componentes</v>
      </c>
    </row>
    <row r="8670" spans="1:2">
      <c r="A8670" s="1" t="str">
        <f>"8473.29.20"</f>
        <v>8473.29.20</v>
      </c>
      <c r="B8670" s="2" t="str">
        <f>"De maquinas da subposicao 8470.30"</f>
        <v>De maquinas da subposicao 8470.30</v>
      </c>
    </row>
    <row r="8671" spans="1:2">
      <c r="A8671" s="1" t="str">
        <f>"8473.29.90"</f>
        <v>8473.29.90</v>
      </c>
      <c r="B8671" s="2" t="str">
        <f>"Outros"</f>
        <v>Outros</v>
      </c>
    </row>
    <row r="8672" spans="1:2">
      <c r="A8672" s="1" t="str">
        <f>"8473.30.11"</f>
        <v>8473.30.11</v>
      </c>
      <c r="B8672" s="2" t="str">
        <f>"Partes e acessórios c/ fonte de ali"</f>
        <v>Partes e acessórios c/ fonte de ali</v>
      </c>
    </row>
    <row r="8673" spans="1:2">
      <c r="A8673" s="1" t="str">
        <f>"8473.30.19"</f>
        <v>8473.30.19</v>
      </c>
      <c r="B8673" s="2" t="str">
        <f>"Outros"</f>
        <v>Outros</v>
      </c>
    </row>
    <row r="8674" spans="1:2">
      <c r="A8674" s="1" t="str">
        <f>"8473.30.31"</f>
        <v>8473.30.31</v>
      </c>
      <c r="B8674" s="2" t="str">
        <f>"CONJUNTOS CABEÇA-DISCO"</f>
        <v>CONJUNTOS CABEÇA-DISCO</v>
      </c>
    </row>
    <row r="8675" spans="1:2">
      <c r="A8675" s="1" t="str">
        <f>"8473.30.32"</f>
        <v>8473.30.32</v>
      </c>
      <c r="B8675" s="2" t="str">
        <f>"Bracos posicionadores de cabecas ma"</f>
        <v>Bracos posicionadores de cabecas ma</v>
      </c>
    </row>
    <row r="8676" spans="1:2">
      <c r="A8676" s="1" t="str">
        <f>"8473.30.33"</f>
        <v>8473.30.33</v>
      </c>
      <c r="B8676" s="2" t="str">
        <f>"Cabecas magneticas"</f>
        <v>Cabecas magneticas</v>
      </c>
    </row>
    <row r="8677" spans="1:2">
      <c r="A8677" s="1" t="str">
        <f>"8473.30.34"</f>
        <v>8473.30.34</v>
      </c>
      <c r="B8677" s="2" t="str">
        <f>"Mecanismos bobinadores para unidade"</f>
        <v>Mecanismos bobinadores para unidade</v>
      </c>
    </row>
    <row r="8678" spans="1:2">
      <c r="A8678" s="1" t="str">
        <f>"8473.30.39"</f>
        <v>8473.30.39</v>
      </c>
      <c r="B8678" s="2" t="str">
        <f>"Outras"</f>
        <v>Outras</v>
      </c>
    </row>
    <row r="8679" spans="1:2">
      <c r="A8679" s="1" t="str">
        <f>"8473.30.41"</f>
        <v>8473.30.41</v>
      </c>
      <c r="B8679" s="2" t="str">
        <f>"PLACAS-MÃE (MOTHER BOARDS)"</f>
        <v>PLACAS-MÃE (MOTHER BOARDS)</v>
      </c>
    </row>
    <row r="8680" spans="1:2">
      <c r="A8680" s="1" t="str">
        <f>"8473.30.42"</f>
        <v>8473.30.42</v>
      </c>
      <c r="B8680" s="2" t="str">
        <f>"PLACAS (MÓDULOS) DE MEMÓRIA A 50 CM"</f>
        <v>PLACAS (MÓDULOS) DE MEMÓRIA A 50 CM</v>
      </c>
    </row>
    <row r="8681" spans="1:2">
      <c r="A8681" s="1" t="str">
        <f>"8473.30.43"</f>
        <v>8473.30.43</v>
      </c>
      <c r="B8681" s="2" t="str">
        <f>"Placas de microprocessamento, mesmo"</f>
        <v>Placas de microprocessamento, mesmo</v>
      </c>
    </row>
    <row r="8682" spans="1:2">
      <c r="A8682" s="1" t="str">
        <f>"8473.30.49"</f>
        <v>8473.30.49</v>
      </c>
      <c r="B8682" s="2" t="str">
        <f>"OUTROS"</f>
        <v>OUTROS</v>
      </c>
    </row>
    <row r="8683" spans="1:2">
      <c r="A8683" s="1" t="str">
        <f>"8473.30.90"</f>
        <v>8473.30.90</v>
      </c>
      <c r="B8683" s="2" t="str">
        <f>"Outros"</f>
        <v>Outros</v>
      </c>
    </row>
    <row r="8684" spans="1:2">
      <c r="A8684" s="1" t="str">
        <f>"8473.30.92"</f>
        <v>8473.30.92</v>
      </c>
      <c r="B8684" s="2" t="str">
        <f>"Telas (displays) para maquinas auto"</f>
        <v>Telas (displays) para maquinas auto</v>
      </c>
    </row>
    <row r="8685" spans="1:2">
      <c r="A8685" s="1" t="str">
        <f>"8473.30.99"</f>
        <v>8473.30.99</v>
      </c>
      <c r="B8685" s="2" t="str">
        <f>"OUTROS"</f>
        <v>OUTROS</v>
      </c>
    </row>
    <row r="8686" spans="1:2">
      <c r="A8686" s="1" t="str">
        <f>"8473.40.10"</f>
        <v>8473.40.10</v>
      </c>
      <c r="B8686" s="2" t="str">
        <f>"Circuitos impressos com componentes"</f>
        <v>Circuitos impressos com componentes</v>
      </c>
    </row>
    <row r="8687" spans="1:2">
      <c r="A8687" s="1" t="str">
        <f>"8473.40.70"</f>
        <v>8473.40.70</v>
      </c>
      <c r="B8687" s="2" t="str">
        <f>"Outras partes e acessorios das maqu"</f>
        <v>Outras partes e acessorios das maqu</v>
      </c>
    </row>
    <row r="8688" spans="1:2">
      <c r="A8688" s="1" t="str">
        <f>"8473.40.90"</f>
        <v>8473.40.90</v>
      </c>
      <c r="B8688" s="2" t="str">
        <f>"OUTROS"</f>
        <v>OUTROS</v>
      </c>
    </row>
    <row r="8689" spans="1:2">
      <c r="A8689" s="1" t="str">
        <f>"8473.50.10"</f>
        <v>8473.50.10</v>
      </c>
      <c r="B8689" s="2" t="str">
        <f>"Circuitos impressos com componentes"</f>
        <v>Circuitos impressos com componentes</v>
      </c>
    </row>
    <row r="8690" spans="1:2">
      <c r="A8690" s="1" t="str">
        <f>"8473.50.40"</f>
        <v>8473.50.40</v>
      </c>
      <c r="B8690" s="2" t="str">
        <f>"Cabecas magneticas"</f>
        <v>Cabecas magneticas</v>
      </c>
    </row>
    <row r="8691" spans="1:2">
      <c r="A8691" s="1" t="str">
        <f>"8473.50.50"</f>
        <v>8473.50.50</v>
      </c>
      <c r="B8691" s="2" t="str">
        <f>"Placas (modulos) de memoria com uma"</f>
        <v>Placas (modulos) de memoria com uma</v>
      </c>
    </row>
    <row r="8692" spans="1:2">
      <c r="A8692" s="1" t="str">
        <f>"8473.50.90"</f>
        <v>8473.50.90</v>
      </c>
      <c r="B8692" s="2" t="str">
        <f>"Outros"</f>
        <v>Outros</v>
      </c>
    </row>
    <row r="8693" spans="1:2">
      <c r="A8693" s="1" t="str">
        <f>"8474.10.00"</f>
        <v>8474.10.00</v>
      </c>
      <c r="B8693" s="2" t="str">
        <f>"Maquinas e aparelhos para seleciona"</f>
        <v>Maquinas e aparelhos para seleciona</v>
      </c>
    </row>
    <row r="8694" spans="1:2">
      <c r="A8694" s="1" t="str">
        <f>"8474.20.10"</f>
        <v>8474.20.10</v>
      </c>
      <c r="B8694" s="2" t="str">
        <f>"De bolas"</f>
        <v>De bolas</v>
      </c>
    </row>
    <row r="8695" spans="1:2">
      <c r="A8695" s="1" t="str">
        <f>"8474.20.90"</f>
        <v>8474.20.90</v>
      </c>
      <c r="B8695" s="2" t="str">
        <f>"Outros"</f>
        <v>Outros</v>
      </c>
    </row>
    <row r="8696" spans="1:2">
      <c r="A8696" s="1" t="str">
        <f>"8474.31.00"</f>
        <v>8474.31.00</v>
      </c>
      <c r="B8696" s="2" t="str">
        <f>"Betoneiras e aparelhos para amassar"</f>
        <v>Betoneiras e aparelhos para amassar</v>
      </c>
    </row>
    <row r="8697" spans="1:2">
      <c r="A8697" s="1" t="str">
        <f>"8474.32.00"</f>
        <v>8474.32.00</v>
      </c>
      <c r="B8697" s="2" t="str">
        <f>"Maquinas para misturar materias min"</f>
        <v>Maquinas para misturar materias min</v>
      </c>
    </row>
    <row r="8698" spans="1:2">
      <c r="A8698" s="1" t="str">
        <f>"8474.39.00"</f>
        <v>8474.39.00</v>
      </c>
      <c r="B8698" s="2" t="str">
        <f>"OUTROS - MAQUINA  DISPERSOR"</f>
        <v>OUTROS - MAQUINA  DISPERSOR</v>
      </c>
    </row>
    <row r="8699" spans="1:2">
      <c r="A8699" s="1" t="str">
        <f>"8474.80.10"</f>
        <v>8474.80.10</v>
      </c>
      <c r="B8699" s="2" t="str">
        <f>"Para fabricacao de moldes de areia"</f>
        <v>Para fabricacao de moldes de areia</v>
      </c>
    </row>
    <row r="8700" spans="1:2">
      <c r="A8700" s="1" t="str">
        <f>"8474.80.90"</f>
        <v>8474.80.90</v>
      </c>
      <c r="B8700" s="2" t="str">
        <f>"Outras"</f>
        <v>Outras</v>
      </c>
    </row>
    <row r="8701" spans="1:2">
      <c r="A8701" s="1" t="str">
        <f>"8474.90.00"</f>
        <v>8474.90.00</v>
      </c>
      <c r="B8701" s="2" t="str">
        <f>"Partes"</f>
        <v>Partes</v>
      </c>
    </row>
    <row r="8702" spans="1:2">
      <c r="A8702" s="1" t="str">
        <f>"8475.10.00"</f>
        <v>8475.10.00</v>
      </c>
      <c r="B8702" s="2" t="str">
        <f>"Maquinas para montagem de lampadas,"</f>
        <v>Maquinas para montagem de lampadas,</v>
      </c>
    </row>
    <row r="8703" spans="1:2">
      <c r="A8703" s="1" t="str">
        <f>"8475.21.00"</f>
        <v>8475.21.00</v>
      </c>
      <c r="B8703" s="2" t="str">
        <f>"Maquinas para fabricacao de fibras"</f>
        <v>Maquinas para fabricacao de fibras</v>
      </c>
    </row>
    <row r="8704" spans="1:2">
      <c r="A8704" s="1" t="str">
        <f>"8475.29.10"</f>
        <v>8475.29.10</v>
      </c>
      <c r="B8704" s="2" t="str">
        <f>"Para fabricacao de recipientes da p"</f>
        <v>Para fabricacao de recipientes da p</v>
      </c>
    </row>
    <row r="8705" spans="1:2">
      <c r="A8705" s="1" t="str">
        <f>"8475.29.90"</f>
        <v>8475.29.90</v>
      </c>
      <c r="B8705" s="2" t="str">
        <f>"Outras"</f>
        <v>Outras</v>
      </c>
    </row>
    <row r="8706" spans="1:2">
      <c r="A8706" s="1" t="str">
        <f>"8475.90.00"</f>
        <v>8475.90.00</v>
      </c>
      <c r="B8706" s="2" t="str">
        <f>"PARTES"</f>
        <v>PARTES</v>
      </c>
    </row>
    <row r="8707" spans="1:2">
      <c r="A8707" s="1" t="str">
        <f>"8476.21.00"</f>
        <v>8476.21.00</v>
      </c>
      <c r="B8707" s="2" t="str">
        <f>"Com dispositivo de aquecimento ou d"</f>
        <v>Com dispositivo de aquecimento ou d</v>
      </c>
    </row>
    <row r="8708" spans="1:2">
      <c r="A8708" s="1" t="str">
        <f>"8476.29.00"</f>
        <v>8476.29.00</v>
      </c>
      <c r="B8708" s="2" t="str">
        <f>"Outras"</f>
        <v>Outras</v>
      </c>
    </row>
    <row r="8709" spans="1:2">
      <c r="A8709" s="1" t="str">
        <f>"8476.81.00"</f>
        <v>8476.81.00</v>
      </c>
      <c r="B8709" s="2" t="str">
        <f>"Com dispositivo de aquecimento ou d"</f>
        <v>Com dispositivo de aquecimento ou d</v>
      </c>
    </row>
    <row r="8710" spans="1:2">
      <c r="A8710" s="1" t="str">
        <f>"8476.89.10"</f>
        <v>8476.89.10</v>
      </c>
      <c r="B8710" s="2" t="str">
        <f>"Maquinas automaticas de venda de se"</f>
        <v>Maquinas automaticas de venda de se</v>
      </c>
    </row>
    <row r="8711" spans="1:2">
      <c r="A8711" s="1" t="str">
        <f>"8476.89.90"</f>
        <v>8476.89.90</v>
      </c>
      <c r="B8711" s="2" t="str">
        <f>"Outras"</f>
        <v>Outras</v>
      </c>
    </row>
    <row r="8712" spans="1:2">
      <c r="A8712" s="1" t="str">
        <f>"8476.90.00"</f>
        <v>8476.90.00</v>
      </c>
      <c r="B8712" s="2" t="str">
        <f>"Partes"</f>
        <v>Partes</v>
      </c>
    </row>
    <row r="8713" spans="1:2">
      <c r="A8713" s="1" t="str">
        <f>"8477.10.11"</f>
        <v>8477.10.11</v>
      </c>
      <c r="B8713" s="2" t="str">
        <f>"Monocolor, para materiais termoplas"</f>
        <v>Monocolor, para materiais termoplas</v>
      </c>
    </row>
    <row r="8714" spans="1:2">
      <c r="A8714" s="1" t="str">
        <f>"8477.10.19"</f>
        <v>8477.10.19</v>
      </c>
      <c r="B8714" s="2" t="str">
        <f>"Outras"</f>
        <v>Outras</v>
      </c>
    </row>
    <row r="8715" spans="1:2">
      <c r="A8715" s="1" t="str">
        <f>"8477.10.21"</f>
        <v>8477.10.21</v>
      </c>
      <c r="B8715" s="2" t="str">
        <f>"Monocolor, para materiais termoplas"</f>
        <v>Monocolor, para materiais termoplas</v>
      </c>
    </row>
    <row r="8716" spans="1:2">
      <c r="A8716" s="1" t="str">
        <f>"8477.10.29"</f>
        <v>8477.10.29</v>
      </c>
      <c r="B8716" s="2" t="str">
        <f>"Outras"</f>
        <v>Outras</v>
      </c>
    </row>
    <row r="8717" spans="1:2">
      <c r="A8717" s="1" t="str">
        <f>"8477.10.91"</f>
        <v>8477.10.91</v>
      </c>
      <c r="B8717" s="2" t="str">
        <f>"De comando numerico"</f>
        <v>De comando numerico</v>
      </c>
    </row>
    <row r="8718" spans="1:2">
      <c r="A8718" s="1" t="str">
        <f>"8477.10.99"</f>
        <v>8477.10.99</v>
      </c>
      <c r="B8718" s="2" t="str">
        <f>"Outras"</f>
        <v>Outras</v>
      </c>
    </row>
    <row r="8719" spans="1:2">
      <c r="A8719" s="1" t="str">
        <f>"8477.20.10"</f>
        <v>8477.20.10</v>
      </c>
      <c r="B8719" s="2" t="str">
        <f>"Para materiais termoplasticos, de d"</f>
        <v>Para materiais termoplasticos, de d</v>
      </c>
    </row>
    <row r="8720" spans="1:2">
      <c r="A8720" s="1" t="str">
        <f>"8477.20.90"</f>
        <v>8477.20.90</v>
      </c>
      <c r="B8720" s="2" t="str">
        <f>"Outras"</f>
        <v>Outras</v>
      </c>
    </row>
    <row r="8721" spans="1:2">
      <c r="A8721" s="1" t="str">
        <f>"8477.30.10"</f>
        <v>8477.30.10</v>
      </c>
      <c r="B8721" s="2" t="str">
        <f>"Para fabricacao de recipientes term"</f>
        <v>Para fabricacao de recipientes term</v>
      </c>
    </row>
    <row r="8722" spans="1:2">
      <c r="A8722" s="1" t="str">
        <f>"8477.30.90"</f>
        <v>8477.30.90</v>
      </c>
      <c r="B8722" s="2" t="str">
        <f>"Outras"</f>
        <v>Outras</v>
      </c>
    </row>
    <row r="8723" spans="1:2">
      <c r="A8723" s="1" t="str">
        <f>"8477.40.10"</f>
        <v>8477.40.10</v>
      </c>
      <c r="B8723" s="2" t="str">
        <f>"De moldar a vacuo poliestireno expa"</f>
        <v>De moldar a vacuo poliestireno expa</v>
      </c>
    </row>
    <row r="8724" spans="1:2">
      <c r="A8724" s="1" t="str">
        <f>"8477.40.90"</f>
        <v>8477.40.90</v>
      </c>
      <c r="B8724" s="2" t="str">
        <f>"Outras"</f>
        <v>Outras</v>
      </c>
    </row>
    <row r="8725" spans="1:2">
      <c r="A8725" s="1" t="str">
        <f>"8477.51.00"</f>
        <v>8477.51.00</v>
      </c>
      <c r="B8725" s="2" t="str">
        <f>"Para moldar ou recauchutar pneumati"</f>
        <v>Para moldar ou recauchutar pneumati</v>
      </c>
    </row>
    <row r="8726" spans="1:2">
      <c r="A8726" s="1" t="str">
        <f>"8477.59.11"</f>
        <v>8477.59.11</v>
      </c>
      <c r="B8726" s="2" t="str">
        <f>"Com capacidade inferior ou igual a"</f>
        <v>Com capacidade inferior ou igual a</v>
      </c>
    </row>
    <row r="8727" spans="1:2">
      <c r="A8727" s="1" t="str">
        <f>"8477.59.19"</f>
        <v>8477.59.19</v>
      </c>
      <c r="B8727" s="2" t="str">
        <f>"Outras"</f>
        <v>Outras</v>
      </c>
    </row>
    <row r="8728" spans="1:2">
      <c r="A8728" s="1" t="str">
        <f>"8477.59.90"</f>
        <v>8477.59.90</v>
      </c>
      <c r="B8728" s="2" t="str">
        <f>"Outras"</f>
        <v>Outras</v>
      </c>
    </row>
    <row r="8729" spans="1:2">
      <c r="A8729" s="1" t="str">
        <f>"8477.80.10"</f>
        <v>8477.80.10</v>
      </c>
      <c r="B8729" s="2" t="str">
        <f>"Maquina de unir laminas de borracha"</f>
        <v>Maquina de unir laminas de borracha</v>
      </c>
    </row>
    <row r="8730" spans="1:2">
      <c r="A8730" s="1" t="str">
        <f>"8477.80.90"</f>
        <v>8477.80.90</v>
      </c>
      <c r="B8730" s="2" t="str">
        <f>"Outras"</f>
        <v>Outras</v>
      </c>
    </row>
    <row r="8731" spans="1:2">
      <c r="A8731" s="1" t="str">
        <f>"8477.90.00"</f>
        <v>8477.90.00</v>
      </c>
      <c r="B8731" s="2" t="str">
        <f>"Partes"</f>
        <v>Partes</v>
      </c>
    </row>
    <row r="8732" spans="1:2">
      <c r="A8732" s="1" t="str">
        <f>"8478.10.10"</f>
        <v>8478.10.10</v>
      </c>
      <c r="B8732" s="2" t="str">
        <f>"Batedoras-separadoras automaticas d"</f>
        <v>Batedoras-separadoras automaticas d</v>
      </c>
    </row>
    <row r="8733" spans="1:2">
      <c r="A8733" s="1" t="str">
        <f>"8478.10.90"</f>
        <v>8478.10.90</v>
      </c>
      <c r="B8733" s="2" t="str">
        <f>"Outros"</f>
        <v>Outros</v>
      </c>
    </row>
    <row r="8734" spans="1:2">
      <c r="A8734" s="1" t="str">
        <f>"8478.90.00"</f>
        <v>8478.90.00</v>
      </c>
      <c r="B8734" s="2" t="str">
        <f>"Partes"</f>
        <v>Partes</v>
      </c>
    </row>
    <row r="8735" spans="1:2">
      <c r="A8735" s="1" t="str">
        <f>"8479.10.10"</f>
        <v>8479.10.10</v>
      </c>
      <c r="B8735" s="2" t="str">
        <f>"Automotrizes para espalhar e calcar"</f>
        <v>Automotrizes para espalhar e calcar</v>
      </c>
    </row>
    <row r="8736" spans="1:2">
      <c r="A8736" s="1" t="str">
        <f>"8479.10.90"</f>
        <v>8479.10.90</v>
      </c>
      <c r="B8736" s="2" t="str">
        <f>"Outros"</f>
        <v>Outros</v>
      </c>
    </row>
    <row r="8737" spans="1:2">
      <c r="A8737" s="1" t="str">
        <f>"8479.20.00"</f>
        <v>8479.20.00</v>
      </c>
      <c r="B8737" s="2" t="str">
        <f>"Maquinas e aparelhos para extracao"</f>
        <v>Maquinas e aparelhos para extracao</v>
      </c>
    </row>
    <row r="8738" spans="1:2">
      <c r="A8738" s="1" t="str">
        <f>"8479.30.00"</f>
        <v>8479.30.00</v>
      </c>
      <c r="B8738" s="2" t="str">
        <f>"Prensas para fabricacao de paineis"</f>
        <v>Prensas para fabricacao de paineis</v>
      </c>
    </row>
    <row r="8739" spans="1:2">
      <c r="A8739" s="1" t="str">
        <f>"8479.40.00"</f>
        <v>8479.40.00</v>
      </c>
      <c r="B8739" s="2" t="str">
        <f>"Maquinas para fabricacao de cordas"</f>
        <v>Maquinas para fabricacao de cordas</v>
      </c>
    </row>
    <row r="8740" spans="1:2">
      <c r="A8740" s="1" t="str">
        <f>"8479.50.00"</f>
        <v>8479.50.00</v>
      </c>
      <c r="B8740" s="2" t="str">
        <f>"Robos industriais, nao especificado"</f>
        <v>Robos industriais, nao especificado</v>
      </c>
    </row>
    <row r="8741" spans="1:2">
      <c r="A8741" s="1" t="str">
        <f>"8479.60.00"</f>
        <v>8479.60.00</v>
      </c>
      <c r="B8741" s="2" t="str">
        <f>"APARELHOS DE EVAPORAÇÃO PARA ARREFE"</f>
        <v>APARELHOS DE EVAPORAÇÃO PARA ARREFE</v>
      </c>
    </row>
    <row r="8742" spans="1:2">
      <c r="A8742" s="1" t="str">
        <f>"8479.71.00"</f>
        <v>8479.71.00</v>
      </c>
      <c r="B8742" s="2" t="str">
        <f>"Do tipo utilizado em aeroportos"</f>
        <v>Do tipo utilizado em aeroportos</v>
      </c>
    </row>
    <row r="8743" spans="1:2">
      <c r="A8743" s="1" t="str">
        <f>"8479.79.00"</f>
        <v>8479.79.00</v>
      </c>
      <c r="B8743" s="2" t="str">
        <f>"Outras"</f>
        <v>Outras</v>
      </c>
    </row>
    <row r="8744" spans="1:2">
      <c r="A8744" s="1" t="str">
        <f>"8479.81.10"</f>
        <v>8479.81.10</v>
      </c>
      <c r="B8744" s="2" t="str">
        <f>"Diferenciadores das tensoes de trac"</f>
        <v>Diferenciadores das tensoes de trac</v>
      </c>
    </row>
    <row r="8745" spans="1:2">
      <c r="A8745" s="1" t="str">
        <f>"8479.81.90"</f>
        <v>8479.81.90</v>
      </c>
      <c r="B8745" s="2" t="str">
        <f>"Outros"</f>
        <v>Outros</v>
      </c>
    </row>
    <row r="8746" spans="1:2">
      <c r="A8746" s="1" t="str">
        <f>"8479.82.10"</f>
        <v>8479.82.10</v>
      </c>
      <c r="B8746" s="2" t="str">
        <f>"Misturadores"</f>
        <v>Misturadores</v>
      </c>
    </row>
    <row r="8747" spans="1:2">
      <c r="A8747" s="1" t="str">
        <f>"8479.82.90"</f>
        <v>8479.82.90</v>
      </c>
      <c r="B8747" s="2" t="str">
        <f>"OUTROS - MOINHO AGITADOR"</f>
        <v>OUTROS - MOINHO AGITADOR</v>
      </c>
    </row>
    <row r="8748" spans="1:2">
      <c r="A8748" s="1" t="str">
        <f>"8479.89.11"</f>
        <v>8479.89.11</v>
      </c>
      <c r="B8748" s="2" t="str">
        <f>"PRENSAS"</f>
        <v>PRENSAS</v>
      </c>
    </row>
    <row r="8749" spans="1:2">
      <c r="A8749" s="1" t="str">
        <f>"8479.89.12"</f>
        <v>8479.89.12</v>
      </c>
      <c r="B8749" s="2" t="str">
        <f>"DISTRIBUID/ DOSEADORES SÓLID/LIQUID"</f>
        <v>DISTRIBUID/ DOSEADORES SÓLID/LIQUID</v>
      </c>
    </row>
    <row r="8750" spans="1:2">
      <c r="A8750" s="1" t="str">
        <f>"8479.89.21"</f>
        <v>8479.89.21</v>
      </c>
      <c r="B8750" s="2" t="str">
        <f>"Maquinas e aparelhos para cestaria"</f>
        <v>Maquinas e aparelhos para cestaria</v>
      </c>
    </row>
    <row r="8751" spans="1:2">
      <c r="A8751" s="1" t="str">
        <f>"8479.89.22"</f>
        <v>8479.89.22</v>
      </c>
      <c r="B8751" s="2" t="str">
        <f>"Maquinas e aparelhos para fabricaca"</f>
        <v>Maquinas e aparelhos para fabricaca</v>
      </c>
    </row>
    <row r="8752" spans="1:2">
      <c r="A8752" s="1" t="str">
        <f>"8479.89.31"</f>
        <v>8479.89.31</v>
      </c>
      <c r="B8752" s="2" t="str">
        <f>"Limpadores de para-brisas"</f>
        <v>Limpadores de para-brisas</v>
      </c>
    </row>
    <row r="8753" spans="1:2">
      <c r="A8753" s="1" t="str">
        <f>"8479.89.32"</f>
        <v>8479.89.32</v>
      </c>
      <c r="B8753" s="2" t="str">
        <f>"ACUMULADORES"</f>
        <v>ACUMULADORES</v>
      </c>
    </row>
    <row r="8754" spans="1:2">
      <c r="A8754" s="1" t="str">
        <f>"8479.89.40"</f>
        <v>8479.89.40</v>
      </c>
      <c r="B8754" s="2" t="str">
        <f>"Silos metalicos para cereais, fixos"</f>
        <v>Silos metalicos para cereais, fixos</v>
      </c>
    </row>
    <row r="8755" spans="1:2">
      <c r="A8755" s="1" t="str">
        <f>"8479.89.91"</f>
        <v>8479.89.91</v>
      </c>
      <c r="B8755" s="2" t="str">
        <f>"aparelhos para limpar peças por ult"</f>
        <v>aparelhos para limpar peças por ult</v>
      </c>
    </row>
    <row r="8756" spans="1:2">
      <c r="A8756" s="1" t="str">
        <f>"8479.89.92"</f>
        <v>8479.89.92</v>
      </c>
      <c r="B8756" s="2" t="str">
        <f>"Maquinas de leme para embarcacoes"</f>
        <v>Maquinas de leme para embarcacoes</v>
      </c>
    </row>
    <row r="8757" spans="1:2">
      <c r="A8757" s="1" t="str">
        <f>"8479.89.99"</f>
        <v>8479.89.99</v>
      </c>
      <c r="B8757" s="2" t="str">
        <f>"OUTROS"</f>
        <v>OUTROS</v>
      </c>
    </row>
    <row r="8758" spans="1:2">
      <c r="A8758" s="1" t="str">
        <f>"8479.90.10"</f>
        <v>8479.90.10</v>
      </c>
      <c r="B8758" s="2" t="str">
        <f>"De limpadores de para-brisas eletri"</f>
        <v>De limpadores de para-brisas eletri</v>
      </c>
    </row>
    <row r="8759" spans="1:2">
      <c r="A8759" s="1" t="str">
        <f>"8479.90.90"</f>
        <v>8479.90.90</v>
      </c>
      <c r="B8759" s="2" t="str">
        <f>"PINO AGITADOR"</f>
        <v>PINO AGITADOR</v>
      </c>
    </row>
    <row r="8760" spans="1:2">
      <c r="A8760" s="1" t="str">
        <f>"8480.03.00"</f>
        <v>8480.03.00</v>
      </c>
      <c r="B8760" s="2" t="str">
        <f>"INATIVO"</f>
        <v>INATIVO</v>
      </c>
    </row>
    <row r="8761" spans="1:2">
      <c r="A8761" s="1" t="str">
        <f>"8480.10.00"</f>
        <v>8480.10.00</v>
      </c>
      <c r="B8761" s="2" t="str">
        <f>"Caixas de fundicao"</f>
        <v>Caixas de fundicao</v>
      </c>
    </row>
    <row r="8762" spans="1:2">
      <c r="A8762" s="1" t="str">
        <f>"8480.20.00"</f>
        <v>8480.20.00</v>
      </c>
      <c r="B8762" s="2" t="str">
        <f>"Placas de fundo para moldes"</f>
        <v>Placas de fundo para moldes</v>
      </c>
    </row>
    <row r="8763" spans="1:2">
      <c r="A8763" s="1" t="str">
        <f>"8480.30.00"</f>
        <v>8480.30.00</v>
      </c>
      <c r="B8763" s="2" t="str">
        <f>"MADEIRA MDF"</f>
        <v>MADEIRA MDF</v>
      </c>
    </row>
    <row r="8764" spans="1:2">
      <c r="A8764" s="1" t="str">
        <f>"8480.41.00"</f>
        <v>8480.41.00</v>
      </c>
      <c r="B8764" s="2" t="str">
        <f>"Para moldagem por injecao ou por co"</f>
        <v>Para moldagem por injecao ou por co</v>
      </c>
    </row>
    <row r="8765" spans="1:2">
      <c r="A8765" s="1" t="str">
        <f>"8480.49.10"</f>
        <v>8480.49.10</v>
      </c>
      <c r="B8765" s="2" t="str">
        <f>"Coquilhas"</f>
        <v>Coquilhas</v>
      </c>
    </row>
    <row r="8766" spans="1:2">
      <c r="A8766" s="1" t="str">
        <f>"8480.49.90"</f>
        <v>8480.49.90</v>
      </c>
      <c r="B8766" s="2" t="str">
        <f>"Outros"</f>
        <v>Outros</v>
      </c>
    </row>
    <row r="8767" spans="1:2">
      <c r="A8767" s="1" t="str">
        <f>"8480.50.00"</f>
        <v>8480.50.00</v>
      </c>
      <c r="B8767" s="2" t="str">
        <f>"Moldes para vidro"</f>
        <v>Moldes para vidro</v>
      </c>
    </row>
    <row r="8768" spans="1:2">
      <c r="A8768" s="1" t="str">
        <f>"8480.60.00"</f>
        <v>8480.60.00</v>
      </c>
      <c r="B8768" s="2" t="str">
        <f>"Moldes para materias minerais"</f>
        <v>Moldes para materias minerais</v>
      </c>
    </row>
    <row r="8769" spans="1:2">
      <c r="A8769" s="1" t="str">
        <f>"8480.71.00"</f>
        <v>8480.71.00</v>
      </c>
      <c r="B8769" s="2" t="str">
        <f>"MOLDAGEM POR INJEÇÃO OU POR COMPRES"</f>
        <v>MOLDAGEM POR INJEÇÃO OU POR COMPRES</v>
      </c>
    </row>
    <row r="8770" spans="1:2">
      <c r="A8770" s="1" t="str">
        <f>"8480.79.00"</f>
        <v>8480.79.00</v>
      </c>
      <c r="B8770" s="2" t="str">
        <f>"Outros"</f>
        <v>Outros</v>
      </c>
    </row>
    <row r="8771" spans="1:2">
      <c r="A8771" s="1" t="str">
        <f>"8481.10.00"</f>
        <v>8481.10.00</v>
      </c>
      <c r="B8771" s="2" t="str">
        <f>"VALVULA DE CONTROLE DE PRESSAO"</f>
        <v>VALVULA DE CONTROLE DE PRESSAO</v>
      </c>
    </row>
    <row r="8772" spans="1:2">
      <c r="A8772" s="1" t="str">
        <f>"8481.20.11"</f>
        <v>8481.20.11</v>
      </c>
      <c r="B8772" s="2" t="str">
        <f>"Com pinhao"</f>
        <v>Com pinhao</v>
      </c>
    </row>
    <row r="8773" spans="1:2">
      <c r="A8773" s="1" t="str">
        <f>"8481.20.19"</f>
        <v>8481.20.19</v>
      </c>
      <c r="B8773" s="2" t="str">
        <f>"Válvulas para transmissões"</f>
        <v>Válvulas para transmissões</v>
      </c>
    </row>
    <row r="8774" spans="1:2">
      <c r="A8774" s="1" t="str">
        <f>"8481.20.90"</f>
        <v>8481.20.90</v>
      </c>
      <c r="B8774" s="2" t="str">
        <f>"PARTES E PECAS MAQUINA IMPRESSORA"</f>
        <v>PARTES E PECAS MAQUINA IMPRESSORA</v>
      </c>
    </row>
    <row r="8775" spans="1:2">
      <c r="A8775" s="1" t="str">
        <f>"8481.30.00"</f>
        <v>8481.30.00</v>
      </c>
      <c r="B8775" s="2" t="str">
        <f>"VALVULA"</f>
        <v>VALVULA</v>
      </c>
    </row>
    <row r="8776" spans="1:2">
      <c r="A8776" s="1" t="str">
        <f>"8481.40.00"</f>
        <v>8481.40.00</v>
      </c>
      <c r="B8776" s="2" t="str">
        <f>"Válvulas de segurança ou de alívio"</f>
        <v>Válvulas de segurança ou de alívio</v>
      </c>
    </row>
    <row r="8777" spans="1:2">
      <c r="A8777" s="1" t="str">
        <f>"8481.80.11"</f>
        <v>8481.80.11</v>
      </c>
      <c r="B8777" s="2" t="str">
        <f>"VÁLVULAS PARA ESCOAMENTO"</f>
        <v>VÁLVULAS PARA ESCOAMENTO</v>
      </c>
    </row>
    <row r="8778" spans="1:2">
      <c r="A8778" s="1" t="str">
        <f>"8481.80.19"</f>
        <v>8481.80.19</v>
      </c>
      <c r="B8778" s="2" t="str">
        <f>"outros"</f>
        <v>outros</v>
      </c>
    </row>
    <row r="8779" spans="1:2">
      <c r="A8779" s="1" t="str">
        <f>"8481.80.21"</f>
        <v>8481.80.21</v>
      </c>
      <c r="B8779" s="2" t="str">
        <f>"VÁLVULAS DE EXPANSÃO TERMOSTÁTICAS"</f>
        <v>VÁLVULAS DE EXPANSÃO TERMOSTÁTICAS</v>
      </c>
    </row>
    <row r="8780" spans="1:2">
      <c r="A8780" s="1" t="str">
        <f>"8481.80.29"</f>
        <v>8481.80.29</v>
      </c>
      <c r="B8780" s="2" t="str">
        <f>"Outros"</f>
        <v>Outros</v>
      </c>
    </row>
    <row r="8781" spans="1:2">
      <c r="A8781" s="1" t="str">
        <f>"8481.80.31"</f>
        <v>8481.80.31</v>
      </c>
      <c r="B8781" s="2" t="str">
        <f>"Com uma pressao de trabalho inferio"</f>
        <v>Com uma pressao de trabalho inferio</v>
      </c>
    </row>
    <row r="8782" spans="1:2">
      <c r="A8782" s="1" t="str">
        <f>"8481.80.39"</f>
        <v>8481.80.39</v>
      </c>
      <c r="B8782" s="2" t="str">
        <f>"OUTROS"</f>
        <v>OUTROS</v>
      </c>
    </row>
    <row r="8783" spans="1:2">
      <c r="A8783" s="1" t="str">
        <f>"8481.80.91"</f>
        <v>8481.80.91</v>
      </c>
      <c r="B8783" s="2" t="str">
        <f>"Valvulas tipo aerossol"</f>
        <v>Valvulas tipo aerossol</v>
      </c>
    </row>
    <row r="8784" spans="1:2">
      <c r="A8784" s="1" t="str">
        <f>"8481.80.92"</f>
        <v>8481.80.92</v>
      </c>
      <c r="B8784" s="2" t="str">
        <f>"VÁLVULAS SOLENÓIDES"</f>
        <v>VÁLVULAS SOLENÓIDES</v>
      </c>
    </row>
    <row r="8785" spans="1:2">
      <c r="A8785" s="1" t="str">
        <f>"8481.80.93"</f>
        <v>8481.80.93</v>
      </c>
      <c r="B8785" s="2" t="str">
        <f>"VÁLVULAS TIPO GAVETA"</f>
        <v>VÁLVULAS TIPO GAVETA</v>
      </c>
    </row>
    <row r="8786" spans="1:2">
      <c r="A8786" s="1" t="str">
        <f>"8481.80.94"</f>
        <v>8481.80.94</v>
      </c>
      <c r="B8786" s="2" t="str">
        <f>"VÁLVULAS TIPO GLOBO"</f>
        <v>VÁLVULAS TIPO GLOBO</v>
      </c>
    </row>
    <row r="8787" spans="1:2">
      <c r="A8787" s="1" t="str">
        <f>"8481.80.95"</f>
        <v>8481.80.95</v>
      </c>
      <c r="B8787" s="2" t="str">
        <f>"VÁLVULAS TIPO ESFERA"</f>
        <v>VÁLVULAS TIPO ESFERA</v>
      </c>
    </row>
    <row r="8788" spans="1:2">
      <c r="A8788" s="1" t="str">
        <f>"8481.80.96"</f>
        <v>8481.80.96</v>
      </c>
      <c r="B8788" s="2" t="str">
        <f>"Valvulas tipo macho"</f>
        <v>Valvulas tipo macho</v>
      </c>
    </row>
    <row r="8789" spans="1:2">
      <c r="A8789" s="1" t="str">
        <f>"8481.80.97"</f>
        <v>8481.80.97</v>
      </c>
      <c r="B8789" s="2" t="str">
        <f>"VALVULA BORBOLETA"</f>
        <v>VALVULA BORBOLETA</v>
      </c>
    </row>
    <row r="8790" spans="1:2">
      <c r="A8790" s="1" t="str">
        <f>"8481.80.99"</f>
        <v>8481.80.99</v>
      </c>
      <c r="B8790" s="2" t="str">
        <f>"OUTROS"</f>
        <v>OUTROS</v>
      </c>
    </row>
    <row r="8791" spans="1:2">
      <c r="A8791" s="1" t="str">
        <f>"8481.90.10"</f>
        <v>8481.90.10</v>
      </c>
      <c r="B8791" s="2" t="str">
        <f>"OUTROS"</f>
        <v>OUTROS</v>
      </c>
    </row>
    <row r="8792" spans="1:2">
      <c r="A8792" s="1" t="str">
        <f>"8481.90.90"</f>
        <v>8481.90.90</v>
      </c>
      <c r="B8792" s="2" t="str">
        <f>"OUTRAS"</f>
        <v>OUTRAS</v>
      </c>
    </row>
    <row r="8793" spans="1:2">
      <c r="A8793" s="1" t="str">
        <f>"8482.10.10"</f>
        <v>8482.10.10</v>
      </c>
      <c r="B8793" s="2" t="str">
        <f>"DE CARGA RADIAL- ROLAMENTO DE ESFER"</f>
        <v>DE CARGA RADIAL- ROLAMENTO DE ESFER</v>
      </c>
    </row>
    <row r="8794" spans="1:2">
      <c r="A8794" s="1" t="str">
        <f>"8482.10.90"</f>
        <v>8482.10.90</v>
      </c>
      <c r="B8794" s="2" t="str">
        <f>"OUTROS - ROLAMENTO DE ESFERAS"</f>
        <v>OUTROS - ROLAMENTO DE ESFERAS</v>
      </c>
    </row>
    <row r="8795" spans="1:2">
      <c r="A8795" s="1" t="str">
        <f>"8482.20.10"</f>
        <v>8482.20.10</v>
      </c>
      <c r="B8795" s="2" t="str">
        <f>"DE CARGA RADIAL"</f>
        <v>DE CARGA RADIAL</v>
      </c>
    </row>
    <row r="8796" spans="1:2">
      <c r="A8796" s="1" t="str">
        <f>"8482.20.90"</f>
        <v>8482.20.90</v>
      </c>
      <c r="B8796" s="2" t="str">
        <f>"OUTROS"</f>
        <v>OUTROS</v>
      </c>
    </row>
    <row r="8797" spans="1:2">
      <c r="A8797" s="1" t="str">
        <f>"8482.30.00"</f>
        <v>8482.30.00</v>
      </c>
      <c r="B8797" s="2" t="str">
        <f>"ROLAMENTOS DE ROLETES FORMA TONEL"</f>
        <v>ROLAMENTOS DE ROLETES FORMA TONEL</v>
      </c>
    </row>
    <row r="8798" spans="1:2">
      <c r="A8798" s="1" t="str">
        <f>"8482.40.00"</f>
        <v>8482.40.00</v>
      </c>
      <c r="B8798" s="2" t="str">
        <f>"ROLAMENTOS DE AGULHAS"</f>
        <v>ROLAMENTOS DE AGULHAS</v>
      </c>
    </row>
    <row r="8799" spans="1:2">
      <c r="A8799" s="1" t="str">
        <f>"8482.50.10"</f>
        <v>8482.50.10</v>
      </c>
      <c r="B8799" s="2" t="str">
        <f>"DE CARGA RADIAL"</f>
        <v>DE CARGA RADIAL</v>
      </c>
    </row>
    <row r="8800" spans="1:2">
      <c r="A8800" s="1" t="str">
        <f>"8482.50.90"</f>
        <v>8482.50.90</v>
      </c>
      <c r="B8800" s="2" t="str">
        <f>"TV INA"</f>
        <v>TV INA</v>
      </c>
    </row>
    <row r="8801" spans="1:2">
      <c r="A8801" s="1" t="str">
        <f>"8482.80.00"</f>
        <v>8482.80.00</v>
      </c>
      <c r="B8801" s="2" t="str">
        <f>"OUTROS - ROLAMENTO"</f>
        <v>OUTROS - ROLAMENTO</v>
      </c>
    </row>
    <row r="8802" spans="1:2">
      <c r="A8802" s="1" t="str">
        <f>"8482.91.11"</f>
        <v>8482.91.11</v>
      </c>
      <c r="B8802" s="2" t="str">
        <f>"Para carga de canetas esferografica"</f>
        <v>Para carga de canetas esferografica</v>
      </c>
    </row>
    <row r="8803" spans="1:2">
      <c r="A8803" s="1" t="str">
        <f>"8482.91.19"</f>
        <v>8482.91.19</v>
      </c>
      <c r="B8803" s="2" t="str">
        <f>"OUTRAS"</f>
        <v>OUTRAS</v>
      </c>
    </row>
    <row r="8804" spans="1:2">
      <c r="A8804" s="1" t="str">
        <f>"8482.91.20"</f>
        <v>8482.91.20</v>
      </c>
      <c r="B8804" s="2" t="str">
        <f>"Roletes cilindricos"</f>
        <v>Roletes cilindricos</v>
      </c>
    </row>
    <row r="8805" spans="1:2">
      <c r="A8805" s="1" t="str">
        <f>"8482.91.30"</f>
        <v>8482.91.30</v>
      </c>
      <c r="B8805" s="2" t="str">
        <f>"Roletes conicos"</f>
        <v>Roletes conicos</v>
      </c>
    </row>
    <row r="8806" spans="1:2">
      <c r="A8806" s="1" t="str">
        <f>"8482.91.90"</f>
        <v>8482.91.90</v>
      </c>
      <c r="B8806" s="2" t="str">
        <f>"OUTROS"</f>
        <v>OUTROS</v>
      </c>
    </row>
    <row r="8807" spans="1:2">
      <c r="A8807" s="1" t="str">
        <f>"8482.99.10"</f>
        <v>8482.99.10</v>
      </c>
      <c r="B8807" s="2" t="str">
        <f>"Selos, capas e porta-esferas de aco"</f>
        <v>Selos, capas e porta-esferas de aco</v>
      </c>
    </row>
    <row r="8808" spans="1:2">
      <c r="A8808" s="1" t="str">
        <f>"8482.99.90"</f>
        <v>8482.99.90</v>
      </c>
      <c r="B8808" s="2" t="str">
        <f>"OUTRAS"</f>
        <v>OUTRAS</v>
      </c>
    </row>
    <row r="8809" spans="1:2">
      <c r="A8809" s="1" t="str">
        <f>"8483.10.11"</f>
        <v>8483.10.11</v>
      </c>
      <c r="B8809" s="2" t="str">
        <f>"Forjados, de peso igual ou superior"</f>
        <v>Forjados, de peso igual ou superior</v>
      </c>
    </row>
    <row r="8810" spans="1:2">
      <c r="A8810" s="1" t="str">
        <f>"8483.10.19"</f>
        <v>8483.10.19</v>
      </c>
      <c r="B8810" s="2" t="str">
        <f>"Outros"</f>
        <v>Outros</v>
      </c>
    </row>
    <row r="8811" spans="1:2">
      <c r="A8811" s="1" t="str">
        <f>"8483.10.20"</f>
        <v>8483.10.20</v>
      </c>
      <c r="B8811" s="2" t="str">
        <f>"Arvores de cames para comando de va"</f>
        <v>Arvores de cames para comando de va</v>
      </c>
    </row>
    <row r="8812" spans="1:2">
      <c r="A8812" s="1" t="str">
        <f>"8483.10.30"</f>
        <v>8483.10.30</v>
      </c>
      <c r="B8812" s="2" t="str">
        <f>"Veios flexiveis"</f>
        <v>Veios flexiveis</v>
      </c>
    </row>
    <row r="8813" spans="1:2">
      <c r="A8813" s="1" t="str">
        <f>"8483.10.40"</f>
        <v>8483.10.40</v>
      </c>
      <c r="B8813" s="2" t="str">
        <f>"Manivelas"</f>
        <v>Manivelas</v>
      </c>
    </row>
    <row r="8814" spans="1:2">
      <c r="A8814" s="1" t="str">
        <f>"8483.10.50"</f>
        <v>8483.10.50</v>
      </c>
      <c r="B8814" s="2" t="str">
        <f>"Arvores de transmissao providas de"</f>
        <v>Arvores de transmissao providas de</v>
      </c>
    </row>
    <row r="8815" spans="1:2">
      <c r="A8815" s="1" t="str">
        <f>"8483.10.90"</f>
        <v>8483.10.90</v>
      </c>
      <c r="B8815" s="2" t="str">
        <f>"OUTROS"</f>
        <v>OUTROS</v>
      </c>
    </row>
    <row r="8816" spans="1:2">
      <c r="A8816" s="1" t="str">
        <f>"8483.20.00"</f>
        <v>8483.20.00</v>
      </c>
      <c r="B8816" s="2" t="str">
        <f>"MANCAIS (CHUMACEIRAS) COM ROLAMENTO"</f>
        <v>MANCAIS (CHUMACEIRAS) COM ROLAMENTO</v>
      </c>
    </row>
    <row r="8817" spans="1:2">
      <c r="A8817" s="1" t="str">
        <f>"8483.30.10"</f>
        <v>8483.30.10</v>
      </c>
      <c r="B8817" s="2" t="str">
        <f>"Montados com ôbronzesö de metal ant"</f>
        <v>Montados com ôbronzesö de metal ant</v>
      </c>
    </row>
    <row r="8818" spans="1:2">
      <c r="A8818" s="1" t="str">
        <f>"8483.30.21"</f>
        <v>8483.30.21</v>
      </c>
      <c r="B8818" s="2" t="str">
        <f>"De diametro interno igual ou superi"</f>
        <v>De diametro interno igual ou superi</v>
      </c>
    </row>
    <row r="8819" spans="1:2">
      <c r="A8819" s="1" t="str">
        <f>"8483.30.29"</f>
        <v>8483.30.29</v>
      </c>
      <c r="B8819" s="2" t="str">
        <f>"Outros"</f>
        <v>Outros</v>
      </c>
    </row>
    <row r="8820" spans="1:2">
      <c r="A8820" s="1" t="str">
        <f>"8483.30.90"</f>
        <v>8483.30.90</v>
      </c>
      <c r="B8820" s="2" t="str">
        <f>"OUTROS"</f>
        <v>OUTROS</v>
      </c>
    </row>
    <row r="8821" spans="1:2">
      <c r="A8821" s="1" t="str">
        <f>"8483.40.10"</f>
        <v>8483.40.10</v>
      </c>
      <c r="B8821" s="2" t="str">
        <f>"REDUTORES"</f>
        <v>REDUTORES</v>
      </c>
    </row>
    <row r="8822" spans="1:2">
      <c r="A8822" s="1" t="str">
        <f>"8483.40.90"</f>
        <v>8483.40.90</v>
      </c>
      <c r="B8822" s="2" t="str">
        <f>"EIXOS"</f>
        <v>EIXOS</v>
      </c>
    </row>
    <row r="8823" spans="1:2">
      <c r="A8823" s="1" t="str">
        <f>"8483.50.10"</f>
        <v>8483.50.10</v>
      </c>
      <c r="B8823" s="2" t="str">
        <f>"POLIAS, EXCETO AS DE ROLAMENTOS"</f>
        <v>POLIAS, EXCETO AS DE ROLAMENTOS</v>
      </c>
    </row>
    <row r="8824" spans="1:2">
      <c r="A8824" s="1" t="str">
        <f>"8483.50.90"</f>
        <v>8483.50.90</v>
      </c>
      <c r="B8824" s="2" t="str">
        <f>"OUTRAS"</f>
        <v>OUTRAS</v>
      </c>
    </row>
    <row r="8825" spans="1:2">
      <c r="A8825" s="1" t="str">
        <f>"8483.60.11"</f>
        <v>8483.60.11</v>
      </c>
      <c r="B8825" s="2" t="str">
        <f>"De friccao"</f>
        <v>De friccao</v>
      </c>
    </row>
    <row r="8826" spans="1:2">
      <c r="A8826" s="1" t="str">
        <f>"8483.60.19"</f>
        <v>8483.60.19</v>
      </c>
      <c r="B8826" s="2" t="str">
        <f>"Outras"</f>
        <v>Outras</v>
      </c>
    </row>
    <row r="8827" spans="1:2">
      <c r="A8827" s="1" t="str">
        <f>"8483.60.90"</f>
        <v>8483.60.90</v>
      </c>
      <c r="B8827" s="2" t="str">
        <f>"OUTROS"</f>
        <v>OUTROS</v>
      </c>
    </row>
    <row r="8828" spans="1:2">
      <c r="A8828" s="1" t="str">
        <f>"8483.90.00"</f>
        <v>8483.90.00</v>
      </c>
      <c r="B8828" s="2" t="str">
        <f>"Engrenagem para sistema lampadas UV"</f>
        <v>Engrenagem para sistema lampadas UV</v>
      </c>
    </row>
    <row r="8829" spans="1:2">
      <c r="A8829" s="1" t="str">
        <f>"8484.10.00"</f>
        <v>8484.10.00</v>
      </c>
      <c r="B8829" s="2" t="str">
        <f>"Juntas metaloplasticas"</f>
        <v>Juntas metaloplasticas</v>
      </c>
    </row>
    <row r="8830" spans="1:2">
      <c r="A8830" s="1" t="str">
        <f>"8484.20.00"</f>
        <v>8484.20.00</v>
      </c>
      <c r="B8830" s="2" t="str">
        <f>"JUNTAS DE VEDAÇÃO MECÂNICAS"</f>
        <v>JUNTAS DE VEDAÇÃO MECÂNICAS</v>
      </c>
    </row>
    <row r="8831" spans="1:2">
      <c r="A8831" s="1" t="str">
        <f>"8484.90.00"</f>
        <v>8484.90.00</v>
      </c>
      <c r="B8831" s="2" t="str">
        <f>"OUTROS"</f>
        <v>OUTROS</v>
      </c>
    </row>
    <row r="8832" spans="1:2">
      <c r="A8832" s="1" t="str">
        <f>"8486.10.00"</f>
        <v>8486.10.00</v>
      </c>
      <c r="B8832" s="2" t="str">
        <f>"Maquinas e aparelhos para a fabrica"</f>
        <v>Maquinas e aparelhos para a fabrica</v>
      </c>
    </row>
    <row r="8833" spans="1:2">
      <c r="A8833" s="1" t="str">
        <f>"8486.20.00"</f>
        <v>8486.20.00</v>
      </c>
      <c r="B8833" s="2" t="str">
        <f>"Maquinas e aparelhos para a fabrica"</f>
        <v>Maquinas e aparelhos para a fabrica</v>
      </c>
    </row>
    <row r="8834" spans="1:2">
      <c r="A8834" s="1" t="str">
        <f>"8486.30.00"</f>
        <v>8486.30.00</v>
      </c>
      <c r="B8834" s="2" t="str">
        <f>"Maquinas e aparelhos para a fabrica"</f>
        <v>Maquinas e aparelhos para a fabrica</v>
      </c>
    </row>
    <row r="8835" spans="1:2">
      <c r="A8835" s="1" t="str">
        <f>"8486.40.00"</f>
        <v>8486.40.00</v>
      </c>
      <c r="B8835" s="2" t="str">
        <f>"Maquinas e aparelhos especificados"</f>
        <v>Maquinas e aparelhos especificados</v>
      </c>
    </row>
    <row r="8836" spans="1:2">
      <c r="A8836" s="1" t="str">
        <f>"8486.90.00"</f>
        <v>8486.90.00</v>
      </c>
      <c r="B8836" s="2" t="str">
        <f>"Partes e acessorios"</f>
        <v>Partes e acessorios</v>
      </c>
    </row>
    <row r="8837" spans="1:2">
      <c r="A8837" s="1" t="str">
        <f>"8487.10.00"</f>
        <v>8487.10.00</v>
      </c>
      <c r="B8837" s="2" t="str">
        <f>"Helices para embarcacoes e suas pas"</f>
        <v>Helices para embarcacoes e suas pas</v>
      </c>
    </row>
    <row r="8838" spans="1:2">
      <c r="A8838" s="1" t="str">
        <f>"8487.90.00"</f>
        <v>8487.90.00</v>
      </c>
      <c r="B8838" s="2" t="str">
        <f>"graxeira"</f>
        <v>graxeira</v>
      </c>
    </row>
    <row r="8839" spans="1:2">
      <c r="A8839" s="1" t="str">
        <f>"8501.10.11"</f>
        <v>8501.10.11</v>
      </c>
      <c r="B8839" s="2" t="str">
        <f>"De passo inferior ou igual a 1,8€"</f>
        <v>De passo inferior ou igual a 1,8€</v>
      </c>
    </row>
    <row r="8840" spans="1:2">
      <c r="A8840" s="1" t="str">
        <f>"8501.10.19"</f>
        <v>8501.10.19</v>
      </c>
      <c r="B8840" s="2" t="str">
        <f>"Outros"</f>
        <v>Outros</v>
      </c>
    </row>
    <row r="8841" spans="1:2">
      <c r="A8841" s="1" t="str">
        <f>"8501.10.21"</f>
        <v>8501.10.21</v>
      </c>
      <c r="B8841" s="2" t="str">
        <f>"Sincronos"</f>
        <v>Sincronos</v>
      </c>
    </row>
    <row r="8842" spans="1:2">
      <c r="A8842" s="1" t="str">
        <f>"8501.10.29"</f>
        <v>8501.10.29</v>
      </c>
      <c r="B8842" s="2" t="str">
        <f>"OUTROS"</f>
        <v>OUTROS</v>
      </c>
    </row>
    <row r="8843" spans="1:2">
      <c r="A8843" s="1" t="str">
        <f>"8501.10.30"</f>
        <v>8501.10.30</v>
      </c>
      <c r="B8843" s="2" t="str">
        <f>"Universais"</f>
        <v>Universais</v>
      </c>
    </row>
    <row r="8844" spans="1:2">
      <c r="A8844" s="1" t="str">
        <f>"8501.20.00"</f>
        <v>8501.20.00</v>
      </c>
      <c r="B8844" s="2" t="str">
        <f>"MOTORES UNIV DE POTÊNCIA SUP 37,5 W"</f>
        <v>MOTORES UNIV DE POTÊNCIA SUP 37,5 W</v>
      </c>
    </row>
    <row r="8845" spans="1:2">
      <c r="A8845" s="1" t="str">
        <f>"8501.31.10"</f>
        <v>8501.31.10</v>
      </c>
      <c r="B8845" s="2" t="str">
        <f>"MOTORES"</f>
        <v>MOTORES</v>
      </c>
    </row>
    <row r="8846" spans="1:2">
      <c r="A8846" s="1" t="str">
        <f>"8501.31.20"</f>
        <v>8501.31.20</v>
      </c>
      <c r="B8846" s="2" t="str">
        <f>"GERADOR ALTA TENSAO"</f>
        <v>GERADOR ALTA TENSAO</v>
      </c>
    </row>
    <row r="8847" spans="1:2">
      <c r="A8847" s="1" t="str">
        <f>"8501.32.10"</f>
        <v>8501.32.10</v>
      </c>
      <c r="B8847" s="2" t="str">
        <f>"Motores"</f>
        <v>Motores</v>
      </c>
    </row>
    <row r="8848" spans="1:2">
      <c r="A8848" s="1" t="str">
        <f>"8501.32.20"</f>
        <v>8501.32.20</v>
      </c>
      <c r="B8848" s="2" t="str">
        <f>"Geradores"</f>
        <v>Geradores</v>
      </c>
    </row>
    <row r="8849" spans="1:2">
      <c r="A8849" s="1" t="str">
        <f>"8501.33.10"</f>
        <v>8501.33.10</v>
      </c>
      <c r="B8849" s="2" t="str">
        <f>"Motores"</f>
        <v>Motores</v>
      </c>
    </row>
    <row r="8850" spans="1:2">
      <c r="A8850" s="1" t="str">
        <f>"8501.33.20"</f>
        <v>8501.33.20</v>
      </c>
      <c r="B8850" s="2" t="str">
        <f>"Geradores"</f>
        <v>Geradores</v>
      </c>
    </row>
    <row r="8851" spans="1:2">
      <c r="A8851" s="1" t="str">
        <f>"8501.34.11"</f>
        <v>8501.34.11</v>
      </c>
      <c r="B8851" s="2" t="str">
        <f>"De potencia inferior ou igual a 3.0"</f>
        <v>De potencia inferior ou igual a 3.0</v>
      </c>
    </row>
    <row r="8852" spans="1:2">
      <c r="A8852" s="1" t="str">
        <f>"8501.34.19"</f>
        <v>8501.34.19</v>
      </c>
      <c r="B8852" s="2" t="str">
        <f>"Outros"</f>
        <v>Outros</v>
      </c>
    </row>
    <row r="8853" spans="1:2">
      <c r="A8853" s="1" t="str">
        <f>"8501.34.20"</f>
        <v>8501.34.20</v>
      </c>
      <c r="B8853" s="2" t="str">
        <f>"Geradores"</f>
        <v>Geradores</v>
      </c>
    </row>
    <row r="8854" spans="1:2">
      <c r="A8854" s="1" t="str">
        <f>"8501.40.11"</f>
        <v>8501.40.11</v>
      </c>
      <c r="B8854" s="2" t="str">
        <f>"Síncronos"</f>
        <v>Síncronos</v>
      </c>
    </row>
    <row r="8855" spans="1:2">
      <c r="A8855" s="1" t="str">
        <f>"8501.40.19"</f>
        <v>8501.40.19</v>
      </c>
      <c r="B8855" s="2" t="str">
        <f>"ANEL"</f>
        <v>ANEL</v>
      </c>
    </row>
    <row r="8856" spans="1:2">
      <c r="A8856" s="1" t="str">
        <f>"8501.40.21"</f>
        <v>8501.40.21</v>
      </c>
      <c r="B8856" s="2" t="str">
        <f>"Sincronos"</f>
        <v>Sincronos</v>
      </c>
    </row>
    <row r="8857" spans="1:2">
      <c r="A8857" s="1" t="str">
        <f>"8501.40.29"</f>
        <v>8501.40.29</v>
      </c>
      <c r="B8857" s="2" t="str">
        <f>"OUTROS"</f>
        <v>OUTROS</v>
      </c>
    </row>
    <row r="8858" spans="1:2">
      <c r="A8858" s="1" t="str">
        <f>"8501.51.10"</f>
        <v>8501.51.10</v>
      </c>
      <c r="B8858" s="2" t="str">
        <f>"MOTOR AR"</f>
        <v>MOTOR AR</v>
      </c>
    </row>
    <row r="8859" spans="1:2">
      <c r="A8859" s="1" t="str">
        <f>"8501.51.20"</f>
        <v>8501.51.20</v>
      </c>
      <c r="B8859" s="2" t="str">
        <f>"TRIFÁSICOS, COM ROTOR DE ANÉIS"</f>
        <v>TRIFÁSICOS, COM ROTOR DE ANÉIS</v>
      </c>
    </row>
    <row r="8860" spans="1:2">
      <c r="A8860" s="1" t="str">
        <f>"8501.51.90"</f>
        <v>8501.51.90</v>
      </c>
      <c r="B8860" s="2" t="str">
        <f>"joelho"</f>
        <v>joelho</v>
      </c>
    </row>
    <row r="8861" spans="1:2">
      <c r="A8861" s="1" t="str">
        <f>"8501.52.10"</f>
        <v>8501.52.10</v>
      </c>
      <c r="B8861" s="2" t="str">
        <f>"TRIFÁSICOS, COM ROTOR DE GAIOLA"</f>
        <v>TRIFÁSICOS, COM ROTOR DE GAIOLA</v>
      </c>
    </row>
    <row r="8862" spans="1:2">
      <c r="A8862" s="1" t="str">
        <f>"8501.52.20"</f>
        <v>8501.52.20</v>
      </c>
      <c r="B8862" s="2" t="str">
        <f>"TRIFÁSICOS, COM ROTOR DE ANÉIS"</f>
        <v>TRIFÁSICOS, COM ROTOR DE ANÉIS</v>
      </c>
    </row>
    <row r="8863" spans="1:2">
      <c r="A8863" s="1" t="str">
        <f>"8501.52.90"</f>
        <v>8501.52.90</v>
      </c>
      <c r="B8863" s="2" t="str">
        <f>"Outros"</f>
        <v>Outros</v>
      </c>
    </row>
    <row r="8864" spans="1:2">
      <c r="A8864" s="1" t="str">
        <f>"8501.53.10"</f>
        <v>8501.53.10</v>
      </c>
      <c r="B8864" s="2" t="str">
        <f>"TRIFÁSICOS,POTÊNC INF/SUP 7.500KW"</f>
        <v>TRIFÁSICOS,POTÊNC INF/SUP 7.500KW</v>
      </c>
    </row>
    <row r="8865" spans="1:2">
      <c r="A8865" s="1" t="str">
        <f>"8501.53.20"</f>
        <v>8501.53.20</v>
      </c>
      <c r="B8865" s="2" t="str">
        <f>"Trifasicos, de potencia superior a"</f>
        <v>Trifasicos, de potencia superior a</v>
      </c>
    </row>
    <row r="8866" spans="1:2">
      <c r="A8866" s="1" t="str">
        <f>"8501.53.30"</f>
        <v>8501.53.30</v>
      </c>
      <c r="B8866" s="2" t="str">
        <f>"Trifasicos, de potencia superior a"</f>
        <v>Trifasicos, de potencia superior a</v>
      </c>
    </row>
    <row r="8867" spans="1:2">
      <c r="A8867" s="1" t="str">
        <f>"8501.53.90"</f>
        <v>8501.53.90</v>
      </c>
      <c r="B8867" s="2" t="str">
        <f>"Outros"</f>
        <v>Outros</v>
      </c>
    </row>
    <row r="8868" spans="1:2">
      <c r="A8868" s="1" t="str">
        <f>"8501.61.00"</f>
        <v>8501.61.00</v>
      </c>
      <c r="B8868" s="2" t="str">
        <f>"De potencia nao superior a 75 kVA"</f>
        <v>De potencia nao superior a 75 kVA</v>
      </c>
    </row>
    <row r="8869" spans="1:2">
      <c r="A8869" s="1" t="str">
        <f>"8501.62.00"</f>
        <v>8501.62.00</v>
      </c>
      <c r="B8869" s="2" t="str">
        <f>"De potencia superior a 75 kVA, mas"</f>
        <v>De potencia superior a 75 kVA, mas</v>
      </c>
    </row>
    <row r="8870" spans="1:2">
      <c r="A8870" s="1" t="str">
        <f>"8501.63.00"</f>
        <v>8501.63.00</v>
      </c>
      <c r="B8870" s="2" t="str">
        <f>"De potencia superior a 375 kVA, mas"</f>
        <v>De potencia superior a 375 kVA, mas</v>
      </c>
    </row>
    <row r="8871" spans="1:2">
      <c r="A8871" s="1" t="str">
        <f>"8501.64.00"</f>
        <v>8501.64.00</v>
      </c>
      <c r="B8871" s="2" t="str">
        <f>"De potencia superior a 750 kVA"</f>
        <v>De potencia superior a 750 kVA</v>
      </c>
    </row>
    <row r="8872" spans="1:2">
      <c r="A8872" s="1" t="str">
        <f>"8502.11.10"</f>
        <v>8502.11.10</v>
      </c>
      <c r="B8872" s="2" t="str">
        <f>"De corrente alternada"</f>
        <v>De corrente alternada</v>
      </c>
    </row>
    <row r="8873" spans="1:2">
      <c r="A8873" s="1" t="str">
        <f>"8502.11.90"</f>
        <v>8502.11.90</v>
      </c>
      <c r="B8873" s="2" t="str">
        <f>"Outros"</f>
        <v>Outros</v>
      </c>
    </row>
    <row r="8874" spans="1:2">
      <c r="A8874" s="1" t="str">
        <f>"8502.12.10"</f>
        <v>8502.12.10</v>
      </c>
      <c r="B8874" s="2" t="str">
        <f>"De corrente alternada"</f>
        <v>De corrente alternada</v>
      </c>
    </row>
    <row r="8875" spans="1:2">
      <c r="A8875" s="1" t="str">
        <f>"8502.12.90"</f>
        <v>8502.12.90</v>
      </c>
      <c r="B8875" s="2" t="str">
        <f>"Outros"</f>
        <v>Outros</v>
      </c>
    </row>
    <row r="8876" spans="1:2">
      <c r="A8876" s="1" t="str">
        <f>"8502.13.11"</f>
        <v>8502.13.11</v>
      </c>
      <c r="B8876" s="2" t="str">
        <f>"De potencia inferior ou igual a 430"</f>
        <v>De potencia inferior ou igual a 430</v>
      </c>
    </row>
    <row r="8877" spans="1:2">
      <c r="A8877" s="1" t="str">
        <f>"8502.13.19"</f>
        <v>8502.13.19</v>
      </c>
      <c r="B8877" s="2" t="str">
        <f>"Outros"</f>
        <v>Outros</v>
      </c>
    </row>
    <row r="8878" spans="1:2">
      <c r="A8878" s="1" t="str">
        <f>"8502.13.90"</f>
        <v>8502.13.90</v>
      </c>
      <c r="B8878" s="2" t="str">
        <f>"Outros"</f>
        <v>Outros</v>
      </c>
    </row>
    <row r="8879" spans="1:2">
      <c r="A8879" s="1" t="str">
        <f>"8502.20.11"</f>
        <v>8502.20.11</v>
      </c>
      <c r="B8879" s="2" t="str">
        <f>"De potencia inferior ou igual a 210"</f>
        <v>De potencia inferior ou igual a 210</v>
      </c>
    </row>
    <row r="8880" spans="1:2">
      <c r="A8880" s="1" t="str">
        <f>"8502.20.19"</f>
        <v>8502.20.19</v>
      </c>
      <c r="B8880" s="2" t="str">
        <f>"Outros"</f>
        <v>Outros</v>
      </c>
    </row>
    <row r="8881" spans="1:2">
      <c r="A8881" s="1" t="str">
        <f>"8502.20.90"</f>
        <v>8502.20.90</v>
      </c>
      <c r="B8881" s="2" t="str">
        <f>"Outros"</f>
        <v>Outros</v>
      </c>
    </row>
    <row r="8882" spans="1:2">
      <c r="A8882" s="1" t="str">
        <f>"8502.31.00"</f>
        <v>8502.31.00</v>
      </c>
      <c r="B8882" s="2" t="str">
        <f>"De energia eolica"</f>
        <v>De energia eolica</v>
      </c>
    </row>
    <row r="8883" spans="1:2">
      <c r="A8883" s="1" t="str">
        <f>"8502.39.00"</f>
        <v>8502.39.00</v>
      </c>
      <c r="B8883" s="2" t="str">
        <f>"Outros"</f>
        <v>Outros</v>
      </c>
    </row>
    <row r="8884" spans="1:2">
      <c r="A8884" s="1" t="str">
        <f>"8502.40.10"</f>
        <v>8502.40.10</v>
      </c>
      <c r="B8884" s="2" t="str">
        <f>"De frequencia"</f>
        <v>De frequencia</v>
      </c>
    </row>
    <row r="8885" spans="1:2">
      <c r="A8885" s="1" t="str">
        <f>"8502.40.90"</f>
        <v>8502.40.90</v>
      </c>
      <c r="B8885" s="2" t="str">
        <f>"Outros"</f>
        <v>Outros</v>
      </c>
    </row>
    <row r="8886" spans="1:2">
      <c r="A8886" s="1" t="str">
        <f>"8503.00.10"</f>
        <v>8503.00.10</v>
      </c>
      <c r="B8886" s="2" t="str">
        <f>"DE MOTORES OU GERADORES DAS SUBPOSÇ"</f>
        <v>DE MOTORES OU GERADORES DAS SUBPOSÇ</v>
      </c>
    </row>
    <row r="8887" spans="1:2">
      <c r="A8887" s="1" t="str">
        <f>"8503.00.90"</f>
        <v>8503.00.90</v>
      </c>
      <c r="B8887" s="2" t="str">
        <f>"OUTRAS PARTES DESTINAS ÀS MÁQUINAS"</f>
        <v>OUTRAS PARTES DESTINAS ÀS MÁQUINAS</v>
      </c>
    </row>
    <row r="8888" spans="1:2">
      <c r="A8888" s="1" t="str">
        <f>"8504.10.00"</f>
        <v>8504.10.00</v>
      </c>
      <c r="B8888" s="2" t="str">
        <f>"REATORES PARA LÂMPADAS OU TUBOS DE"</f>
        <v>REATORES PARA LÂMPADAS OU TUBOS DE</v>
      </c>
    </row>
    <row r="8889" spans="1:2">
      <c r="A8889" s="1" t="str">
        <f>"8504.21.00"</f>
        <v>8504.21.00</v>
      </c>
      <c r="B8889" s="2" t="str">
        <f>"De potencia nao superior a 650 kVA"</f>
        <v>De potencia nao superior a 650 kVA</v>
      </c>
    </row>
    <row r="8890" spans="1:2">
      <c r="A8890" s="1" t="str">
        <f>"8504.22.00"</f>
        <v>8504.22.00</v>
      </c>
      <c r="B8890" s="2" t="str">
        <f>"De potencia superior a 650 kVA, mas"</f>
        <v>De potencia superior a 650 kVA, mas</v>
      </c>
    </row>
    <row r="8891" spans="1:2">
      <c r="A8891" s="1" t="str">
        <f>"8504.23.00"</f>
        <v>8504.23.00</v>
      </c>
      <c r="B8891" s="2" t="str">
        <f>"De potencia superior a 10.000 kVA"</f>
        <v>De potencia superior a 10.000 kVA</v>
      </c>
    </row>
    <row r="8892" spans="1:2">
      <c r="A8892" s="1" t="str">
        <f>"8504.31.11"</f>
        <v>8504.31.11</v>
      </c>
      <c r="B8892" s="2" t="str">
        <f>"TRANSFORMADORES DE CORRENTE"</f>
        <v>TRANSFORMADORES DE CORRENTE</v>
      </c>
    </row>
    <row r="8893" spans="1:2">
      <c r="A8893" s="1" t="str">
        <f>"8504.31.19"</f>
        <v>8504.31.19</v>
      </c>
      <c r="B8893" s="2" t="str">
        <f>"OUTROS"</f>
        <v>OUTROS</v>
      </c>
    </row>
    <row r="8894" spans="1:2">
      <c r="A8894" s="1" t="str">
        <f>"8504.31.91"</f>
        <v>8504.31.91</v>
      </c>
      <c r="B8894" s="2" t="str">
        <f>"Transformador de saída horizontal ("</f>
        <v>Transformador de saída horizontal (</v>
      </c>
    </row>
    <row r="8895" spans="1:2">
      <c r="A8895" s="1" t="str">
        <f>"8504.31.92"</f>
        <v>8504.31.92</v>
      </c>
      <c r="B8895" s="2" t="str">
        <f>"Transformadores de FI, de deteccao,"</f>
        <v>Transformadores de FI, de deteccao,</v>
      </c>
    </row>
    <row r="8896" spans="1:2">
      <c r="A8896" s="1" t="str">
        <f>"8504.31.99"</f>
        <v>8504.31.99</v>
      </c>
      <c r="B8896" s="2" t="str">
        <f>"OUTROS - TRANSFORMADOR SECARGA"</f>
        <v>OUTROS - TRANSFORMADOR SECARGA</v>
      </c>
    </row>
    <row r="8897" spans="1:2">
      <c r="A8897" s="1" t="str">
        <f>"8504.32.11"</f>
        <v>8504.32.11</v>
      </c>
      <c r="B8897" s="2" t="str">
        <f>"Para frequencias inferiores ou igua"</f>
        <v>Para frequencias inferiores ou igua</v>
      </c>
    </row>
    <row r="8898" spans="1:2">
      <c r="A8898" s="1" t="str">
        <f>"8504.32.19"</f>
        <v>8504.32.19</v>
      </c>
      <c r="B8898" s="2" t="str">
        <f>"OUTROS"</f>
        <v>OUTROS</v>
      </c>
    </row>
    <row r="8899" spans="1:2">
      <c r="A8899" s="1" t="str">
        <f>"8504.32.21"</f>
        <v>8504.32.21</v>
      </c>
      <c r="B8899" s="2" t="str">
        <f>"Para frequencias inferiores ou igua"</f>
        <v>Para frequencias inferiores ou igua</v>
      </c>
    </row>
    <row r="8900" spans="1:2">
      <c r="A8900" s="1" t="str">
        <f>"8504.32.29"</f>
        <v>8504.32.29</v>
      </c>
      <c r="B8900" s="2" t="str">
        <f>"Outros"</f>
        <v>Outros</v>
      </c>
    </row>
    <row r="8901" spans="1:2">
      <c r="A8901" s="1" t="str">
        <f>"8504.33.00"</f>
        <v>8504.33.00</v>
      </c>
      <c r="B8901" s="2" t="str">
        <f>"De potencia superior a 16 kVA, mas"</f>
        <v>De potencia superior a 16 kVA, mas</v>
      </c>
    </row>
    <row r="8902" spans="1:2">
      <c r="A8902" s="1" t="str">
        <f>"8504.34.00"</f>
        <v>8504.34.00</v>
      </c>
      <c r="B8902" s="2" t="str">
        <f>"DE POTÊNCIA SUPERIOR A 500 KVA"</f>
        <v>DE POTÊNCIA SUPERIOR A 500 KVA</v>
      </c>
    </row>
    <row r="8903" spans="1:2">
      <c r="A8903" s="1" t="str">
        <f>"8504.40.10"</f>
        <v>8504.40.10</v>
      </c>
      <c r="B8903" s="2" t="str">
        <f>"LUMINARIAS DE EMERGENCIA"</f>
        <v>LUMINARIAS DE EMERGENCIA</v>
      </c>
    </row>
    <row r="8904" spans="1:2">
      <c r="A8904" s="1" t="str">
        <f>"8504.40.21"</f>
        <v>8504.40.21</v>
      </c>
      <c r="B8904" s="2" t="str">
        <f>"retificador"</f>
        <v>retificador</v>
      </c>
    </row>
    <row r="8905" spans="1:2">
      <c r="A8905" s="1" t="str">
        <f>"8504.40.22"</f>
        <v>8504.40.22</v>
      </c>
      <c r="B8905" s="2" t="str">
        <f>"Eletroliticos"</f>
        <v>Eletroliticos</v>
      </c>
    </row>
    <row r="8906" spans="1:2">
      <c r="A8906" s="1" t="str">
        <f>"8504.40.29"</f>
        <v>8504.40.29</v>
      </c>
      <c r="B8906" s="2" t="str">
        <f>"OUTROS"</f>
        <v>OUTROS</v>
      </c>
    </row>
    <row r="8907" spans="1:2">
      <c r="A8907" s="1" t="str">
        <f>"8504.40.30"</f>
        <v>8504.40.30</v>
      </c>
      <c r="B8907" s="2" t="str">
        <f>"CONVERSORES DE CORRENTE CONTÍNUA"</f>
        <v>CONVERSORES DE CORRENTE CONTÍNUA</v>
      </c>
    </row>
    <row r="8908" spans="1:2">
      <c r="A8908" s="1" t="str">
        <f>"8504.40.40"</f>
        <v>8504.40.40</v>
      </c>
      <c r="B8908" s="2" t="str">
        <f>"EQUIPAMENTO DE ALIMENTAÇÃO ININTERR"</f>
        <v>EQUIPAMENTO DE ALIMENTAÇÃO ININTERR</v>
      </c>
    </row>
    <row r="8909" spans="1:2">
      <c r="A8909" s="1" t="str">
        <f>"8504.40.50"</f>
        <v>8504.40.50</v>
      </c>
      <c r="B8909" s="2" t="str">
        <f>"CONVERSOR ELETRONICOS"</f>
        <v>CONVERSOR ELETRONICOS</v>
      </c>
    </row>
    <row r="8910" spans="1:2">
      <c r="A8910" s="1" t="str">
        <f>"8504.40.60"</f>
        <v>8504.40.60</v>
      </c>
      <c r="B8910" s="2" t="str">
        <f>"Aparelhos eletronicos de alimentaca"</f>
        <v>Aparelhos eletronicos de alimentaca</v>
      </c>
    </row>
    <row r="8911" spans="1:2">
      <c r="A8911" s="1" t="str">
        <f>"8504.40.90"</f>
        <v>8504.40.90</v>
      </c>
      <c r="B8911" s="2" t="str">
        <f>"OUTROS - CONVERSOR CFW08"</f>
        <v>OUTROS - CONVERSOR CFW08</v>
      </c>
    </row>
    <row r="8912" spans="1:2">
      <c r="A8912" s="1" t="str">
        <f>"8504.50.00"</f>
        <v>8504.50.00</v>
      </c>
      <c r="B8912" s="2" t="str">
        <f>"REATOR PARA SIMODRIVE"</f>
        <v>REATOR PARA SIMODRIVE</v>
      </c>
    </row>
    <row r="8913" spans="1:2">
      <c r="A8913" s="1" t="str">
        <f>"8504.90.10"</f>
        <v>8504.90.10</v>
      </c>
      <c r="B8913" s="2" t="str">
        <f>"Nucleos de po ferromagnetico"</f>
        <v>Nucleos de po ferromagnetico</v>
      </c>
    </row>
    <row r="8914" spans="1:2">
      <c r="A8914" s="1" t="str">
        <f>"8504.90.20"</f>
        <v>8504.90.20</v>
      </c>
      <c r="B8914" s="2" t="str">
        <f>"De reatores para lampadas ou tubos"</f>
        <v>De reatores para lampadas ou tubos</v>
      </c>
    </row>
    <row r="8915" spans="1:2">
      <c r="A8915" s="1" t="str">
        <f>"8504.90.30"</f>
        <v>8504.90.30</v>
      </c>
      <c r="B8915" s="2" t="str">
        <f>"De transformadores das subposicoes"</f>
        <v>De transformadores das subposicoes</v>
      </c>
    </row>
    <row r="8916" spans="1:2">
      <c r="A8916" s="1" t="str">
        <f>"8504.90.40"</f>
        <v>8504.90.40</v>
      </c>
      <c r="B8916" s="2" t="str">
        <f>"CONVERSORES ESTATICOS FILTRO SFM84-"</f>
        <v>CONVERSORES ESTATICOS FILTRO SFM84-</v>
      </c>
    </row>
    <row r="8917" spans="1:2">
      <c r="A8917" s="1" t="str">
        <f>"8504.90.90"</f>
        <v>8504.90.90</v>
      </c>
      <c r="B8917" s="2" t="str">
        <f>"outras"</f>
        <v>outras</v>
      </c>
    </row>
    <row r="8918" spans="1:2">
      <c r="A8918" s="1" t="str">
        <f>"8505.11.00"</f>
        <v>8505.11.00</v>
      </c>
      <c r="B8918" s="2" t="str">
        <f>"De metal"</f>
        <v>De metal</v>
      </c>
    </row>
    <row r="8919" spans="1:2">
      <c r="A8919" s="1" t="str">
        <f>"8505.19.10"</f>
        <v>8505.19.10</v>
      </c>
      <c r="B8919" s="2" t="str">
        <f>"DE FERRITE (CERÂMICOS)"</f>
        <v>DE FERRITE (CERÂMICOS)</v>
      </c>
    </row>
    <row r="8920" spans="1:2">
      <c r="A8920" s="1" t="str">
        <f>"8505.19.90"</f>
        <v>8505.19.90</v>
      </c>
      <c r="B8920" s="2" t="str">
        <f>"OUTROS"</f>
        <v>OUTROS</v>
      </c>
    </row>
    <row r="8921" spans="1:2">
      <c r="A8921" s="1" t="str">
        <f>"8505.20.10"</f>
        <v>8505.20.10</v>
      </c>
      <c r="B8921" s="2" t="str">
        <f>"Freios (travoes) que atuam por corr"</f>
        <v>Freios (travoes) que atuam por corr</v>
      </c>
    </row>
    <row r="8922" spans="1:2">
      <c r="A8922" s="1" t="str">
        <f>"8505.20.90"</f>
        <v>8505.20.90</v>
      </c>
      <c r="B8922" s="2" t="str">
        <f>"OUTROS"</f>
        <v>OUTROS</v>
      </c>
    </row>
    <row r="8923" spans="1:2">
      <c r="A8923" s="1" t="str">
        <f>"8505.90.10"</f>
        <v>8505.90.10</v>
      </c>
      <c r="B8923" s="2" t="str">
        <f>"Eletroimas"</f>
        <v>Eletroimas</v>
      </c>
    </row>
    <row r="8924" spans="1:2">
      <c r="A8924" s="1" t="str">
        <f>"8505.90.80"</f>
        <v>8505.90.80</v>
      </c>
      <c r="B8924" s="2" t="str">
        <f>"Outros"</f>
        <v>Outros</v>
      </c>
    </row>
    <row r="8925" spans="1:2">
      <c r="A8925" s="1" t="str">
        <f>"8505.90.90"</f>
        <v>8505.90.90</v>
      </c>
      <c r="B8925" s="2" t="str">
        <f>"Partes"</f>
        <v>Partes</v>
      </c>
    </row>
    <row r="8926" spans="1:2">
      <c r="A8926" s="1" t="str">
        <f>"8506.10.10"</f>
        <v>8506.10.10</v>
      </c>
      <c r="B8926" s="2" t="str">
        <f>"PILHAS ALCALINAS"</f>
        <v>PILHAS ALCALINAS</v>
      </c>
    </row>
    <row r="8927" spans="1:2">
      <c r="A8927" s="1" t="str">
        <f>"8506.10.19"</f>
        <v>8506.10.19</v>
      </c>
      <c r="B8927" s="2" t="str">
        <f>"Outras"</f>
        <v>Outras</v>
      </c>
    </row>
    <row r="8928" spans="1:2">
      <c r="A8928" s="1" t="str">
        <f>"8506.10.20"</f>
        <v>8506.10.20</v>
      </c>
      <c r="B8928" s="2" t="str">
        <f>"Outras pilhas"</f>
        <v>Outras pilhas</v>
      </c>
    </row>
    <row r="8929" spans="1:2">
      <c r="A8929" s="1" t="str">
        <f>"8506.10.30"</f>
        <v>8506.10.30</v>
      </c>
      <c r="B8929" s="2" t="str">
        <f>"BATERIAS DE PILHAS"</f>
        <v>BATERIAS DE PILHAS</v>
      </c>
    </row>
    <row r="8930" spans="1:2">
      <c r="A8930" s="1" t="str">
        <f>"8506.10.31"</f>
        <v>8506.10.31</v>
      </c>
      <c r="B8930" s="2" t="str">
        <f>"Alcalinas, de tensão igual a 9 V"</f>
        <v>Alcalinas, de tensão igual a 9 V</v>
      </c>
    </row>
    <row r="8931" spans="1:2">
      <c r="A8931" s="1" t="str">
        <f>"8506.10.32"</f>
        <v>8506.10.32</v>
      </c>
      <c r="B8931" s="2" t="str">
        <f>"Alcalinas, de tensão igual a 12 V"</f>
        <v>Alcalinas, de tensão igual a 12 V</v>
      </c>
    </row>
    <row r="8932" spans="1:2">
      <c r="A8932" s="1" t="str">
        <f>"8506.10.39"</f>
        <v>8506.10.39</v>
      </c>
      <c r="B8932" s="2" t="str">
        <f>"outros"</f>
        <v>outros</v>
      </c>
    </row>
    <row r="8933" spans="1:2">
      <c r="A8933" s="1" t="str">
        <f>"8506.30.10"</f>
        <v>8506.30.10</v>
      </c>
      <c r="B8933" s="2" t="str">
        <f>"Com volume exterior nao superior a"</f>
        <v>Com volume exterior nao superior a</v>
      </c>
    </row>
    <row r="8934" spans="1:2">
      <c r="A8934" s="1" t="str">
        <f>"8506.30.90"</f>
        <v>8506.30.90</v>
      </c>
      <c r="B8934" s="2" t="str">
        <f>"Outras"</f>
        <v>Outras</v>
      </c>
    </row>
    <row r="8935" spans="1:2">
      <c r="A8935" s="1" t="str">
        <f>"8506.40.10"</f>
        <v>8506.40.10</v>
      </c>
      <c r="B8935" s="2" t="str">
        <f>"Com volume exterior nao superior a"</f>
        <v>Com volume exterior nao superior a</v>
      </c>
    </row>
    <row r="8936" spans="1:2">
      <c r="A8936" s="1" t="str">
        <f>"8506.40.90"</f>
        <v>8506.40.90</v>
      </c>
      <c r="B8936" s="2" t="str">
        <f>"Outras"</f>
        <v>Outras</v>
      </c>
    </row>
    <row r="8937" spans="1:2">
      <c r="A8937" s="1" t="str">
        <f>"8506.50.10"</f>
        <v>8506.50.10</v>
      </c>
      <c r="B8937" s="2" t="str">
        <f>"COM VOLUME EXT Ñ SUPERIOR A 300 CM³"</f>
        <v>COM VOLUME EXT Ñ SUPERIOR A 300 CM³</v>
      </c>
    </row>
    <row r="8938" spans="1:2">
      <c r="A8938" s="1" t="str">
        <f>"8506.50.90"</f>
        <v>8506.50.90</v>
      </c>
      <c r="B8938" s="2" t="str">
        <f>"Outras"</f>
        <v>Outras</v>
      </c>
    </row>
    <row r="8939" spans="1:2">
      <c r="A8939" s="1" t="str">
        <f>"8506.60.10"</f>
        <v>8506.60.10</v>
      </c>
      <c r="B8939" s="2" t="str">
        <f>"Com volume exterior nao superior a"</f>
        <v>Com volume exterior nao superior a</v>
      </c>
    </row>
    <row r="8940" spans="1:2">
      <c r="A8940" s="1" t="str">
        <f>"8506.60.90"</f>
        <v>8506.60.90</v>
      </c>
      <c r="B8940" s="2" t="str">
        <f>"Outras"</f>
        <v>Outras</v>
      </c>
    </row>
    <row r="8941" spans="1:2">
      <c r="A8941" s="1" t="str">
        <f>"8506.80.10"</f>
        <v>8506.80.10</v>
      </c>
      <c r="B8941" s="2" t="str">
        <f>"Com volume exterior nao superior a"</f>
        <v>Com volume exterior nao superior a</v>
      </c>
    </row>
    <row r="8942" spans="1:2">
      <c r="A8942" s="1" t="str">
        <f>"8506.80.90"</f>
        <v>8506.80.90</v>
      </c>
      <c r="B8942" s="2" t="str">
        <f>"OUTRAS"</f>
        <v>OUTRAS</v>
      </c>
    </row>
    <row r="8943" spans="1:2">
      <c r="A8943" s="1" t="str">
        <f>"8506.90.00"</f>
        <v>8506.90.00</v>
      </c>
      <c r="B8943" s="2" t="str">
        <f>"Partes"</f>
        <v>Partes</v>
      </c>
    </row>
    <row r="8944" spans="1:2">
      <c r="A8944" s="1" t="str">
        <f>"8507.10.10"</f>
        <v>8507.10.10</v>
      </c>
      <c r="B8944" s="2" t="str">
        <f>"CAPAC. INFER/IGUAL 20AH E TENSÃO12V"</f>
        <v>CAPAC. INFER/IGUAL 20AH E TENSÃO12V</v>
      </c>
    </row>
    <row r="8945" spans="1:2">
      <c r="A8945" s="1" t="str">
        <f>"8507.10.90"</f>
        <v>8507.10.90</v>
      </c>
      <c r="B8945" s="2" t="str">
        <f>"BATERIA 6 VOLTS"</f>
        <v>BATERIA 6 VOLTS</v>
      </c>
    </row>
    <row r="8946" spans="1:2">
      <c r="A8946" s="1" t="str">
        <f>"8507.20.10"</f>
        <v>8507.20.10</v>
      </c>
      <c r="B8946" s="2" t="str">
        <f>"DE PESO INFER. OU IGUAL A 1.000 KG"</f>
        <v>DE PESO INFER. OU IGUAL A 1.000 KG</v>
      </c>
    </row>
    <row r="8947" spans="1:2">
      <c r="A8947" s="1" t="str">
        <f>"8507.20.90"</f>
        <v>8507.20.90</v>
      </c>
      <c r="B8947" s="2" t="str">
        <f>"Outros"</f>
        <v>Outros</v>
      </c>
    </row>
    <row r="8948" spans="1:2">
      <c r="A8948" s="1" t="str">
        <f>"8507.30.11"</f>
        <v>8507.30.11</v>
      </c>
      <c r="B8948" s="2" t="str">
        <f>"De capacidade inferior ou igual a 1"</f>
        <v>De capacidade inferior ou igual a 1</v>
      </c>
    </row>
    <row r="8949" spans="1:2">
      <c r="A8949" s="1" t="str">
        <f>"8507.30.19"</f>
        <v>8507.30.19</v>
      </c>
      <c r="B8949" s="2" t="str">
        <f>"Outros"</f>
        <v>Outros</v>
      </c>
    </row>
    <row r="8950" spans="1:2">
      <c r="A8950" s="1" t="str">
        <f>"8507.30.90"</f>
        <v>8507.30.90</v>
      </c>
      <c r="B8950" s="2" t="str">
        <f>"Outros"</f>
        <v>Outros</v>
      </c>
    </row>
    <row r="8951" spans="1:2">
      <c r="A8951" s="1" t="str">
        <f>"8507.40.00"</f>
        <v>8507.40.00</v>
      </c>
      <c r="B8951" s="2" t="str">
        <f>"De niquel-ferro"</f>
        <v>De niquel-ferro</v>
      </c>
    </row>
    <row r="8952" spans="1:2">
      <c r="A8952" s="1" t="str">
        <f>"8507.50.00"</f>
        <v>8507.50.00</v>
      </c>
      <c r="B8952" s="2" t="str">
        <f>"DE NÍQUEL-HIDRETO METÁLICO"</f>
        <v>DE NÍQUEL-HIDRETO METÁLICO</v>
      </c>
    </row>
    <row r="8953" spans="1:2">
      <c r="A8953" s="1" t="str">
        <f>"8507.60.00"</f>
        <v>8507.60.00</v>
      </c>
      <c r="B8953" s="2" t="str">
        <f>"De íon de lítio"</f>
        <v>De íon de lítio</v>
      </c>
    </row>
    <row r="8954" spans="1:2">
      <c r="A8954" s="1" t="str">
        <f>"8507.80.00"</f>
        <v>8507.80.00</v>
      </c>
      <c r="B8954" s="2" t="str">
        <f>"OUTROS ACUMULADORES"</f>
        <v>OUTROS ACUMULADORES</v>
      </c>
    </row>
    <row r="8955" spans="1:2">
      <c r="A8955" s="1" t="str">
        <f>"8507.90.10"</f>
        <v>8507.90.10</v>
      </c>
      <c r="B8955" s="2" t="str">
        <f>"SEPARADORES"</f>
        <v>SEPARADORES</v>
      </c>
    </row>
    <row r="8956" spans="1:2">
      <c r="A8956" s="1" t="str">
        <f>"8507.90.20"</f>
        <v>8507.90.20</v>
      </c>
      <c r="B8956" s="2" t="str">
        <f>"RECIPIENTES DE PLÁSTICO, SUAS TAMPA"</f>
        <v>RECIPIENTES DE PLÁSTICO, SUAS TAMPA</v>
      </c>
    </row>
    <row r="8957" spans="1:2">
      <c r="A8957" s="1" t="str">
        <f>"8507.90.90"</f>
        <v>8507.90.90</v>
      </c>
      <c r="B8957" s="2" t="str">
        <f>"Outras"</f>
        <v>Outras</v>
      </c>
    </row>
    <row r="8958" spans="1:2">
      <c r="A8958" s="1" t="str">
        <f>"8508.11.00"</f>
        <v>8508.11.00</v>
      </c>
      <c r="B8958" s="2" t="str">
        <f>"OUTROS"</f>
        <v>OUTROS</v>
      </c>
    </row>
    <row r="8959" spans="1:2">
      <c r="A8959" s="1" t="str">
        <f>"8508.19.00"</f>
        <v>8508.19.00</v>
      </c>
      <c r="B8959" s="2" t="str">
        <f>"OUTROS"</f>
        <v>OUTROS</v>
      </c>
    </row>
    <row r="8960" spans="1:2">
      <c r="A8960" s="1" t="str">
        <f>"8508.60.00"</f>
        <v>8508.60.00</v>
      </c>
      <c r="B8960" s="2" t="str">
        <f>"Outros aspiradores"</f>
        <v>Outros aspiradores</v>
      </c>
    </row>
    <row r="8961" spans="1:2">
      <c r="A8961" s="1" t="str">
        <f>"8508.70.00"</f>
        <v>8508.70.00</v>
      </c>
      <c r="B8961" s="2" t="str">
        <f>"PARTES"</f>
        <v>PARTES</v>
      </c>
    </row>
    <row r="8962" spans="1:2">
      <c r="A8962" s="1" t="str">
        <f>"8508.90.19"</f>
        <v>8508.90.19</v>
      </c>
      <c r="B8962" s="2" t="str">
        <f>"INATIVO"</f>
        <v>INATIVO</v>
      </c>
    </row>
    <row r="8963" spans="1:2">
      <c r="A8963" s="1" t="str">
        <f>"8509.40.10"</f>
        <v>8509.40.10</v>
      </c>
      <c r="B8963" s="2" t="str">
        <f>"Liquidificadores"</f>
        <v>Liquidificadores</v>
      </c>
    </row>
    <row r="8964" spans="1:2">
      <c r="A8964" s="1" t="str">
        <f>"8509.40.20"</f>
        <v>8509.40.20</v>
      </c>
      <c r="B8964" s="2" t="str">
        <f>"Batedeiras"</f>
        <v>Batedeiras</v>
      </c>
    </row>
    <row r="8965" spans="1:2">
      <c r="A8965" s="1" t="str">
        <f>"8509.40.30"</f>
        <v>8509.40.30</v>
      </c>
      <c r="B8965" s="2" t="str">
        <f>"Moedores de carne"</f>
        <v>Moedores de carne</v>
      </c>
    </row>
    <row r="8966" spans="1:2">
      <c r="A8966" s="1" t="str">
        <f>"8509.40.40"</f>
        <v>8509.40.40</v>
      </c>
      <c r="B8966" s="2" t="str">
        <f>"Extratores centrifugos de sucos"</f>
        <v>Extratores centrifugos de sucos</v>
      </c>
    </row>
    <row r="8967" spans="1:2">
      <c r="A8967" s="1" t="str">
        <f>"8509.40.50"</f>
        <v>8509.40.50</v>
      </c>
      <c r="B8967" s="2" t="str">
        <f>"Aparelhos de funcoes multiplas, pro"</f>
        <v>Aparelhos de funcoes multiplas, pro</v>
      </c>
    </row>
    <row r="8968" spans="1:2">
      <c r="A8968" s="1" t="str">
        <f>"8509.40.90"</f>
        <v>8509.40.90</v>
      </c>
      <c r="B8968" s="2" t="str">
        <f>"Outros"</f>
        <v>Outros</v>
      </c>
    </row>
    <row r="8969" spans="1:2">
      <c r="A8969" s="1" t="str">
        <f>"8509.80.10"</f>
        <v>8509.80.10</v>
      </c>
      <c r="B8969" s="2" t="str">
        <f>"Enceradeiras de pisos"</f>
        <v>Enceradeiras de pisos</v>
      </c>
    </row>
    <row r="8970" spans="1:2">
      <c r="A8970" s="1" t="str">
        <f>"8509.80.90"</f>
        <v>8509.80.90</v>
      </c>
      <c r="B8970" s="2" t="str">
        <f>"Outros"</f>
        <v>Outros</v>
      </c>
    </row>
    <row r="8971" spans="1:2">
      <c r="A8971" s="1" t="str">
        <f>"8509.90.00"</f>
        <v>8509.90.00</v>
      </c>
      <c r="B8971" s="2" t="str">
        <f>"PARTES"</f>
        <v>PARTES</v>
      </c>
    </row>
    <row r="8972" spans="1:2">
      <c r="A8972" s="1" t="str">
        <f>"8510.10.00"</f>
        <v>8510.10.00</v>
      </c>
      <c r="B8972" s="2" t="str">
        <f>"Aparelhos ou maquinas de barbear"</f>
        <v>Aparelhos ou maquinas de barbear</v>
      </c>
    </row>
    <row r="8973" spans="1:2">
      <c r="A8973" s="1" t="str">
        <f>"8510.20.00"</f>
        <v>8510.20.00</v>
      </c>
      <c r="B8973" s="2" t="str">
        <f>"Maquinas de cortar o cabelo ou de t"</f>
        <v>Maquinas de cortar o cabelo ou de t</v>
      </c>
    </row>
    <row r="8974" spans="1:2">
      <c r="A8974" s="1" t="str">
        <f>"8510.30.00"</f>
        <v>8510.30.00</v>
      </c>
      <c r="B8974" s="2" t="str">
        <f>"Aparelhos de depilar"</f>
        <v>Aparelhos de depilar</v>
      </c>
    </row>
    <row r="8975" spans="1:2">
      <c r="A8975" s="1" t="str">
        <f>"8510.90.11"</f>
        <v>8510.90.11</v>
      </c>
      <c r="B8975" s="2" t="str">
        <f>"Laminas"</f>
        <v>Laminas</v>
      </c>
    </row>
    <row r="8976" spans="1:2">
      <c r="A8976" s="1" t="str">
        <f>"8510.90.19"</f>
        <v>8510.90.19</v>
      </c>
      <c r="B8976" s="2" t="str">
        <f>"Outras"</f>
        <v>Outras</v>
      </c>
    </row>
    <row r="8977" spans="1:2">
      <c r="A8977" s="1" t="str">
        <f>"8510.90.20"</f>
        <v>8510.90.20</v>
      </c>
      <c r="B8977" s="2" t="str">
        <f>"Pentes e contrapentes para maquinas"</f>
        <v>Pentes e contrapentes para maquinas</v>
      </c>
    </row>
    <row r="8978" spans="1:2">
      <c r="A8978" s="1" t="str">
        <f>"8510.90.90"</f>
        <v>8510.90.90</v>
      </c>
      <c r="B8978" s="2" t="str">
        <f>"Outras"</f>
        <v>Outras</v>
      </c>
    </row>
    <row r="8979" spans="1:2">
      <c r="A8979" s="1" t="str">
        <f>"8511.10.00"</f>
        <v>8511.10.00</v>
      </c>
      <c r="B8979" s="2" t="str">
        <f>"VELAS DE IGNIÇÃO"</f>
        <v>VELAS DE IGNIÇÃO</v>
      </c>
    </row>
    <row r="8980" spans="1:2">
      <c r="A8980" s="1" t="str">
        <f>"8511.20.10"</f>
        <v>8511.20.10</v>
      </c>
      <c r="B8980" s="2" t="str">
        <f>"Magnetos"</f>
        <v>Magnetos</v>
      </c>
    </row>
    <row r="8981" spans="1:2">
      <c r="A8981" s="1" t="str">
        <f>"8511.20.90"</f>
        <v>8511.20.90</v>
      </c>
      <c r="B8981" s="2" t="str">
        <f>"Outros"</f>
        <v>Outros</v>
      </c>
    </row>
    <row r="8982" spans="1:2">
      <c r="A8982" s="1" t="str">
        <f>"8511.30.10"</f>
        <v>8511.30.10</v>
      </c>
      <c r="B8982" s="2" t="str">
        <f>"Distribuidores"</f>
        <v>Distribuidores</v>
      </c>
    </row>
    <row r="8983" spans="1:2">
      <c r="A8983" s="1" t="str">
        <f>"8511.30.20"</f>
        <v>8511.30.20</v>
      </c>
      <c r="B8983" s="2" t="str">
        <f>"Bobinas de ignicao"</f>
        <v>Bobinas de ignicao</v>
      </c>
    </row>
    <row r="8984" spans="1:2">
      <c r="A8984" s="1" t="str">
        <f>"8511.40.00"</f>
        <v>8511.40.00</v>
      </c>
      <c r="B8984" s="2" t="str">
        <f>"Motores de arranque, mesmo funciona"</f>
        <v>Motores de arranque, mesmo funciona</v>
      </c>
    </row>
    <row r="8985" spans="1:2">
      <c r="A8985" s="1" t="str">
        <f>"8511.50.10"</f>
        <v>8511.50.10</v>
      </c>
      <c r="B8985" s="2" t="str">
        <f>"Dinamos e alternadores"</f>
        <v>Dinamos e alternadores</v>
      </c>
    </row>
    <row r="8986" spans="1:2">
      <c r="A8986" s="1" t="str">
        <f>"8511.50.90"</f>
        <v>8511.50.90</v>
      </c>
      <c r="B8986" s="2" t="str">
        <f>"Outros"</f>
        <v>Outros</v>
      </c>
    </row>
    <row r="8987" spans="1:2">
      <c r="A8987" s="1" t="str">
        <f>"8511.80.10"</f>
        <v>8511.80.10</v>
      </c>
      <c r="B8987" s="2" t="str">
        <f>"Velas de aquecimento"</f>
        <v>Velas de aquecimento</v>
      </c>
    </row>
    <row r="8988" spans="1:2">
      <c r="A8988" s="1" t="str">
        <f>"8511.80.20"</f>
        <v>8511.80.20</v>
      </c>
      <c r="B8988" s="2" t="str">
        <f>"Reguladores de voltagem (conjuntore"</f>
        <v>Reguladores de voltagem (conjuntore</v>
      </c>
    </row>
    <row r="8989" spans="1:2">
      <c r="A8989" s="1" t="str">
        <f>"8511.80.30"</f>
        <v>8511.80.30</v>
      </c>
      <c r="B8989" s="2" t="str">
        <f>"Ignicao eletronica digital"</f>
        <v>Ignicao eletronica digital</v>
      </c>
    </row>
    <row r="8990" spans="1:2">
      <c r="A8990" s="1" t="str">
        <f>"8511.80.90"</f>
        <v>8511.80.90</v>
      </c>
      <c r="B8990" s="2" t="str">
        <f>"Outros"</f>
        <v>Outros</v>
      </c>
    </row>
    <row r="8991" spans="1:2">
      <c r="A8991" s="1" t="str">
        <f>"8511.90.00"</f>
        <v>8511.90.00</v>
      </c>
      <c r="B8991" s="2" t="str">
        <f>"PARTES"</f>
        <v>PARTES</v>
      </c>
    </row>
    <row r="8992" spans="1:2">
      <c r="A8992" s="1" t="str">
        <f>"8512.10.00"</f>
        <v>8512.10.00</v>
      </c>
      <c r="B8992" s="2" t="str">
        <f>"Aparelhos de iluminacao ou de sinal"</f>
        <v>Aparelhos de iluminacao ou de sinal</v>
      </c>
    </row>
    <row r="8993" spans="1:2">
      <c r="A8993" s="1" t="str">
        <f>"8512.20.11"</f>
        <v>8512.20.11</v>
      </c>
      <c r="B8993" s="2" t="str">
        <f>"Faróis"</f>
        <v>Faróis</v>
      </c>
    </row>
    <row r="8994" spans="1:2">
      <c r="A8994" s="1" t="str">
        <f>"8512.20.19"</f>
        <v>8512.20.19</v>
      </c>
      <c r="B8994" s="2" t="str">
        <f>"Outros"</f>
        <v>Outros</v>
      </c>
    </row>
    <row r="8995" spans="1:2">
      <c r="A8995" s="1" t="str">
        <f>"8512.20.21"</f>
        <v>8512.20.21</v>
      </c>
      <c r="B8995" s="2" t="str">
        <f>"LUZES FIXAS"</f>
        <v>LUZES FIXAS</v>
      </c>
    </row>
    <row r="8996" spans="1:2">
      <c r="A8996" s="1" t="str">
        <f>"8512.20.22"</f>
        <v>8512.20.22</v>
      </c>
      <c r="B8996" s="2" t="str">
        <f>"Luzes indicadoras de manobras"</f>
        <v>Luzes indicadoras de manobras</v>
      </c>
    </row>
    <row r="8997" spans="1:2">
      <c r="A8997" s="1" t="str">
        <f>"8512.20.23"</f>
        <v>8512.20.23</v>
      </c>
      <c r="B8997" s="2" t="str">
        <f>"CAIXAS DE LUZES COMBINADAS"</f>
        <v>CAIXAS DE LUZES COMBINADAS</v>
      </c>
    </row>
    <row r="8998" spans="1:2">
      <c r="A8998" s="1" t="str">
        <f>"8512.20.29"</f>
        <v>8512.20.29</v>
      </c>
      <c r="B8998" s="2" t="str">
        <f>"Outros"</f>
        <v>Outros</v>
      </c>
    </row>
    <row r="8999" spans="1:2">
      <c r="A8999" s="1" t="str">
        <f>"8512.30.00"</f>
        <v>8512.30.00</v>
      </c>
      <c r="B8999" s="2" t="str">
        <f>"Aparelhos de sinalizacao acustica"</f>
        <v>Aparelhos de sinalizacao acustica</v>
      </c>
    </row>
    <row r="9000" spans="1:2">
      <c r="A9000" s="1" t="str">
        <f>"8512.40.10"</f>
        <v>8512.40.10</v>
      </c>
      <c r="B9000" s="2" t="str">
        <f>"Limpadores de para-brisas"</f>
        <v>Limpadores de para-brisas</v>
      </c>
    </row>
    <row r="9001" spans="1:2">
      <c r="A9001" s="1" t="str">
        <f>"8512.40.20"</f>
        <v>8512.40.20</v>
      </c>
      <c r="B9001" s="2" t="str">
        <f>"Degeladores e desembacadores"</f>
        <v>Degeladores e desembacadores</v>
      </c>
    </row>
    <row r="9002" spans="1:2">
      <c r="A9002" s="1" t="str">
        <f>"8512.90.00"</f>
        <v>8512.90.00</v>
      </c>
      <c r="B9002" s="2" t="str">
        <f>"Partes"</f>
        <v>Partes</v>
      </c>
    </row>
    <row r="9003" spans="1:2">
      <c r="A9003" s="1" t="str">
        <f>"8513.10.10"</f>
        <v>8513.10.10</v>
      </c>
      <c r="B9003" s="2" t="str">
        <f>"MANUAIS"</f>
        <v>MANUAIS</v>
      </c>
    </row>
    <row r="9004" spans="1:2">
      <c r="A9004" s="1" t="str">
        <f>"8513.10.90"</f>
        <v>8513.10.90</v>
      </c>
      <c r="B9004" s="2" t="str">
        <f>"Outras"</f>
        <v>Outras</v>
      </c>
    </row>
    <row r="9005" spans="1:2">
      <c r="A9005" s="1" t="str">
        <f>"8513.90.00"</f>
        <v>8513.90.00</v>
      </c>
      <c r="B9005" s="2" t="str">
        <f>"Partes"</f>
        <v>Partes</v>
      </c>
    </row>
    <row r="9006" spans="1:2">
      <c r="A9006" s="1" t="str">
        <f>"8514.10.10"</f>
        <v>8514.10.10</v>
      </c>
      <c r="B9006" s="2" t="str">
        <f>"Industriais"</f>
        <v>Industriais</v>
      </c>
    </row>
    <row r="9007" spans="1:2">
      <c r="A9007" s="1" t="str">
        <f>"8514.10.90"</f>
        <v>8514.10.90</v>
      </c>
      <c r="B9007" s="2" t="str">
        <f>"Outros"</f>
        <v>Outros</v>
      </c>
    </row>
    <row r="9008" spans="1:2">
      <c r="A9008" s="1" t="str">
        <f>"8514.19.00"</f>
        <v>8514.19.00</v>
      </c>
      <c r="B9008" s="2" t="str">
        <f>"FORNOS ELETRICOS DE LABORATÓRIO"</f>
        <v>FORNOS ELETRICOS DE LABORATÓRIO</v>
      </c>
    </row>
    <row r="9009" spans="1:2">
      <c r="A9009" s="1" t="str">
        <f>"8514.20.11"</f>
        <v>8514.20.11</v>
      </c>
      <c r="B9009" s="2" t="str">
        <f>"Industriais"</f>
        <v>Industriais</v>
      </c>
    </row>
    <row r="9010" spans="1:2">
      <c r="A9010" s="1" t="str">
        <f>"8514.20.19"</f>
        <v>8514.20.19</v>
      </c>
      <c r="B9010" s="2" t="str">
        <f>"Outros"</f>
        <v>Outros</v>
      </c>
    </row>
    <row r="9011" spans="1:2">
      <c r="A9011" s="1" t="str">
        <f>"8514.20.20"</f>
        <v>8514.20.20</v>
      </c>
      <c r="B9011" s="2" t="str">
        <f>"Por perdas dieletricas"</f>
        <v>Por perdas dieletricas</v>
      </c>
    </row>
    <row r="9012" spans="1:2">
      <c r="A9012" s="1" t="str">
        <f>"8514.30.11"</f>
        <v>8514.30.11</v>
      </c>
      <c r="B9012" s="2" t="str">
        <f>"Industriais"</f>
        <v>Industriais</v>
      </c>
    </row>
    <row r="9013" spans="1:2">
      <c r="A9013" s="1" t="str">
        <f>"8514.30.19"</f>
        <v>8514.30.19</v>
      </c>
      <c r="B9013" s="2" t="str">
        <f>"Outros"</f>
        <v>Outros</v>
      </c>
    </row>
    <row r="9014" spans="1:2">
      <c r="A9014" s="1" t="str">
        <f>"8514.30.21"</f>
        <v>8514.30.21</v>
      </c>
      <c r="B9014" s="2" t="str">
        <f>"INDUSTRIAIS -FORNO ELETRICO DE ARCO"</f>
        <v>INDUSTRIAIS -FORNO ELETRICO DE ARCO</v>
      </c>
    </row>
    <row r="9015" spans="1:2">
      <c r="A9015" s="1" t="str">
        <f>"8514.30.29"</f>
        <v>8514.30.29</v>
      </c>
      <c r="B9015" s="2" t="str">
        <f>"Outros"</f>
        <v>Outros</v>
      </c>
    </row>
    <row r="9016" spans="1:2">
      <c r="A9016" s="1" t="str">
        <f>"8514.30.90"</f>
        <v>8514.30.90</v>
      </c>
      <c r="B9016" s="2" t="str">
        <f>"Outros"</f>
        <v>Outros</v>
      </c>
    </row>
    <row r="9017" spans="1:2">
      <c r="A9017" s="1" t="str">
        <f>"8514.40.00"</f>
        <v>8514.40.00</v>
      </c>
      <c r="B9017" s="2" t="str">
        <f>"Outros aparelhos para tratamento te"</f>
        <v>Outros aparelhos para tratamento te</v>
      </c>
    </row>
    <row r="9018" spans="1:2">
      <c r="A9018" s="1" t="str">
        <f>"8514.90.00"</f>
        <v>8514.90.00</v>
      </c>
      <c r="B9018" s="2" t="str">
        <f>"placa refrataria"</f>
        <v>placa refrataria</v>
      </c>
    </row>
    <row r="9019" spans="1:2">
      <c r="A9019" s="1" t="str">
        <f>"8515.11.00"</f>
        <v>8515.11.00</v>
      </c>
      <c r="B9019" s="2" t="str">
        <f>"FERROS E PISTOLAS"</f>
        <v>FERROS E PISTOLAS</v>
      </c>
    </row>
    <row r="9020" spans="1:2">
      <c r="A9020" s="1" t="str">
        <f>"8515.19.00"</f>
        <v>8515.19.00</v>
      </c>
      <c r="B9020" s="2" t="str">
        <f>"Outros"</f>
        <v>Outros</v>
      </c>
    </row>
    <row r="9021" spans="1:2">
      <c r="A9021" s="1" t="str">
        <f>"8515.21.00"</f>
        <v>8515.21.00</v>
      </c>
      <c r="B9021" s="2" t="str">
        <f>"Inteira ou parcialmente automaticos"</f>
        <v>Inteira ou parcialmente automaticos</v>
      </c>
    </row>
    <row r="9022" spans="1:2">
      <c r="A9022" s="1" t="str">
        <f>"8515.29.00"</f>
        <v>8515.29.00</v>
      </c>
      <c r="B9022" s="2" t="str">
        <f>"Outros"</f>
        <v>Outros</v>
      </c>
    </row>
    <row r="9023" spans="1:2">
      <c r="A9023" s="1" t="str">
        <f>"8515.31.10"</f>
        <v>8515.31.10</v>
      </c>
      <c r="B9023" s="2" t="str">
        <f>"Robos para soldar, por arco, em atm"</f>
        <v>Robos para soldar, por arco, em atm</v>
      </c>
    </row>
    <row r="9024" spans="1:2">
      <c r="A9024" s="1" t="str">
        <f>"8515.31.90"</f>
        <v>8515.31.90</v>
      </c>
      <c r="B9024" s="2" t="str">
        <f>"Outros"</f>
        <v>Outros</v>
      </c>
    </row>
    <row r="9025" spans="1:2">
      <c r="A9025" s="1" t="str">
        <f>"8515.39.00"</f>
        <v>8515.39.00</v>
      </c>
      <c r="B9025" s="2" t="str">
        <f>"Outros"</f>
        <v>Outros</v>
      </c>
    </row>
    <row r="9026" spans="1:2">
      <c r="A9026" s="1" t="str">
        <f>"8515.80.10"</f>
        <v>8515.80.10</v>
      </c>
      <c r="B9026" s="2" t="str">
        <f>"Para soldar a laser"</f>
        <v>Para soldar a laser</v>
      </c>
    </row>
    <row r="9027" spans="1:2">
      <c r="A9027" s="1" t="str">
        <f>"8515.80.90"</f>
        <v>8515.80.90</v>
      </c>
      <c r="B9027" s="2" t="str">
        <f>"Outros"</f>
        <v>Outros</v>
      </c>
    </row>
    <row r="9028" spans="1:2">
      <c r="A9028" s="1" t="str">
        <f>"8515.90.00"</f>
        <v>8515.90.00</v>
      </c>
      <c r="B9028" s="2" t="str">
        <f>"PARTES"</f>
        <v>PARTES</v>
      </c>
    </row>
    <row r="9029" spans="1:2">
      <c r="A9029" s="1" t="str">
        <f>"8516.10.00"</f>
        <v>8516.10.00</v>
      </c>
      <c r="B9029" s="2" t="str">
        <f>"AQUECEDORES ELETRICOS DE ÁGUA,CINTA"</f>
        <v>AQUECEDORES ELETRICOS DE ÁGUA,CINTA</v>
      </c>
    </row>
    <row r="9030" spans="1:2">
      <c r="A9030" s="1" t="str">
        <f>"8516.21.00"</f>
        <v>8516.21.00</v>
      </c>
      <c r="B9030" s="2" t="str">
        <f>"Radiadores de acumulacao"</f>
        <v>Radiadores de acumulacao</v>
      </c>
    </row>
    <row r="9031" spans="1:2">
      <c r="A9031" s="1" t="str">
        <f>"8516.29.00"</f>
        <v>8516.29.00</v>
      </c>
      <c r="B9031" s="2" t="str">
        <f>"Outros"</f>
        <v>Outros</v>
      </c>
    </row>
    <row r="9032" spans="1:2">
      <c r="A9032" s="1" t="str">
        <f>"8516.31.00"</f>
        <v>8516.31.00</v>
      </c>
      <c r="B9032" s="2" t="str">
        <f>"Secadores de cabelo"</f>
        <v>Secadores de cabelo</v>
      </c>
    </row>
    <row r="9033" spans="1:2">
      <c r="A9033" s="1" t="str">
        <f>"8516.32.00"</f>
        <v>8516.32.00</v>
      </c>
      <c r="B9033" s="2" t="str">
        <f>"Outros aparelhos para arranjos do c"</f>
        <v>Outros aparelhos para arranjos do c</v>
      </c>
    </row>
    <row r="9034" spans="1:2">
      <c r="A9034" s="1" t="str">
        <f>"8516.33.00"</f>
        <v>8516.33.00</v>
      </c>
      <c r="B9034" s="2" t="str">
        <f>"Aparelhos para secar as maos"</f>
        <v>Aparelhos para secar as maos</v>
      </c>
    </row>
    <row r="9035" spans="1:2">
      <c r="A9035" s="1" t="str">
        <f>"8516.40.00"</f>
        <v>8516.40.00</v>
      </c>
      <c r="B9035" s="2" t="str">
        <f>"Ferros eletricos de passar"</f>
        <v>Ferros eletricos de passar</v>
      </c>
    </row>
    <row r="9036" spans="1:2">
      <c r="A9036" s="1" t="str">
        <f>"8516.50.00"</f>
        <v>8516.50.00</v>
      </c>
      <c r="B9036" s="2" t="str">
        <f>"FORNOS E MICROONDAS"</f>
        <v>FORNOS E MICROONDAS</v>
      </c>
    </row>
    <row r="9037" spans="1:2">
      <c r="A9037" s="1" t="str">
        <f>"8516.60.00"</f>
        <v>8516.60.00</v>
      </c>
      <c r="B9037" s="2" t="str">
        <f>"OUTROS FORNO; FOGOES DE COZINHA"</f>
        <v>OUTROS FORNO; FOGOES DE COZINHA</v>
      </c>
    </row>
    <row r="9038" spans="1:2">
      <c r="A9038" s="1" t="str">
        <f>"8516.71.00"</f>
        <v>8516.71.00</v>
      </c>
      <c r="B9038" s="2" t="str">
        <f>"Aparelhos para preparacao de cafe o"</f>
        <v>Aparelhos para preparacao de cafe o</v>
      </c>
    </row>
    <row r="9039" spans="1:2">
      <c r="A9039" s="1" t="str">
        <f>"8516.72.00"</f>
        <v>8516.72.00</v>
      </c>
      <c r="B9039" s="2" t="str">
        <f>"Torradeiras de pao"</f>
        <v>Torradeiras de pao</v>
      </c>
    </row>
    <row r="9040" spans="1:2">
      <c r="A9040" s="1" t="str">
        <f>"8516.79.10"</f>
        <v>8516.79.10</v>
      </c>
      <c r="B9040" s="2" t="str">
        <f>"Panelas"</f>
        <v>Panelas</v>
      </c>
    </row>
    <row r="9041" spans="1:2">
      <c r="A9041" s="1" t="str">
        <f>"8516.79.20"</f>
        <v>8516.79.20</v>
      </c>
      <c r="B9041" s="2" t="str">
        <f>"Fritadoras"</f>
        <v>Fritadoras</v>
      </c>
    </row>
    <row r="9042" spans="1:2">
      <c r="A9042" s="1" t="str">
        <f>"8516.79.90"</f>
        <v>8516.79.90</v>
      </c>
      <c r="B9042" s="2" t="str">
        <f>"OUTROS"</f>
        <v>OUTROS</v>
      </c>
    </row>
    <row r="9043" spans="1:2">
      <c r="A9043" s="1" t="str">
        <f>"8516.80.10"</f>
        <v>8516.80.10</v>
      </c>
      <c r="B9043" s="2" t="str">
        <f>"Para aparelhos da presente posicao"</f>
        <v>Para aparelhos da presente posicao</v>
      </c>
    </row>
    <row r="9044" spans="1:2">
      <c r="A9044" s="1" t="str">
        <f>"8516.80.90"</f>
        <v>8516.80.90</v>
      </c>
      <c r="B9044" s="2" t="str">
        <f>"OUTRAS -EMISSOR INFRA VERMELHO"</f>
        <v>OUTRAS -EMISSOR INFRA VERMELHO</v>
      </c>
    </row>
    <row r="9045" spans="1:2">
      <c r="A9045" s="1" t="str">
        <f>"8516.90.00"</f>
        <v>8516.90.00</v>
      </c>
      <c r="B9045" s="2" t="str">
        <f>"Partes"</f>
        <v>Partes</v>
      </c>
    </row>
    <row r="9046" spans="1:2">
      <c r="A9046" s="1" t="str">
        <f>"8517.11.00"</f>
        <v>8517.11.00</v>
      </c>
      <c r="B9046" s="2" t="str">
        <f>"APAR TELEF POR FIO UNID AUSCULT SEM"</f>
        <v>APAR TELEF POR FIO UNID AUSCULT SEM</v>
      </c>
    </row>
    <row r="9047" spans="1:2">
      <c r="A9047" s="1" t="str">
        <f>"8517.12.11"</f>
        <v>8517.12.11</v>
      </c>
      <c r="B9047" s="2" t="str">
        <f>"Portáteis (por exemplo, walkie talk"</f>
        <v>Portáteis (por exemplo, walkie talk</v>
      </c>
    </row>
    <row r="9048" spans="1:2">
      <c r="A9048" s="1" t="str">
        <f>"8517.12.12"</f>
        <v>8517.12.12</v>
      </c>
      <c r="B9048" s="2" t="str">
        <f>"Fixos, sem fonte propria de energia"</f>
        <v>Fixos, sem fonte propria de energia</v>
      </c>
    </row>
    <row r="9049" spans="1:2">
      <c r="A9049" s="1" t="str">
        <f>"8517.12.13"</f>
        <v>8517.12.13</v>
      </c>
      <c r="B9049" s="2" t="str">
        <f>"Moveis, do tipo utilizado em veicul"</f>
        <v>Moveis, do tipo utilizado em veicul</v>
      </c>
    </row>
    <row r="9050" spans="1:2">
      <c r="A9050" s="1" t="str">
        <f>"8517.12.19"</f>
        <v>8517.12.19</v>
      </c>
      <c r="B9050" s="2" t="str">
        <f>"Outros"</f>
        <v>Outros</v>
      </c>
    </row>
    <row r="9051" spans="1:2">
      <c r="A9051" s="1" t="str">
        <f>"8517.12.21"</f>
        <v>8517.12.21</v>
      </c>
      <c r="B9051" s="2" t="str">
        <f>"Portateis"</f>
        <v>Portateis</v>
      </c>
    </row>
    <row r="9052" spans="1:2">
      <c r="A9052" s="1" t="str">
        <f>"8517.12.22"</f>
        <v>8517.12.22</v>
      </c>
      <c r="B9052" s="2" t="str">
        <f>"Fixos, sem fonte propria de energia"</f>
        <v>Fixos, sem fonte propria de energia</v>
      </c>
    </row>
    <row r="9053" spans="1:2">
      <c r="A9053" s="1" t="str">
        <f>"8517.12.23"</f>
        <v>8517.12.23</v>
      </c>
      <c r="B9053" s="2" t="str">
        <f>"Do tipo utilizado em veiculos autom"</f>
        <v>Do tipo utilizado em veiculos autom</v>
      </c>
    </row>
    <row r="9054" spans="1:2">
      <c r="A9054" s="1" t="str">
        <f>"8517.12.29"</f>
        <v>8517.12.29</v>
      </c>
      <c r="B9054" s="2" t="str">
        <f>"Outros"</f>
        <v>Outros</v>
      </c>
    </row>
    <row r="9055" spans="1:2">
      <c r="A9055" s="1" t="str">
        <f>"8517.12.31"</f>
        <v>8517.12.31</v>
      </c>
      <c r="B9055" s="2" t="str">
        <f>"PORTATEIS"</f>
        <v>PORTATEIS</v>
      </c>
    </row>
    <row r="9056" spans="1:2">
      <c r="A9056" s="1" t="str">
        <f>"8517.12.32"</f>
        <v>8517.12.32</v>
      </c>
      <c r="B9056" s="2" t="str">
        <f>"Fixos, sem fonte propria de energia"</f>
        <v>Fixos, sem fonte propria de energia</v>
      </c>
    </row>
    <row r="9057" spans="1:2">
      <c r="A9057" s="1" t="str">
        <f>"8517.12.33"</f>
        <v>8517.12.33</v>
      </c>
      <c r="B9057" s="2" t="str">
        <f>"Do tipo utilizado em veiculos autom"</f>
        <v>Do tipo utilizado em veiculos autom</v>
      </c>
    </row>
    <row r="9058" spans="1:2">
      <c r="A9058" s="1" t="str">
        <f>"8517.12.39"</f>
        <v>8517.12.39</v>
      </c>
      <c r="B9058" s="2" t="str">
        <f>"Outros"</f>
        <v>Outros</v>
      </c>
    </row>
    <row r="9059" spans="1:2">
      <c r="A9059" s="1" t="str">
        <f>"8517.12.41"</f>
        <v>8517.12.41</v>
      </c>
      <c r="B9059" s="2" t="str">
        <f>"Digitais, operando em banda C, Ku,"</f>
        <v>Digitais, operando em banda C, Ku,</v>
      </c>
    </row>
    <row r="9060" spans="1:2">
      <c r="A9060" s="1" t="str">
        <f>"8517.12.49"</f>
        <v>8517.12.49</v>
      </c>
      <c r="B9060" s="2" t="str">
        <f>"Outros"</f>
        <v>Outros</v>
      </c>
    </row>
    <row r="9061" spans="1:2">
      <c r="A9061" s="1" t="str">
        <f>"8517.12.90"</f>
        <v>8517.12.90</v>
      </c>
      <c r="B9061" s="2" t="str">
        <f>"Outros"</f>
        <v>Outros</v>
      </c>
    </row>
    <row r="9062" spans="1:2">
      <c r="A9062" s="1" t="str">
        <f>"8517.13.00"</f>
        <v>8517.13.00</v>
      </c>
      <c r="B9062" s="2" t="str">
        <f>"Telefones inteligentes (smartphones"</f>
        <v>Telefones inteligentes (smartphones</v>
      </c>
    </row>
    <row r="9063" spans="1:2">
      <c r="A9063" s="1" t="str">
        <f>"8517.18.10"</f>
        <v>8517.18.10</v>
      </c>
      <c r="B9063" s="2" t="str">
        <f>"Interfones"</f>
        <v>Interfones</v>
      </c>
    </row>
    <row r="9064" spans="1:2">
      <c r="A9064" s="1" t="str">
        <f>"8517.18.20"</f>
        <v>8517.18.20</v>
      </c>
      <c r="B9064" s="2" t="str">
        <f>"Telefones publicos"</f>
        <v>Telefones publicos</v>
      </c>
    </row>
    <row r="9065" spans="1:2">
      <c r="A9065" s="1" t="str">
        <f>"8517.18.91"</f>
        <v>8517.18.91</v>
      </c>
      <c r="B9065" s="2" t="str">
        <f>"NÃO COMBINADOS COM OUTROS APARELHOS"</f>
        <v>NÃO COMBINADOS COM OUTROS APARELHOS</v>
      </c>
    </row>
    <row r="9066" spans="1:2">
      <c r="A9066" s="1" t="str">
        <f>"8517.18.99"</f>
        <v>8517.18.99</v>
      </c>
      <c r="B9066" s="2" t="str">
        <f>"Outros"</f>
        <v>Outros</v>
      </c>
    </row>
    <row r="9067" spans="1:2">
      <c r="A9067" s="1" t="str">
        <f>"8517.61.11"</f>
        <v>8517.61.11</v>
      </c>
      <c r="B9067" s="2" t="str">
        <f>"De taxa de transmissao inferior ou"</f>
        <v>De taxa de transmissao inferior ou</v>
      </c>
    </row>
    <row r="9068" spans="1:2">
      <c r="A9068" s="1" t="str">
        <f>"8517.61.19"</f>
        <v>8517.61.19</v>
      </c>
      <c r="B9068" s="2" t="str">
        <f>"Outras"</f>
        <v>Outras</v>
      </c>
    </row>
    <row r="9069" spans="1:2">
      <c r="A9069" s="1" t="str">
        <f>"8517.61.20"</f>
        <v>8517.61.20</v>
      </c>
      <c r="B9069" s="2" t="str">
        <f>"De sistema troncalizado (trunking)"</f>
        <v>De sistema troncalizado (trunking)</v>
      </c>
    </row>
    <row r="9070" spans="1:2">
      <c r="A9070" s="1" t="str">
        <f>"8517.61.30"</f>
        <v>8517.61.30</v>
      </c>
      <c r="B9070" s="2" t="str">
        <f>"DE TELEFONI ACELULAR"</f>
        <v>DE TELEFONI ACELULAR</v>
      </c>
    </row>
    <row r="9071" spans="1:2">
      <c r="A9071" s="1" t="str">
        <f>"8517.61.41"</f>
        <v>8517.61.41</v>
      </c>
      <c r="B9071" s="2" t="str">
        <f>"Principal terrena fixa, sem conjunt"</f>
        <v>Principal terrena fixa, sem conjunt</v>
      </c>
    </row>
    <row r="9072" spans="1:2">
      <c r="A9072" s="1" t="str">
        <f>"8517.61.42"</f>
        <v>8517.61.42</v>
      </c>
      <c r="B9072" s="2" t="str">
        <f>"VSAT (Very Small Aperture Terminal)"</f>
        <v>VSAT (Very Small Aperture Terminal)</v>
      </c>
    </row>
    <row r="9073" spans="1:2">
      <c r="A9073" s="1" t="str">
        <f>"8517.61.43"</f>
        <v>8517.61.43</v>
      </c>
      <c r="B9073" s="2" t="str">
        <f>"Digitais, operando em banda C, Ku,"</f>
        <v>Digitais, operando em banda C, Ku,</v>
      </c>
    </row>
    <row r="9074" spans="1:2">
      <c r="A9074" s="1" t="str">
        <f>"8517.61.49"</f>
        <v>8517.61.49</v>
      </c>
      <c r="B9074" s="2" t="str">
        <f>"Outras"</f>
        <v>Outras</v>
      </c>
    </row>
    <row r="9075" spans="1:2">
      <c r="A9075" s="1" t="str">
        <f>"8517.61.91"</f>
        <v>8517.61.91</v>
      </c>
      <c r="B9075" s="2" t="str">
        <f>"Digitais, de frequencia igual ou su"</f>
        <v>Digitais, de frequencia igual ou su</v>
      </c>
    </row>
    <row r="9076" spans="1:2">
      <c r="A9076" s="1" t="str">
        <f>"8517.61.92"</f>
        <v>8517.61.92</v>
      </c>
      <c r="B9076" s="2" t="str">
        <f>"Digitais, de frequencia superior a"</f>
        <v>Digitais, de frequencia superior a</v>
      </c>
    </row>
    <row r="9077" spans="1:2">
      <c r="A9077" s="1" t="str">
        <f>"8517.61.99"</f>
        <v>8517.61.99</v>
      </c>
      <c r="B9077" s="2" t="str">
        <f>"Outras"</f>
        <v>Outras</v>
      </c>
    </row>
    <row r="9078" spans="1:2">
      <c r="A9078" s="1" t="str">
        <f>"8517.62.11"</f>
        <v>8517.62.11</v>
      </c>
      <c r="B9078" s="2" t="str">
        <f>"MULTIPLEXADORES POR DIVISÃO DE FREQ"</f>
        <v>MULTIPLEXADORES POR DIVISÃO DE FREQ</v>
      </c>
    </row>
    <row r="9079" spans="1:2">
      <c r="A9079" s="1" t="str">
        <f>"8517.62.12"</f>
        <v>8517.62.12</v>
      </c>
      <c r="B9079" s="2" t="str">
        <f>"Multiplexadores por divisao de temp"</f>
        <v>Multiplexadores por divisao de temp</v>
      </c>
    </row>
    <row r="9080" spans="1:2">
      <c r="A9080" s="1" t="str">
        <f>"8517.62.13"</f>
        <v>8517.62.13</v>
      </c>
      <c r="B9080" s="2" t="str">
        <f>"Outros multiplexadores por divisao"</f>
        <v>Outros multiplexadores por divisao</v>
      </c>
    </row>
    <row r="9081" spans="1:2">
      <c r="A9081" s="1" t="str">
        <f>"8517.62.14"</f>
        <v>8517.62.14</v>
      </c>
      <c r="B9081" s="2" t="str">
        <f>"Concentradores de linhas de assinan"</f>
        <v>Concentradores de linhas de assinan</v>
      </c>
    </row>
    <row r="9082" spans="1:2">
      <c r="A9082" s="1" t="str">
        <f>"8517.62.19"</f>
        <v>8517.62.19</v>
      </c>
      <c r="B9082" s="2" t="str">
        <f>"Outros"</f>
        <v>Outros</v>
      </c>
    </row>
    <row r="9083" spans="1:2">
      <c r="A9083" s="1" t="str">
        <f>"8517.62.21"</f>
        <v>8517.62.21</v>
      </c>
      <c r="B9083" s="2" t="str">
        <f>"Centrais automaticas publicas, para"</f>
        <v>Centrais automaticas publicas, para</v>
      </c>
    </row>
    <row r="9084" spans="1:2">
      <c r="A9084" s="1" t="str">
        <f>"8517.62.22"</f>
        <v>8517.62.22</v>
      </c>
      <c r="B9084" s="2" t="str">
        <f>"Centrais automaticas privadas, de c"</f>
        <v>Centrais automaticas privadas, de c</v>
      </c>
    </row>
    <row r="9085" spans="1:2">
      <c r="A9085" s="1" t="str">
        <f>"8517.62.23"</f>
        <v>8517.62.23</v>
      </c>
      <c r="B9085" s="2" t="str">
        <f>"Centrais automaticas privadas, de c"</f>
        <v>Centrais automaticas privadas, de c</v>
      </c>
    </row>
    <row r="9086" spans="1:2">
      <c r="A9086" s="1" t="str">
        <f>"8517.62.24"</f>
        <v>8517.62.24</v>
      </c>
      <c r="B9086" s="2" t="str">
        <f>"Centrais automaticas privadas, de c"</f>
        <v>Centrais automaticas privadas, de c</v>
      </c>
    </row>
    <row r="9087" spans="1:2">
      <c r="A9087" s="1" t="str">
        <f>"8517.62.29"</f>
        <v>8517.62.29</v>
      </c>
      <c r="B9087" s="2" t="str">
        <f>"Outros"</f>
        <v>Outros</v>
      </c>
    </row>
    <row r="9088" spans="1:2">
      <c r="A9088" s="1" t="str">
        <f>"8517.62.31"</f>
        <v>8517.62.31</v>
      </c>
      <c r="B9088" s="2" t="str">
        <f>"Centrais automaticas para comutacao"</f>
        <v>Centrais automaticas para comutacao</v>
      </c>
    </row>
    <row r="9089" spans="1:2">
      <c r="A9089" s="1" t="str">
        <f>"8517.62.32"</f>
        <v>8517.62.32</v>
      </c>
      <c r="B9089" s="2" t="str">
        <f>"Outras centrais automaticas para co"</f>
        <v>Outras centrais automaticas para co</v>
      </c>
    </row>
    <row r="9090" spans="1:2">
      <c r="A9090" s="1" t="str">
        <f>"8517.62.33"</f>
        <v>8517.62.33</v>
      </c>
      <c r="B9090" s="2" t="str">
        <f>"Centrais automaticas de sistema tro"</f>
        <v>Centrais automaticas de sistema tro</v>
      </c>
    </row>
    <row r="9091" spans="1:2">
      <c r="A9091" s="1" t="str">
        <f>"8517.62.34"</f>
        <v>8517.62.34</v>
      </c>
      <c r="B9091" s="2" t="str">
        <f>"Aparelhos para comutação de pacotes"</f>
        <v>Aparelhos para comutação de pacotes</v>
      </c>
    </row>
    <row r="9092" spans="1:2">
      <c r="A9092" s="1" t="str">
        <f>"8517.62.39"</f>
        <v>8517.62.39</v>
      </c>
      <c r="B9092" s="2" t="str">
        <f>"OUTROS"</f>
        <v>OUTROS</v>
      </c>
    </row>
    <row r="9093" spans="1:2">
      <c r="A9093" s="1" t="str">
        <f>"8517.62.41"</f>
        <v>8517.62.41</v>
      </c>
      <c r="B9093" s="2" t="str">
        <f>"Roteadores Digitais Conexão Sem Fio"</f>
        <v>Roteadores Digitais Conexão Sem Fio</v>
      </c>
    </row>
    <row r="9094" spans="1:2">
      <c r="A9094" s="1" t="str">
        <f>"8517.62.48"</f>
        <v>8517.62.48</v>
      </c>
      <c r="B9094" s="2" t="str">
        <f>"Outros, com velocidade de interface"</f>
        <v>Outros, com velocidade de interface</v>
      </c>
    </row>
    <row r="9095" spans="1:2">
      <c r="A9095" s="1" t="str">
        <f>"8517.62.49"</f>
        <v>8517.62.49</v>
      </c>
      <c r="B9095" s="2" t="str">
        <f>"OUTROS"</f>
        <v>OUTROS</v>
      </c>
    </row>
    <row r="9096" spans="1:2">
      <c r="A9096" s="1" t="str">
        <f>"8517.62.51"</f>
        <v>8517.62.51</v>
      </c>
      <c r="B9096" s="2" t="str">
        <f>"Terminais ou repetidores sobre linh"</f>
        <v>Terminais ou repetidores sobre linh</v>
      </c>
    </row>
    <row r="9097" spans="1:2">
      <c r="A9097" s="1" t="str">
        <f>"8517.62.52"</f>
        <v>8517.62.52</v>
      </c>
      <c r="B9097" s="2" t="str">
        <f>"Terminais sobre linhas de fibras op"</f>
        <v>Terminais sobre linhas de fibras op</v>
      </c>
    </row>
    <row r="9098" spans="1:2">
      <c r="A9098" s="1" t="str">
        <f>"8517.62.53"</f>
        <v>8517.62.53</v>
      </c>
      <c r="B9098" s="2" t="str">
        <f>"Terminais de texto que operem com c"</f>
        <v>Terminais de texto que operem com c</v>
      </c>
    </row>
    <row r="9099" spans="1:2">
      <c r="A9099" s="1" t="str">
        <f>"8517.62.54"</f>
        <v>8517.62.54</v>
      </c>
      <c r="B9099" s="2" t="str">
        <f>"DISTRIBUID CONEXÕES PARA REDE(HUBS)"</f>
        <v>DISTRIBUID CONEXÕES PARA REDE(HUBS)</v>
      </c>
    </row>
    <row r="9100" spans="1:2">
      <c r="A9100" s="1" t="str">
        <f>"8517.62.55"</f>
        <v>8517.62.55</v>
      </c>
      <c r="B9100" s="2" t="str">
        <f>"Moduladores/demoduladores (modems)"</f>
        <v>Moduladores/demoduladores (modems)</v>
      </c>
    </row>
    <row r="9101" spans="1:2">
      <c r="A9101" s="1" t="str">
        <f>"8517.62.59"</f>
        <v>8517.62.59</v>
      </c>
      <c r="B9101" s="2" t="str">
        <f>"OUTROS"</f>
        <v>OUTROS</v>
      </c>
    </row>
    <row r="9102" spans="1:2">
      <c r="A9102" s="1" t="str">
        <f>"8517.62.61"</f>
        <v>8517.62.61</v>
      </c>
      <c r="B9102" s="2" t="str">
        <f>"De sistema troncalizado (trunking)"</f>
        <v>De sistema troncalizado (trunking)</v>
      </c>
    </row>
    <row r="9103" spans="1:2">
      <c r="A9103" s="1" t="str">
        <f>"8517.62.62"</f>
        <v>8517.62.62</v>
      </c>
      <c r="B9103" s="2" t="str">
        <f>"DE TECNOLOGIA CELULAR"</f>
        <v>DE TECNOLOGIA CELULAR</v>
      </c>
    </row>
    <row r="9104" spans="1:2">
      <c r="A9104" s="1" t="str">
        <f>"8517.62.64"</f>
        <v>8517.62.64</v>
      </c>
      <c r="B9104" s="2" t="str">
        <f>"Por satelite, digitais, operando em"</f>
        <v>Por satelite, digitais, operando em</v>
      </c>
    </row>
    <row r="9105" spans="1:2">
      <c r="A9105" s="1" t="str">
        <f>"8517.62.65"</f>
        <v>8517.62.65</v>
      </c>
      <c r="B9105" s="2" t="str">
        <f>"Outros, por satelite"</f>
        <v>Outros, por satelite</v>
      </c>
    </row>
    <row r="9106" spans="1:2">
      <c r="A9106" s="1" t="str">
        <f>"8517.62.71"</f>
        <v>8517.62.71</v>
      </c>
      <c r="B9106" s="2" t="str">
        <f>"Terminais portateis de sistema bidi"</f>
        <v>Terminais portateis de sistema bidi</v>
      </c>
    </row>
    <row r="9107" spans="1:2">
      <c r="A9107" s="1" t="str">
        <f>"8517.62.72"</f>
        <v>8517.62.72</v>
      </c>
      <c r="B9107" s="2" t="str">
        <f>"De frequencia inferior a 15 GHz e d"</f>
        <v>De frequencia inferior a 15 GHz e d</v>
      </c>
    </row>
    <row r="9108" spans="1:2">
      <c r="A9108" s="1" t="str">
        <f>"8517.62.77"</f>
        <v>8517.62.77</v>
      </c>
      <c r="B9108" s="2" t="str">
        <f>"OUTROS, DE FREQUÊNCIA INFERER15GHZ"</f>
        <v>OUTROS, DE FREQUÊNCIA INFERER15GHZ</v>
      </c>
    </row>
    <row r="9109" spans="1:2">
      <c r="A9109" s="1" t="str">
        <f>"8517.62.78"</f>
        <v>8517.62.78</v>
      </c>
      <c r="B9109" s="2" t="str">
        <f>"De frequencia igual ou superior a 1"</f>
        <v>De frequencia igual ou superior a 1</v>
      </c>
    </row>
    <row r="9110" spans="1:2">
      <c r="A9110" s="1" t="str">
        <f>"8517.62.79"</f>
        <v>8517.62.79</v>
      </c>
      <c r="B9110" s="2" t="str">
        <f>"Outros"</f>
        <v>Outros</v>
      </c>
    </row>
    <row r="9111" spans="1:2">
      <c r="A9111" s="1" t="str">
        <f>"8517.62.91"</f>
        <v>8517.62.91</v>
      </c>
      <c r="B9111" s="2" t="str">
        <f>"Aparelhos transmissores (emissores)"</f>
        <v>Aparelhos transmissores (emissores)</v>
      </c>
    </row>
    <row r="9112" spans="1:2">
      <c r="A9112" s="1" t="str">
        <f>"8517.62.92"</f>
        <v>8517.62.92</v>
      </c>
      <c r="B9112" s="2" t="str">
        <f>"Receptores pessoais de radiomensage"</f>
        <v>Receptores pessoais de radiomensage</v>
      </c>
    </row>
    <row r="9113" spans="1:2">
      <c r="A9113" s="1" t="str">
        <f>"8517.62.93"</f>
        <v>8517.62.93</v>
      </c>
      <c r="B9113" s="2" t="str">
        <f>"Outros receptores pessoais de radio"</f>
        <v>Outros receptores pessoais de radio</v>
      </c>
    </row>
    <row r="9114" spans="1:2">
      <c r="A9114" s="1" t="str">
        <f>"8517.62.94"</f>
        <v>8517.62.94</v>
      </c>
      <c r="B9114" s="2" t="str">
        <f>"TRADUTOR PROTOC P/ INTERCONEX REDES"</f>
        <v>TRADUTOR PROTOC P/ INTERCONEX REDES</v>
      </c>
    </row>
    <row r="9115" spans="1:2">
      <c r="A9115" s="1" t="str">
        <f>"8517.62.95"</f>
        <v>8517.62.95</v>
      </c>
      <c r="B9115" s="2" t="str">
        <f>"Terminais fixos, analogicos, sem fo"</f>
        <v>Terminais fixos, analogicos, sem fo</v>
      </c>
    </row>
    <row r="9116" spans="1:2">
      <c r="A9116" s="1" t="str">
        <f>"8517.62.96"</f>
        <v>8517.62.96</v>
      </c>
      <c r="B9116" s="2" t="str">
        <f>"Outros, analogicos"</f>
        <v>Outros, analogicos</v>
      </c>
    </row>
    <row r="9117" spans="1:2">
      <c r="A9117" s="1" t="str">
        <f>"8517.62.99"</f>
        <v>8517.62.99</v>
      </c>
      <c r="B9117" s="2" t="str">
        <f>"Outros Aparelhos para recepção, con"</f>
        <v>Outros Aparelhos para recepção, con</v>
      </c>
    </row>
    <row r="9118" spans="1:2">
      <c r="A9118" s="1" t="str">
        <f>"8517.69.00"</f>
        <v>8517.69.00</v>
      </c>
      <c r="B9118" s="2" t="str">
        <f>"Outros"</f>
        <v>Outros</v>
      </c>
    </row>
    <row r="9119" spans="1:2">
      <c r="A9119" s="1" t="str">
        <f>"8517.70.10"</f>
        <v>8517.70.10</v>
      </c>
      <c r="B9119" s="2" t="str">
        <f>"CIRCUIT. IMPRES.COMPON. ELET/ELETON"</f>
        <v>CIRCUIT. IMPRES.COMPON. ELET/ELETON</v>
      </c>
    </row>
    <row r="9120" spans="1:2">
      <c r="A9120" s="1" t="str">
        <f>"8517.70.21"</f>
        <v>8517.70.21</v>
      </c>
      <c r="B9120" s="2" t="str">
        <f>"Antenas proprias para telefones cel"</f>
        <v>Antenas proprias para telefones cel</v>
      </c>
    </row>
    <row r="9121" spans="1:2">
      <c r="A9121" s="1" t="str">
        <f>"8517.70.29"</f>
        <v>8517.70.29</v>
      </c>
      <c r="B9121" s="2" t="str">
        <f>"Outras"</f>
        <v>Outras</v>
      </c>
    </row>
    <row r="9122" spans="1:2">
      <c r="A9122" s="1" t="str">
        <f>"8517.70.91"</f>
        <v>8517.70.91</v>
      </c>
      <c r="B9122" s="2" t="str">
        <f>"GABINETES, BASTIDORES E ARMAÇÕES"</f>
        <v>GABINETES, BASTIDORES E ARMAÇÕES</v>
      </c>
    </row>
    <row r="9123" spans="1:2">
      <c r="A9123" s="1" t="str">
        <f>"8517.70.92"</f>
        <v>8517.70.92</v>
      </c>
      <c r="B9123" s="2" t="str">
        <f>"Registradores e seletores para cent"</f>
        <v>Registradores e seletores para cent</v>
      </c>
    </row>
    <row r="9124" spans="1:2">
      <c r="A9124" s="1" t="str">
        <f>"8517.70.99"</f>
        <v>8517.70.99</v>
      </c>
      <c r="B9124" s="2" t="str">
        <f>"OUTRAS"</f>
        <v>OUTRAS</v>
      </c>
    </row>
    <row r="9125" spans="1:2">
      <c r="A9125" s="1" t="str">
        <f>"8517.71.90"</f>
        <v>8517.71.90</v>
      </c>
      <c r="B9125" s="2" t="str">
        <f>"Conjunto de montagem em aço"</f>
        <v>Conjunto de montagem em aço</v>
      </c>
    </row>
    <row r="9126" spans="1:2">
      <c r="A9126" s="1" t="str">
        <f>"8517.79.00"</f>
        <v>8517.79.00</v>
      </c>
      <c r="B9126" s="2" t="str">
        <f>"OUTRAS"</f>
        <v>OUTRAS</v>
      </c>
    </row>
    <row r="9127" spans="1:2">
      <c r="A9127" s="1" t="str">
        <f>"8517.90.99"</f>
        <v>8517.90.99</v>
      </c>
      <c r="B9127" s="2" t="str">
        <f>"INATIVA - CAMP ELETR"</f>
        <v>INATIVA - CAMP ELETR</v>
      </c>
    </row>
    <row r="9128" spans="1:2">
      <c r="A9128" s="1" t="str">
        <f>"8518.10.10"</f>
        <v>8518.10.10</v>
      </c>
      <c r="B9128" s="2" t="str">
        <f>"Piezeletricos proprios para aparelh"</f>
        <v>Piezeletricos proprios para aparelh</v>
      </c>
    </row>
    <row r="9129" spans="1:2">
      <c r="A9129" s="1" t="str">
        <f>"8518.10.90"</f>
        <v>8518.10.90</v>
      </c>
      <c r="B9129" s="2" t="str">
        <f>"Outros"</f>
        <v>Outros</v>
      </c>
    </row>
    <row r="9130" spans="1:2">
      <c r="A9130" s="1" t="str">
        <f>"8518.21.00"</f>
        <v>8518.21.00</v>
      </c>
      <c r="B9130" s="2" t="str">
        <f>"Alto-falante (altifalante) unico mo"</f>
        <v>Alto-falante (altifalante) unico mo</v>
      </c>
    </row>
    <row r="9131" spans="1:2">
      <c r="A9131" s="1" t="str">
        <f>"8518.22.00"</f>
        <v>8518.22.00</v>
      </c>
      <c r="B9131" s="2" t="str">
        <f>"Alto-falantes (altifalantes) multip"</f>
        <v>Alto-falantes (altifalantes) multip</v>
      </c>
    </row>
    <row r="9132" spans="1:2">
      <c r="A9132" s="1" t="str">
        <f>"8518.29.10"</f>
        <v>8518.29.10</v>
      </c>
      <c r="B9132" s="2" t="str">
        <f>"Piezeletricos proprios para aparelh"</f>
        <v>Piezeletricos proprios para aparelh</v>
      </c>
    </row>
    <row r="9133" spans="1:2">
      <c r="A9133" s="1" t="str">
        <f>"8518.29.90"</f>
        <v>8518.29.90</v>
      </c>
      <c r="B9133" s="2" t="str">
        <f>"Outros"</f>
        <v>Outros</v>
      </c>
    </row>
    <row r="9134" spans="1:2">
      <c r="A9134" s="1" t="str">
        <f>"8518.30.00"</f>
        <v>8518.30.00</v>
      </c>
      <c r="B9134" s="2" t="str">
        <f>"FONES DE OUVIDO, MESMO COMBINADOS"</f>
        <v>FONES DE OUVIDO, MESMO COMBINADOS</v>
      </c>
    </row>
    <row r="9135" spans="1:2">
      <c r="A9135" s="1" t="str">
        <f>"8518.40.00"</f>
        <v>8518.40.00</v>
      </c>
      <c r="B9135" s="2" t="str">
        <f>"Amplificadores eletricos de audiofr"</f>
        <v>Amplificadores eletricos de audiofr</v>
      </c>
    </row>
    <row r="9136" spans="1:2">
      <c r="A9136" s="1" t="str">
        <f>"8518.50.00"</f>
        <v>8518.50.00</v>
      </c>
      <c r="B9136" s="2" t="str">
        <f>"Aparelhos eletricos de amplificacao"</f>
        <v>Aparelhos eletricos de amplificacao</v>
      </c>
    </row>
    <row r="9137" spans="1:2">
      <c r="A9137" s="1" t="str">
        <f>"8518.90.10"</f>
        <v>8518.90.10</v>
      </c>
      <c r="B9137" s="2" t="str">
        <f>"De alto-falantes (altifalantes)"</f>
        <v>De alto-falantes (altifalantes)</v>
      </c>
    </row>
    <row r="9138" spans="1:2">
      <c r="A9138" s="1" t="str">
        <f>"8518.90.90"</f>
        <v>8518.90.90</v>
      </c>
      <c r="B9138" s="2" t="str">
        <f>"Outras"</f>
        <v>Outras</v>
      </c>
    </row>
    <row r="9139" spans="1:2">
      <c r="A9139" s="1" t="str">
        <f>"8519.20.00"</f>
        <v>8519.20.00</v>
      </c>
      <c r="B9139" s="2" t="str">
        <f>"Aparelhos que funcionem por introdu"</f>
        <v>Aparelhos que funcionem por introdu</v>
      </c>
    </row>
    <row r="9140" spans="1:2">
      <c r="A9140" s="1" t="str">
        <f>"8519.30.00"</f>
        <v>8519.30.00</v>
      </c>
      <c r="B9140" s="2" t="str">
        <f>"Pratos de toca-discos (Pratos de gi"</f>
        <v>Pratos de toca-discos (Pratos de gi</v>
      </c>
    </row>
    <row r="9141" spans="1:2">
      <c r="A9141" s="1" t="str">
        <f>"8519.50.00"</f>
        <v>8519.50.00</v>
      </c>
      <c r="B9141" s="2" t="str">
        <f>"Secretarias eletronicas (Atendedore"</f>
        <v>Secretarias eletronicas (Atendedore</v>
      </c>
    </row>
    <row r="9142" spans="1:2">
      <c r="A9142" s="1" t="str">
        <f>"8519.81.10"</f>
        <v>8519.81.10</v>
      </c>
      <c r="B9142" s="2" t="str">
        <f>"Com sistema de leitura optica por l"</f>
        <v>Com sistema de leitura optica por l</v>
      </c>
    </row>
    <row r="9143" spans="1:2">
      <c r="A9143" s="1" t="str">
        <f>"8519.81.20"</f>
        <v>8519.81.20</v>
      </c>
      <c r="B9143" s="2" t="str">
        <f>"Gravadores de som de cabines de aer"</f>
        <v>Gravadores de som de cabines de aer</v>
      </c>
    </row>
    <row r="9144" spans="1:2">
      <c r="A9144" s="1" t="str">
        <f>"8519.81.90"</f>
        <v>8519.81.90</v>
      </c>
      <c r="B9144" s="2" t="str">
        <f>"Outros"</f>
        <v>Outros</v>
      </c>
    </row>
    <row r="9145" spans="1:2">
      <c r="A9145" s="1" t="str">
        <f>"8519.89.00"</f>
        <v>8519.89.00</v>
      </c>
      <c r="B9145" s="2" t="str">
        <f>"outros"</f>
        <v>outros</v>
      </c>
    </row>
    <row r="9146" spans="1:2">
      <c r="A9146" s="1" t="str">
        <f>"8521.10.10"</f>
        <v>8521.10.10</v>
      </c>
      <c r="B9146" s="2" t="str">
        <f>"Gravador-reprodutor, sem sintonizad"</f>
        <v>Gravador-reprodutor, sem sintonizad</v>
      </c>
    </row>
    <row r="9147" spans="1:2">
      <c r="A9147" s="1" t="str">
        <f>"8521.10.81"</f>
        <v>8521.10.81</v>
      </c>
      <c r="B9147" s="2" t="str">
        <f>"Em cassete, de largura de fita igua"</f>
        <v>Em cassete, de largura de fita igua</v>
      </c>
    </row>
    <row r="9148" spans="1:2">
      <c r="A9148" s="1" t="str">
        <f>"8521.10.89"</f>
        <v>8521.10.89</v>
      </c>
      <c r="B9148" s="2" t="str">
        <f>"Outros"</f>
        <v>Outros</v>
      </c>
    </row>
    <row r="9149" spans="1:2">
      <c r="A9149" s="1" t="str">
        <f>"8521.10.90"</f>
        <v>8521.10.90</v>
      </c>
      <c r="B9149" s="2" t="str">
        <f>"Outros, para fitas de largura igual"</f>
        <v>Outros, para fitas de largura igual</v>
      </c>
    </row>
    <row r="9150" spans="1:2">
      <c r="A9150" s="1" t="str">
        <f>"8521.90.00"</f>
        <v>8521.90.00</v>
      </c>
      <c r="B9150" s="2" t="str">
        <f>"OUTROS"</f>
        <v>OUTROS</v>
      </c>
    </row>
    <row r="9151" spans="1:2">
      <c r="A9151" s="1" t="str">
        <f>"8521.90.10"</f>
        <v>8521.90.10</v>
      </c>
      <c r="B9151" s="2" t="str">
        <f>"GRAVADOR-REPRODUTOR-EDITOR IMAG/SOM"</f>
        <v>GRAVADOR-REPRODUTOR-EDITOR IMAG/SOM</v>
      </c>
    </row>
    <row r="9152" spans="1:2">
      <c r="A9152" s="1" t="str">
        <f>"8521.90.90"</f>
        <v>8521.90.90</v>
      </c>
      <c r="B9152" s="2" t="str">
        <f>"Outros"</f>
        <v>Outros</v>
      </c>
    </row>
    <row r="9153" spans="1:2">
      <c r="A9153" s="1" t="str">
        <f>"8522.10.00"</f>
        <v>8522.10.00</v>
      </c>
      <c r="B9153" s="2" t="str">
        <f>"Fonocaptores"</f>
        <v>Fonocaptores</v>
      </c>
    </row>
    <row r="9154" spans="1:2">
      <c r="A9154" s="1" t="str">
        <f>"8522.90.10"</f>
        <v>8522.90.10</v>
      </c>
      <c r="B9154" s="2" t="str">
        <f>"Agulhas com ponta de pedra preciosa"</f>
        <v>Agulhas com ponta de pedra preciosa</v>
      </c>
    </row>
    <row r="9155" spans="1:2">
      <c r="A9155" s="1" t="str">
        <f>"8522.90.20"</f>
        <v>8522.90.20</v>
      </c>
      <c r="B9155" s="2" t="str">
        <f>"Gabinetes"</f>
        <v>Gabinetes</v>
      </c>
    </row>
    <row r="9156" spans="1:2">
      <c r="A9156" s="1" t="str">
        <f>"8522.90.30"</f>
        <v>8522.90.30</v>
      </c>
      <c r="B9156" s="2" t="str">
        <f>"Chassis ou suportes"</f>
        <v>Chassis ou suportes</v>
      </c>
    </row>
    <row r="9157" spans="1:2">
      <c r="A9157" s="1" t="str">
        <f>"8522.90.40"</f>
        <v>8522.90.40</v>
      </c>
      <c r="B9157" s="2" t="str">
        <f>"Leitores de som, magneticos (cabeca"</f>
        <v>Leitores de som, magneticos (cabeca</v>
      </c>
    </row>
    <row r="9158" spans="1:2">
      <c r="A9158" s="1" t="str">
        <f>"8522.90.50"</f>
        <v>8522.90.50</v>
      </c>
      <c r="B9158" s="2" t="str">
        <f>"Mecanismos toca-discos, mesmo com c"</f>
        <v>Mecanismos toca-discos, mesmo com c</v>
      </c>
    </row>
    <row r="9159" spans="1:2">
      <c r="A9159" s="1" t="str">
        <f>"8522.90.90"</f>
        <v>8522.90.90</v>
      </c>
      <c r="B9159" s="2" t="str">
        <f>"Outros"</f>
        <v>Outros</v>
      </c>
    </row>
    <row r="9160" spans="1:2">
      <c r="A9160" s="1" t="str">
        <f>"8523.21.10"</f>
        <v>8523.21.10</v>
      </c>
      <c r="B9160" s="2" t="str">
        <f>"Nao gravados"</f>
        <v>Nao gravados</v>
      </c>
    </row>
    <row r="9161" spans="1:2">
      <c r="A9161" s="1" t="str">
        <f>"8523.21.20"</f>
        <v>8523.21.20</v>
      </c>
      <c r="B9161" s="2" t="str">
        <f>"Gravados"</f>
        <v>Gravados</v>
      </c>
    </row>
    <row r="9162" spans="1:2">
      <c r="A9162" s="1" t="str">
        <f>"8523.29.11"</f>
        <v>8523.29.11</v>
      </c>
      <c r="B9162" s="2" t="str">
        <f>"Discos magnéticos"</f>
        <v>Discos magnéticos</v>
      </c>
    </row>
    <row r="9163" spans="1:2">
      <c r="A9163" s="1" t="str">
        <f>"8523.29.19"</f>
        <v>8523.29.19</v>
      </c>
      <c r="B9163" s="2" t="str">
        <f>"BASE PARA CARTÃO"</f>
        <v>BASE PARA CARTÃO</v>
      </c>
    </row>
    <row r="9164" spans="1:2">
      <c r="A9164" s="1" t="str">
        <f>"8523.29.21"</f>
        <v>8523.29.21</v>
      </c>
      <c r="B9164" s="2" t="str">
        <f>"De largura nao superior a 4 mm, em"</f>
        <v>De largura nao superior a 4 mm, em</v>
      </c>
    </row>
    <row r="9165" spans="1:2">
      <c r="A9165" s="1" t="str">
        <f>"8523.29.22"</f>
        <v>8523.29.22</v>
      </c>
      <c r="B9165" s="2" t="str">
        <f>"De largura superior a 4 mm, mas nao"</f>
        <v>De largura superior a 4 mm, mas nao</v>
      </c>
    </row>
    <row r="9166" spans="1:2">
      <c r="A9166" s="1" t="str">
        <f>"8523.29.23"</f>
        <v>8523.29.23</v>
      </c>
      <c r="B9166" s="2" t="str">
        <f>"De largura superior a 6,5 mm, mas n"</f>
        <v>De largura superior a 6,5 mm, mas n</v>
      </c>
    </row>
    <row r="9167" spans="1:2">
      <c r="A9167" s="1" t="str">
        <f>"8523.29.24"</f>
        <v>8523.29.24</v>
      </c>
      <c r="B9167" s="2" t="str">
        <f>"De largura superior a 6,5 mm, em ca"</f>
        <v>De largura superior a 6,5 mm, em ca</v>
      </c>
    </row>
    <row r="9168" spans="1:2">
      <c r="A9168" s="1" t="str">
        <f>"8523.29.29"</f>
        <v>8523.29.29</v>
      </c>
      <c r="B9168" s="2" t="str">
        <f>"OUTRAS"</f>
        <v>OUTRAS</v>
      </c>
    </row>
    <row r="9169" spans="1:2">
      <c r="A9169" s="1" t="str">
        <f>"8523.29.31"</f>
        <v>8523.29.31</v>
      </c>
      <c r="B9169" s="2" t="str">
        <f>"Para reproducao de fenomenos difere"</f>
        <v>Para reproducao de fenomenos difere</v>
      </c>
    </row>
    <row r="9170" spans="1:2">
      <c r="A9170" s="1" t="str">
        <f>"8523.29.32"</f>
        <v>8523.29.32</v>
      </c>
      <c r="B9170" s="2" t="str">
        <f>"De largura nao superior a 4 mm, em"</f>
        <v>De largura nao superior a 4 mm, em</v>
      </c>
    </row>
    <row r="9171" spans="1:2">
      <c r="A9171" s="1" t="str">
        <f>"8523.29.33"</f>
        <v>8523.29.33</v>
      </c>
      <c r="B9171" s="2" t="str">
        <f>"De largura superior a 6,5 mm, excet"</f>
        <v>De largura superior a 6,5 mm, excet</v>
      </c>
    </row>
    <row r="9172" spans="1:2">
      <c r="A9172" s="1" t="str">
        <f>"8523.29.39"</f>
        <v>8523.29.39</v>
      </c>
      <c r="B9172" s="2" t="str">
        <f>"Outras"</f>
        <v>Outras</v>
      </c>
    </row>
    <row r="9173" spans="1:2">
      <c r="A9173" s="1" t="str">
        <f>"8523.29.90"</f>
        <v>8523.29.90</v>
      </c>
      <c r="B9173" s="2" t="str">
        <f>"Outros"</f>
        <v>Outros</v>
      </c>
    </row>
    <row r="9174" spans="1:2">
      <c r="A9174" s="1" t="str">
        <f>"8523.40.29"</f>
        <v>8523.40.29</v>
      </c>
      <c r="B9174" s="2" t="str">
        <f>"INATIVO"</f>
        <v>INATIVO</v>
      </c>
    </row>
    <row r="9175" spans="1:2">
      <c r="A9175" s="1" t="str">
        <f>"8523.41.10"</f>
        <v>8523.41.10</v>
      </c>
      <c r="B9175" s="2" t="str">
        <f>"OUTROS"</f>
        <v>OUTROS</v>
      </c>
    </row>
    <row r="9176" spans="1:2">
      <c r="A9176" s="1" t="str">
        <f>"8523.41.90"</f>
        <v>8523.41.90</v>
      </c>
      <c r="B9176" s="2" t="str">
        <f>"Outros"</f>
        <v>Outros</v>
      </c>
    </row>
    <row r="9177" spans="1:2">
      <c r="A9177" s="1" t="str">
        <f>"8523.49.10"</f>
        <v>8523.49.10</v>
      </c>
      <c r="B9177" s="2" t="str">
        <f>"Para reproducao apenas do som"</f>
        <v>Para reproducao apenas do som</v>
      </c>
    </row>
    <row r="9178" spans="1:2">
      <c r="A9178" s="1" t="str">
        <f>"8523.49.20"</f>
        <v>8523.49.20</v>
      </c>
      <c r="B9178" s="2" t="str">
        <f>"P/ REPROD DE FENÔM DIFER SOM/IMAGEM"</f>
        <v>P/ REPROD DE FENÔM DIFER SOM/IMAGEM</v>
      </c>
    </row>
    <row r="9179" spans="1:2">
      <c r="A9179" s="1" t="str">
        <f>"8523.49.90"</f>
        <v>8523.49.90</v>
      </c>
      <c r="B9179" s="2" t="str">
        <f>"Outros"</f>
        <v>Outros</v>
      </c>
    </row>
    <row r="9180" spans="1:2">
      <c r="A9180" s="1" t="str">
        <f>"8523.51.10"</f>
        <v>8523.51.10</v>
      </c>
      <c r="B9180" s="2" t="str">
        <f>"CARTÕES DE MEMÓRIA (MEMORY CARDS)"</f>
        <v>CARTÕES DE MEMÓRIA (MEMORY CARDS)</v>
      </c>
    </row>
    <row r="9181" spans="1:2">
      <c r="A9181" s="1" t="str">
        <f>"8523.51.90"</f>
        <v>8523.51.90</v>
      </c>
      <c r="B9181" s="2" t="str">
        <f>"OUTROS"</f>
        <v>OUTROS</v>
      </c>
    </row>
    <row r="9182" spans="1:2">
      <c r="A9182" s="1" t="str">
        <f>"8523.52.00"</f>
        <v>8523.52.00</v>
      </c>
      <c r="B9182" s="2" t="str">
        <f>"""CARTÕES INTELIGENTES"""</f>
        <v>"CARTÕES INTELIGENTES"</v>
      </c>
    </row>
    <row r="9183" spans="1:2">
      <c r="A9183" s="1" t="str">
        <f>"8523.52.10"</f>
        <v>8523.52.10</v>
      </c>
      <c r="B9183" s="2" t="str">
        <f>"Cartões e etiquetas de acionamento"</f>
        <v>Cartões e etiquetas de acionamento</v>
      </c>
    </row>
    <row r="9184" spans="1:2">
      <c r="A9184" s="1" t="str">
        <f>"8523.52.90"</f>
        <v>8523.52.90</v>
      </c>
      <c r="B9184" s="2" t="str">
        <f>"SIM CARD"</f>
        <v>SIM CARD</v>
      </c>
    </row>
    <row r="9185" spans="1:2">
      <c r="A9185" s="1" t="str">
        <f>"8523.59.10"</f>
        <v>8523.59.10</v>
      </c>
      <c r="B9185" s="2" t="str">
        <f>"CARTÕES/ETIQUETAS ACIONAM APROXIMAÇ"</f>
        <v>CARTÕES/ETIQUETAS ACIONAM APROXIMAÇ</v>
      </c>
    </row>
    <row r="9186" spans="1:2">
      <c r="A9186" s="1" t="str">
        <f>"8523.59.90"</f>
        <v>8523.59.90</v>
      </c>
      <c r="B9186" s="2" t="str">
        <f>"Outros"</f>
        <v>Outros</v>
      </c>
    </row>
    <row r="9187" spans="1:2">
      <c r="A9187" s="1" t="str">
        <f>"8523.80.00"</f>
        <v>8523.80.00</v>
      </c>
      <c r="B9187" s="2" t="str">
        <f>"Outros"</f>
        <v>Outros</v>
      </c>
    </row>
    <row r="9188" spans="1:2">
      <c r="A9188" s="1" t="str">
        <f>"8524.11.00"</f>
        <v>8524.11.00</v>
      </c>
      <c r="B9188" s="2" t="str">
        <f>"De cristais líquidos"</f>
        <v>De cristais líquidos</v>
      </c>
    </row>
    <row r="9189" spans="1:2">
      <c r="A9189" s="1" t="str">
        <f>"8524.31.00"</f>
        <v>8524.31.00</v>
      </c>
      <c r="B9189" s="2" t="str">
        <f>"INATIVA - CORELDRAW GRAP"</f>
        <v>INATIVA - CORELDRAW GRAP</v>
      </c>
    </row>
    <row r="9190" spans="1:2">
      <c r="A9190" s="1" t="str">
        <f>"8525.20.22"</f>
        <v>8525.20.22</v>
      </c>
      <c r="B9190" s="2" t="str">
        <f>"INATIVA - TELEFONE CELULAR"</f>
        <v>INATIVA - TELEFONE CELULAR</v>
      </c>
    </row>
    <row r="9191" spans="1:2">
      <c r="A9191" s="1" t="str">
        <f>"8525.50.11"</f>
        <v>8525.50.11</v>
      </c>
      <c r="B9191" s="2" t="str">
        <f>"Em AM, com modulacao por codigo ou"</f>
        <v>Em AM, com modulacao por codigo ou</v>
      </c>
    </row>
    <row r="9192" spans="1:2">
      <c r="A9192" s="1" t="str">
        <f>"8525.50.12"</f>
        <v>8525.50.12</v>
      </c>
      <c r="B9192" s="2" t="str">
        <f>"Em FM, com etapa de saida valvular"</f>
        <v>Em FM, com etapa de saida valvular</v>
      </c>
    </row>
    <row r="9193" spans="1:2">
      <c r="A9193" s="1" t="str">
        <f>"8525.50.19"</f>
        <v>8525.50.19</v>
      </c>
      <c r="B9193" s="2" t="str">
        <f>"Outros"</f>
        <v>Outros</v>
      </c>
    </row>
    <row r="9194" spans="1:2">
      <c r="A9194" s="1" t="str">
        <f>"8525.50.21"</f>
        <v>8525.50.21</v>
      </c>
      <c r="B9194" s="2" t="str">
        <f>"De frequencia superior a 7 GHz"</f>
        <v>De frequencia superior a 7 GHz</v>
      </c>
    </row>
    <row r="9195" spans="1:2">
      <c r="A9195" s="1" t="str">
        <f>"8525.50.22"</f>
        <v>8525.50.22</v>
      </c>
      <c r="B9195" s="2" t="str">
        <f>"Em banda UHF, de frequencia igual o"</f>
        <v>Em banda UHF, de frequencia igual o</v>
      </c>
    </row>
    <row r="9196" spans="1:2">
      <c r="A9196" s="1" t="str">
        <f>"8525.50.23"</f>
        <v>8525.50.23</v>
      </c>
      <c r="B9196" s="2" t="str">
        <f>"Em banda UHF, com potencia de saida"</f>
        <v>Em banda UHF, com potencia de saida</v>
      </c>
    </row>
    <row r="9197" spans="1:2">
      <c r="A9197" s="1" t="str">
        <f>"8525.50.24"</f>
        <v>8525.50.24</v>
      </c>
      <c r="B9197" s="2" t="str">
        <f>"Em banda VHF, com potencia de saida"</f>
        <v>Em banda VHF, com potencia de saida</v>
      </c>
    </row>
    <row r="9198" spans="1:2">
      <c r="A9198" s="1" t="str">
        <f>"8525.50.29"</f>
        <v>8525.50.29</v>
      </c>
      <c r="B9198" s="2" t="str">
        <f>"Outros"</f>
        <v>Outros</v>
      </c>
    </row>
    <row r="9199" spans="1:2">
      <c r="A9199" s="1" t="str">
        <f>"8525.59.20"</f>
        <v>8525.59.20</v>
      </c>
      <c r="B9199" s="2" t="str">
        <f>"INATIVO"</f>
        <v>INATIVO</v>
      </c>
    </row>
    <row r="9200" spans="1:2">
      <c r="A9200" s="1" t="str">
        <f>"8525.60.10"</f>
        <v>8525.60.10</v>
      </c>
      <c r="B9200" s="2" t="str">
        <f>"De radiodifusao"</f>
        <v>De radiodifusao</v>
      </c>
    </row>
    <row r="9201" spans="1:2">
      <c r="A9201" s="1" t="str">
        <f>"8525.60.20"</f>
        <v>8525.60.20</v>
      </c>
      <c r="B9201" s="2" t="str">
        <f>"De televisao, de frequencia superio"</f>
        <v>De televisao, de frequencia superio</v>
      </c>
    </row>
    <row r="9202" spans="1:2">
      <c r="A9202" s="1" t="str">
        <f>"8525.60.90"</f>
        <v>8525.60.90</v>
      </c>
      <c r="B9202" s="2" t="str">
        <f>"OUTROS"</f>
        <v>OUTROS</v>
      </c>
    </row>
    <row r="9203" spans="1:2">
      <c r="A9203" s="1" t="str">
        <f>"8525.80.11"</f>
        <v>8525.80.11</v>
      </c>
      <c r="B9203" s="2" t="str">
        <f>"Com tres ou mais captadores de imag"</f>
        <v>Com tres ou mais captadores de imag</v>
      </c>
    </row>
    <row r="9204" spans="1:2">
      <c r="A9204" s="1" t="str">
        <f>"8525.80.12"</f>
        <v>8525.80.12</v>
      </c>
      <c r="B9204" s="2" t="str">
        <f>"Com sensor de imagem a semicondutor"</f>
        <v>Com sensor de imagem a semicondutor</v>
      </c>
    </row>
    <row r="9205" spans="1:2">
      <c r="A9205" s="1" t="str">
        <f>"8525.80.13"</f>
        <v>8525.80.13</v>
      </c>
      <c r="B9205" s="2" t="str">
        <f>"Outras, proprias para captar imagen"</f>
        <v>Outras, proprias para captar imagen</v>
      </c>
    </row>
    <row r="9206" spans="1:2">
      <c r="A9206" s="1" t="str">
        <f>"8525.80.19"</f>
        <v>8525.80.19</v>
      </c>
      <c r="B9206" s="2" t="str">
        <f>"outros"</f>
        <v>outros</v>
      </c>
    </row>
    <row r="9207" spans="1:2">
      <c r="A9207" s="1" t="str">
        <f>"8525.80.21"</f>
        <v>8525.80.21</v>
      </c>
      <c r="B9207" s="2" t="str">
        <f>"COM TRÊS OU MAIS CAPTADORES DE IMAG"</f>
        <v>COM TRÊS OU MAIS CAPTADORES DE IMAG</v>
      </c>
    </row>
    <row r="9208" spans="1:2">
      <c r="A9208" s="1" t="str">
        <f>"8525.80.22"</f>
        <v>8525.80.22</v>
      </c>
      <c r="B9208" s="2" t="str">
        <f>"Outras, proprias para captar imagen"</f>
        <v>Outras, proprias para captar imagen</v>
      </c>
    </row>
    <row r="9209" spans="1:2">
      <c r="A9209" s="1" t="str">
        <f>"8525.80.29"</f>
        <v>8525.80.29</v>
      </c>
      <c r="B9209" s="2" t="str">
        <f>"OUTRAS"</f>
        <v>OUTRAS</v>
      </c>
    </row>
    <row r="9210" spans="1:2">
      <c r="A9210" s="1" t="str">
        <f>"8525.89.13"</f>
        <v>8525.89.13</v>
      </c>
      <c r="B9210" s="2" t="str">
        <f>"Com sensor de imagem a semicondutor"</f>
        <v>Com sensor de imagem a semicondutor</v>
      </c>
    </row>
    <row r="9211" spans="1:2">
      <c r="A9211" s="1" t="str">
        <f>"8525.89.29"</f>
        <v>8525.89.29</v>
      </c>
      <c r="B9211" s="2" t="str">
        <f>"OUTROS"</f>
        <v>OUTROS</v>
      </c>
    </row>
    <row r="9212" spans="1:2">
      <c r="A9212" s="1" t="str">
        <f>"8526.10.00"</f>
        <v>8526.10.00</v>
      </c>
      <c r="B9212" s="2" t="str">
        <f>"Aparelhos de radiodeteccao e de rad"</f>
        <v>Aparelhos de radiodeteccao e de rad</v>
      </c>
    </row>
    <row r="9213" spans="1:2">
      <c r="A9213" s="1" t="str">
        <f>"8526.91.00"</f>
        <v>8526.91.00</v>
      </c>
      <c r="B9213" s="2" t="str">
        <f>"Aparelhos de radionavegacao"</f>
        <v>Aparelhos de radionavegacao</v>
      </c>
    </row>
    <row r="9214" spans="1:2">
      <c r="A9214" s="1" t="str">
        <f>"8526.92.00"</f>
        <v>8526.92.00</v>
      </c>
      <c r="B9214" s="2" t="str">
        <f>"APARELHOS DE RADIOTELECOMANDO"</f>
        <v>APARELHOS DE RADIOTELECOMANDO</v>
      </c>
    </row>
    <row r="9215" spans="1:2">
      <c r="A9215" s="1" t="str">
        <f>"8527.12.00"</f>
        <v>8527.12.00</v>
      </c>
      <c r="B9215" s="2" t="str">
        <f>"Radios toca-fitas (Radios-leitores"</f>
        <v>Radios toca-fitas (Radios-leitores</v>
      </c>
    </row>
    <row r="9216" spans="1:2">
      <c r="A9216" s="1" t="str">
        <f>"8527.13.00"</f>
        <v>8527.13.00</v>
      </c>
      <c r="B9216" s="2" t="str">
        <f>"Outros aparelhos combinados com um"</f>
        <v>Outros aparelhos combinados com um</v>
      </c>
    </row>
    <row r="9217" spans="1:2">
      <c r="A9217" s="1" t="str">
        <f>"8527.19.10"</f>
        <v>8527.19.10</v>
      </c>
      <c r="B9217" s="2" t="str">
        <f>"Combinado com relogio"</f>
        <v>Combinado com relogio</v>
      </c>
    </row>
    <row r="9218" spans="1:2">
      <c r="A9218" s="1" t="str">
        <f>"8527.19.90"</f>
        <v>8527.19.90</v>
      </c>
      <c r="B9218" s="2" t="str">
        <f>"Outros"</f>
        <v>Outros</v>
      </c>
    </row>
    <row r="9219" spans="1:2">
      <c r="A9219" s="1" t="str">
        <f>"8527.21.00"</f>
        <v>8527.21.00</v>
      </c>
      <c r="B9219" s="2" t="str">
        <f>"Combinados com um aparelho de grava"</f>
        <v>Combinados com um aparelho de grava</v>
      </c>
    </row>
    <row r="9220" spans="1:2">
      <c r="A9220" s="1" t="str">
        <f>"8527.29.00"</f>
        <v>8527.29.00</v>
      </c>
      <c r="B9220" s="2" t="str">
        <f>"Outros"</f>
        <v>Outros</v>
      </c>
    </row>
    <row r="9221" spans="1:2">
      <c r="A9221" s="1" t="str">
        <f>"8527.91.00"</f>
        <v>8527.91.00</v>
      </c>
      <c r="B9221" s="2" t="str">
        <f>"Combinados com um aparelho de grava"</f>
        <v>Combinados com um aparelho de grava</v>
      </c>
    </row>
    <row r="9222" spans="1:2">
      <c r="A9222" s="1" t="str">
        <f>"8527.92.00"</f>
        <v>8527.92.00</v>
      </c>
      <c r="B9222" s="2" t="str">
        <f>"Nao combinados com um aparelho de g"</f>
        <v>Nao combinados com um aparelho de g</v>
      </c>
    </row>
    <row r="9223" spans="1:2">
      <c r="A9223" s="1" t="str">
        <f>"8527.99.10"</f>
        <v>8527.99.10</v>
      </c>
      <c r="B9223" s="2" t="str">
        <f>"Amplificador com sintonizador (rece"</f>
        <v>Amplificador com sintonizador (rece</v>
      </c>
    </row>
    <row r="9224" spans="1:2">
      <c r="A9224" s="1" t="str">
        <f>"8527.99.90"</f>
        <v>8527.99.90</v>
      </c>
      <c r="B9224" s="2" t="str">
        <f>"Outros"</f>
        <v>Outros</v>
      </c>
    </row>
    <row r="9225" spans="1:2">
      <c r="A9225" s="1" t="str">
        <f>"8528.41.20"</f>
        <v>8528.41.20</v>
      </c>
      <c r="B9225" s="2" t="str">
        <f>"INATIVO"</f>
        <v>INATIVO</v>
      </c>
    </row>
    <row r="9226" spans="1:2">
      <c r="A9226" s="1" t="str">
        <f>"8528.42.10"</f>
        <v>8528.42.10</v>
      </c>
      <c r="B9226" s="2" t="str">
        <f>"Monocromaticos"</f>
        <v>Monocromaticos</v>
      </c>
    </row>
    <row r="9227" spans="1:2">
      <c r="A9227" s="1" t="str">
        <f>"8528.42.20"</f>
        <v>8528.42.20</v>
      </c>
      <c r="B9227" s="2" t="str">
        <f>"Policromaticos"</f>
        <v>Policromaticos</v>
      </c>
    </row>
    <row r="9228" spans="1:2">
      <c r="A9228" s="1" t="str">
        <f>"8528.49.10"</f>
        <v>8528.49.10</v>
      </c>
      <c r="B9228" s="2" t="str">
        <f>"Monocromaticos"</f>
        <v>Monocromaticos</v>
      </c>
    </row>
    <row r="9229" spans="1:2">
      <c r="A9229" s="1" t="str">
        <f>"8528.49.21"</f>
        <v>8528.49.21</v>
      </c>
      <c r="B9229" s="2" t="str">
        <f>"Com dispositivos de selecao de varr"</f>
        <v>Com dispositivos de selecao de varr</v>
      </c>
    </row>
    <row r="9230" spans="1:2">
      <c r="A9230" s="1" t="str">
        <f>"8528.49.29"</f>
        <v>8528.49.29</v>
      </c>
      <c r="B9230" s="2" t="str">
        <f>"Monitores"</f>
        <v>Monitores</v>
      </c>
    </row>
    <row r="9231" spans="1:2">
      <c r="A9231" s="1" t="str">
        <f>"8528.51.20"</f>
        <v>8528.51.20</v>
      </c>
      <c r="B9231" s="2" t="str">
        <f>"INATIVO"</f>
        <v>INATIVO</v>
      </c>
    </row>
    <row r="9232" spans="1:2">
      <c r="A9232" s="1" t="str">
        <f>"8528.52.00"</f>
        <v>8528.52.00</v>
      </c>
      <c r="B9232" s="9" t="s">
        <v>5</v>
      </c>
    </row>
    <row r="9233" spans="1:2">
      <c r="A9233" s="1" t="str">
        <f>"8528.52.10"</f>
        <v>8528.52.10</v>
      </c>
      <c r="B9233" s="2" t="str">
        <f>"Monocromaticos"</f>
        <v>Monocromaticos</v>
      </c>
    </row>
    <row r="9234" spans="1:2">
      <c r="A9234" s="1" t="str">
        <f>"8528.52.20"</f>
        <v>8528.52.20</v>
      </c>
      <c r="B9234" s="2" t="str">
        <f>"POLICROMÁTICOS"</f>
        <v>POLICROMÁTICOS</v>
      </c>
    </row>
    <row r="9235" spans="1:2">
      <c r="A9235" s="1" t="str">
        <f>"8528.59.10"</f>
        <v>8528.59.10</v>
      </c>
      <c r="B9235" s="2" t="str">
        <f>"Monocromaticos"</f>
        <v>Monocromaticos</v>
      </c>
    </row>
    <row r="9236" spans="1:2">
      <c r="A9236" s="1" t="str">
        <f>"8528.59.20"</f>
        <v>8528.59.20</v>
      </c>
      <c r="B9236" s="2" t="str">
        <f>"outros"</f>
        <v>outros</v>
      </c>
    </row>
    <row r="9237" spans="1:2">
      <c r="A9237" s="1" t="str">
        <f>"8528.61.00"</f>
        <v>8528.61.00</v>
      </c>
      <c r="B9237" s="2" t="str">
        <f>"INATIVO"</f>
        <v>INATIVO</v>
      </c>
    </row>
    <row r="9238" spans="1:2">
      <c r="A9238" s="1" t="str">
        <f>"8528.62.00"</f>
        <v>8528.62.00</v>
      </c>
      <c r="B9238" s="2" t="str">
        <f>"Capazes de serem conectados diretam"</f>
        <v>Capazes de serem conectados diretam</v>
      </c>
    </row>
    <row r="9239" spans="1:2">
      <c r="A9239" s="1" t="str">
        <f>"8528.69.10"</f>
        <v>8528.69.10</v>
      </c>
      <c r="B9239" s="2" t="str">
        <f>"Com tecnologia de dispositivo digit"</f>
        <v>Com tecnologia de dispositivo digit</v>
      </c>
    </row>
    <row r="9240" spans="1:2">
      <c r="A9240" s="1" t="str">
        <f>"8528.69.90"</f>
        <v>8528.69.90</v>
      </c>
      <c r="B9240" s="2" t="str">
        <f>"Outros"</f>
        <v>Outros</v>
      </c>
    </row>
    <row r="9241" spans="1:2">
      <c r="A9241" s="1" t="str">
        <f>"8528.71.11"</f>
        <v>8528.71.11</v>
      </c>
      <c r="B9241" s="2" t="str">
        <f>"Sem saida de radiofrequencia (RF) m"</f>
        <v>Sem saida de radiofrequencia (RF) m</v>
      </c>
    </row>
    <row r="9242" spans="1:2">
      <c r="A9242" s="1" t="str">
        <f>"8528.71.19"</f>
        <v>8528.71.19</v>
      </c>
      <c r="B9242" s="2" t="str">
        <f>"Outros"</f>
        <v>Outros</v>
      </c>
    </row>
    <row r="9243" spans="1:2">
      <c r="A9243" s="1" t="str">
        <f>"8528.71.90"</f>
        <v>8528.71.90</v>
      </c>
      <c r="B9243" s="2" t="str">
        <f>"Outros"</f>
        <v>Outros</v>
      </c>
    </row>
    <row r="9244" spans="1:2">
      <c r="A9244" s="1" t="str">
        <f>"8528.72.00"</f>
        <v>8528.72.00</v>
      </c>
      <c r="B9244" s="2" t="str">
        <f>"OUTROS, A CORES (POLICROMO)"</f>
        <v>OUTROS, A CORES (POLICROMO)</v>
      </c>
    </row>
    <row r="9245" spans="1:2">
      <c r="A9245" s="1" t="str">
        <f>"8528.73.00"</f>
        <v>8528.73.00</v>
      </c>
      <c r="B9245" s="2" t="str">
        <f>"Outros, a preto e branco ou outros"</f>
        <v>Outros, a preto e branco ou outros</v>
      </c>
    </row>
    <row r="9246" spans="1:2">
      <c r="A9246" s="1" t="str">
        <f>"8529.10.11"</f>
        <v>8529.10.11</v>
      </c>
      <c r="B9246" s="2" t="str">
        <f>"Com refletor parabolico"</f>
        <v>Com refletor parabolico</v>
      </c>
    </row>
    <row r="9247" spans="1:2">
      <c r="A9247" s="1" t="str">
        <f>"8529.10.19"</f>
        <v>8529.10.19</v>
      </c>
      <c r="B9247" s="2" t="str">
        <f>"OUTRAS"</f>
        <v>OUTRAS</v>
      </c>
    </row>
    <row r="9248" spans="1:2">
      <c r="A9248" s="1" t="str">
        <f>"8529.10.90"</f>
        <v>8529.10.90</v>
      </c>
      <c r="B9248" s="2" t="str">
        <f>"Outros"</f>
        <v>Outros</v>
      </c>
    </row>
    <row r="9249" spans="1:2">
      <c r="A9249" s="1" t="str">
        <f>"8529.90.11"</f>
        <v>8529.90.11</v>
      </c>
      <c r="B9249" s="2" t="str">
        <f>"Gabinetes e bastidores"</f>
        <v>Gabinetes e bastidores</v>
      </c>
    </row>
    <row r="9250" spans="1:2">
      <c r="A9250" s="1" t="str">
        <f>"8529.90.12"</f>
        <v>8529.90.12</v>
      </c>
      <c r="B9250" s="2" t="str">
        <f>"Circuitos impressos com componentes"</f>
        <v>Circuitos impressos com componentes</v>
      </c>
    </row>
    <row r="9251" spans="1:2">
      <c r="A9251" s="1" t="str">
        <f>"8529.90.19"</f>
        <v>8529.90.19</v>
      </c>
      <c r="B9251" s="2" t="str">
        <f>"Outras"</f>
        <v>Outras</v>
      </c>
    </row>
    <row r="9252" spans="1:2">
      <c r="A9252" s="1" t="str">
        <f>"8529.90.20"</f>
        <v>8529.90.20</v>
      </c>
      <c r="B9252" s="2" t="str">
        <f>"De aparelhos das posicoes 85.27 ou"</f>
        <v>De aparelhos das posicoes 85.27 ou</v>
      </c>
    </row>
    <row r="9253" spans="1:2">
      <c r="A9253" s="1" t="str">
        <f>"8529.90.30"</f>
        <v>8529.90.30</v>
      </c>
      <c r="B9253" s="2" t="str">
        <f>"De aparelhos da subposicao 8526.10"</f>
        <v>De aparelhos da subposicao 8526.10</v>
      </c>
    </row>
    <row r="9254" spans="1:2">
      <c r="A9254" s="1" t="str">
        <f>"8529.90.40"</f>
        <v>8529.90.40</v>
      </c>
      <c r="B9254" s="2" t="str">
        <f>"De aparelhos da subposicao 8526.91"</f>
        <v>De aparelhos da subposicao 8526.91</v>
      </c>
    </row>
    <row r="9255" spans="1:2">
      <c r="A9255" s="1" t="str">
        <f>"8529.90.90"</f>
        <v>8529.90.90</v>
      </c>
      <c r="B9255" s="2" t="str">
        <f>"OUTRAS"</f>
        <v>OUTRAS</v>
      </c>
    </row>
    <row r="9256" spans="1:2">
      <c r="A9256" s="1" t="str">
        <f>"8530.10.10"</f>
        <v>8530.10.10</v>
      </c>
      <c r="B9256" s="2" t="str">
        <f>"Digitais, para controle de trafego"</f>
        <v>Digitais, para controle de trafego</v>
      </c>
    </row>
    <row r="9257" spans="1:2">
      <c r="A9257" s="1" t="str">
        <f>"8530.10.90"</f>
        <v>8530.10.90</v>
      </c>
      <c r="B9257" s="2" t="str">
        <f>"Outros"</f>
        <v>Outros</v>
      </c>
    </row>
    <row r="9258" spans="1:2">
      <c r="A9258" s="1" t="str">
        <f>"8530.80.10"</f>
        <v>8530.80.10</v>
      </c>
      <c r="B9258" s="2" t="str">
        <f>"Digitais, para controle de trafego"</f>
        <v>Digitais, para controle de trafego</v>
      </c>
    </row>
    <row r="9259" spans="1:2">
      <c r="A9259" s="1" t="str">
        <f>"8530.80.90"</f>
        <v>8530.80.90</v>
      </c>
      <c r="B9259" s="2" t="str">
        <f>"Outros"</f>
        <v>Outros</v>
      </c>
    </row>
    <row r="9260" spans="1:2">
      <c r="A9260" s="1" t="str">
        <f>"8530.90.00"</f>
        <v>8530.90.00</v>
      </c>
      <c r="B9260" s="2" t="str">
        <f>"Partes"</f>
        <v>Partes</v>
      </c>
    </row>
    <row r="9261" spans="1:2">
      <c r="A9261" s="1" t="str">
        <f>"8531.10.10"</f>
        <v>8531.10.10</v>
      </c>
      <c r="B9261" s="2" t="str">
        <f>"Alarmes contra incêndio ou sobreaqu"</f>
        <v>Alarmes contra incêndio ou sobreaqu</v>
      </c>
    </row>
    <row r="9262" spans="1:2">
      <c r="A9262" s="1" t="str">
        <f>"8531.10.90"</f>
        <v>8531.10.90</v>
      </c>
      <c r="B9262" s="2" t="str">
        <f>"OUTROS"</f>
        <v>OUTROS</v>
      </c>
    </row>
    <row r="9263" spans="1:2">
      <c r="A9263" s="1" t="str">
        <f>"8531.20.00"</f>
        <v>8531.20.00</v>
      </c>
      <c r="B9263" s="2" t="str">
        <f>"OUTROS"</f>
        <v>OUTROS</v>
      </c>
    </row>
    <row r="9264" spans="1:2">
      <c r="A9264" s="1" t="str">
        <f>"8531.80.00"</f>
        <v>8531.80.00</v>
      </c>
      <c r="B9264" s="2" t="str">
        <f>"SINALEIRO"</f>
        <v>SINALEIRO</v>
      </c>
    </row>
    <row r="9265" spans="1:2">
      <c r="A9265" s="1" t="str">
        <f>"8531.90.00"</f>
        <v>8531.90.00</v>
      </c>
      <c r="B9265" s="2" t="str">
        <f>"PARTES"</f>
        <v>PARTES</v>
      </c>
    </row>
    <row r="9266" spans="1:2">
      <c r="A9266" s="1" t="str">
        <f>"8531.90.90"</f>
        <v>8531.90.90</v>
      </c>
      <c r="B9266" s="2" t="str">
        <f>"INATIVO"</f>
        <v>INATIVO</v>
      </c>
    </row>
    <row r="9267" spans="1:2">
      <c r="A9267" s="1" t="str">
        <f>"8532.10.00"</f>
        <v>8532.10.00</v>
      </c>
      <c r="B9267" s="2" t="str">
        <f>"CONDENSADORES FIXOS"</f>
        <v>CONDENSADORES FIXOS</v>
      </c>
    </row>
    <row r="9268" spans="1:2">
      <c r="A9268" s="1" t="str">
        <f>"8532.21.11"</f>
        <v>8532.21.11</v>
      </c>
      <c r="B9268" s="2" t="str">
        <f>"Com tensao de isolacao inferior ou"</f>
        <v>Com tensao de isolacao inferior ou</v>
      </c>
    </row>
    <row r="9269" spans="1:2">
      <c r="A9269" s="1" t="str">
        <f>"8532.21.19"</f>
        <v>8532.21.19</v>
      </c>
      <c r="B9269" s="2" t="str">
        <f>"Outros"</f>
        <v>Outros</v>
      </c>
    </row>
    <row r="9270" spans="1:2">
      <c r="A9270" s="1" t="str">
        <f>"8532.21.90"</f>
        <v>8532.21.90</v>
      </c>
      <c r="B9270" s="2" t="str">
        <f>"Outros"</f>
        <v>Outros</v>
      </c>
    </row>
    <row r="9271" spans="1:2">
      <c r="A9271" s="1" t="str">
        <f>"8532.22.00"</f>
        <v>8532.22.00</v>
      </c>
      <c r="B9271" s="2" t="str">
        <f>"Eletroliticos de aluminio"</f>
        <v>Eletroliticos de aluminio</v>
      </c>
    </row>
    <row r="9272" spans="1:2">
      <c r="A9272" s="1" t="str">
        <f>"8532.23.10"</f>
        <v>8532.23.10</v>
      </c>
      <c r="B9272" s="2" t="str">
        <f>"Proprios para montagem em superfici"</f>
        <v>Proprios para montagem em superfici</v>
      </c>
    </row>
    <row r="9273" spans="1:2">
      <c r="A9273" s="1" t="str">
        <f>"8532.23.90"</f>
        <v>8532.23.90</v>
      </c>
      <c r="B9273" s="2" t="str">
        <f>"OUTROS"</f>
        <v>OUTROS</v>
      </c>
    </row>
    <row r="9274" spans="1:2">
      <c r="A9274" s="1" t="str">
        <f>"8532.24.10"</f>
        <v>8532.24.10</v>
      </c>
      <c r="B9274" s="2" t="str">
        <f>"Proprios para montagem em superfici"</f>
        <v>Proprios para montagem em superfici</v>
      </c>
    </row>
    <row r="9275" spans="1:2">
      <c r="A9275" s="1" t="str">
        <f>"8532.24.90"</f>
        <v>8532.24.90</v>
      </c>
      <c r="B9275" s="2" t="str">
        <f>"Outros"</f>
        <v>Outros</v>
      </c>
    </row>
    <row r="9276" spans="1:2">
      <c r="A9276" s="1" t="str">
        <f>"8532.25.10"</f>
        <v>8532.25.10</v>
      </c>
      <c r="B9276" s="2" t="str">
        <f>"Proprios para montagem em superfici"</f>
        <v>Proprios para montagem em superfici</v>
      </c>
    </row>
    <row r="9277" spans="1:2">
      <c r="A9277" s="1" t="str">
        <f>"8532.25.90"</f>
        <v>8532.25.90</v>
      </c>
      <c r="B9277" s="2" t="str">
        <f>"Outros"</f>
        <v>Outros</v>
      </c>
    </row>
    <row r="9278" spans="1:2">
      <c r="A9278" s="1" t="str">
        <f>"8532.29.10"</f>
        <v>8532.29.10</v>
      </c>
      <c r="B9278" s="2" t="str">
        <f>"Proprios para montagem em superfici"</f>
        <v>Proprios para montagem em superfici</v>
      </c>
    </row>
    <row r="9279" spans="1:2">
      <c r="A9279" s="1" t="str">
        <f>"8532.29.90"</f>
        <v>8532.29.90</v>
      </c>
      <c r="B9279" s="2" t="str">
        <f>"Outros"</f>
        <v>Outros</v>
      </c>
    </row>
    <row r="9280" spans="1:2">
      <c r="A9280" s="1" t="str">
        <f>"8532.30.10"</f>
        <v>8532.30.10</v>
      </c>
      <c r="B9280" s="2" t="str">
        <f>"Proprios para montagem em superfici"</f>
        <v>Proprios para montagem em superfici</v>
      </c>
    </row>
    <row r="9281" spans="1:2">
      <c r="A9281" s="1" t="str">
        <f>"8532.30.90"</f>
        <v>8532.30.90</v>
      </c>
      <c r="B9281" s="2" t="str">
        <f>"Outros"</f>
        <v>Outros</v>
      </c>
    </row>
    <row r="9282" spans="1:2">
      <c r="A9282" s="1" t="str">
        <f>"8532.90.00"</f>
        <v>8532.90.00</v>
      </c>
      <c r="B9282" s="2" t="str">
        <f>"Partes"</f>
        <v>Partes</v>
      </c>
    </row>
    <row r="9283" spans="1:2">
      <c r="A9283" s="1" t="str">
        <f>"8533.10.00"</f>
        <v>8533.10.00</v>
      </c>
      <c r="B9283" s="2" t="str">
        <f>"Resistencias fixas de carbono, aglo"</f>
        <v>Resistencias fixas de carbono, aglo</v>
      </c>
    </row>
    <row r="9284" spans="1:2">
      <c r="A9284" s="1" t="str">
        <f>"8533.21.00"</f>
        <v>8533.21.00</v>
      </c>
      <c r="B9284" s="2" t="str">
        <f>"INATIVO"</f>
        <v>INATIVO</v>
      </c>
    </row>
    <row r="9285" spans="1:2">
      <c r="A9285" s="1" t="str">
        <f>"8533.21.10"</f>
        <v>8533.21.10</v>
      </c>
      <c r="B9285" s="2" t="str">
        <f>"Resistências elétricas de fio"</f>
        <v>Resistências elétricas de fio</v>
      </c>
    </row>
    <row r="9286" spans="1:2">
      <c r="A9286" s="1" t="str">
        <f>"8533.21.20"</f>
        <v>8533.21.20</v>
      </c>
      <c r="B9286" s="2" t="str">
        <f>"Proprias para montagem em superfici"</f>
        <v>Proprias para montagem em superfici</v>
      </c>
    </row>
    <row r="9287" spans="1:2">
      <c r="A9287" s="1" t="str">
        <f>"8533.21.90"</f>
        <v>8533.21.90</v>
      </c>
      <c r="B9287" s="2" t="str">
        <f>"Outras"</f>
        <v>Outras</v>
      </c>
    </row>
    <row r="9288" spans="1:2">
      <c r="A9288" s="1" t="str">
        <f>"8533.29.00"</f>
        <v>8533.29.00</v>
      </c>
      <c r="B9288" s="2" t="str">
        <f>"OUTRAS"</f>
        <v>OUTRAS</v>
      </c>
    </row>
    <row r="9289" spans="1:2">
      <c r="A9289" s="1" t="str">
        <f>"8533.31.10"</f>
        <v>8533.31.10</v>
      </c>
      <c r="B9289" s="2" t="str">
        <f>"OUTROS"</f>
        <v>OUTROS</v>
      </c>
    </row>
    <row r="9290" spans="1:2">
      <c r="A9290" s="1" t="str">
        <f>"8533.31.90"</f>
        <v>8533.31.90</v>
      </c>
      <c r="B9290" s="2" t="str">
        <f>"Outras"</f>
        <v>Outras</v>
      </c>
    </row>
    <row r="9291" spans="1:2">
      <c r="A9291" s="1" t="str">
        <f>"8533.39.10"</f>
        <v>8533.39.10</v>
      </c>
      <c r="B9291" s="2" t="str">
        <f>"Potenciometros"</f>
        <v>Potenciometros</v>
      </c>
    </row>
    <row r="9292" spans="1:2">
      <c r="A9292" s="1" t="str">
        <f>"8533.39.90"</f>
        <v>8533.39.90</v>
      </c>
      <c r="B9292" s="2" t="str">
        <f>"Outras"</f>
        <v>Outras</v>
      </c>
    </row>
    <row r="9293" spans="1:2">
      <c r="A9293" s="1" t="str">
        <f>"8533.40.11"</f>
        <v>8533.40.11</v>
      </c>
      <c r="B9293" s="2" t="str">
        <f>"TERMISTORES"</f>
        <v>TERMISTORES</v>
      </c>
    </row>
    <row r="9294" spans="1:2">
      <c r="A9294" s="1" t="str">
        <f>"8533.40.12"</f>
        <v>8533.40.12</v>
      </c>
      <c r="B9294" s="2" t="str">
        <f>"Varistores"</f>
        <v>Varistores</v>
      </c>
    </row>
    <row r="9295" spans="1:2">
      <c r="A9295" s="1" t="str">
        <f>"8533.40.19"</f>
        <v>8533.40.19</v>
      </c>
      <c r="B9295" s="2" t="str">
        <f>"Outras"</f>
        <v>Outras</v>
      </c>
    </row>
    <row r="9296" spans="1:2">
      <c r="A9296" s="1" t="str">
        <f>"8533.40.91"</f>
        <v>8533.40.91</v>
      </c>
      <c r="B9296" s="2" t="str">
        <f>"POTENCIÔMETRO DE CARVÃO"</f>
        <v>POTENCIÔMETRO DE CARVÃO</v>
      </c>
    </row>
    <row r="9297" spans="1:2">
      <c r="A9297" s="1" t="str">
        <f>"8533.40.92"</f>
        <v>8533.40.92</v>
      </c>
      <c r="B9297" s="2" t="str">
        <f>"Outros potenciometros de carvao"</f>
        <v>Outros potenciometros de carvao</v>
      </c>
    </row>
    <row r="9298" spans="1:2">
      <c r="A9298" s="1" t="str">
        <f>"8533.40.99"</f>
        <v>8533.40.99</v>
      </c>
      <c r="B9298" s="2" t="str">
        <f>"OUTRAS"</f>
        <v>OUTRAS</v>
      </c>
    </row>
    <row r="9299" spans="1:2">
      <c r="A9299" s="1" t="str">
        <f>"8533.90.00"</f>
        <v>8533.90.00</v>
      </c>
      <c r="B9299" s="2" t="str">
        <f>"OUTROS"</f>
        <v>OUTROS</v>
      </c>
    </row>
    <row r="9300" spans="1:2">
      <c r="A9300" s="1" t="str">
        <f>"8534.00.00"</f>
        <v>8534.00.00</v>
      </c>
      <c r="B9300" s="2" t="str">
        <f>"INATIVO"</f>
        <v>INATIVO</v>
      </c>
    </row>
    <row r="9301" spans="1:2">
      <c r="A9301" s="1" t="str">
        <f>"8534.00.11"</f>
        <v>8534.00.11</v>
      </c>
      <c r="B9301" s="2" t="str">
        <f>"Com isolante de resina fenolica e p"</f>
        <v>Com isolante de resina fenolica e p</v>
      </c>
    </row>
    <row r="9302" spans="1:2">
      <c r="A9302" s="1" t="str">
        <f>"8534.00.12"</f>
        <v>8534.00.12</v>
      </c>
      <c r="B9302" s="2" t="str">
        <f>"Com isolante de resina epoxida e pa"</f>
        <v>Com isolante de resina epoxida e pa</v>
      </c>
    </row>
    <row r="9303" spans="1:2">
      <c r="A9303" s="1" t="str">
        <f>"8534.00.13"</f>
        <v>8534.00.13</v>
      </c>
      <c r="B9303" s="2" t="str">
        <f>"Com isolante de resina epoxida e te"</f>
        <v>Com isolante de resina epoxida e te</v>
      </c>
    </row>
    <row r="9304" spans="1:2">
      <c r="A9304" s="1" t="str">
        <f>"8534.00.19"</f>
        <v>8534.00.19</v>
      </c>
      <c r="B9304" s="2" t="str">
        <f>"Outros"</f>
        <v>Outros</v>
      </c>
    </row>
    <row r="9305" spans="1:2">
      <c r="A9305" s="1" t="str">
        <f>"8534.00.20"</f>
        <v>8534.00.20</v>
      </c>
      <c r="B9305" s="2" t="str">
        <f>"Simples face, flexiveis"</f>
        <v>Simples face, flexiveis</v>
      </c>
    </row>
    <row r="9306" spans="1:2">
      <c r="A9306" s="1" t="str">
        <f>"8534.00.31"</f>
        <v>8534.00.31</v>
      </c>
      <c r="B9306" s="2" t="str">
        <f>"Com isolante de resina fenolica e p"</f>
        <v>Com isolante de resina fenolica e p</v>
      </c>
    </row>
    <row r="9307" spans="1:2">
      <c r="A9307" s="1" t="str">
        <f>"8534.00.32"</f>
        <v>8534.00.32</v>
      </c>
      <c r="B9307" s="2" t="str">
        <f>"Com isolante de resina epoxida e pa"</f>
        <v>Com isolante de resina epoxida e pa</v>
      </c>
    </row>
    <row r="9308" spans="1:2">
      <c r="A9308" s="1" t="str">
        <f>"8534.00.33"</f>
        <v>8534.00.33</v>
      </c>
      <c r="B9308" s="2" t="str">
        <f>"Com isolante de resina epoxida e te"</f>
        <v>Com isolante de resina epoxida e te</v>
      </c>
    </row>
    <row r="9309" spans="1:2">
      <c r="A9309" s="1" t="str">
        <f>"8534.00.39"</f>
        <v>8534.00.39</v>
      </c>
      <c r="B9309" s="2" t="str">
        <f>"Outros"</f>
        <v>Outros</v>
      </c>
    </row>
    <row r="9310" spans="1:2">
      <c r="A9310" s="1" t="str">
        <f>"8534.00.40"</f>
        <v>8534.00.40</v>
      </c>
      <c r="B9310" s="2" t="str">
        <f>"Dupla face, flexiveis"</f>
        <v>Dupla face, flexiveis</v>
      </c>
    </row>
    <row r="9311" spans="1:2">
      <c r="A9311" s="1" t="str">
        <f>"8534.00.51"</f>
        <v>8534.00.51</v>
      </c>
      <c r="B9311" s="2" t="str">
        <f>"Com isolante de resina epoxida e te"</f>
        <v>Com isolante de resina epoxida e te</v>
      </c>
    </row>
    <row r="9312" spans="1:2">
      <c r="A9312" s="1" t="str">
        <f>"8534.00.59"</f>
        <v>8534.00.59</v>
      </c>
      <c r="B9312" s="2" t="str">
        <f>"CIRCUITOS IMPRESSOS MULTICAMADAS"</f>
        <v>CIRCUITOS IMPRESSOS MULTICAMADAS</v>
      </c>
    </row>
    <row r="9313" spans="1:2">
      <c r="A9313" s="1" t="str">
        <f>"8535.10.00"</f>
        <v>8535.10.00</v>
      </c>
      <c r="B9313" s="2" t="str">
        <f>"Fusiveis e corta-circuitos de fusiv"</f>
        <v>Fusiveis e corta-circuitos de fusiv</v>
      </c>
    </row>
    <row r="9314" spans="1:2">
      <c r="A9314" s="1" t="str">
        <f>"8535.21.00"</f>
        <v>8535.21.00</v>
      </c>
      <c r="B9314" s="2" t="str">
        <f>"Para uma tensao inferior a 72,5 kV"</f>
        <v>Para uma tensao inferior a 72,5 kV</v>
      </c>
    </row>
    <row r="9315" spans="1:2">
      <c r="A9315" s="1" t="str">
        <f>"8535.29.00"</f>
        <v>8535.29.00</v>
      </c>
      <c r="B9315" s="2" t="str">
        <f>"Outros"</f>
        <v>Outros</v>
      </c>
    </row>
    <row r="9316" spans="1:2">
      <c r="A9316" s="1" t="str">
        <f>"8535.30.13"</f>
        <v>8535.30.13</v>
      </c>
      <c r="B9316" s="2" t="str">
        <f>"Interruptores a vacuo, sem disposit"</f>
        <v>Interruptores a vacuo, sem disposit</v>
      </c>
    </row>
    <row r="9317" spans="1:2">
      <c r="A9317" s="1" t="str">
        <f>"8535.30.17"</f>
        <v>8535.30.17</v>
      </c>
      <c r="B9317" s="2" t="str">
        <f>"Outros, com dispositivo de acioname"</f>
        <v>Outros, com dispositivo de acioname</v>
      </c>
    </row>
    <row r="9318" spans="1:2">
      <c r="A9318" s="1" t="str">
        <f>"8535.30.18"</f>
        <v>8535.30.18</v>
      </c>
      <c r="B9318" s="2" t="str">
        <f>"Outros, com dispositivo de acioname"</f>
        <v>Outros, com dispositivo de acioname</v>
      </c>
    </row>
    <row r="9319" spans="1:2">
      <c r="A9319" s="1" t="str">
        <f>"8535.30.19"</f>
        <v>8535.30.19</v>
      </c>
      <c r="B9319" s="2" t="str">
        <f>"Outros"</f>
        <v>Outros</v>
      </c>
    </row>
    <row r="9320" spans="1:2">
      <c r="A9320" s="1" t="str">
        <f>"8535.30.23"</f>
        <v>8535.30.23</v>
      </c>
      <c r="B9320" s="2" t="str">
        <f>"Interruptores a vacuo, sem disposit"</f>
        <v>Interruptores a vacuo, sem disposit</v>
      </c>
    </row>
    <row r="9321" spans="1:2">
      <c r="A9321" s="1" t="str">
        <f>"8535.30.27"</f>
        <v>8535.30.27</v>
      </c>
      <c r="B9321" s="2" t="str">
        <f>"Outros, com dispositivo de acioname"</f>
        <v>Outros, com dispositivo de acioname</v>
      </c>
    </row>
    <row r="9322" spans="1:2">
      <c r="A9322" s="1" t="str">
        <f>"8535.30.28"</f>
        <v>8535.30.28</v>
      </c>
      <c r="B9322" s="2" t="str">
        <f>"Outros, com dispositivo de acioname"</f>
        <v>Outros, com dispositivo de acioname</v>
      </c>
    </row>
    <row r="9323" spans="1:2">
      <c r="A9323" s="1" t="str">
        <f>"8535.30.29"</f>
        <v>8535.30.29</v>
      </c>
      <c r="B9323" s="2" t="str">
        <f>"Outros"</f>
        <v>Outros</v>
      </c>
    </row>
    <row r="9324" spans="1:2">
      <c r="A9324" s="1" t="str">
        <f>"8535.40.10"</f>
        <v>8535.40.10</v>
      </c>
      <c r="B9324" s="2" t="str">
        <f>"Para-raios para protecao de linhas"</f>
        <v>Para-raios para protecao de linhas</v>
      </c>
    </row>
    <row r="9325" spans="1:2">
      <c r="A9325" s="1" t="str">
        <f>"8535.40.90"</f>
        <v>8535.40.90</v>
      </c>
      <c r="B9325" s="2" t="str">
        <f>"Outros"</f>
        <v>Outros</v>
      </c>
    </row>
    <row r="9326" spans="1:2">
      <c r="A9326" s="1" t="str">
        <f>"8535.90.00"</f>
        <v>8535.90.00</v>
      </c>
      <c r="B9326" s="2" t="str">
        <f>"OUTROS - APARELHOS PARA INTERRUPÇÃO"</f>
        <v>OUTROS - APARELHOS PARA INTERRUPÇÃO</v>
      </c>
    </row>
    <row r="9327" spans="1:2">
      <c r="A9327" s="1" t="str">
        <f>"8535.90.90"</f>
        <v>8535.90.90</v>
      </c>
      <c r="B9327" s="2" t="str">
        <f>"OUTROS"</f>
        <v>OUTROS</v>
      </c>
    </row>
    <row r="9328" spans="1:2">
      <c r="A9328" s="1" t="str">
        <f>"8536.10.00"</f>
        <v>8536.10.00</v>
      </c>
      <c r="B9328" s="2" t="str">
        <f>"FUSIVEL VIDRO"</f>
        <v>FUSIVEL VIDRO</v>
      </c>
    </row>
    <row r="9329" spans="1:2">
      <c r="A9329" s="1" t="str">
        <f>"8536.20.00"</f>
        <v>8536.20.00</v>
      </c>
      <c r="B9329" s="2" t="str">
        <f>"DISJUNTORES"</f>
        <v>DISJUNTORES</v>
      </c>
    </row>
    <row r="9330" spans="1:2">
      <c r="A9330" s="1" t="str">
        <f>"8536.30.00"</f>
        <v>8536.30.00</v>
      </c>
      <c r="B9330" s="2" t="str">
        <f>"OUTROS APAR P/ PROTEÇ DE CIRC ELETR"</f>
        <v>OUTROS APAR P/ PROTEÇ DE CIRC ELETR</v>
      </c>
    </row>
    <row r="9331" spans="1:2">
      <c r="A9331" s="1" t="str">
        <f>"8536.30.90"</f>
        <v>8536.30.90</v>
      </c>
      <c r="B9331" s="2" t="str">
        <f>"OUTROS"</f>
        <v>OUTROS</v>
      </c>
    </row>
    <row r="9332" spans="1:2">
      <c r="A9332" s="1" t="str">
        <f>"8536.41.00"</f>
        <v>8536.41.00</v>
      </c>
      <c r="B9332" s="2" t="str">
        <f>"PARA UMA TENSÃO NÃO SUPERIOR A 60 V"</f>
        <v>PARA UMA TENSÃO NÃO SUPERIOR A 60 V</v>
      </c>
    </row>
    <row r="9333" spans="1:2">
      <c r="A9333" s="1" t="str">
        <f>"8536.49.00"</f>
        <v>8536.49.00</v>
      </c>
      <c r="B9333" s="2" t="str">
        <f>"OUTROS CONTATOR 3RT10 24-1AN110"</f>
        <v>OUTROS CONTATOR 3RT10 24-1AN110</v>
      </c>
    </row>
    <row r="9334" spans="1:2">
      <c r="A9334" s="1" t="str">
        <f>"8536.50.10"</f>
        <v>8536.50.10</v>
      </c>
      <c r="B9334" s="2" t="str">
        <f>"Unidade chaveadora de conversor"</f>
        <v>Unidade chaveadora de conversor</v>
      </c>
    </row>
    <row r="9335" spans="1:2">
      <c r="A9335" s="1" t="str">
        <f>"8536.50.20"</f>
        <v>8536.50.20</v>
      </c>
      <c r="B9335" s="2" t="str">
        <f>"UNIDADE CHAVEADORA DE AMPLIFICADOR"</f>
        <v>UNIDADE CHAVEADORA DE AMPLIFICADOR</v>
      </c>
    </row>
    <row r="9336" spans="1:2">
      <c r="A9336" s="1" t="str">
        <f>"8536.50.30"</f>
        <v>8536.50.30</v>
      </c>
      <c r="B9336" s="2" t="str">
        <f>"COMUTADORES CODIFICADORES DIGITAIS"</f>
        <v>COMUTADORES CODIFICADORES DIGITAIS</v>
      </c>
    </row>
    <row r="9337" spans="1:2">
      <c r="A9337" s="1" t="str">
        <f>"8536.50.90"</f>
        <v>8536.50.90</v>
      </c>
      <c r="B9337" s="2" t="str">
        <f>"OUTROS -PAINEL ELETRICO"</f>
        <v>OUTROS -PAINEL ELETRICO</v>
      </c>
    </row>
    <row r="9338" spans="1:2">
      <c r="A9338" s="1" t="str">
        <f>"8536.61.00"</f>
        <v>8536.61.00</v>
      </c>
      <c r="B9338" s="2" t="str">
        <f>"SUPORTES PARA LÂMPADAS"</f>
        <v>SUPORTES PARA LÂMPADAS</v>
      </c>
    </row>
    <row r="9339" spans="1:2">
      <c r="A9339" s="1" t="str">
        <f>"8536.69.10"</f>
        <v>8536.69.10</v>
      </c>
      <c r="B9339" s="2" t="str">
        <f>"TOMADA POLARIZADA E TOMADA BLINDADA"</f>
        <v>TOMADA POLARIZADA E TOMADA BLINDADA</v>
      </c>
    </row>
    <row r="9340" spans="1:2">
      <c r="A9340" s="1" t="str">
        <f>"8536.69.90"</f>
        <v>8536.69.90</v>
      </c>
      <c r="B9340" s="2" t="str">
        <f>"OUTROS"</f>
        <v>OUTROS</v>
      </c>
    </row>
    <row r="9341" spans="1:2">
      <c r="A9341" s="1" t="str">
        <f>"8536.70.00"</f>
        <v>8536.70.00</v>
      </c>
      <c r="B9341" s="2" t="str">
        <f>"Conectores para fibras opticas, fei"</f>
        <v>Conectores para fibras opticas, fei</v>
      </c>
    </row>
    <row r="9342" spans="1:2">
      <c r="A9342" s="1" t="str">
        <f>"8536.90.10"</f>
        <v>8536.90.10</v>
      </c>
      <c r="B9342" s="2" t="str">
        <f>"Conectores para cabos planos consti"</f>
        <v>Conectores para cabos planos consti</v>
      </c>
    </row>
    <row r="9343" spans="1:2">
      <c r="A9343" s="1" t="str">
        <f>"8536.90.20"</f>
        <v>8536.90.20</v>
      </c>
      <c r="B9343" s="2" t="str">
        <f>"Tomadas de contato deslizante em co"</f>
        <v>Tomadas de contato deslizante em co</v>
      </c>
    </row>
    <row r="9344" spans="1:2">
      <c r="A9344" s="1" t="str">
        <f>"8536.90.30"</f>
        <v>8536.90.30</v>
      </c>
      <c r="B9344" s="2" t="str">
        <f>"SOQUETES PARA MICROESTRUTURAS ELETR"</f>
        <v>SOQUETES PARA MICROESTRUTURAS ELETR</v>
      </c>
    </row>
    <row r="9345" spans="1:2">
      <c r="A9345" s="1" t="str">
        <f>"8536.90.40"</f>
        <v>8536.90.40</v>
      </c>
      <c r="B9345" s="2" t="str">
        <f>"CONECTORES PARA CIRCUITO IMPRESSO"</f>
        <v>CONECTORES PARA CIRCUITO IMPRESSO</v>
      </c>
    </row>
    <row r="9346" spans="1:2">
      <c r="A9346" s="1" t="str">
        <f>"8536.90.50"</f>
        <v>8536.90.50</v>
      </c>
      <c r="B9346" s="2" t="str">
        <f>"Terminais de conexao para capacitor"</f>
        <v>Terminais de conexao para capacitor</v>
      </c>
    </row>
    <row r="9347" spans="1:2">
      <c r="A9347" s="1" t="str">
        <f>"8536.90.90"</f>
        <v>8536.90.90</v>
      </c>
      <c r="B9347" s="2" t="str">
        <f>"OUTROS - OUTROS APARELHOS PARA INTE"</f>
        <v>OUTROS - OUTROS APARELHOS PARA INTE</v>
      </c>
    </row>
    <row r="9348" spans="1:2">
      <c r="A9348" s="1" t="str">
        <f>"8537.10.11"</f>
        <v>8537.10.11</v>
      </c>
      <c r="B9348" s="2" t="str">
        <f>"Com processador e barramento de 32"</f>
        <v>Com processador e barramento de 32</v>
      </c>
    </row>
    <row r="9349" spans="1:2">
      <c r="A9349" s="1" t="str">
        <f>"8537.10.19"</f>
        <v>8537.10.19</v>
      </c>
      <c r="B9349" s="2" t="str">
        <f>"Outros"</f>
        <v>Outros</v>
      </c>
    </row>
    <row r="9350" spans="1:2">
      <c r="A9350" s="1" t="str">
        <f>"8537.10.20"</f>
        <v>8537.10.20</v>
      </c>
      <c r="B9350" s="2" t="str">
        <f>"CONTROLADORES PROGRAMÁVEIS"</f>
        <v>CONTROLADORES PROGRAMÁVEIS</v>
      </c>
    </row>
    <row r="9351" spans="1:2">
      <c r="A9351" s="1" t="str">
        <f>"8537.10.30"</f>
        <v>8537.10.30</v>
      </c>
      <c r="B9351" s="2" t="str">
        <f>"CONTROLAD DEMANDA ENERGIA ELÉTRICA"</f>
        <v>CONTROLAD DEMANDA ENERGIA ELÉTRICA</v>
      </c>
    </row>
    <row r="9352" spans="1:2">
      <c r="A9352" s="1" t="str">
        <f>"8537.10.90"</f>
        <v>8537.10.90</v>
      </c>
      <c r="B9352" s="2" t="str">
        <f>"OUTROS - QUADRO DE COMANDO"</f>
        <v>OUTROS - QUADRO DE COMANDO</v>
      </c>
    </row>
    <row r="9353" spans="1:2">
      <c r="A9353" s="1" t="str">
        <f>"8537.20.10"</f>
        <v>8537.20.10</v>
      </c>
      <c r="B9353" s="2" t="str">
        <f>"Subestacoes isoladas a gas (GIS - G"</f>
        <v>Subestacoes isoladas a gas (GIS - G</v>
      </c>
    </row>
    <row r="9354" spans="1:2">
      <c r="A9354" s="1" t="str">
        <f>"8537.20.90"</f>
        <v>8537.20.90</v>
      </c>
      <c r="B9354" s="2" t="str">
        <f>"OUTROS"</f>
        <v>OUTROS</v>
      </c>
    </row>
    <row r="9355" spans="1:2">
      <c r="A9355" s="1" t="str">
        <f>"8538.10.00"</f>
        <v>8538.10.00</v>
      </c>
      <c r="B9355" s="2" t="str">
        <f>"BOTOEIRA MURAL"</f>
        <v>BOTOEIRA MURAL</v>
      </c>
    </row>
    <row r="9356" spans="1:2">
      <c r="A9356" s="1" t="str">
        <f>"8538.90.10"</f>
        <v>8538.90.10</v>
      </c>
      <c r="B9356" s="2" t="str">
        <f>"modulo de interface"</f>
        <v>modulo de interface</v>
      </c>
    </row>
    <row r="9357" spans="1:2">
      <c r="A9357" s="1" t="str">
        <f>"8538.90.20"</f>
        <v>8538.90.20</v>
      </c>
      <c r="B9357" s="2" t="str">
        <f>"De disjuntores, para uma tensao igu"</f>
        <v>De disjuntores, para uma tensao igu</v>
      </c>
    </row>
    <row r="9358" spans="1:2">
      <c r="A9358" s="1" t="str">
        <f>"8538.90.90"</f>
        <v>8538.90.90</v>
      </c>
      <c r="B9358" s="2" t="str">
        <f>"outras"</f>
        <v>outras</v>
      </c>
    </row>
    <row r="9359" spans="1:2">
      <c r="A9359" s="1" t="str">
        <f>"8539.10.10"</f>
        <v>8539.10.10</v>
      </c>
      <c r="B9359" s="2" t="str">
        <f>"Para uma tensao inferior ou igual a"</f>
        <v>Para uma tensao inferior ou igual a</v>
      </c>
    </row>
    <row r="9360" spans="1:2">
      <c r="A9360" s="1" t="str">
        <f>"8539.10.90"</f>
        <v>8539.10.90</v>
      </c>
      <c r="B9360" s="2" t="str">
        <f>"OUTROS"</f>
        <v>OUTROS</v>
      </c>
    </row>
    <row r="9361" spans="1:2">
      <c r="A9361" s="1" t="str">
        <f>"8539.21.10"</f>
        <v>8539.21.10</v>
      </c>
      <c r="B9361" s="2" t="str">
        <f>"P/  UMA TENSÃO INFERIOR/ IGUAL 15V"</f>
        <v>P/  UMA TENSÃO INFERIOR/ IGUAL 15V</v>
      </c>
    </row>
    <row r="9362" spans="1:2">
      <c r="A9362" s="1" t="str">
        <f>"8539.21.90"</f>
        <v>8539.21.90</v>
      </c>
      <c r="B9362" s="2" t="str">
        <f>"LAMPADA HALOGENA"</f>
        <v>LAMPADA HALOGENA</v>
      </c>
    </row>
    <row r="9363" spans="1:2">
      <c r="A9363" s="1" t="str">
        <f>"8539.22.00"</f>
        <v>8539.22.00</v>
      </c>
      <c r="B9363" s="2" t="str">
        <f>"OUTROS - LAMPADA INCD. CRISTAL"</f>
        <v>OUTROS - LAMPADA INCD. CRISTAL</v>
      </c>
    </row>
    <row r="9364" spans="1:2">
      <c r="A9364" s="1" t="str">
        <f>"8539.29.10"</f>
        <v>8539.29.10</v>
      </c>
      <c r="B9364" s="2" t="str">
        <f>"LAMPADAS HALOGENAS"</f>
        <v>LAMPADAS HALOGENAS</v>
      </c>
    </row>
    <row r="9365" spans="1:2">
      <c r="A9365" s="1" t="str">
        <f>"8539.29.90"</f>
        <v>8539.29.90</v>
      </c>
      <c r="B9365" s="2" t="str">
        <f>"OUTROS - LAMPADA HALOGENA"</f>
        <v>OUTROS - LAMPADA HALOGENA</v>
      </c>
    </row>
    <row r="9366" spans="1:2">
      <c r="A9366" s="1" t="str">
        <f>"8539.31.00"</f>
        <v>8539.31.00</v>
      </c>
      <c r="B9366" s="2" t="str">
        <f>"FLUORESCENTES, DE CÁTODO QUENTE"</f>
        <v>FLUORESCENTES, DE CÁTODO QUENTE</v>
      </c>
    </row>
    <row r="9367" spans="1:2">
      <c r="A9367" s="1" t="str">
        <f>"8539.31.19"</f>
        <v>8539.31.19</v>
      </c>
      <c r="B9367" s="2" t="str">
        <f>"Outras"</f>
        <v>Outras</v>
      </c>
    </row>
    <row r="9368" spans="1:2">
      <c r="A9368" s="1" t="str">
        <f>"8539.31.20"</f>
        <v>8539.31.20</v>
      </c>
      <c r="B9368" s="2" t="str">
        <f>"OUTROS"</f>
        <v>OUTROS</v>
      </c>
    </row>
    <row r="9369" spans="1:2">
      <c r="A9369" s="1" t="str">
        <f>"8539.31.31"</f>
        <v>8539.31.31</v>
      </c>
      <c r="B9369" s="2" t="str">
        <f>"Com fósforo tribanda e que contenha"</f>
        <v>Com fósforo tribanda e que contenha</v>
      </c>
    </row>
    <row r="9370" spans="1:2">
      <c r="A9370" s="1" t="str">
        <f>"8539.31.32"</f>
        <v>8539.31.32</v>
      </c>
      <c r="B9370" s="2" t="str">
        <f>"Com fósforo em halofosfato e que co"</f>
        <v>Com fósforo em halofosfato e que co</v>
      </c>
    </row>
    <row r="9371" spans="1:2">
      <c r="A9371" s="1" t="str">
        <f>"8539.31.39"</f>
        <v>8539.31.39</v>
      </c>
      <c r="B9371" s="2" t="str">
        <f>"Outros"</f>
        <v>Outros</v>
      </c>
    </row>
    <row r="9372" spans="1:2">
      <c r="A9372" s="1" t="str">
        <f>"8539.32.00"</f>
        <v>8539.32.00</v>
      </c>
      <c r="B9372" s="2" t="str">
        <f>"LÂMP. VAP. MERC./ SÓD.  HALOGN. MET"</f>
        <v>LÂMP. VAP. MERC./ SÓD.  HALOGN. MET</v>
      </c>
    </row>
    <row r="9373" spans="1:2">
      <c r="A9373" s="1" t="str">
        <f>"8539.39.00"</f>
        <v>8539.39.00</v>
      </c>
      <c r="B9373" s="2" t="str">
        <f>"Outros"</f>
        <v>Outros</v>
      </c>
    </row>
    <row r="9374" spans="1:2">
      <c r="A9374" s="1" t="str">
        <f>"8539.41.00"</f>
        <v>8539.41.00</v>
      </c>
      <c r="B9374" s="2" t="str">
        <f>"INATIVA - CURALAMP"</f>
        <v>INATIVA - CURALAMP</v>
      </c>
    </row>
    <row r="9375" spans="1:2">
      <c r="A9375" s="1" t="str">
        <f>"8539.41.10"</f>
        <v>8539.41.10</v>
      </c>
      <c r="B9375" s="2" t="str">
        <f>"De potencia igual ou superior a 1.0"</f>
        <v>De potencia igual ou superior a 1.0</v>
      </c>
    </row>
    <row r="9376" spans="1:2">
      <c r="A9376" s="1" t="str">
        <f>"8539.41.90"</f>
        <v>8539.41.90</v>
      </c>
      <c r="B9376" s="2" t="str">
        <f>"Outras"</f>
        <v>Outras</v>
      </c>
    </row>
    <row r="9377" spans="1:2">
      <c r="A9377" s="1" t="str">
        <f>"8539.49.00"</f>
        <v>8539.49.00</v>
      </c>
      <c r="B9377" s="2" t="str">
        <f>"OUTROS - LAMPADA"</f>
        <v>OUTROS - LAMPADA</v>
      </c>
    </row>
    <row r="9378" spans="1:2">
      <c r="A9378" s="1" t="str">
        <f>"8539.50.00"</f>
        <v>8539.50.00</v>
      </c>
      <c r="B9378" s="2" t="str">
        <f>"LAMPADAS E TUBOS"</f>
        <v>LAMPADAS E TUBOS</v>
      </c>
    </row>
    <row r="9379" spans="1:2">
      <c r="A9379" s="1" t="str">
        <f>"8539.52.00"</f>
        <v>8539.52.00</v>
      </c>
      <c r="B9379" s="2" t="str">
        <f>"Lâmpadas e tubos de diodos emissor"</f>
        <v>Lâmpadas e tubos de diodos emissor</v>
      </c>
    </row>
    <row r="9380" spans="1:2">
      <c r="A9380" s="1" t="str">
        <f>"8539.90.10"</f>
        <v>8539.90.10</v>
      </c>
      <c r="B9380" s="2" t="str">
        <f>"Eletrodos"</f>
        <v>Eletrodos</v>
      </c>
    </row>
    <row r="9381" spans="1:2">
      <c r="A9381" s="1" t="str">
        <f>"8539.90.20"</f>
        <v>8539.90.20</v>
      </c>
      <c r="B9381" s="2" t="str">
        <f>"Bases"</f>
        <v>Bases</v>
      </c>
    </row>
    <row r="9382" spans="1:2">
      <c r="A9382" s="1" t="str">
        <f>"8539.90.90"</f>
        <v>8539.90.90</v>
      </c>
      <c r="B9382" s="2" t="str">
        <f>"OUTRAS - PARTES - LÂMPADAS E TUBOS"</f>
        <v>OUTRAS - PARTES - LÂMPADAS E TUBOS</v>
      </c>
    </row>
    <row r="9383" spans="1:2">
      <c r="A9383" s="1" t="str">
        <f>"8540.11.00"</f>
        <v>8540.11.00</v>
      </c>
      <c r="B9383" s="2" t="str">
        <f>"A cores (policromo)"</f>
        <v>A cores (policromo)</v>
      </c>
    </row>
    <row r="9384" spans="1:2">
      <c r="A9384" s="1" t="str">
        <f>"8540.12.00"</f>
        <v>8540.12.00</v>
      </c>
      <c r="B9384" s="2" t="str">
        <f>"A preto e branco ou outros monocrom"</f>
        <v>A preto e branco ou outros monocrom</v>
      </c>
    </row>
    <row r="9385" spans="1:2">
      <c r="A9385" s="1" t="str">
        <f>"8540.20.11"</f>
        <v>8540.20.11</v>
      </c>
      <c r="B9385" s="2" t="str">
        <f>"Em preto e branco ou outros monocro"</f>
        <v>Em preto e branco ou outros monocro</v>
      </c>
    </row>
    <row r="9386" spans="1:2">
      <c r="A9386" s="1" t="str">
        <f>"8540.20.19"</f>
        <v>8540.20.19</v>
      </c>
      <c r="B9386" s="2" t="str">
        <f>"Outros"</f>
        <v>Outros</v>
      </c>
    </row>
    <row r="9387" spans="1:2">
      <c r="A9387" s="1" t="str">
        <f>"8540.20.20"</f>
        <v>8540.20.20</v>
      </c>
      <c r="B9387" s="2" t="str">
        <f>"Tubos conversores ou intensificador"</f>
        <v>Tubos conversores ou intensificador</v>
      </c>
    </row>
    <row r="9388" spans="1:2">
      <c r="A9388" s="1" t="str">
        <f>"8540.20.90"</f>
        <v>8540.20.90</v>
      </c>
      <c r="B9388" s="2" t="str">
        <f>"Outros"</f>
        <v>Outros</v>
      </c>
    </row>
    <row r="9389" spans="1:2">
      <c r="A9389" s="1" t="str">
        <f>"8540.40.00"</f>
        <v>8540.40.00</v>
      </c>
      <c r="B9389" s="2" t="str">
        <f>"Tubos de visualizacao de dados graf"</f>
        <v>Tubos de visualizacao de dados graf</v>
      </c>
    </row>
    <row r="9390" spans="1:2">
      <c r="A9390" s="1" t="str">
        <f>"8540.60.10"</f>
        <v>8540.60.10</v>
      </c>
      <c r="B9390" s="2" t="str">
        <f>"Tubos de visualizacao de dados graf"</f>
        <v>Tubos de visualizacao de dados graf</v>
      </c>
    </row>
    <row r="9391" spans="1:2">
      <c r="A9391" s="1" t="str">
        <f>"8540.60.90"</f>
        <v>8540.60.90</v>
      </c>
      <c r="B9391" s="2" t="str">
        <f>"Outros"</f>
        <v>Outros</v>
      </c>
    </row>
    <row r="9392" spans="1:2">
      <c r="A9392" s="1" t="str">
        <f>"8540.71.00"</f>
        <v>8540.71.00</v>
      </c>
      <c r="B9392" s="2" t="str">
        <f>"Magnetrons"</f>
        <v>Magnetrons</v>
      </c>
    </row>
    <row r="9393" spans="1:2">
      <c r="A9393" s="1" t="str">
        <f>"8540.79.00"</f>
        <v>8540.79.00</v>
      </c>
      <c r="B9393" s="2" t="str">
        <f>"Outros"</f>
        <v>Outros</v>
      </c>
    </row>
    <row r="9394" spans="1:2">
      <c r="A9394" s="1" t="str">
        <f>"8540.81.00"</f>
        <v>8540.81.00</v>
      </c>
      <c r="B9394" s="2" t="str">
        <f>"Tubos de recepcao ou de amplificaca"</f>
        <v>Tubos de recepcao ou de amplificaca</v>
      </c>
    </row>
    <row r="9395" spans="1:2">
      <c r="A9395" s="1" t="str">
        <f>"8540.89.10"</f>
        <v>8540.89.10</v>
      </c>
      <c r="B9395" s="2" t="str">
        <f>"VÁLVULAS DE POTÊNCIA PARA TRANSMISS"</f>
        <v>VÁLVULAS DE POTÊNCIA PARA TRANSMISS</v>
      </c>
    </row>
    <row r="9396" spans="1:2">
      <c r="A9396" s="1" t="str">
        <f>"8540.89.90"</f>
        <v>8540.89.90</v>
      </c>
      <c r="B9396" s="2" t="str">
        <f>"Outros"</f>
        <v>Outros</v>
      </c>
    </row>
    <row r="9397" spans="1:2">
      <c r="A9397" s="1" t="str">
        <f>"8540.91.10"</f>
        <v>8540.91.10</v>
      </c>
      <c r="B9397" s="2" t="str">
        <f>"Bobinas de deflexao (yokes)"</f>
        <v>Bobinas de deflexao (yokes)</v>
      </c>
    </row>
    <row r="9398" spans="1:2">
      <c r="A9398" s="1" t="str">
        <f>"8540.91.20"</f>
        <v>8540.91.20</v>
      </c>
      <c r="B9398" s="2" t="str">
        <f>"Nucleos de po ferromagnetico para b"</f>
        <v>Nucleos de po ferromagnetico para b</v>
      </c>
    </row>
    <row r="9399" spans="1:2">
      <c r="A9399" s="1" t="str">
        <f>"8540.91.30"</f>
        <v>8540.91.30</v>
      </c>
      <c r="B9399" s="2" t="str">
        <f>"Canhoes eletronicos"</f>
        <v>Canhoes eletronicos</v>
      </c>
    </row>
    <row r="9400" spans="1:2">
      <c r="A9400" s="1" t="str">
        <f>"8540.91.40"</f>
        <v>8540.91.40</v>
      </c>
      <c r="B9400" s="2" t="str">
        <f>"Painel de vidro, mascara de sombra"</f>
        <v>Painel de vidro, mascara de sombra</v>
      </c>
    </row>
    <row r="9401" spans="1:2">
      <c r="A9401" s="1" t="str">
        <f>"8540.91.90"</f>
        <v>8540.91.90</v>
      </c>
      <c r="B9401" s="2" t="str">
        <f>"Outras"</f>
        <v>Outras</v>
      </c>
    </row>
    <row r="9402" spans="1:2">
      <c r="A9402" s="1" t="str">
        <f>"8540.99.00"</f>
        <v>8540.99.00</v>
      </c>
      <c r="B9402" s="2" t="str">
        <f>"Outras"</f>
        <v>Outras</v>
      </c>
    </row>
    <row r="9403" spans="1:2">
      <c r="A9403" s="1" t="str">
        <f>"8541.10.11"</f>
        <v>8541.10.11</v>
      </c>
      <c r="B9403" s="2" t="str">
        <f>"Zener"</f>
        <v>Zener</v>
      </c>
    </row>
    <row r="9404" spans="1:2">
      <c r="A9404" s="1" t="str">
        <f>"8541.10.12"</f>
        <v>8541.10.12</v>
      </c>
      <c r="B9404" s="2" t="str">
        <f>"Outros, de intensidade de corrente"</f>
        <v>Outros, de intensidade de corrente</v>
      </c>
    </row>
    <row r="9405" spans="1:2">
      <c r="A9405" s="1" t="str">
        <f>"8541.10.19"</f>
        <v>8541.10.19</v>
      </c>
      <c r="B9405" s="2" t="str">
        <f>"Outros"</f>
        <v>Outros</v>
      </c>
    </row>
    <row r="9406" spans="1:2">
      <c r="A9406" s="1" t="str">
        <f>"8541.10.21"</f>
        <v>8541.10.21</v>
      </c>
      <c r="B9406" s="2" t="str">
        <f>"Zener"</f>
        <v>Zener</v>
      </c>
    </row>
    <row r="9407" spans="1:2">
      <c r="A9407" s="1" t="str">
        <f>"8541.10.22"</f>
        <v>8541.10.22</v>
      </c>
      <c r="B9407" s="2" t="str">
        <f>"Outros, de intensidade de corrente"</f>
        <v>Outros, de intensidade de corrente</v>
      </c>
    </row>
    <row r="9408" spans="1:2">
      <c r="A9408" s="1" t="str">
        <f>"8541.10.29"</f>
        <v>8541.10.29</v>
      </c>
      <c r="B9408" s="2" t="str">
        <f>"Outros"</f>
        <v>Outros</v>
      </c>
    </row>
    <row r="9409" spans="1:2">
      <c r="A9409" s="1" t="str">
        <f>"8541.10.91"</f>
        <v>8541.10.91</v>
      </c>
      <c r="B9409" s="2" t="str">
        <f>"Zener"</f>
        <v>Zener</v>
      </c>
    </row>
    <row r="9410" spans="1:2">
      <c r="A9410" s="1" t="str">
        <f>"8541.10.92"</f>
        <v>8541.10.92</v>
      </c>
      <c r="B9410" s="2" t="str">
        <f>"Outros, de intensidade de corrente"</f>
        <v>Outros, de intensidade de corrente</v>
      </c>
    </row>
    <row r="9411" spans="1:2">
      <c r="A9411" s="1" t="str">
        <f>"8541.10.99"</f>
        <v>8541.10.99</v>
      </c>
      <c r="B9411" s="2" t="str">
        <f>"Outros"</f>
        <v>Outros</v>
      </c>
    </row>
    <row r="9412" spans="1:2">
      <c r="A9412" s="1" t="str">
        <f>"8541.21.10"</f>
        <v>8541.21.10</v>
      </c>
      <c r="B9412" s="2" t="str">
        <f>"Nao montados"</f>
        <v>Nao montados</v>
      </c>
    </row>
    <row r="9413" spans="1:2">
      <c r="A9413" s="1" t="str">
        <f>"8541.21.20"</f>
        <v>8541.21.20</v>
      </c>
      <c r="B9413" s="2" t="str">
        <f>"Montados, proprios para montagem em"</f>
        <v>Montados, proprios para montagem em</v>
      </c>
    </row>
    <row r="9414" spans="1:2">
      <c r="A9414" s="1" t="str">
        <f>"8541.21.91"</f>
        <v>8541.21.91</v>
      </c>
      <c r="B9414" s="2" t="str">
        <f>"De efeito de campo, com juncao hete"</f>
        <v>De efeito de campo, com juncao hete</v>
      </c>
    </row>
    <row r="9415" spans="1:2">
      <c r="A9415" s="1" t="str">
        <f>"8541.21.99"</f>
        <v>8541.21.99</v>
      </c>
      <c r="B9415" s="2" t="str">
        <f>"Outros"</f>
        <v>Outros</v>
      </c>
    </row>
    <row r="9416" spans="1:2">
      <c r="A9416" s="1" t="str">
        <f>"8541.29.10"</f>
        <v>8541.29.10</v>
      </c>
      <c r="B9416" s="2" t="str">
        <f>"Nao montados"</f>
        <v>Nao montados</v>
      </c>
    </row>
    <row r="9417" spans="1:2">
      <c r="A9417" s="1" t="str">
        <f>"8541.29.20"</f>
        <v>8541.29.20</v>
      </c>
      <c r="B9417" s="2" t="str">
        <f>"MONTADOS"</f>
        <v>MONTADOS</v>
      </c>
    </row>
    <row r="9418" spans="1:2">
      <c r="A9418" s="1" t="str">
        <f>"8541.30.11"</f>
        <v>8541.30.11</v>
      </c>
      <c r="B9418" s="2" t="str">
        <f>"De intensidade de corrente inferior"</f>
        <v>De intensidade de corrente inferior</v>
      </c>
    </row>
    <row r="9419" spans="1:2">
      <c r="A9419" s="1" t="str">
        <f>"8541.30.19"</f>
        <v>8541.30.19</v>
      </c>
      <c r="B9419" s="2" t="str">
        <f>"Outros"</f>
        <v>Outros</v>
      </c>
    </row>
    <row r="9420" spans="1:2">
      <c r="A9420" s="1" t="str">
        <f>"8541.30.21"</f>
        <v>8541.30.21</v>
      </c>
      <c r="B9420" s="2" t="str">
        <f>"De intensidade de corrente inferior"</f>
        <v>De intensidade de corrente inferior</v>
      </c>
    </row>
    <row r="9421" spans="1:2">
      <c r="A9421" s="1" t="str">
        <f>"8541.30.29"</f>
        <v>8541.30.29</v>
      </c>
      <c r="B9421" s="2" t="str">
        <f>"Outros"</f>
        <v>Outros</v>
      </c>
    </row>
    <row r="9422" spans="1:2">
      <c r="A9422" s="1" t="str">
        <f>"8541.40.11"</f>
        <v>8541.40.11</v>
      </c>
      <c r="B9422" s="2" t="str">
        <f>"DIODOS EMIS LUZ (LED), EXCET LASER"</f>
        <v>DIODOS EMIS LUZ (LED), EXCET LASER</v>
      </c>
    </row>
    <row r="9423" spans="1:2">
      <c r="A9423" s="1" t="str">
        <f>"8541.40.12"</f>
        <v>8541.40.12</v>
      </c>
      <c r="B9423" s="2" t="str">
        <f>"Diodos laser"</f>
        <v>Diodos laser</v>
      </c>
    </row>
    <row r="9424" spans="1:2">
      <c r="A9424" s="1" t="str">
        <f>"8541.40.13"</f>
        <v>8541.40.13</v>
      </c>
      <c r="B9424" s="2" t="str">
        <f>"Fotodiodos"</f>
        <v>Fotodiodos</v>
      </c>
    </row>
    <row r="9425" spans="1:2">
      <c r="A9425" s="1" t="str">
        <f>"8541.40.14"</f>
        <v>8541.40.14</v>
      </c>
      <c r="B9425" s="2" t="str">
        <f>"Fototransistores"</f>
        <v>Fototransistores</v>
      </c>
    </row>
    <row r="9426" spans="1:2">
      <c r="A9426" s="1" t="str">
        <f>"8541.40.15"</f>
        <v>8541.40.15</v>
      </c>
      <c r="B9426" s="2" t="str">
        <f>"Fototiristores"</f>
        <v>Fototiristores</v>
      </c>
    </row>
    <row r="9427" spans="1:2">
      <c r="A9427" s="1" t="str">
        <f>"8541.40.16"</f>
        <v>8541.40.16</v>
      </c>
      <c r="B9427" s="2" t="str">
        <f>"Celulas solares"</f>
        <v>Celulas solares</v>
      </c>
    </row>
    <row r="9428" spans="1:2">
      <c r="A9428" s="1" t="str">
        <f>"8541.40.19"</f>
        <v>8541.40.19</v>
      </c>
      <c r="B9428" s="2" t="str">
        <f>"Dispositivos fotossensíveis"</f>
        <v>Dispositivos fotossensíveis</v>
      </c>
    </row>
    <row r="9429" spans="1:2">
      <c r="A9429" s="1" t="str">
        <f>"8541.40.21"</f>
        <v>8541.40.21</v>
      </c>
      <c r="B9429" s="2" t="str">
        <f>"SINALIZADOR 1LEDS ALTO BRILHO"</f>
        <v>SINALIZADOR 1LEDS ALTO BRILHO</v>
      </c>
    </row>
    <row r="9430" spans="1:2">
      <c r="A9430" s="1" t="str">
        <f>"8541.40.22"</f>
        <v>8541.40.22</v>
      </c>
      <c r="B9430" s="2" t="str">
        <f>"Outros diodos emissores de luz (LED"</f>
        <v>Outros diodos emissores de luz (LED</v>
      </c>
    </row>
    <row r="9431" spans="1:2">
      <c r="A9431" s="1" t="str">
        <f>"8541.40.23"</f>
        <v>8541.40.23</v>
      </c>
      <c r="B9431" s="2" t="str">
        <f>"Diodos laser com comprimento de ond"</f>
        <v>Diodos laser com comprimento de ond</v>
      </c>
    </row>
    <row r="9432" spans="1:2">
      <c r="A9432" s="1" t="str">
        <f>"8541.40.24"</f>
        <v>8541.40.24</v>
      </c>
      <c r="B9432" s="2" t="str">
        <f>"Outros diodos laser"</f>
        <v>Outros diodos laser</v>
      </c>
    </row>
    <row r="9433" spans="1:2">
      <c r="A9433" s="1" t="str">
        <f>"8541.40.25"</f>
        <v>8541.40.25</v>
      </c>
      <c r="B9433" s="2" t="str">
        <f>"Fotodiodos, fototransistores e foto"</f>
        <v>Fotodiodos, fototransistores e foto</v>
      </c>
    </row>
    <row r="9434" spans="1:2">
      <c r="A9434" s="1" t="str">
        <f>"8541.40.26"</f>
        <v>8541.40.26</v>
      </c>
      <c r="B9434" s="2" t="str">
        <f>"Fotorresistores"</f>
        <v>Fotorresistores</v>
      </c>
    </row>
    <row r="9435" spans="1:2">
      <c r="A9435" s="1" t="str">
        <f>"8541.40.27"</f>
        <v>8541.40.27</v>
      </c>
      <c r="B9435" s="2" t="str">
        <f>"Acopladores"</f>
        <v>Acopladores</v>
      </c>
    </row>
    <row r="9436" spans="1:2">
      <c r="A9436" s="1" t="str">
        <f>"8541.40.29"</f>
        <v>8541.40.29</v>
      </c>
      <c r="B9436" s="2" t="str">
        <f>"OUTROS"</f>
        <v>OUTROS</v>
      </c>
    </row>
    <row r="9437" spans="1:2">
      <c r="A9437" s="1" t="str">
        <f>"8541.40.31"</f>
        <v>8541.40.31</v>
      </c>
      <c r="B9437" s="2" t="str">
        <f>"Fotodiodos"</f>
        <v>Fotodiodos</v>
      </c>
    </row>
    <row r="9438" spans="1:2">
      <c r="A9438" s="1" t="str">
        <f>"8541.40.32"</f>
        <v>8541.40.32</v>
      </c>
      <c r="B9438" s="2" t="str">
        <f>"Celulas solares"</f>
        <v>Celulas solares</v>
      </c>
    </row>
    <row r="9439" spans="1:2">
      <c r="A9439" s="1" t="str">
        <f>"8541.40.39"</f>
        <v>8541.40.39</v>
      </c>
      <c r="B9439" s="2" t="str">
        <f>"RELE DE ESTADO SOLIDO"</f>
        <v>RELE DE ESTADO SOLIDO</v>
      </c>
    </row>
    <row r="9440" spans="1:2">
      <c r="A9440" s="1" t="str">
        <f>"8541.41.24"</f>
        <v>8541.41.24</v>
      </c>
      <c r="B9440" s="2" t="str">
        <f>"Outros diodos laser"</f>
        <v>Outros diodos laser</v>
      </c>
    </row>
    <row r="9441" spans="1:2">
      <c r="A9441" s="1" t="str">
        <f>"8541.49.00"</f>
        <v>8541.49.00</v>
      </c>
      <c r="B9441" s="2" t="str">
        <f>"DISPOSITIVOS SEMICONDUTORES"</f>
        <v>DISPOSITIVOS SEMICONDUTORES</v>
      </c>
    </row>
    <row r="9442" spans="1:2">
      <c r="A9442" s="1" t="str">
        <f>"8541.50.10"</f>
        <v>8541.50.10</v>
      </c>
      <c r="B9442" s="2" t="str">
        <f>"Nao montados"</f>
        <v>Nao montados</v>
      </c>
    </row>
    <row r="9443" spans="1:2">
      <c r="A9443" s="1" t="str">
        <f>"8541.50.20"</f>
        <v>8541.50.20</v>
      </c>
      <c r="B9443" s="2" t="str">
        <f>"Montados"</f>
        <v>Montados</v>
      </c>
    </row>
    <row r="9444" spans="1:2">
      <c r="A9444" s="1" t="str">
        <f>"8541.60.10"</f>
        <v>8541.60.10</v>
      </c>
      <c r="B9444" s="2" t="str">
        <f>"De quartzo, de frequencia igual ou"</f>
        <v>De quartzo, de frequencia igual ou</v>
      </c>
    </row>
    <row r="9445" spans="1:2">
      <c r="A9445" s="1" t="str">
        <f>"8541.60.90"</f>
        <v>8541.60.90</v>
      </c>
      <c r="B9445" s="2" t="str">
        <f>"Outros"</f>
        <v>Outros</v>
      </c>
    </row>
    <row r="9446" spans="1:2">
      <c r="A9446" s="1" t="str">
        <f>"8541.90.10"</f>
        <v>8541.90.10</v>
      </c>
      <c r="B9446" s="2" t="str">
        <f>"Suportes-conectores apresentados em"</f>
        <v>Suportes-conectores apresentados em</v>
      </c>
    </row>
    <row r="9447" spans="1:2">
      <c r="A9447" s="1" t="str">
        <f>"8541.90.20"</f>
        <v>8541.90.20</v>
      </c>
      <c r="B9447" s="2" t="str">
        <f>"Coberturas para encapsulamento (cap"</f>
        <v>Coberturas para encapsulamento (cap</v>
      </c>
    </row>
    <row r="9448" spans="1:2">
      <c r="A9448" s="1" t="str">
        <f>"8541.90.90"</f>
        <v>8541.90.90</v>
      </c>
      <c r="B9448" s="2" t="str">
        <f>"Outras"</f>
        <v>Outras</v>
      </c>
    </row>
    <row r="9449" spans="1:2">
      <c r="A9449" s="1" t="str">
        <f>"8542.31.10"</f>
        <v>8542.31.10</v>
      </c>
      <c r="B9449" s="2" t="str">
        <f>"OUTROS"</f>
        <v>OUTROS</v>
      </c>
    </row>
    <row r="9450" spans="1:2">
      <c r="A9450" s="1" t="str">
        <f>"8542.31.20"</f>
        <v>8542.31.20</v>
      </c>
      <c r="B9450" s="2" t="str">
        <f>"MONTADOS, PRÓPRIOS P/ MONT SUPERFIC"</f>
        <v>MONTADOS, PRÓPRIOS P/ MONT SUPERFIC</v>
      </c>
    </row>
    <row r="9451" spans="1:2">
      <c r="A9451" s="1" t="str">
        <f>"8542.31.90"</f>
        <v>8542.31.90</v>
      </c>
      <c r="B9451" s="2" t="str">
        <f>"IGB LINK S7"</f>
        <v>IGB LINK S7</v>
      </c>
    </row>
    <row r="9452" spans="1:2">
      <c r="A9452" s="1" t="str">
        <f>"8542.32.10"</f>
        <v>8542.32.10</v>
      </c>
      <c r="B9452" s="2" t="str">
        <f>"CIRCUITO INTEG. MONOLIT. DIGITAIS N"</f>
        <v>CIRCUITO INTEG. MONOLIT. DIGITAIS N</v>
      </c>
    </row>
    <row r="9453" spans="1:2">
      <c r="A9453" s="1" t="str">
        <f>"8542.32.21"</f>
        <v>8542.32.21</v>
      </c>
      <c r="B9453" s="2" t="str">
        <f>"Dos tipos RAM estaticas (SRAM) com"</f>
        <v>Dos tipos RAM estaticas (SRAM) com</v>
      </c>
    </row>
    <row r="9454" spans="1:2">
      <c r="A9454" s="1" t="str">
        <f>"8542.32.29"</f>
        <v>8542.32.29</v>
      </c>
      <c r="B9454" s="2" t="str">
        <f>"Outras"</f>
        <v>Outras</v>
      </c>
    </row>
    <row r="9455" spans="1:2">
      <c r="A9455" s="1" t="str">
        <f>"8542.32.91"</f>
        <v>8542.32.91</v>
      </c>
      <c r="B9455" s="2" t="str">
        <f>"Dos tipos RAM estaticas (SRAM) com"</f>
        <v>Dos tipos RAM estaticas (SRAM) com</v>
      </c>
    </row>
    <row r="9456" spans="1:2">
      <c r="A9456" s="1" t="str">
        <f>"8542.32.99"</f>
        <v>8542.32.99</v>
      </c>
      <c r="B9456" s="2" t="str">
        <f>"Outras"</f>
        <v>Outras</v>
      </c>
    </row>
    <row r="9457" spans="1:2">
      <c r="A9457" s="1" t="str">
        <f>"8542.33.11"</f>
        <v>8542.33.11</v>
      </c>
      <c r="B9457" s="2" t="str">
        <f>"De espessura de camada inferior ou"</f>
        <v>De espessura de camada inferior ou</v>
      </c>
    </row>
    <row r="9458" spans="1:2">
      <c r="A9458" s="1" t="str">
        <f>"8542.33.19"</f>
        <v>8542.33.19</v>
      </c>
      <c r="B9458" s="2" t="str">
        <f>"Outros"</f>
        <v>Outros</v>
      </c>
    </row>
    <row r="9459" spans="1:2">
      <c r="A9459" s="1" t="str">
        <f>"8542.33.20"</f>
        <v>8542.33.20</v>
      </c>
      <c r="B9459" s="2" t="str">
        <f>"Outros, nao montados"</f>
        <v>Outros, nao montados</v>
      </c>
    </row>
    <row r="9460" spans="1:2">
      <c r="A9460" s="1" t="str">
        <f>"8542.33.90"</f>
        <v>8542.33.90</v>
      </c>
      <c r="B9460" s="2" t="str">
        <f>"Máquinas, aparelhos e materiais elé"</f>
        <v>Máquinas, aparelhos e materiais elé</v>
      </c>
    </row>
    <row r="9461" spans="1:2">
      <c r="A9461" s="1" t="str">
        <f>"8542.39.11"</f>
        <v>8542.39.11</v>
      </c>
      <c r="B9461" s="2" t="str">
        <f>"De espessura de camada inferior ou"</f>
        <v>De espessura de camada inferior ou</v>
      </c>
    </row>
    <row r="9462" spans="1:2">
      <c r="A9462" s="1" t="str">
        <f>"8542.39.19"</f>
        <v>8542.39.19</v>
      </c>
      <c r="B9462" s="2" t="str">
        <f>"Outros"</f>
        <v>Outros</v>
      </c>
    </row>
    <row r="9463" spans="1:2">
      <c r="A9463" s="1" t="str">
        <f>"8542.39.20"</f>
        <v>8542.39.20</v>
      </c>
      <c r="B9463" s="2" t="str">
        <f>"Outros, nao montados"</f>
        <v>Outros, nao montados</v>
      </c>
    </row>
    <row r="9464" spans="1:2">
      <c r="A9464" s="1" t="str">
        <f>"8542.39.31"</f>
        <v>8542.39.31</v>
      </c>
      <c r="B9464" s="2" t="str">
        <f>"Circuitos do tipo chipset"</f>
        <v>Circuitos do tipo chipset</v>
      </c>
    </row>
    <row r="9465" spans="1:2">
      <c r="A9465" s="1" t="str">
        <f>"8542.39.39"</f>
        <v>8542.39.39</v>
      </c>
      <c r="B9465" s="2" t="str">
        <f>"Outros"</f>
        <v>Outros</v>
      </c>
    </row>
    <row r="9466" spans="1:2">
      <c r="A9466" s="1" t="str">
        <f>"8542.39.91"</f>
        <v>8542.39.91</v>
      </c>
      <c r="B9466" s="2" t="str">
        <f>"Circuitos do tipo chipset"</f>
        <v>Circuitos do tipo chipset</v>
      </c>
    </row>
    <row r="9467" spans="1:2">
      <c r="A9467" s="1" t="str">
        <f>"8542.39.99"</f>
        <v>8542.39.99</v>
      </c>
      <c r="B9467" s="2" t="str">
        <f>"Outros"</f>
        <v>Outros</v>
      </c>
    </row>
    <row r="9468" spans="1:2">
      <c r="A9468" s="1" t="str">
        <f>"8542.90.10"</f>
        <v>8542.90.10</v>
      </c>
      <c r="B9468" s="2" t="str">
        <f>"Suportes-conectores apresentados em"</f>
        <v>Suportes-conectores apresentados em</v>
      </c>
    </row>
    <row r="9469" spans="1:2">
      <c r="A9469" s="1" t="str">
        <f>"8542.90.20"</f>
        <v>8542.90.20</v>
      </c>
      <c r="B9469" s="2" t="str">
        <f>"Coberturas para encapsulamento (cap"</f>
        <v>Coberturas para encapsulamento (cap</v>
      </c>
    </row>
    <row r="9470" spans="1:2">
      <c r="A9470" s="1" t="str">
        <f>"8542.90.90"</f>
        <v>8542.90.90</v>
      </c>
      <c r="B9470" s="2" t="str">
        <f>"Outras"</f>
        <v>Outras</v>
      </c>
    </row>
    <row r="9471" spans="1:2">
      <c r="A9471" s="1" t="str">
        <f>"8543.10.00"</f>
        <v>8543.10.00</v>
      </c>
      <c r="B9471" s="2" t="str">
        <f>"Aceleradores de particulas"</f>
        <v>Aceleradores de particulas</v>
      </c>
    </row>
    <row r="9472" spans="1:2">
      <c r="A9472" s="1" t="str">
        <f>"8543.20.00"</f>
        <v>8543.20.00</v>
      </c>
      <c r="B9472" s="2" t="str">
        <f>"gerador de pulsos"</f>
        <v>gerador de pulsos</v>
      </c>
    </row>
    <row r="9473" spans="1:2">
      <c r="A9473" s="1" t="str">
        <f>"8543.30.00"</f>
        <v>8543.30.00</v>
      </c>
      <c r="B9473" s="2" t="str">
        <f>"Maquinas e aparelhos de galvanoplas"</f>
        <v>Maquinas e aparelhos de galvanoplas</v>
      </c>
    </row>
    <row r="9474" spans="1:2">
      <c r="A9474" s="1" t="str">
        <f>"8543.70.11"</f>
        <v>8543.70.11</v>
      </c>
      <c r="B9474" s="2" t="str">
        <f>"Para transmissao de sinais de micro"</f>
        <v>Para transmissao de sinais de micro</v>
      </c>
    </row>
    <row r="9475" spans="1:2">
      <c r="A9475" s="1" t="str">
        <f>"8543.70.12"</f>
        <v>8543.70.12</v>
      </c>
      <c r="B9475" s="2" t="str">
        <f>"Para recepcao de sinais de micro-on"</f>
        <v>Para recepcao de sinais de micro-on</v>
      </c>
    </row>
    <row r="9476" spans="1:2">
      <c r="A9476" s="1" t="str">
        <f>"8543.70.13"</f>
        <v>8543.70.13</v>
      </c>
      <c r="B9476" s="2" t="str">
        <f>"Para distribuicao de sinais de tele"</f>
        <v>Para distribuicao de sinais de tele</v>
      </c>
    </row>
    <row r="9477" spans="1:2">
      <c r="A9477" s="1" t="str">
        <f>"8543.70.14"</f>
        <v>8543.70.14</v>
      </c>
      <c r="B9477" s="2" t="str">
        <f>"Outros para recepcao de sinais de m"</f>
        <v>Outros para recepcao de sinais de m</v>
      </c>
    </row>
    <row r="9478" spans="1:2">
      <c r="A9478" s="1" t="str">
        <f>"8543.70.15"</f>
        <v>8543.70.15</v>
      </c>
      <c r="B9478" s="2" t="str">
        <f>"Outros para transmissao de sinais d"</f>
        <v>Outros para transmissao de sinais d</v>
      </c>
    </row>
    <row r="9479" spans="1:2">
      <c r="A9479" s="1" t="str">
        <f>"8543.70.19"</f>
        <v>8543.70.19</v>
      </c>
      <c r="B9479" s="2" t="str">
        <f>"Outros"</f>
        <v>Outros</v>
      </c>
    </row>
    <row r="9480" spans="1:2">
      <c r="A9480" s="1" t="str">
        <f>"8543.70.20"</f>
        <v>8543.70.20</v>
      </c>
      <c r="B9480" s="2" t="str">
        <f>"Aparelhos para eletrocutar insetos"</f>
        <v>Aparelhos para eletrocutar insetos</v>
      </c>
    </row>
    <row r="9481" spans="1:2">
      <c r="A9481" s="1" t="str">
        <f>"8543.70.31"</f>
        <v>8543.70.31</v>
      </c>
      <c r="B9481" s="2" t="str">
        <f>"Geradores de efeitos especiais com"</f>
        <v>Geradores de efeitos especiais com</v>
      </c>
    </row>
    <row r="9482" spans="1:2">
      <c r="A9482" s="1" t="str">
        <f>"8543.70.32"</f>
        <v>8543.70.32</v>
      </c>
      <c r="B9482" s="2" t="str">
        <f>"Geradores de caracteres, digitais"</f>
        <v>Geradores de caracteres, digitais</v>
      </c>
    </row>
    <row r="9483" spans="1:2">
      <c r="A9483" s="1" t="str">
        <f>"8543.70.33"</f>
        <v>8543.70.33</v>
      </c>
      <c r="B9483" s="2" t="str">
        <f>"Sincronizadores de quadro armazenad"</f>
        <v>Sincronizadores de quadro armazenad</v>
      </c>
    </row>
    <row r="9484" spans="1:2">
      <c r="A9484" s="1" t="str">
        <f>"8543.70.34"</f>
        <v>8543.70.34</v>
      </c>
      <c r="B9484" s="2" t="str">
        <f>"Controladores de edicao"</f>
        <v>Controladores de edicao</v>
      </c>
    </row>
    <row r="9485" spans="1:2">
      <c r="A9485" s="1" t="str">
        <f>"8543.70.35"</f>
        <v>8543.70.35</v>
      </c>
      <c r="B9485" s="2" t="str">
        <f>"Misturador digital, em tempo real,"</f>
        <v>Misturador digital, em tempo real,</v>
      </c>
    </row>
    <row r="9486" spans="1:2">
      <c r="A9486" s="1" t="str">
        <f>"8543.70.36"</f>
        <v>8543.70.36</v>
      </c>
      <c r="B9486" s="2" t="str">
        <f>"Roteador-comutador (routing switche"</f>
        <v>Roteador-comutador (routing switche</v>
      </c>
    </row>
    <row r="9487" spans="1:2">
      <c r="A9487" s="1" t="str">
        <f>"8543.70.39"</f>
        <v>8543.70.39</v>
      </c>
      <c r="B9487" s="2" t="str">
        <f>"Outros"</f>
        <v>Outros</v>
      </c>
    </row>
    <row r="9488" spans="1:2">
      <c r="A9488" s="1" t="str">
        <f>"8543.70.40"</f>
        <v>8543.70.40</v>
      </c>
      <c r="B9488" s="2" t="str">
        <f>"Transcodificadores ou conversores d"</f>
        <v>Transcodificadores ou conversores d</v>
      </c>
    </row>
    <row r="9489" spans="1:2">
      <c r="A9489" s="1" t="str">
        <f>"8543.70.50"</f>
        <v>8543.70.50</v>
      </c>
      <c r="B9489" s="2" t="str">
        <f>"Simulador de antenas para transmiss"</f>
        <v>Simulador de antenas para transmiss</v>
      </c>
    </row>
    <row r="9490" spans="1:2">
      <c r="A9490" s="1" t="str">
        <f>"8543.70.91"</f>
        <v>8543.70.91</v>
      </c>
      <c r="B9490" s="2" t="str">
        <f>"Terminais de texto que operem com c"</f>
        <v>Terminais de texto que operem com c</v>
      </c>
    </row>
    <row r="9491" spans="1:2">
      <c r="A9491" s="1" t="str">
        <f>"8543.70.92"</f>
        <v>8543.70.92</v>
      </c>
      <c r="B9491" s="2" t="str">
        <f>"Eletrificadores de cercas"</f>
        <v>Eletrificadores de cercas</v>
      </c>
    </row>
    <row r="9492" spans="1:2">
      <c r="A9492" s="1" t="str">
        <f>"8543.70.99"</f>
        <v>8543.70.99</v>
      </c>
      <c r="B9492" s="2" t="str">
        <f>"OUTROS"</f>
        <v>OUTROS</v>
      </c>
    </row>
    <row r="9493" spans="1:2">
      <c r="A9493" s="1" t="str">
        <f>"8543.90.00"</f>
        <v>8543.90.00</v>
      </c>
      <c r="B9493" s="2" t="str">
        <f>"INATIVA - PLACA DE CONTROLE DE VIDE"</f>
        <v>INATIVA - PLACA DE CONTROLE DE VIDE</v>
      </c>
    </row>
    <row r="9494" spans="1:2">
      <c r="A9494" s="1" t="str">
        <f>"8543.90.10"</f>
        <v>8543.90.10</v>
      </c>
      <c r="B9494" s="2" t="str">
        <f>"Das maquinas ou aparelhos da subpos"</f>
        <v>Das maquinas ou aparelhos da subpos</v>
      </c>
    </row>
    <row r="9495" spans="1:2">
      <c r="A9495" s="1" t="str">
        <f>"8543.90.90"</f>
        <v>8543.90.90</v>
      </c>
      <c r="B9495" s="2" t="str">
        <f>"OUTROS - PARTES - MÁQUINAS E APAREL"</f>
        <v>OUTROS - PARTES - MÁQUINAS E APAREL</v>
      </c>
    </row>
    <row r="9496" spans="1:2">
      <c r="A9496" s="1" t="str">
        <f>"8544.11.00"</f>
        <v>8544.11.00</v>
      </c>
      <c r="B9496" s="2" t="str">
        <f>"DE COBRE"</f>
        <v>DE COBRE</v>
      </c>
    </row>
    <row r="9497" spans="1:2">
      <c r="A9497" s="1" t="str">
        <f>"8544.19.10"</f>
        <v>8544.19.10</v>
      </c>
      <c r="B9497" s="2" t="str">
        <f>"De aluminio"</f>
        <v>De aluminio</v>
      </c>
    </row>
    <row r="9498" spans="1:2">
      <c r="A9498" s="1" t="str">
        <f>"8544.19.90"</f>
        <v>8544.19.90</v>
      </c>
      <c r="B9498" s="2" t="str">
        <f>"Outros"</f>
        <v>Outros</v>
      </c>
    </row>
    <row r="9499" spans="1:2">
      <c r="A9499" s="1" t="str">
        <f>"8544.20.00"</f>
        <v>8544.20.00</v>
      </c>
      <c r="B9499" s="2" t="str">
        <f>"Cabos coaxiais e outros condutores"</f>
        <v>Cabos coaxiais e outros condutores</v>
      </c>
    </row>
    <row r="9500" spans="1:2">
      <c r="A9500" s="1" t="str">
        <f>"8544.30.00"</f>
        <v>8544.30.00</v>
      </c>
      <c r="B9500" s="2" t="str">
        <f>"JOGOS DE FIOS PARA VELAS DE IGNIÇÃO"</f>
        <v>JOGOS DE FIOS PARA VELAS DE IGNIÇÃO</v>
      </c>
    </row>
    <row r="9501" spans="1:2">
      <c r="A9501" s="1" t="str">
        <f>"8544.42.00"</f>
        <v>8544.42.00</v>
      </c>
      <c r="B9501" s="2" t="str">
        <f>"Munidos de peças de conexão"</f>
        <v>Munidos de peças de conexão</v>
      </c>
    </row>
    <row r="9502" spans="1:2">
      <c r="A9502" s="1" t="str">
        <f>"8544.49.00"</f>
        <v>8544.49.00</v>
      </c>
      <c r="B9502" s="2" t="str">
        <f>"OUTROS CONDUTORES ELÉTRICOS"</f>
        <v>OUTROS CONDUTORES ELÉTRICOS</v>
      </c>
    </row>
    <row r="9503" spans="1:2">
      <c r="A9503" s="1" t="str">
        <f>"8544.60.00"</f>
        <v>8544.60.00</v>
      </c>
      <c r="B9503" s="2" t="str">
        <f>"OUTROS CONDUTORES ELÉTRICOS,"</f>
        <v>OUTROS CONDUTORES ELÉTRICOS,</v>
      </c>
    </row>
    <row r="9504" spans="1:2">
      <c r="A9504" s="1" t="str">
        <f>"8544.70.10"</f>
        <v>8544.70.10</v>
      </c>
      <c r="B9504" s="2" t="str">
        <f>"Com revestimento externo de materia"</f>
        <v>Com revestimento externo de materia</v>
      </c>
    </row>
    <row r="9505" spans="1:2">
      <c r="A9505" s="1" t="str">
        <f>"8544.70.20"</f>
        <v>8544.70.20</v>
      </c>
      <c r="B9505" s="2" t="str">
        <f>"Com revestimento externo de aco, pr"</f>
        <v>Com revestimento externo de aco, pr</v>
      </c>
    </row>
    <row r="9506" spans="1:2">
      <c r="A9506" s="1" t="str">
        <f>"8544.70.30"</f>
        <v>8544.70.30</v>
      </c>
      <c r="B9506" s="2" t="str">
        <f>"Com revestimento externo de alumini"</f>
        <v>Com revestimento externo de alumini</v>
      </c>
    </row>
    <row r="9507" spans="1:2">
      <c r="A9507" s="1" t="str">
        <f>"8544.70.90"</f>
        <v>8544.70.90</v>
      </c>
      <c r="B9507" s="2" t="str">
        <f>"Outros Cabos de fibras ópticas"</f>
        <v>Outros Cabos de fibras ópticas</v>
      </c>
    </row>
    <row r="9508" spans="1:2">
      <c r="A9508" s="1" t="str">
        <f>"8545.11.00"</f>
        <v>8545.11.00</v>
      </c>
      <c r="B9508" s="2" t="str">
        <f>"Do tipo utilizado em fornos"</f>
        <v>Do tipo utilizado em fornos</v>
      </c>
    </row>
    <row r="9509" spans="1:2">
      <c r="A9509" s="1" t="str">
        <f>"8545.19.10"</f>
        <v>8545.19.10</v>
      </c>
      <c r="B9509" s="2" t="str">
        <f>"De grafita, com um teor de carbono"</f>
        <v>De grafita, com um teor de carbono</v>
      </c>
    </row>
    <row r="9510" spans="1:2">
      <c r="A9510" s="1" t="str">
        <f>"8545.19.20"</f>
        <v>8545.19.20</v>
      </c>
      <c r="B9510" s="2" t="str">
        <f>"Blocos de grafite, do tipo utilizad"</f>
        <v>Blocos de grafite, do tipo utilizad</v>
      </c>
    </row>
    <row r="9511" spans="1:2">
      <c r="A9511" s="1" t="str">
        <f>"8545.19.90"</f>
        <v>8545.19.90</v>
      </c>
      <c r="B9511" s="2" t="str">
        <f>"Outros"</f>
        <v>Outros</v>
      </c>
    </row>
    <row r="9512" spans="1:2">
      <c r="A9512" s="1" t="str">
        <f>"8545.20.00"</f>
        <v>8545.20.00</v>
      </c>
      <c r="B9512" s="2" t="str">
        <f>"ESCOVAS"</f>
        <v>ESCOVAS</v>
      </c>
    </row>
    <row r="9513" spans="1:2">
      <c r="A9513" s="1" t="str">
        <f>"8545.90.10"</f>
        <v>8545.90.10</v>
      </c>
      <c r="B9513" s="2" t="str">
        <f>"Carvoes para pilhas eletricas"</f>
        <v>Carvoes para pilhas eletricas</v>
      </c>
    </row>
    <row r="9514" spans="1:2">
      <c r="A9514" s="1" t="str">
        <f>"8545.90.20"</f>
        <v>8545.90.20</v>
      </c>
      <c r="B9514" s="2" t="str">
        <f>"Resistencias aquecedoras desprovida"</f>
        <v>Resistencias aquecedoras desprovida</v>
      </c>
    </row>
    <row r="9515" spans="1:2">
      <c r="A9515" s="1" t="str">
        <f>"8545.90.30"</f>
        <v>8545.90.30</v>
      </c>
      <c r="B9515" s="2" t="str">
        <f>"Suportes de conexao (nipples), para"</f>
        <v>Suportes de conexao (nipples), para</v>
      </c>
    </row>
    <row r="9516" spans="1:2">
      <c r="A9516" s="1" t="str">
        <f>"8545.90.90"</f>
        <v>8545.90.90</v>
      </c>
      <c r="B9516" s="2" t="str">
        <f>"Outros"</f>
        <v>Outros</v>
      </c>
    </row>
    <row r="9517" spans="1:2">
      <c r="A9517" s="1" t="str">
        <f>"8546.10.00"</f>
        <v>8546.10.00</v>
      </c>
      <c r="B9517" s="2" t="str">
        <f>"De vidro"</f>
        <v>De vidro</v>
      </c>
    </row>
    <row r="9518" spans="1:2">
      <c r="A9518" s="1" t="str">
        <f>"8546.20.00"</f>
        <v>8546.20.00</v>
      </c>
      <c r="B9518" s="2" t="str">
        <f>"De ceramica"</f>
        <v>De ceramica</v>
      </c>
    </row>
    <row r="9519" spans="1:2">
      <c r="A9519" s="1" t="str">
        <f>"8546.90.00"</f>
        <v>8546.90.00</v>
      </c>
      <c r="B9519" s="2" t="str">
        <f>"Outros"</f>
        <v>Outros</v>
      </c>
    </row>
    <row r="9520" spans="1:2">
      <c r="A9520" s="1" t="str">
        <f>"8547.10.00"</f>
        <v>8547.10.00</v>
      </c>
      <c r="B9520" s="2" t="str">
        <f>"PEÇAS ISOLANTES DE CERÂMICA"</f>
        <v>PEÇAS ISOLANTES DE CERÂMICA</v>
      </c>
    </row>
    <row r="9521" spans="1:2">
      <c r="A9521" s="1" t="str">
        <f>"8547.20.10"</f>
        <v>8547.20.10</v>
      </c>
      <c r="B9521" s="2" t="str">
        <f>"Tampoes vedadores para capacitores,"</f>
        <v>Tampoes vedadores para capacitores,</v>
      </c>
    </row>
    <row r="9522" spans="1:2">
      <c r="A9522" s="1" t="str">
        <f>"8547.20.90"</f>
        <v>8547.20.90</v>
      </c>
      <c r="B9522" s="2" t="str">
        <f>"OUTRAS"</f>
        <v>OUTRAS</v>
      </c>
    </row>
    <row r="9523" spans="1:2">
      <c r="A9523" s="1" t="str">
        <f>"8547.90.00"</f>
        <v>8547.90.00</v>
      </c>
      <c r="B9523" s="2" t="str">
        <f>"OUTROS"</f>
        <v>OUTROS</v>
      </c>
    </row>
    <row r="9524" spans="1:2">
      <c r="A9524" s="1" t="str">
        <f>"8548.10.10"</f>
        <v>8548.10.10</v>
      </c>
      <c r="B9524" s="2" t="str">
        <f>"DESPERDÍCIOS DE ACUMULADORES ELÉTRI"</f>
        <v>DESPERDÍCIOS DE ACUMULADORES ELÉTRI</v>
      </c>
    </row>
    <row r="9525" spans="1:2">
      <c r="A9525" s="1" t="str">
        <f>"8548.10.90"</f>
        <v>8548.10.90</v>
      </c>
      <c r="B9525" s="2" t="str">
        <f>"Outros"</f>
        <v>Outros</v>
      </c>
    </row>
    <row r="9526" spans="1:2">
      <c r="A9526" s="1" t="str">
        <f>"8548.90.10"</f>
        <v>8548.90.10</v>
      </c>
      <c r="B9526" s="2" t="str">
        <f>"Termopares do tipo utilizado em dis"</f>
        <v>Termopares do tipo utilizado em dis</v>
      </c>
    </row>
    <row r="9527" spans="1:2">
      <c r="A9527" s="1" t="str">
        <f>"8548.90.90"</f>
        <v>8548.90.90</v>
      </c>
      <c r="B9527" s="2" t="str">
        <f>"Outras"</f>
        <v>Outras</v>
      </c>
    </row>
    <row r="9528" spans="1:2">
      <c r="A9528" s="1" t="str">
        <f>"8601.10.00"</f>
        <v>8601.10.00</v>
      </c>
      <c r="B9528" s="2" t="str">
        <f>"De fonte externa de eletricidade"</f>
        <v>De fonte externa de eletricidade</v>
      </c>
    </row>
    <row r="9529" spans="1:2">
      <c r="A9529" s="1" t="str">
        <f>"8601.20.00"</f>
        <v>8601.20.00</v>
      </c>
      <c r="B9529" s="2" t="str">
        <f>"De acumuladores eletricos"</f>
        <v>De acumuladores eletricos</v>
      </c>
    </row>
    <row r="9530" spans="1:2">
      <c r="A9530" s="1" t="str">
        <f>"8602.10.00"</f>
        <v>8602.10.00</v>
      </c>
      <c r="B9530" s="2" t="str">
        <f>"Locomotivas diesel-eletricas"</f>
        <v>Locomotivas diesel-eletricas</v>
      </c>
    </row>
    <row r="9531" spans="1:2">
      <c r="A9531" s="1" t="str">
        <f>"8602.90.00"</f>
        <v>8602.90.00</v>
      </c>
      <c r="B9531" s="2" t="str">
        <f>"Outros"</f>
        <v>Outros</v>
      </c>
    </row>
    <row r="9532" spans="1:2">
      <c r="A9532" s="1" t="str">
        <f>"8603.10.00"</f>
        <v>8603.10.00</v>
      </c>
      <c r="B9532" s="2" t="str">
        <f>"De fonte externa de eletricidade"</f>
        <v>De fonte externa de eletricidade</v>
      </c>
    </row>
    <row r="9533" spans="1:2">
      <c r="A9533" s="1" t="str">
        <f>"8603.90.00"</f>
        <v>8603.90.00</v>
      </c>
      <c r="B9533" s="2" t="str">
        <f>"Outras"</f>
        <v>Outras</v>
      </c>
    </row>
    <row r="9534" spans="1:2">
      <c r="A9534" s="1" t="str">
        <f>"8604.00.10"</f>
        <v>8604.00.10</v>
      </c>
      <c r="B9534" s="2" t="str">
        <f>"Autopropulsados, equipados com bate"</f>
        <v>Autopropulsados, equipados com bate</v>
      </c>
    </row>
    <row r="9535" spans="1:2">
      <c r="A9535" s="1" t="str">
        <f>"8604.00.90"</f>
        <v>8604.00.90</v>
      </c>
      <c r="B9535" s="2" t="str">
        <f>"Outros"</f>
        <v>Outros</v>
      </c>
    </row>
    <row r="9536" spans="1:2">
      <c r="A9536" s="1" t="str">
        <f>"8605.00.10"</f>
        <v>8605.00.10</v>
      </c>
      <c r="B9536" s="2" t="str">
        <f>"Vagoes de passageiros"</f>
        <v>Vagoes de passageiros</v>
      </c>
    </row>
    <row r="9537" spans="1:2">
      <c r="A9537" s="1" t="str">
        <f>"8605.00.90"</f>
        <v>8605.00.90</v>
      </c>
      <c r="B9537" s="2" t="str">
        <f>"Outros"</f>
        <v>Outros</v>
      </c>
    </row>
    <row r="9538" spans="1:2">
      <c r="A9538" s="1" t="str">
        <f>"8606.10.00"</f>
        <v>8606.10.00</v>
      </c>
      <c r="B9538" s="2" t="str">
        <f>"Vagoes-tanques e semelhantes"</f>
        <v>Vagoes-tanques e semelhantes</v>
      </c>
    </row>
    <row r="9539" spans="1:2">
      <c r="A9539" s="1" t="str">
        <f>"8606.30.00"</f>
        <v>8606.30.00</v>
      </c>
      <c r="B9539" s="2" t="str">
        <f>"Vagoes de descarga automatica, exce"</f>
        <v>Vagoes de descarga automatica, exce</v>
      </c>
    </row>
    <row r="9540" spans="1:2">
      <c r="A9540" s="1" t="str">
        <f>"8606.91.00"</f>
        <v>8606.91.00</v>
      </c>
      <c r="B9540" s="2" t="str">
        <f>"Cobertos e fechados"</f>
        <v>Cobertos e fechados</v>
      </c>
    </row>
    <row r="9541" spans="1:2">
      <c r="A9541" s="1" t="str">
        <f>"8606.92.00"</f>
        <v>8606.92.00</v>
      </c>
      <c r="B9541" s="2" t="str">
        <f>"Abertos, com paredes fixas de altur"</f>
        <v>Abertos, com paredes fixas de altur</v>
      </c>
    </row>
    <row r="9542" spans="1:2">
      <c r="A9542" s="1" t="str">
        <f>"8606.99.00"</f>
        <v>8606.99.00</v>
      </c>
      <c r="B9542" s="2" t="str">
        <f>"Outros"</f>
        <v>Outros</v>
      </c>
    </row>
    <row r="9543" spans="1:2">
      <c r="A9543" s="1" t="str">
        <f>"8607.11.10"</f>
        <v>8607.11.10</v>
      </c>
      <c r="B9543" s="2" t="str">
        <f>"Bogies"</f>
        <v>Bogies</v>
      </c>
    </row>
    <row r="9544" spans="1:2">
      <c r="A9544" s="1" t="str">
        <f>"8607.11.20"</f>
        <v>8607.11.20</v>
      </c>
      <c r="B9544" s="2" t="str">
        <f>"Bissels"</f>
        <v>Bissels</v>
      </c>
    </row>
    <row r="9545" spans="1:2">
      <c r="A9545" s="1" t="str">
        <f>"8607.12.00"</f>
        <v>8607.12.00</v>
      </c>
      <c r="B9545" s="2" t="str">
        <f>"Outros bogies e bissels"</f>
        <v>Outros bogies e bissels</v>
      </c>
    </row>
    <row r="9546" spans="1:2">
      <c r="A9546" s="1" t="str">
        <f>"8607.19.11"</f>
        <v>8607.19.11</v>
      </c>
      <c r="B9546" s="2" t="str">
        <f>"Com rolamentos incorporados, de dia"</f>
        <v>Com rolamentos incorporados, de dia</v>
      </c>
    </row>
    <row r="9547" spans="1:2">
      <c r="A9547" s="1" t="str">
        <f>"8607.19.19"</f>
        <v>8607.19.19</v>
      </c>
      <c r="B9547" s="2" t="str">
        <f>"Outros"</f>
        <v>Outros</v>
      </c>
    </row>
    <row r="9548" spans="1:2">
      <c r="A9548" s="1" t="str">
        <f>"8607.19.90"</f>
        <v>8607.19.90</v>
      </c>
      <c r="B9548" s="2" t="str">
        <f>"Outros"</f>
        <v>Outros</v>
      </c>
    </row>
    <row r="9549" spans="1:2">
      <c r="A9549" s="1" t="str">
        <f>"8607.21.00"</f>
        <v>8607.21.00</v>
      </c>
      <c r="B9549" s="2" t="str">
        <f>"Freios (travoes) a ar comprimido e"</f>
        <v>Freios (travoes) a ar comprimido e</v>
      </c>
    </row>
    <row r="9550" spans="1:2">
      <c r="A9550" s="1" t="str">
        <f>"8607.29.00"</f>
        <v>8607.29.00</v>
      </c>
      <c r="B9550" s="2" t="str">
        <f>"Outros"</f>
        <v>Outros</v>
      </c>
    </row>
    <row r="9551" spans="1:2">
      <c r="A9551" s="1" t="str">
        <f>"8607.30.00"</f>
        <v>8607.30.00</v>
      </c>
      <c r="B9551" s="2" t="str">
        <f>"Ganchos e outros sistemas de engate"</f>
        <v>Ganchos e outros sistemas de engate</v>
      </c>
    </row>
    <row r="9552" spans="1:2">
      <c r="A9552" s="1" t="str">
        <f>"8607.91.00"</f>
        <v>8607.91.00</v>
      </c>
      <c r="B9552" s="2" t="str">
        <f>"De locomotivas ou de locotratores"</f>
        <v>De locomotivas ou de locotratores</v>
      </c>
    </row>
    <row r="9553" spans="1:2">
      <c r="A9553" s="1" t="str">
        <f>"8607.99.00"</f>
        <v>8607.99.00</v>
      </c>
      <c r="B9553" s="2" t="str">
        <f>"Outras"</f>
        <v>Outras</v>
      </c>
    </row>
    <row r="9554" spans="1:2">
      <c r="A9554" s="1" t="str">
        <f>"8608.00.11"</f>
        <v>8608.00.11</v>
      </c>
      <c r="B9554" s="2" t="str">
        <f>"Mecanicos"</f>
        <v>Mecanicos</v>
      </c>
    </row>
    <row r="9555" spans="1:2">
      <c r="A9555" s="1" t="str">
        <f>"8608.00.12"</f>
        <v>8608.00.12</v>
      </c>
      <c r="B9555" s="2" t="str">
        <f>"Eletromecanicos"</f>
        <v>Eletromecanicos</v>
      </c>
    </row>
    <row r="9556" spans="1:2">
      <c r="A9556" s="1" t="str">
        <f>"8608.00.90"</f>
        <v>8608.00.90</v>
      </c>
      <c r="B9556" s="2" t="str">
        <f>"Outros"</f>
        <v>Outros</v>
      </c>
    </row>
    <row r="9557" spans="1:2">
      <c r="A9557" s="1" t="str">
        <f>"8609.00.00"</f>
        <v>8609.00.00</v>
      </c>
      <c r="B9557" s="2" t="str">
        <f>"CONTENTOR MOD UNITAINER ROTOMOLDADO"</f>
        <v>CONTENTOR MOD UNITAINER ROTOMOLDADO</v>
      </c>
    </row>
    <row r="9558" spans="1:2">
      <c r="A9558" s="1" t="str">
        <f>"8701.10.00"</f>
        <v>8701.10.00</v>
      </c>
      <c r="B9558" s="2" t="str">
        <f>"Tratores de eixo unico"</f>
        <v>Tratores de eixo unico</v>
      </c>
    </row>
    <row r="9559" spans="1:2">
      <c r="A9559" s="1" t="str">
        <f>"8701.20.00"</f>
        <v>8701.20.00</v>
      </c>
      <c r="B9559" s="2" t="str">
        <f>"Tratores rodoviarios para semirrebo"</f>
        <v>Tratores rodoviarios para semirrebo</v>
      </c>
    </row>
    <row r="9560" spans="1:2">
      <c r="A9560" s="1" t="str">
        <f>"8701.30.00"</f>
        <v>8701.30.00</v>
      </c>
      <c r="B9560" s="2" t="str">
        <f>"Tratores de lagartas (esteiras)"</f>
        <v>Tratores de lagartas (esteiras)</v>
      </c>
    </row>
    <row r="9561" spans="1:2">
      <c r="A9561" s="1" t="str">
        <f>"8701.90.90"</f>
        <v>8701.90.90</v>
      </c>
      <c r="B9561" s="2" t="str">
        <f>"INATIVO"</f>
        <v>INATIVO</v>
      </c>
    </row>
    <row r="9562" spans="1:2">
      <c r="A9562" s="1" t="str">
        <f>"8701.91.00"</f>
        <v>8701.91.00</v>
      </c>
      <c r="B9562" s="2" t="str">
        <f>"Nao superior a 18 kW"</f>
        <v>Nao superior a 18 kW</v>
      </c>
    </row>
    <row r="9563" spans="1:2">
      <c r="A9563" s="1" t="str">
        <f>"8701.92.00"</f>
        <v>8701.92.00</v>
      </c>
      <c r="B9563" s="2" t="str">
        <f>"Superior a 18 kW, mas nao superior"</f>
        <v>Superior a 18 kW, mas nao superior</v>
      </c>
    </row>
    <row r="9564" spans="1:2">
      <c r="A9564" s="1" t="str">
        <f>"8701.93.00"</f>
        <v>8701.93.00</v>
      </c>
      <c r="B9564" s="2" t="str">
        <f>"Superior a 37 kW, mas nao superior"</f>
        <v>Superior a 37 kW, mas nao superior</v>
      </c>
    </row>
    <row r="9565" spans="1:2">
      <c r="A9565" s="1" t="str">
        <f>"8701.94.10"</f>
        <v>8701.94.10</v>
      </c>
      <c r="B9565" s="2" t="str">
        <f>"Tratores especialmente concebidos p"</f>
        <v>Tratores especialmente concebidos p</v>
      </c>
    </row>
    <row r="9566" spans="1:2">
      <c r="A9566" s="1" t="str">
        <f>"8701.94.90"</f>
        <v>8701.94.90</v>
      </c>
      <c r="B9566" s="2" t="str">
        <f>"Outros"</f>
        <v>Outros</v>
      </c>
    </row>
    <row r="9567" spans="1:2">
      <c r="A9567" s="1" t="str">
        <f>"8701.95.10"</f>
        <v>8701.95.10</v>
      </c>
      <c r="B9567" s="2" t="str">
        <f>"Tratores especialmente concebidos p"</f>
        <v>Tratores especialmente concebidos p</v>
      </c>
    </row>
    <row r="9568" spans="1:2">
      <c r="A9568" s="1" t="str">
        <f>"8701.95.90"</f>
        <v>8701.95.90</v>
      </c>
      <c r="B9568" s="2" t="str">
        <f>"Outros"</f>
        <v>Outros</v>
      </c>
    </row>
    <row r="9569" spans="1:2">
      <c r="A9569" s="1" t="str">
        <f>"8702.10.00"</f>
        <v>8702.10.00</v>
      </c>
      <c r="B9569" s="2" t="str">
        <f>"Unicamente com motor de pistao de i"</f>
        <v>Unicamente com motor de pistao de i</v>
      </c>
    </row>
    <row r="9570" spans="1:2">
      <c r="A9570" s="1" t="str">
        <f>"8702.20.00"</f>
        <v>8702.20.00</v>
      </c>
      <c r="B9570" s="2" t="str">
        <f>"Equipados para propulsao, simultane"</f>
        <v>Equipados para propulsao, simultane</v>
      </c>
    </row>
    <row r="9571" spans="1:2">
      <c r="A9571" s="1" t="str">
        <f>"8702.30.00"</f>
        <v>8702.30.00</v>
      </c>
      <c r="B9571" s="2" t="str">
        <f>"Equipados para propulsao, simultane"</f>
        <v>Equipados para propulsao, simultane</v>
      </c>
    </row>
    <row r="9572" spans="1:2">
      <c r="A9572" s="1" t="str">
        <f>"8702.40.10"</f>
        <v>8702.40.10</v>
      </c>
      <c r="B9572" s="2" t="str">
        <f>"Trolebus"</f>
        <v>Trolebus</v>
      </c>
    </row>
    <row r="9573" spans="1:2">
      <c r="A9573" s="1" t="str">
        <f>"8702.40.90"</f>
        <v>8702.40.90</v>
      </c>
      <c r="B9573" s="2" t="str">
        <f>"Outros"</f>
        <v>Outros</v>
      </c>
    </row>
    <row r="9574" spans="1:2">
      <c r="A9574" s="1" t="str">
        <f>"8702.90.00"</f>
        <v>8702.90.00</v>
      </c>
      <c r="B9574" s="2" t="str">
        <f>"Outros"</f>
        <v>Outros</v>
      </c>
    </row>
    <row r="9575" spans="1:2">
      <c r="A9575" s="1" t="str">
        <f>"8703.10.00"</f>
        <v>8703.10.00</v>
      </c>
      <c r="B9575" s="2" t="str">
        <f>"Veiculos especialmente concebidos p"</f>
        <v>Veiculos especialmente concebidos p</v>
      </c>
    </row>
    <row r="9576" spans="1:2">
      <c r="A9576" s="1" t="str">
        <f>"8703.21.00"</f>
        <v>8703.21.00</v>
      </c>
      <c r="B9576" s="2" t="str">
        <f>"De cilindrada nao superior a 1.000"</f>
        <v>De cilindrada nao superior a 1.000</v>
      </c>
    </row>
    <row r="9577" spans="1:2">
      <c r="A9577" s="1" t="str">
        <f>"8703.22.10"</f>
        <v>8703.22.10</v>
      </c>
      <c r="B9577" s="2" t="str">
        <f>"Com capacidade de transporte de pes"</f>
        <v>Com capacidade de transporte de pes</v>
      </c>
    </row>
    <row r="9578" spans="1:2">
      <c r="A9578" s="1" t="str">
        <f>"8703.22.90"</f>
        <v>8703.22.90</v>
      </c>
      <c r="B9578" s="2" t="str">
        <f>"OUTROS"</f>
        <v>OUTROS</v>
      </c>
    </row>
    <row r="9579" spans="1:2">
      <c r="A9579" s="1" t="str">
        <f>"8703.23.10"</f>
        <v>8703.23.10</v>
      </c>
      <c r="B9579" s="2" t="str">
        <f>"OUTROS"</f>
        <v>OUTROS</v>
      </c>
    </row>
    <row r="9580" spans="1:2">
      <c r="A9580" s="1" t="str">
        <f>"8703.23.90"</f>
        <v>8703.23.90</v>
      </c>
      <c r="B9580" s="2" t="str">
        <f>"Outros"</f>
        <v>Outros</v>
      </c>
    </row>
    <row r="9581" spans="1:2">
      <c r="A9581" s="1" t="str">
        <f>"8703.24.10"</f>
        <v>8703.24.10</v>
      </c>
      <c r="B9581" s="2" t="str">
        <f>"Com capacidade de transporte de pes"</f>
        <v>Com capacidade de transporte de pes</v>
      </c>
    </row>
    <row r="9582" spans="1:2">
      <c r="A9582" s="1" t="str">
        <f>"8703.24.90"</f>
        <v>8703.24.90</v>
      </c>
      <c r="B9582" s="2" t="str">
        <f>"Outros"</f>
        <v>Outros</v>
      </c>
    </row>
    <row r="9583" spans="1:2">
      <c r="A9583" s="1" t="str">
        <f>"8703.31.10"</f>
        <v>8703.31.10</v>
      </c>
      <c r="B9583" s="2" t="str">
        <f>"Com capacidade de transporte de pes"</f>
        <v>Com capacidade de transporte de pes</v>
      </c>
    </row>
    <row r="9584" spans="1:2">
      <c r="A9584" s="1" t="str">
        <f>"8703.31.90"</f>
        <v>8703.31.90</v>
      </c>
      <c r="B9584" s="2" t="str">
        <f>"Outros"</f>
        <v>Outros</v>
      </c>
    </row>
    <row r="9585" spans="1:2">
      <c r="A9585" s="1" t="str">
        <f>"8703.32.10"</f>
        <v>8703.32.10</v>
      </c>
      <c r="B9585" s="2" t="str">
        <f>"Com capacidade de transporte de pes"</f>
        <v>Com capacidade de transporte de pes</v>
      </c>
    </row>
    <row r="9586" spans="1:2">
      <c r="A9586" s="1" t="str">
        <f>"8703.32.90"</f>
        <v>8703.32.90</v>
      </c>
      <c r="B9586" s="2" t="str">
        <f>"Outros"</f>
        <v>Outros</v>
      </c>
    </row>
    <row r="9587" spans="1:2">
      <c r="A9587" s="1" t="str">
        <f>"8703.33.10"</f>
        <v>8703.33.10</v>
      </c>
      <c r="B9587" s="2" t="str">
        <f>"Com capacidade de transporte de pes"</f>
        <v>Com capacidade de transporte de pes</v>
      </c>
    </row>
    <row r="9588" spans="1:2">
      <c r="A9588" s="1" t="str">
        <f>"8703.33.90"</f>
        <v>8703.33.90</v>
      </c>
      <c r="B9588" s="2" t="str">
        <f>"Outros"</f>
        <v>Outros</v>
      </c>
    </row>
    <row r="9589" spans="1:2">
      <c r="A9589" s="1" t="str">
        <f>"8703.40.00"</f>
        <v>8703.40.00</v>
      </c>
      <c r="B9589" s="2" t="str">
        <f>"Outros veiculos, equipados para pro"</f>
        <v>Outros veiculos, equipados para pro</v>
      </c>
    </row>
    <row r="9590" spans="1:2">
      <c r="A9590" s="1" t="str">
        <f>"8703.50.00"</f>
        <v>8703.50.00</v>
      </c>
      <c r="B9590" s="2" t="str">
        <f>"Outros veiculos, equipados para pro"</f>
        <v>Outros veiculos, equipados para pro</v>
      </c>
    </row>
    <row r="9591" spans="1:2">
      <c r="A9591" s="1" t="str">
        <f>"8703.60.00"</f>
        <v>8703.60.00</v>
      </c>
      <c r="B9591" s="2" t="str">
        <f>"Outros veiculos, equipados para pro"</f>
        <v>Outros veiculos, equipados para pro</v>
      </c>
    </row>
    <row r="9592" spans="1:2">
      <c r="A9592" s="1" t="str">
        <f>"8703.70.00"</f>
        <v>8703.70.00</v>
      </c>
      <c r="B9592" s="2" t="str">
        <f>"Outros veiculos, equipados para pro"</f>
        <v>Outros veiculos, equipados para pro</v>
      </c>
    </row>
    <row r="9593" spans="1:2">
      <c r="A9593" s="1" t="str">
        <f>"8703.80.00"</f>
        <v>8703.80.00</v>
      </c>
      <c r="B9593" s="2" t="str">
        <f>"Outros veiculos, equipados unicamen"</f>
        <v>Outros veiculos, equipados unicamen</v>
      </c>
    </row>
    <row r="9594" spans="1:2">
      <c r="A9594" s="1" t="str">
        <f>"8703.90.00"</f>
        <v>8703.90.00</v>
      </c>
      <c r="B9594" s="2" t="str">
        <f>"Outros"</f>
        <v>Outros</v>
      </c>
    </row>
    <row r="9595" spans="1:2">
      <c r="A9595" s="1" t="str">
        <f>"8704.10.10"</f>
        <v>8704.10.10</v>
      </c>
      <c r="B9595" s="2" t="str">
        <f>"Com capacidade de carga igual ou su"</f>
        <v>Com capacidade de carga igual ou su</v>
      </c>
    </row>
    <row r="9596" spans="1:2">
      <c r="A9596" s="1" t="str">
        <f>"8704.10.90"</f>
        <v>8704.10.90</v>
      </c>
      <c r="B9596" s="2" t="str">
        <f>"Outros"</f>
        <v>Outros</v>
      </c>
    </row>
    <row r="9597" spans="1:2">
      <c r="A9597" s="1" t="str">
        <f>"8704.21.10"</f>
        <v>8704.21.10</v>
      </c>
      <c r="B9597" s="2" t="str">
        <f>"Chassis com motor e cabina"</f>
        <v>Chassis com motor e cabina</v>
      </c>
    </row>
    <row r="9598" spans="1:2">
      <c r="A9598" s="1" t="str">
        <f>"8704.21.20"</f>
        <v>8704.21.20</v>
      </c>
      <c r="B9598" s="2" t="str">
        <f>"Com caixa basculante"</f>
        <v>Com caixa basculante</v>
      </c>
    </row>
    <row r="9599" spans="1:2">
      <c r="A9599" s="1" t="str">
        <f>"8704.21.30"</f>
        <v>8704.21.30</v>
      </c>
      <c r="B9599" s="2" t="str">
        <f>"Frigorificos ou isotermicos"</f>
        <v>Frigorificos ou isotermicos</v>
      </c>
    </row>
    <row r="9600" spans="1:2">
      <c r="A9600" s="1" t="str">
        <f>"8704.21.90"</f>
        <v>8704.21.90</v>
      </c>
      <c r="B9600" s="2" t="str">
        <f>"OUTROS"</f>
        <v>OUTROS</v>
      </c>
    </row>
    <row r="9601" spans="1:2">
      <c r="A9601" s="1" t="str">
        <f>"8704.22.10"</f>
        <v>8704.22.10</v>
      </c>
      <c r="B9601" s="2" t="str">
        <f>"Chassis com motor e cabina"</f>
        <v>Chassis com motor e cabina</v>
      </c>
    </row>
    <row r="9602" spans="1:2">
      <c r="A9602" s="1" t="str">
        <f>"8704.22.20"</f>
        <v>8704.22.20</v>
      </c>
      <c r="B9602" s="2" t="str">
        <f>"Com caixa basculante"</f>
        <v>Com caixa basculante</v>
      </c>
    </row>
    <row r="9603" spans="1:2">
      <c r="A9603" s="1" t="str">
        <f>"8704.22.30"</f>
        <v>8704.22.30</v>
      </c>
      <c r="B9603" s="2" t="str">
        <f>"Frigorificos ou isotermicos"</f>
        <v>Frigorificos ou isotermicos</v>
      </c>
    </row>
    <row r="9604" spans="1:2">
      <c r="A9604" s="1" t="str">
        <f>"8704.22.90"</f>
        <v>8704.22.90</v>
      </c>
      <c r="B9604" s="2" t="str">
        <f>"Outros"</f>
        <v>Outros</v>
      </c>
    </row>
    <row r="9605" spans="1:2">
      <c r="A9605" s="1" t="str">
        <f>"8704.23.10"</f>
        <v>8704.23.10</v>
      </c>
      <c r="B9605" s="2" t="str">
        <f>"Chassis com motor e cabina"</f>
        <v>Chassis com motor e cabina</v>
      </c>
    </row>
    <row r="9606" spans="1:2">
      <c r="A9606" s="1" t="str">
        <f>"8704.23.20"</f>
        <v>8704.23.20</v>
      </c>
      <c r="B9606" s="2" t="str">
        <f>"Com caixa basculante"</f>
        <v>Com caixa basculante</v>
      </c>
    </row>
    <row r="9607" spans="1:2">
      <c r="A9607" s="1" t="str">
        <f>"8704.23.30"</f>
        <v>8704.23.30</v>
      </c>
      <c r="B9607" s="2" t="str">
        <f>"Frigorificos ou isotermicos"</f>
        <v>Frigorificos ou isotermicos</v>
      </c>
    </row>
    <row r="9608" spans="1:2">
      <c r="A9608" s="1" t="str">
        <f>"8704.23.90"</f>
        <v>8704.23.90</v>
      </c>
      <c r="B9608" s="2" t="str">
        <f>"Outros"</f>
        <v>Outros</v>
      </c>
    </row>
    <row r="9609" spans="1:2">
      <c r="A9609" s="1" t="str">
        <f>"8704.31.10"</f>
        <v>8704.31.10</v>
      </c>
      <c r="B9609" s="2" t="str">
        <f>"Chassis com motor e cabina"</f>
        <v>Chassis com motor e cabina</v>
      </c>
    </row>
    <row r="9610" spans="1:2">
      <c r="A9610" s="1" t="str">
        <f>"8704.31.20"</f>
        <v>8704.31.20</v>
      </c>
      <c r="B9610" s="2" t="str">
        <f>"Com caixa basculante"</f>
        <v>Com caixa basculante</v>
      </c>
    </row>
    <row r="9611" spans="1:2">
      <c r="A9611" s="1" t="str">
        <f>"8704.31.30"</f>
        <v>8704.31.30</v>
      </c>
      <c r="B9611" s="2" t="str">
        <f>"Frigorificos ou isotermicos"</f>
        <v>Frigorificos ou isotermicos</v>
      </c>
    </row>
    <row r="9612" spans="1:2">
      <c r="A9612" s="1" t="str">
        <f>"8704.31.90"</f>
        <v>8704.31.90</v>
      </c>
      <c r="B9612" s="2" t="str">
        <f>"Outros"</f>
        <v>Outros</v>
      </c>
    </row>
    <row r="9613" spans="1:2">
      <c r="A9613" s="1" t="str">
        <f>"8704.32.10"</f>
        <v>8704.32.10</v>
      </c>
      <c r="B9613" s="2" t="str">
        <f>"Chassis com motor e cabina"</f>
        <v>Chassis com motor e cabina</v>
      </c>
    </row>
    <row r="9614" spans="1:2">
      <c r="A9614" s="1" t="str">
        <f>"8704.32.20"</f>
        <v>8704.32.20</v>
      </c>
      <c r="B9614" s="2" t="str">
        <f>"Com caixa basculante"</f>
        <v>Com caixa basculante</v>
      </c>
    </row>
    <row r="9615" spans="1:2">
      <c r="A9615" s="1" t="str">
        <f>"8704.32.30"</f>
        <v>8704.32.30</v>
      </c>
      <c r="B9615" s="2" t="str">
        <f>"Frigorificos ou isotermicos"</f>
        <v>Frigorificos ou isotermicos</v>
      </c>
    </row>
    <row r="9616" spans="1:2">
      <c r="A9616" s="1" t="str">
        <f>"8704.32.90"</f>
        <v>8704.32.90</v>
      </c>
      <c r="B9616" s="2" t="str">
        <f>"Outros"</f>
        <v>Outros</v>
      </c>
    </row>
    <row r="9617" spans="1:2">
      <c r="A9617" s="1" t="str">
        <f>"8704.90.00"</f>
        <v>8704.90.00</v>
      </c>
      <c r="B9617" s="2" t="str">
        <f>"Outros"</f>
        <v>Outros</v>
      </c>
    </row>
    <row r="9618" spans="1:2">
      <c r="A9618" s="1" t="str">
        <f>"8705.10.10"</f>
        <v>8705.10.10</v>
      </c>
      <c r="B9618" s="2" t="str">
        <f>"Com haste telescopica de altura max"</f>
        <v>Com haste telescopica de altura max</v>
      </c>
    </row>
    <row r="9619" spans="1:2">
      <c r="A9619" s="1" t="str">
        <f>"8705.10.90"</f>
        <v>8705.10.90</v>
      </c>
      <c r="B9619" s="2" t="str">
        <f>"Outros"</f>
        <v>Outros</v>
      </c>
    </row>
    <row r="9620" spans="1:2">
      <c r="A9620" s="1" t="str">
        <f>"8705.20.00"</f>
        <v>8705.20.00</v>
      </c>
      <c r="B9620" s="2" t="str">
        <f>"Torres (derricks) automoveis, para"</f>
        <v>Torres (derricks) automoveis, para</v>
      </c>
    </row>
    <row r="9621" spans="1:2">
      <c r="A9621" s="1" t="str">
        <f>"8705.30.00"</f>
        <v>8705.30.00</v>
      </c>
      <c r="B9621" s="2" t="str">
        <f>"Veiculos de combate a incendio"</f>
        <v>Veiculos de combate a incendio</v>
      </c>
    </row>
    <row r="9622" spans="1:2">
      <c r="A9622" s="1" t="str">
        <f>"8705.40.00"</f>
        <v>8705.40.00</v>
      </c>
      <c r="B9622" s="2" t="str">
        <f>"Caminhoes-betoneiras"</f>
        <v>Caminhoes-betoneiras</v>
      </c>
    </row>
    <row r="9623" spans="1:2">
      <c r="A9623" s="1" t="str">
        <f>"8705.90.10"</f>
        <v>8705.90.10</v>
      </c>
      <c r="B9623" s="2" t="str">
        <f>"Caminhoes para a determinacao de pa"</f>
        <v>Caminhoes para a determinacao de pa</v>
      </c>
    </row>
    <row r="9624" spans="1:2">
      <c r="A9624" s="1" t="str">
        <f>"8705.90.90"</f>
        <v>8705.90.90</v>
      </c>
      <c r="B9624" s="2" t="str">
        <f>"Outros"</f>
        <v>Outros</v>
      </c>
    </row>
    <row r="9625" spans="1:2">
      <c r="A9625" s="1" t="str">
        <f>"8706.00.10"</f>
        <v>8706.00.10</v>
      </c>
      <c r="B9625" s="2" t="str">
        <f>"Dos veiculos da posicao 87.02"</f>
        <v>Dos veiculos da posicao 87.02</v>
      </c>
    </row>
    <row r="9626" spans="1:2">
      <c r="A9626" s="1" t="str">
        <f>"8706.00.20"</f>
        <v>8706.00.20</v>
      </c>
      <c r="B9626" s="2" t="str">
        <f>"Dos veiculos das subposicoes 8701.1"</f>
        <v>Dos veiculos das subposicoes 8701.1</v>
      </c>
    </row>
    <row r="9627" spans="1:2">
      <c r="A9627" s="1" t="str">
        <f>"8706.00.90"</f>
        <v>8706.00.90</v>
      </c>
      <c r="B9627" s="2" t="str">
        <f>"Outros"</f>
        <v>Outros</v>
      </c>
    </row>
    <row r="9628" spans="1:2">
      <c r="A9628" s="1" t="str">
        <f>"8707.10.00"</f>
        <v>8707.10.00</v>
      </c>
      <c r="B9628" s="2" t="str">
        <f>"Para os veiculos da posicao 87.03"</f>
        <v>Para os veiculos da posicao 87.03</v>
      </c>
    </row>
    <row r="9629" spans="1:2">
      <c r="A9629" s="1" t="str">
        <f>"8707.90.10"</f>
        <v>8707.90.10</v>
      </c>
      <c r="B9629" s="2" t="str">
        <f>"Dos veiculos das subposicoes 8701.1"</f>
        <v>Dos veiculos das subposicoes 8701.1</v>
      </c>
    </row>
    <row r="9630" spans="1:2">
      <c r="A9630" s="1" t="str">
        <f>"8707.90.90"</f>
        <v>8707.90.90</v>
      </c>
      <c r="B9630" s="2" t="str">
        <f>"Outras"</f>
        <v>Outras</v>
      </c>
    </row>
    <row r="9631" spans="1:2">
      <c r="A9631" s="1" t="str">
        <f>"8708.10.00"</f>
        <v>8708.10.00</v>
      </c>
      <c r="B9631" s="2" t="str">
        <f>"Para-choques e suas partes"</f>
        <v>Para-choques e suas partes</v>
      </c>
    </row>
    <row r="9632" spans="1:2">
      <c r="A9632" s="1" t="str">
        <f>"8708.21.00"</f>
        <v>8708.21.00</v>
      </c>
      <c r="B9632" s="2" t="str">
        <f>"Cintos de seguranca"</f>
        <v>Cintos de seguranca</v>
      </c>
    </row>
    <row r="9633" spans="1:2">
      <c r="A9633" s="1" t="str">
        <f>"8708.29.11"</f>
        <v>8708.29.11</v>
      </c>
      <c r="B9633" s="2" t="str">
        <f>"Para-lamas"</f>
        <v>Para-lamas</v>
      </c>
    </row>
    <row r="9634" spans="1:2">
      <c r="A9634" s="1" t="str">
        <f>"8708.29.12"</f>
        <v>8708.29.12</v>
      </c>
      <c r="B9634" s="2" t="str">
        <f>"Grades de radiadores"</f>
        <v>Grades de radiadores</v>
      </c>
    </row>
    <row r="9635" spans="1:2">
      <c r="A9635" s="1" t="str">
        <f>"8708.29.13"</f>
        <v>8708.29.13</v>
      </c>
      <c r="B9635" s="2" t="str">
        <f>"Portas"</f>
        <v>Portas</v>
      </c>
    </row>
    <row r="9636" spans="1:2">
      <c r="A9636" s="1" t="str">
        <f>"8708.29.14"</f>
        <v>8708.29.14</v>
      </c>
      <c r="B9636" s="2" t="str">
        <f>"painel"</f>
        <v>painel</v>
      </c>
    </row>
    <row r="9637" spans="1:2">
      <c r="A9637" s="1" t="str">
        <f>"8708.29.19"</f>
        <v>8708.29.19</v>
      </c>
      <c r="B9637" s="2" t="str">
        <f>"Outros"</f>
        <v>Outros</v>
      </c>
    </row>
    <row r="9638" spans="1:2">
      <c r="A9638" s="1" t="str">
        <f>"8708.29.91"</f>
        <v>8708.29.91</v>
      </c>
      <c r="B9638" s="2" t="str">
        <f>"Para-lamas"</f>
        <v>Para-lamas</v>
      </c>
    </row>
    <row r="9639" spans="1:2">
      <c r="A9639" s="1" t="str">
        <f>"8708.29.92"</f>
        <v>8708.29.92</v>
      </c>
      <c r="B9639" s="2" t="str">
        <f>"Grades de radiadores"</f>
        <v>Grades de radiadores</v>
      </c>
    </row>
    <row r="9640" spans="1:2">
      <c r="A9640" s="1" t="str">
        <f>"8708.29.93"</f>
        <v>8708.29.93</v>
      </c>
      <c r="B9640" s="2" t="str">
        <f>"PORTAS"</f>
        <v>PORTAS</v>
      </c>
    </row>
    <row r="9641" spans="1:2">
      <c r="A9641" s="1" t="str">
        <f>"8708.29.94"</f>
        <v>8708.29.94</v>
      </c>
      <c r="B9641" s="2" t="str">
        <f>"Paineis de instrumentos"</f>
        <v>Paineis de instrumentos</v>
      </c>
    </row>
    <row r="9642" spans="1:2">
      <c r="A9642" s="1" t="str">
        <f>"8708.29.95"</f>
        <v>8708.29.95</v>
      </c>
      <c r="B9642" s="2" t="str">
        <f>"Geradores de gas para acionar retra"</f>
        <v>Geradores de gas para acionar retra</v>
      </c>
    </row>
    <row r="9643" spans="1:2">
      <c r="A9643" s="1" t="str">
        <f>"8708.29.99"</f>
        <v>8708.29.99</v>
      </c>
      <c r="B9643" s="2" t="str">
        <f>"OUTROS"</f>
        <v>OUTROS</v>
      </c>
    </row>
    <row r="9644" spans="1:2">
      <c r="A9644" s="1" t="str">
        <f>"8708.30.11"</f>
        <v>8708.30.11</v>
      </c>
      <c r="B9644" s="2" t="str">
        <f>"Dos veiculos das subposicoes 8701.1"</f>
        <v>Dos veiculos das subposicoes 8701.1</v>
      </c>
    </row>
    <row r="9645" spans="1:2">
      <c r="A9645" s="1" t="str">
        <f>"8708.30.19"</f>
        <v>8708.30.19</v>
      </c>
      <c r="B9645" s="2" t="str">
        <f>"OUTRAS"</f>
        <v>OUTRAS</v>
      </c>
    </row>
    <row r="9646" spans="1:2">
      <c r="A9646" s="1" t="str">
        <f>"8708.30.90"</f>
        <v>8708.30.90</v>
      </c>
      <c r="B9646" s="2" t="str">
        <f>"Outros"</f>
        <v>Outros</v>
      </c>
    </row>
    <row r="9647" spans="1:2">
      <c r="A9647" s="1" t="str">
        <f>"8708.40.11"</f>
        <v>8708.40.11</v>
      </c>
      <c r="B9647" s="2" t="str">
        <f>"Servo-assistidas, proprias para tor"</f>
        <v>Servo-assistidas, proprias para tor</v>
      </c>
    </row>
    <row r="9648" spans="1:2">
      <c r="A9648" s="1" t="str">
        <f>"8708.40.19"</f>
        <v>8708.40.19</v>
      </c>
      <c r="B9648" s="2" t="str">
        <f>"Outras"</f>
        <v>Outras</v>
      </c>
    </row>
    <row r="9649" spans="1:2">
      <c r="A9649" s="1" t="str">
        <f>"8708.40.80"</f>
        <v>8708.40.80</v>
      </c>
      <c r="B9649" s="2" t="str">
        <f>"Outras caixas de marchas"</f>
        <v>Outras caixas de marchas</v>
      </c>
    </row>
    <row r="9650" spans="1:2">
      <c r="A9650" s="1" t="str">
        <f>"8708.40.90"</f>
        <v>8708.40.90</v>
      </c>
      <c r="B9650" s="2" t="str">
        <f>"Partes"</f>
        <v>Partes</v>
      </c>
    </row>
    <row r="9651" spans="1:2">
      <c r="A9651" s="1" t="str">
        <f>"8708.50.11"</f>
        <v>8708.50.11</v>
      </c>
      <c r="B9651" s="2" t="str">
        <f>"Eixos com diferencial com capacidad"</f>
        <v>Eixos com diferencial com capacidad</v>
      </c>
    </row>
    <row r="9652" spans="1:2">
      <c r="A9652" s="1" t="str">
        <f>"8708.50.12"</f>
        <v>8708.50.12</v>
      </c>
      <c r="B9652" s="2" t="str">
        <f>"Eixos nao motores"</f>
        <v>Eixos nao motores</v>
      </c>
    </row>
    <row r="9653" spans="1:2">
      <c r="A9653" s="1" t="str">
        <f>"8708.50.19"</f>
        <v>8708.50.19</v>
      </c>
      <c r="B9653" s="2" t="str">
        <f>"Outros"</f>
        <v>Outros</v>
      </c>
    </row>
    <row r="9654" spans="1:2">
      <c r="A9654" s="1" t="str">
        <f>"8708.50.80"</f>
        <v>8708.50.80</v>
      </c>
      <c r="B9654" s="2" t="str">
        <f>"outros"</f>
        <v>outros</v>
      </c>
    </row>
    <row r="9655" spans="1:2">
      <c r="A9655" s="1" t="str">
        <f>"8708.50.91"</f>
        <v>8708.50.91</v>
      </c>
      <c r="B9655" s="2" t="str">
        <f>"De eixos nao motores, dos veiculos"</f>
        <v>De eixos nao motores, dos veiculos</v>
      </c>
    </row>
    <row r="9656" spans="1:2">
      <c r="A9656" s="1" t="str">
        <f>"8708.50.99"</f>
        <v>8708.50.99</v>
      </c>
      <c r="B9656" s="2" t="str">
        <f>"Outras"</f>
        <v>Outras</v>
      </c>
    </row>
    <row r="9657" spans="1:2">
      <c r="A9657" s="1" t="str">
        <f>"8708.70.10"</f>
        <v>8708.70.10</v>
      </c>
      <c r="B9657" s="2" t="str">
        <f>"De eixos propulsores dos veiculos d"</f>
        <v>De eixos propulsores dos veiculos d</v>
      </c>
    </row>
    <row r="9658" spans="1:2">
      <c r="A9658" s="1" t="str">
        <f>"8708.70.90"</f>
        <v>8708.70.90</v>
      </c>
      <c r="B9658" s="2" t="str">
        <f>"OUTROS"</f>
        <v>OUTROS</v>
      </c>
    </row>
    <row r="9659" spans="1:2">
      <c r="A9659" s="1" t="str">
        <f>"8708.80.00"</f>
        <v>8708.80.00</v>
      </c>
      <c r="B9659" s="2" t="str">
        <f>"Sistemas de suspensao e suas partes"</f>
        <v>Sistemas de suspensao e suas partes</v>
      </c>
    </row>
    <row r="9660" spans="1:2">
      <c r="A9660" s="1" t="str">
        <f>"8708.91.00"</f>
        <v>8708.91.00</v>
      </c>
      <c r="B9660" s="2" t="str">
        <f>"radiadores"</f>
        <v>radiadores</v>
      </c>
    </row>
    <row r="9661" spans="1:2">
      <c r="A9661" s="1" t="str">
        <f>"8708.92.00"</f>
        <v>8708.92.00</v>
      </c>
      <c r="B9661" s="2" t="str">
        <f>"Silenciosos e tubos de escape; suas"</f>
        <v>Silenciosos e tubos de escape; suas</v>
      </c>
    </row>
    <row r="9662" spans="1:2">
      <c r="A9662" s="1" t="str">
        <f>"8708.93.00"</f>
        <v>8708.93.00</v>
      </c>
      <c r="B9662" s="2" t="str">
        <f>"Embreagens e suas partes"</f>
        <v>Embreagens e suas partes</v>
      </c>
    </row>
    <row r="9663" spans="1:2">
      <c r="A9663" s="1" t="str">
        <f>"8708.94.11"</f>
        <v>8708.94.11</v>
      </c>
      <c r="B9663" s="2" t="str">
        <f>"Volantes"</f>
        <v>Volantes</v>
      </c>
    </row>
    <row r="9664" spans="1:2">
      <c r="A9664" s="1" t="str">
        <f>"8708.94.12"</f>
        <v>8708.94.12</v>
      </c>
      <c r="B9664" s="2" t="str">
        <f>"Colunas"</f>
        <v>Colunas</v>
      </c>
    </row>
    <row r="9665" spans="1:2">
      <c r="A9665" s="1" t="str">
        <f>"8708.94.13"</f>
        <v>8708.94.13</v>
      </c>
      <c r="B9665" s="2" t="str">
        <f>"Caixas"</f>
        <v>Caixas</v>
      </c>
    </row>
    <row r="9666" spans="1:2">
      <c r="A9666" s="1" t="str">
        <f>"8708.94.81"</f>
        <v>8708.94.81</v>
      </c>
      <c r="B9666" s="2" t="str">
        <f>"Volantes"</f>
        <v>Volantes</v>
      </c>
    </row>
    <row r="9667" spans="1:2">
      <c r="A9667" s="1" t="str">
        <f>"8708.94.82"</f>
        <v>8708.94.82</v>
      </c>
      <c r="B9667" s="2" t="str">
        <f>"Colunas"</f>
        <v>Colunas</v>
      </c>
    </row>
    <row r="9668" spans="1:2">
      <c r="A9668" s="1" t="str">
        <f>"8708.94.83"</f>
        <v>8708.94.83</v>
      </c>
      <c r="B9668" s="2" t="str">
        <f>"Caixas"</f>
        <v>Caixas</v>
      </c>
    </row>
    <row r="9669" spans="1:2">
      <c r="A9669" s="1" t="str">
        <f>"8708.94.90"</f>
        <v>8708.94.90</v>
      </c>
      <c r="B9669" s="2" t="str">
        <f>"Partes"</f>
        <v>Partes</v>
      </c>
    </row>
    <row r="9670" spans="1:2">
      <c r="A9670" s="1" t="str">
        <f>"8708.95.10"</f>
        <v>8708.95.10</v>
      </c>
      <c r="B9670" s="2" t="str">
        <f>"Bolsas inflaveis de seguranca com s"</f>
        <v>Bolsas inflaveis de seguranca com s</v>
      </c>
    </row>
    <row r="9671" spans="1:2">
      <c r="A9671" s="1" t="str">
        <f>"8708.95.21"</f>
        <v>8708.95.21</v>
      </c>
      <c r="B9671" s="2" t="str">
        <f>"Bolsas inflaveis para airbags"</f>
        <v>Bolsas inflaveis para airbags</v>
      </c>
    </row>
    <row r="9672" spans="1:2">
      <c r="A9672" s="1" t="str">
        <f>"8708.95.22"</f>
        <v>8708.95.22</v>
      </c>
      <c r="B9672" s="2" t="str">
        <f>"Sistema de insuflacao"</f>
        <v>Sistema de insuflacao</v>
      </c>
    </row>
    <row r="9673" spans="1:2">
      <c r="A9673" s="1" t="str">
        <f>"8708.95.29"</f>
        <v>8708.95.29</v>
      </c>
      <c r="B9673" s="2" t="str">
        <f>"Outras"</f>
        <v>Outras</v>
      </c>
    </row>
    <row r="9674" spans="1:2">
      <c r="A9674" s="1" t="str">
        <f>"8708.99.10"</f>
        <v>8708.99.10</v>
      </c>
      <c r="B9674" s="2" t="str">
        <f>"Dispositivos para comando de aceler"</f>
        <v>Dispositivos para comando de aceler</v>
      </c>
    </row>
    <row r="9675" spans="1:2">
      <c r="A9675" s="1" t="str">
        <f>"8708.99.90"</f>
        <v>8708.99.90</v>
      </c>
      <c r="B9675" s="2" t="str">
        <f>"OUTROS"</f>
        <v>OUTROS</v>
      </c>
    </row>
    <row r="9676" spans="1:2">
      <c r="A9676" s="1" t="str">
        <f>"8709.11.00"</f>
        <v>8709.11.00</v>
      </c>
      <c r="B9676" s="2" t="str">
        <f>"Eletricos"</f>
        <v>Eletricos</v>
      </c>
    </row>
    <row r="9677" spans="1:2">
      <c r="A9677" s="1" t="str">
        <f>"8709.19.00"</f>
        <v>8709.19.00</v>
      </c>
      <c r="B9677" s="2" t="str">
        <f>"Outros"</f>
        <v>Outros</v>
      </c>
    </row>
    <row r="9678" spans="1:2">
      <c r="A9678" s="1" t="str">
        <f>"8709.90.00"</f>
        <v>8709.90.00</v>
      </c>
      <c r="B9678" s="2" t="str">
        <f>"Partes"</f>
        <v>Partes</v>
      </c>
    </row>
    <row r="9679" spans="1:2">
      <c r="A9679" s="1" t="str">
        <f>"8710.00.00"</f>
        <v>8710.00.00</v>
      </c>
      <c r="B9679" s="2" t="str">
        <f>"Veiculos e carros blindados de comb"</f>
        <v>Veiculos e carros blindados de comb</v>
      </c>
    </row>
    <row r="9680" spans="1:2">
      <c r="A9680" s="1" t="str">
        <f>"8711.10.00"</f>
        <v>8711.10.00</v>
      </c>
      <c r="B9680" s="2" t="str">
        <f>"Com motor de pistao alternativo de"</f>
        <v>Com motor de pistao alternativo de</v>
      </c>
    </row>
    <row r="9681" spans="1:2">
      <c r="A9681" s="1" t="str">
        <f>"8711.20.10"</f>
        <v>8711.20.10</v>
      </c>
      <c r="B9681" s="2" t="str">
        <f>"Motocicletas de cilindrada inferior"</f>
        <v>Motocicletas de cilindrada inferior</v>
      </c>
    </row>
    <row r="9682" spans="1:2">
      <c r="A9682" s="1" t="str">
        <f>"8711.20.20"</f>
        <v>8711.20.20</v>
      </c>
      <c r="B9682" s="2" t="str">
        <f>"Motocicleta de cilindrada superior"</f>
        <v>Motocicleta de cilindrada superior</v>
      </c>
    </row>
    <row r="9683" spans="1:2">
      <c r="A9683" s="1" t="str">
        <f>"8711.20.90"</f>
        <v>8711.20.90</v>
      </c>
      <c r="B9683" s="2" t="str">
        <f>"Outros"</f>
        <v>Outros</v>
      </c>
    </row>
    <row r="9684" spans="1:2">
      <c r="A9684" s="1" t="str">
        <f>"8711.30.00"</f>
        <v>8711.30.00</v>
      </c>
      <c r="B9684" s="2" t="str">
        <f>"Com motor de pistao alternativo de"</f>
        <v>Com motor de pistao alternativo de</v>
      </c>
    </row>
    <row r="9685" spans="1:2">
      <c r="A9685" s="1" t="str">
        <f>"8711.40.00"</f>
        <v>8711.40.00</v>
      </c>
      <c r="B9685" s="2" t="str">
        <f>"Com motor de pistao alternativo de"</f>
        <v>Com motor de pistao alternativo de</v>
      </c>
    </row>
    <row r="9686" spans="1:2">
      <c r="A9686" s="1" t="str">
        <f>"8711.50.00"</f>
        <v>8711.50.00</v>
      </c>
      <c r="B9686" s="2" t="str">
        <f>"Com motor de pistao alternativo de"</f>
        <v>Com motor de pistao alternativo de</v>
      </c>
    </row>
    <row r="9687" spans="1:2">
      <c r="A9687" s="1" t="str">
        <f>"8711.60.00"</f>
        <v>8711.60.00</v>
      </c>
      <c r="B9687" s="2" t="str">
        <f>"Com motor eletrico para propulsao"</f>
        <v>Com motor eletrico para propulsao</v>
      </c>
    </row>
    <row r="9688" spans="1:2">
      <c r="A9688" s="1" t="str">
        <f>"8711.90.00"</f>
        <v>8711.90.00</v>
      </c>
      <c r="B9688" s="2" t="str">
        <f>"Outros"</f>
        <v>Outros</v>
      </c>
    </row>
    <row r="9689" spans="1:2">
      <c r="A9689" s="1" t="str">
        <f>"8712.00.10"</f>
        <v>8712.00.10</v>
      </c>
      <c r="B9689" s="2" t="str">
        <f>"Bicicletas"</f>
        <v>Bicicletas</v>
      </c>
    </row>
    <row r="9690" spans="1:2">
      <c r="A9690" s="1" t="str">
        <f>"8712.00.90"</f>
        <v>8712.00.90</v>
      </c>
      <c r="B9690" s="2" t="str">
        <f>"Outros"</f>
        <v>Outros</v>
      </c>
    </row>
    <row r="9691" spans="1:2">
      <c r="A9691" s="1" t="str">
        <f>"8713.10.00"</f>
        <v>8713.10.00</v>
      </c>
      <c r="B9691" s="2" t="str">
        <f>"OUTROS"</f>
        <v>OUTROS</v>
      </c>
    </row>
    <row r="9692" spans="1:2">
      <c r="A9692" s="1" t="str">
        <f>"8713.90.00"</f>
        <v>8713.90.00</v>
      </c>
      <c r="B9692" s="2" t="str">
        <f>"Outros"</f>
        <v>Outros</v>
      </c>
    </row>
    <row r="9693" spans="1:2">
      <c r="A9693" s="1" t="str">
        <f>"8714.10.00"</f>
        <v>8714.10.00</v>
      </c>
      <c r="B9693" s="2" t="str">
        <f>"De motocicletas (incluindo os ciclo"</f>
        <v>De motocicletas (incluindo os ciclo</v>
      </c>
    </row>
    <row r="9694" spans="1:2">
      <c r="A9694" s="1" t="str">
        <f>"8714.20.00"</f>
        <v>8714.20.00</v>
      </c>
      <c r="B9694" s="2" t="str">
        <f>"De cadeiras de rodas ou de outros v"</f>
        <v>De cadeiras de rodas ou de outros v</v>
      </c>
    </row>
    <row r="9695" spans="1:2">
      <c r="A9695" s="1" t="str">
        <f>"8714.91.00"</f>
        <v>8714.91.00</v>
      </c>
      <c r="B9695" s="2" t="str">
        <f>"Quadros e garfos, e suas partes"</f>
        <v>Quadros e garfos, e suas partes</v>
      </c>
    </row>
    <row r="9696" spans="1:2">
      <c r="A9696" s="1" t="str">
        <f>"8714.92.00"</f>
        <v>8714.92.00</v>
      </c>
      <c r="B9696" s="2" t="str">
        <f>"Aros e raios"</f>
        <v>Aros e raios</v>
      </c>
    </row>
    <row r="9697" spans="1:2">
      <c r="A9697" s="1" t="str">
        <f>"8714.93.10"</f>
        <v>8714.93.10</v>
      </c>
      <c r="B9697" s="2" t="str">
        <f>"Cubos, exceto de freios (travoes)"</f>
        <v>Cubos, exceto de freios (travoes)</v>
      </c>
    </row>
    <row r="9698" spans="1:2">
      <c r="A9698" s="1" t="str">
        <f>"8714.93.20"</f>
        <v>8714.93.20</v>
      </c>
      <c r="B9698" s="2" t="str">
        <f>"Pinhoes de rodas livres"</f>
        <v>Pinhoes de rodas livres</v>
      </c>
    </row>
    <row r="9699" spans="1:2">
      <c r="A9699" s="1" t="str">
        <f>"8714.94.10"</f>
        <v>8714.94.10</v>
      </c>
      <c r="B9699" s="2" t="str">
        <f>"Cubos de freios (travoes)"</f>
        <v>Cubos de freios (travoes)</v>
      </c>
    </row>
    <row r="9700" spans="1:2">
      <c r="A9700" s="1" t="str">
        <f>"8714.94.90"</f>
        <v>8714.94.90</v>
      </c>
      <c r="B9700" s="2" t="str">
        <f>"OUTROS"</f>
        <v>OUTROS</v>
      </c>
    </row>
    <row r="9701" spans="1:2">
      <c r="A9701" s="1" t="str">
        <f>"8714.95.00"</f>
        <v>8714.95.00</v>
      </c>
      <c r="B9701" s="2" t="str">
        <f>"Selins"</f>
        <v>Selins</v>
      </c>
    </row>
    <row r="9702" spans="1:2">
      <c r="A9702" s="1" t="str">
        <f>"8714.96.00"</f>
        <v>8714.96.00</v>
      </c>
      <c r="B9702" s="2" t="str">
        <f>"Pedais e pedaleiros, e suas partes"</f>
        <v>Pedais e pedaleiros, e suas partes</v>
      </c>
    </row>
    <row r="9703" spans="1:2">
      <c r="A9703" s="1" t="str">
        <f>"8714.99.10"</f>
        <v>8714.99.10</v>
      </c>
      <c r="B9703" s="2" t="str">
        <f>"Cambio de velocidades"</f>
        <v>Cambio de velocidades</v>
      </c>
    </row>
    <row r="9704" spans="1:2">
      <c r="A9704" s="1" t="str">
        <f>"8714.99.90"</f>
        <v>8714.99.90</v>
      </c>
      <c r="B9704" s="2" t="str">
        <f>"Outros"</f>
        <v>Outros</v>
      </c>
    </row>
    <row r="9705" spans="1:2">
      <c r="A9705" s="1" t="str">
        <f>"8715.00.00"</f>
        <v>8715.00.00</v>
      </c>
      <c r="B9705" s="2" t="str">
        <f>"Carrinhos e veiculos semelhantes pa"</f>
        <v>Carrinhos e veiculos semelhantes pa</v>
      </c>
    </row>
    <row r="9706" spans="1:2">
      <c r="A9706" s="1" t="str">
        <f>"8716.10.00"</f>
        <v>8716.10.00</v>
      </c>
      <c r="B9706" s="2" t="str">
        <f>"Reboques e semirreboques, para habi"</f>
        <v>Reboques e semirreboques, para habi</v>
      </c>
    </row>
    <row r="9707" spans="1:2">
      <c r="A9707" s="1" t="str">
        <f>"8716.20.00"</f>
        <v>8716.20.00</v>
      </c>
      <c r="B9707" s="2" t="str">
        <f>"Reboques e semirreboques, autocarre"</f>
        <v>Reboques e semirreboques, autocarre</v>
      </c>
    </row>
    <row r="9708" spans="1:2">
      <c r="A9708" s="1" t="str">
        <f>"8716.31.00"</f>
        <v>8716.31.00</v>
      </c>
      <c r="B9708" s="2" t="str">
        <f>"Cisternas"</f>
        <v>Cisternas</v>
      </c>
    </row>
    <row r="9709" spans="1:2">
      <c r="A9709" s="1" t="str">
        <f>"8716.39.00"</f>
        <v>8716.39.00</v>
      </c>
      <c r="B9709" s="2" t="str">
        <f>"Outros"</f>
        <v>Outros</v>
      </c>
    </row>
    <row r="9710" spans="1:2">
      <c r="A9710" s="1" t="str">
        <f>"8716.40.00"</f>
        <v>8716.40.00</v>
      </c>
      <c r="B9710" s="2" t="str">
        <f>"Outros reboques e semirreboques"</f>
        <v>Outros reboques e semirreboques</v>
      </c>
    </row>
    <row r="9711" spans="1:2">
      <c r="A9711" s="1" t="str">
        <f>"8716.80.00"</f>
        <v>8716.80.00</v>
      </c>
      <c r="B9711" s="2" t="str">
        <f>"OUTROS VEÍCULOS"</f>
        <v>OUTROS VEÍCULOS</v>
      </c>
    </row>
    <row r="9712" spans="1:2">
      <c r="A9712" s="1" t="str">
        <f>"8716.90.10"</f>
        <v>8716.90.10</v>
      </c>
      <c r="B9712" s="2" t="str">
        <f>"Chassis de reboques e semirreboques"</f>
        <v>Chassis de reboques e semirreboques</v>
      </c>
    </row>
    <row r="9713" spans="1:2">
      <c r="A9713" s="1" t="str">
        <f>"8716.90.90"</f>
        <v>8716.90.90</v>
      </c>
      <c r="B9713" s="2" t="str">
        <f>"OUTROS - RODIZIO/RODA"</f>
        <v>OUTROS - RODIZIO/RODA</v>
      </c>
    </row>
    <row r="9714" spans="1:2">
      <c r="A9714" s="1" t="str">
        <f>"8801.00.00"</f>
        <v>8801.00.00</v>
      </c>
      <c r="B9714" s="2" t="str">
        <f>"Baloes e dirigiveis; planadores, as"</f>
        <v>Baloes e dirigiveis; planadores, as</v>
      </c>
    </row>
    <row r="9715" spans="1:2">
      <c r="A9715" s="1" t="str">
        <f>"8802.11.00"</f>
        <v>8802.11.00</v>
      </c>
      <c r="B9715" s="2" t="str">
        <f>"De peso nao superior a 2.000 kg, va"</f>
        <v>De peso nao superior a 2.000 kg, va</v>
      </c>
    </row>
    <row r="9716" spans="1:2">
      <c r="A9716" s="1" t="str">
        <f>"8802.12.10"</f>
        <v>8802.12.10</v>
      </c>
      <c r="B9716" s="2" t="str">
        <f>"De peso inferior ou igual a 3.500 k"</f>
        <v>De peso inferior ou igual a 3.500 k</v>
      </c>
    </row>
    <row r="9717" spans="1:2">
      <c r="A9717" s="1" t="str">
        <f>"8802.12.90"</f>
        <v>8802.12.90</v>
      </c>
      <c r="B9717" s="2" t="str">
        <f>"Outros"</f>
        <v>Outros</v>
      </c>
    </row>
    <row r="9718" spans="1:2">
      <c r="A9718" s="1" t="str">
        <f>"8802.20.10"</f>
        <v>8802.20.10</v>
      </c>
      <c r="B9718" s="2" t="str">
        <f>"A helice"</f>
        <v>A helice</v>
      </c>
    </row>
    <row r="9719" spans="1:2">
      <c r="A9719" s="1" t="str">
        <f>"8802.20.21"</f>
        <v>8802.20.21</v>
      </c>
      <c r="B9719" s="2" t="str">
        <f>"Monomotores"</f>
        <v>Monomotores</v>
      </c>
    </row>
    <row r="9720" spans="1:2">
      <c r="A9720" s="1" t="str">
        <f>"8802.20.22"</f>
        <v>8802.20.22</v>
      </c>
      <c r="B9720" s="2" t="str">
        <f>"Multimotores"</f>
        <v>Multimotores</v>
      </c>
    </row>
    <row r="9721" spans="1:2">
      <c r="A9721" s="1" t="str">
        <f>"8802.20.90"</f>
        <v>8802.20.90</v>
      </c>
      <c r="B9721" s="2" t="str">
        <f>"Outros"</f>
        <v>Outros</v>
      </c>
    </row>
    <row r="9722" spans="1:2">
      <c r="A9722" s="1" t="str">
        <f>"8802.30.10"</f>
        <v>8802.30.10</v>
      </c>
      <c r="B9722" s="2" t="str">
        <f>"A helice"</f>
        <v>A helice</v>
      </c>
    </row>
    <row r="9723" spans="1:2">
      <c r="A9723" s="1" t="str">
        <f>"8802.30.21"</f>
        <v>8802.30.21</v>
      </c>
      <c r="B9723" s="2" t="str">
        <f>"Multimotores, de peso inferior ou i"</f>
        <v>Multimotores, de peso inferior ou i</v>
      </c>
    </row>
    <row r="9724" spans="1:2">
      <c r="A9724" s="1" t="str">
        <f>"8802.30.29"</f>
        <v>8802.30.29</v>
      </c>
      <c r="B9724" s="2" t="str">
        <f>"Outros"</f>
        <v>Outros</v>
      </c>
    </row>
    <row r="9725" spans="1:2">
      <c r="A9725" s="1" t="str">
        <f>"8802.30.31"</f>
        <v>8802.30.31</v>
      </c>
      <c r="B9725" s="2" t="str">
        <f>"De peso inferior ou igual a 7.000 k"</f>
        <v>De peso inferior ou igual a 7.000 k</v>
      </c>
    </row>
    <row r="9726" spans="1:2">
      <c r="A9726" s="1" t="str">
        <f>"8802.30.39"</f>
        <v>8802.30.39</v>
      </c>
      <c r="B9726" s="2" t="str">
        <f>"Outros"</f>
        <v>Outros</v>
      </c>
    </row>
    <row r="9727" spans="1:2">
      <c r="A9727" s="1" t="str">
        <f>"8802.30.90"</f>
        <v>8802.30.90</v>
      </c>
      <c r="B9727" s="2" t="str">
        <f>"Outros"</f>
        <v>Outros</v>
      </c>
    </row>
    <row r="9728" spans="1:2">
      <c r="A9728" s="1" t="str">
        <f>"8802.40.10"</f>
        <v>8802.40.10</v>
      </c>
      <c r="B9728" s="2" t="str">
        <f>"A turboelice"</f>
        <v>A turboelice</v>
      </c>
    </row>
    <row r="9729" spans="1:2">
      <c r="A9729" s="1" t="str">
        <f>"8802.40.90"</f>
        <v>8802.40.90</v>
      </c>
      <c r="B9729" s="2" t="str">
        <f>"Outros"</f>
        <v>Outros</v>
      </c>
    </row>
    <row r="9730" spans="1:2">
      <c r="A9730" s="1" t="str">
        <f>"8802.60.00"</f>
        <v>8802.60.00</v>
      </c>
      <c r="B9730" s="2" t="str">
        <f>"Veiculos espaciais (incluindo os sa"</f>
        <v>Veiculos espaciais (incluindo os sa</v>
      </c>
    </row>
    <row r="9731" spans="1:2">
      <c r="A9731" s="1" t="str">
        <f>"8803.10.00"</f>
        <v>8803.10.00</v>
      </c>
      <c r="B9731" s="2" t="str">
        <f>"Helices e rotores, e suas partes"</f>
        <v>Helices e rotores, e suas partes</v>
      </c>
    </row>
    <row r="9732" spans="1:2">
      <c r="A9732" s="1" t="str">
        <f>"8803.20.00"</f>
        <v>8803.20.00</v>
      </c>
      <c r="B9732" s="2" t="str">
        <f>"Trens de aterrissagem (aterragem*)"</f>
        <v>Trens de aterrissagem (aterragem*)</v>
      </c>
    </row>
    <row r="9733" spans="1:2">
      <c r="A9733" s="1" t="str">
        <f>"8803.30.00"</f>
        <v>8803.30.00</v>
      </c>
      <c r="B9733" s="2" t="str">
        <f>"Outras partes de avioes ou de helic"</f>
        <v>Outras partes de avioes ou de helic</v>
      </c>
    </row>
    <row r="9734" spans="1:2">
      <c r="A9734" s="1" t="str">
        <f>"8803.90.00"</f>
        <v>8803.90.00</v>
      </c>
      <c r="B9734" s="2" t="str">
        <f>"Outras"</f>
        <v>Outras</v>
      </c>
    </row>
    <row r="9735" spans="1:2">
      <c r="A9735" s="1" t="str">
        <f>"8804.00.00"</f>
        <v>8804.00.00</v>
      </c>
      <c r="B9735" s="2" t="str">
        <f>"Paraquedas (incluindo os paraquedas"</f>
        <v>Paraquedas (incluindo os paraquedas</v>
      </c>
    </row>
    <row r="9736" spans="1:2">
      <c r="A9736" s="1" t="str">
        <f>"8805.10.00"</f>
        <v>8805.10.00</v>
      </c>
      <c r="B9736" s="2" t="str">
        <f>"Aparelhos e dispositivos para lanca"</f>
        <v>Aparelhos e dispositivos para lanca</v>
      </c>
    </row>
    <row r="9737" spans="1:2">
      <c r="A9737" s="1" t="str">
        <f>"8805.21.00"</f>
        <v>8805.21.00</v>
      </c>
      <c r="B9737" s="2" t="str">
        <f>"Simuladores de combate aereo e suas"</f>
        <v>Simuladores de combate aereo e suas</v>
      </c>
    </row>
    <row r="9738" spans="1:2">
      <c r="A9738" s="1" t="str">
        <f>"8805.29.00"</f>
        <v>8805.29.00</v>
      </c>
      <c r="B9738" s="2" t="str">
        <f>"Outros"</f>
        <v>Outros</v>
      </c>
    </row>
    <row r="9739" spans="1:2">
      <c r="A9739" s="1" t="str">
        <f>"8901.10.00"</f>
        <v>8901.10.00</v>
      </c>
      <c r="B9739" s="2" t="str">
        <f>"Transatlanticos, barcos de excursao"</f>
        <v>Transatlanticos, barcos de excursao</v>
      </c>
    </row>
    <row r="9740" spans="1:2">
      <c r="A9740" s="1" t="str">
        <f>"8901.20.00"</f>
        <v>8901.20.00</v>
      </c>
      <c r="B9740" s="2" t="str">
        <f>"Navios-tanque"</f>
        <v>Navios-tanque</v>
      </c>
    </row>
    <row r="9741" spans="1:2">
      <c r="A9741" s="1" t="str">
        <f>"8901.30.00"</f>
        <v>8901.30.00</v>
      </c>
      <c r="B9741" s="2" t="str">
        <f>"Barcos frigorificos, exceto os da s"</f>
        <v>Barcos frigorificos, exceto os da s</v>
      </c>
    </row>
    <row r="9742" spans="1:2">
      <c r="A9742" s="1" t="str">
        <f>"8901.90.00"</f>
        <v>8901.90.00</v>
      </c>
      <c r="B9742" s="2" t="str">
        <f>"Outras embarcacoes para o transport"</f>
        <v>Outras embarcacoes para o transport</v>
      </c>
    </row>
    <row r="9743" spans="1:2">
      <c r="A9743" s="1" t="str">
        <f>"8902.00.10"</f>
        <v>8902.00.10</v>
      </c>
      <c r="B9743" s="2" t="str">
        <f>"De comprimento, de proa a popa, igu"</f>
        <v>De comprimento, de proa a popa, igu</v>
      </c>
    </row>
    <row r="9744" spans="1:2">
      <c r="A9744" s="1" t="str">
        <f>"8902.00.90"</f>
        <v>8902.00.90</v>
      </c>
      <c r="B9744" s="2" t="str">
        <f>"Outros"</f>
        <v>Outros</v>
      </c>
    </row>
    <row r="9745" spans="1:2">
      <c r="A9745" s="1" t="str">
        <f>"8903.10.00"</f>
        <v>8903.10.00</v>
      </c>
      <c r="B9745" s="2" t="str">
        <f>"Barcos inflaveis"</f>
        <v>Barcos inflaveis</v>
      </c>
    </row>
    <row r="9746" spans="1:2">
      <c r="A9746" s="1" t="str">
        <f>"8903.91.00"</f>
        <v>8903.91.00</v>
      </c>
      <c r="B9746" s="2" t="str">
        <f>"Barcos a vela, mesmo com motor auxi"</f>
        <v>Barcos a vela, mesmo com motor auxi</v>
      </c>
    </row>
    <row r="9747" spans="1:2">
      <c r="A9747" s="1" t="str">
        <f>"8903.92.00"</f>
        <v>8903.92.00</v>
      </c>
      <c r="B9747" s="2" t="str">
        <f>"Barcos a motor, exceto com motor fo"</f>
        <v>Barcos a motor, exceto com motor fo</v>
      </c>
    </row>
    <row r="9748" spans="1:2">
      <c r="A9748" s="1" t="str">
        <f>"8903.99.00"</f>
        <v>8903.99.00</v>
      </c>
      <c r="B9748" s="2" t="str">
        <f>"Outros"</f>
        <v>Outros</v>
      </c>
    </row>
    <row r="9749" spans="1:2">
      <c r="A9749" s="1" t="str">
        <f>"8904.00.00"</f>
        <v>8904.00.00</v>
      </c>
      <c r="B9749" s="2" t="str">
        <f>"Rebocadores e barcos concebidos par"</f>
        <v>Rebocadores e barcos concebidos par</v>
      </c>
    </row>
    <row r="9750" spans="1:2">
      <c r="A9750" s="1" t="str">
        <f>"8905.10.00"</f>
        <v>8905.10.00</v>
      </c>
      <c r="B9750" s="2" t="str">
        <f>"Dragas"</f>
        <v>Dragas</v>
      </c>
    </row>
    <row r="9751" spans="1:2">
      <c r="A9751" s="1" t="str">
        <f>"8905.20.00"</f>
        <v>8905.20.00</v>
      </c>
      <c r="B9751" s="2" t="str">
        <f>"Plataformas de perfuracao ou de exp"</f>
        <v>Plataformas de perfuracao ou de exp</v>
      </c>
    </row>
    <row r="9752" spans="1:2">
      <c r="A9752" s="1" t="str">
        <f>"8905.90.00"</f>
        <v>8905.90.00</v>
      </c>
      <c r="B9752" s="2" t="str">
        <f>"Outros"</f>
        <v>Outros</v>
      </c>
    </row>
    <row r="9753" spans="1:2">
      <c r="A9753" s="1" t="str">
        <f>"8906.10.00"</f>
        <v>8906.10.00</v>
      </c>
      <c r="B9753" s="2" t="str">
        <f>"Navios de guerra"</f>
        <v>Navios de guerra</v>
      </c>
    </row>
    <row r="9754" spans="1:2">
      <c r="A9754" s="1" t="str">
        <f>"8906.90.00"</f>
        <v>8906.90.00</v>
      </c>
      <c r="B9754" s="2" t="str">
        <f>"Outras"</f>
        <v>Outras</v>
      </c>
    </row>
    <row r="9755" spans="1:2">
      <c r="A9755" s="1" t="str">
        <f>"8907.10.00"</f>
        <v>8907.10.00</v>
      </c>
      <c r="B9755" s="2" t="str">
        <f>"Balsas inflaveis"</f>
        <v>Balsas inflaveis</v>
      </c>
    </row>
    <row r="9756" spans="1:2">
      <c r="A9756" s="1" t="str">
        <f>"8907.90.00"</f>
        <v>8907.90.00</v>
      </c>
      <c r="B9756" s="2" t="str">
        <f>"Outras"</f>
        <v>Outras</v>
      </c>
    </row>
    <row r="9757" spans="1:2">
      <c r="A9757" s="1" t="str">
        <f>"8908.00.00"</f>
        <v>8908.00.00</v>
      </c>
      <c r="B9757" s="2" t="str">
        <f>"Embarcacoes e outras estruturas flu"</f>
        <v>Embarcacoes e outras estruturas flu</v>
      </c>
    </row>
    <row r="9758" spans="1:2">
      <c r="A9758" s="1" t="str">
        <f>"8908.90.00"</f>
        <v>8908.90.00</v>
      </c>
      <c r="B9758" s="2" t="str">
        <f>"INATIVA - CONTRA FACA"</f>
        <v>INATIVA - CONTRA FACA</v>
      </c>
    </row>
    <row r="9759" spans="1:2">
      <c r="A9759" s="1" t="str">
        <f>"8923.89.00"</f>
        <v>8923.89.00</v>
      </c>
      <c r="B9759" s="2" t="str">
        <f>"INATIVO"</f>
        <v>INATIVO</v>
      </c>
    </row>
    <row r="9760" spans="1:2">
      <c r="A9760" s="1" t="str">
        <f>"9001.10.11"</f>
        <v>9001.10.11</v>
      </c>
      <c r="B9760" s="2" t="str">
        <f>"De diametro de nucleo inferior a 11"</f>
        <v>De diametro de nucleo inferior a 11</v>
      </c>
    </row>
    <row r="9761" spans="1:2">
      <c r="A9761" s="1" t="str">
        <f>"9001.10.19"</f>
        <v>9001.10.19</v>
      </c>
      <c r="B9761" s="2" t="str">
        <f>"Outras"</f>
        <v>Outras</v>
      </c>
    </row>
    <row r="9762" spans="1:2">
      <c r="A9762" s="1" t="str">
        <f>"9001.10.20"</f>
        <v>9001.10.20</v>
      </c>
      <c r="B9762" s="2" t="str">
        <f>"Feixes e cabos de fibras opticas"</f>
        <v>Feixes e cabos de fibras opticas</v>
      </c>
    </row>
    <row r="9763" spans="1:2">
      <c r="A9763" s="1" t="str">
        <f>"9001.20.00"</f>
        <v>9001.20.00</v>
      </c>
      <c r="B9763" s="2" t="str">
        <f>"Materias polarizantes, em folhas ou"</f>
        <v>Materias polarizantes, em folhas ou</v>
      </c>
    </row>
    <row r="9764" spans="1:2">
      <c r="A9764" s="1" t="str">
        <f>"9001.30.00"</f>
        <v>9001.30.00</v>
      </c>
      <c r="B9764" s="2" t="str">
        <f>"Lentes de contato"</f>
        <v>Lentes de contato</v>
      </c>
    </row>
    <row r="9765" spans="1:2">
      <c r="A9765" s="1" t="str">
        <f>"9001.40.00"</f>
        <v>9001.40.00</v>
      </c>
      <c r="B9765" s="2" t="str">
        <f>"Lentes de vidro, para oculos"</f>
        <v>Lentes de vidro, para oculos</v>
      </c>
    </row>
    <row r="9766" spans="1:2">
      <c r="A9766" s="1" t="str">
        <f>"9001.50.00"</f>
        <v>9001.50.00</v>
      </c>
      <c r="B9766" s="2" t="str">
        <f>"Lentes de outras materias, para ocu"</f>
        <v>Lentes de outras materias, para ocu</v>
      </c>
    </row>
    <row r="9767" spans="1:2">
      <c r="A9767" s="1" t="str">
        <f>"9001.90.10"</f>
        <v>9001.90.10</v>
      </c>
      <c r="B9767" s="2" t="str">
        <f>"Lentes"</f>
        <v>Lentes</v>
      </c>
    </row>
    <row r="9768" spans="1:2">
      <c r="A9768" s="1" t="str">
        <f>"9001.90.90"</f>
        <v>9001.90.90</v>
      </c>
      <c r="B9768" s="2" t="str">
        <f>"Outros"</f>
        <v>Outros</v>
      </c>
    </row>
    <row r="9769" spans="1:2">
      <c r="A9769" s="1" t="str">
        <f>"9002.11.10"</f>
        <v>9002.11.10</v>
      </c>
      <c r="B9769" s="2" t="str">
        <f>"Para cameras fotograficas ou cinema"</f>
        <v>Para cameras fotograficas ou cinema</v>
      </c>
    </row>
    <row r="9770" spans="1:2">
      <c r="A9770" s="1" t="str">
        <f>"9002.11.20"</f>
        <v>9002.11.20</v>
      </c>
      <c r="B9770" s="2" t="str">
        <f>"De aproximacao (zoom) para cameras"</f>
        <v>De aproximacao (zoom) para cameras</v>
      </c>
    </row>
    <row r="9771" spans="1:2">
      <c r="A9771" s="1" t="str">
        <f>"9002.11.90"</f>
        <v>9002.11.90</v>
      </c>
      <c r="B9771" s="2" t="str">
        <f>"Outras"</f>
        <v>Outras</v>
      </c>
    </row>
    <row r="9772" spans="1:2">
      <c r="A9772" s="1" t="str">
        <f>"9002.19.00"</f>
        <v>9002.19.00</v>
      </c>
      <c r="B9772" s="2" t="str">
        <f>"Outras"</f>
        <v>Outras</v>
      </c>
    </row>
    <row r="9773" spans="1:2">
      <c r="A9773" s="1" t="str">
        <f>"9002.20.10"</f>
        <v>9002.20.10</v>
      </c>
      <c r="B9773" s="2" t="str">
        <f>"Polarizantes"</f>
        <v>Polarizantes</v>
      </c>
    </row>
    <row r="9774" spans="1:2">
      <c r="A9774" s="1" t="str">
        <f>"9002.20.90"</f>
        <v>9002.20.90</v>
      </c>
      <c r="B9774" s="2" t="str">
        <f>"Outros"</f>
        <v>Outros</v>
      </c>
    </row>
    <row r="9775" spans="1:2">
      <c r="A9775" s="1" t="str">
        <f>"9002.90.00"</f>
        <v>9002.90.00</v>
      </c>
      <c r="B9775" s="2" t="str">
        <f>"OUTROS"</f>
        <v>OUTROS</v>
      </c>
    </row>
    <row r="9776" spans="1:2">
      <c r="A9776" s="1" t="str">
        <f>"9003.11.00"</f>
        <v>9003.11.00</v>
      </c>
      <c r="B9776" s="2" t="str">
        <f>"De plastico"</f>
        <v>De plastico</v>
      </c>
    </row>
    <row r="9777" spans="1:2">
      <c r="A9777" s="1" t="str">
        <f>"9003.19.10"</f>
        <v>9003.19.10</v>
      </c>
      <c r="B9777" s="2" t="str">
        <f>"De metais comuns, mesmo folheados o"</f>
        <v>De metais comuns, mesmo folheados o</v>
      </c>
    </row>
    <row r="9778" spans="1:2">
      <c r="A9778" s="1" t="str">
        <f>"9003.19.90"</f>
        <v>9003.19.90</v>
      </c>
      <c r="B9778" s="2" t="str">
        <f>"Outras"</f>
        <v>Outras</v>
      </c>
    </row>
    <row r="9779" spans="1:2">
      <c r="A9779" s="1" t="str">
        <f>"9003.90.10"</f>
        <v>9003.90.10</v>
      </c>
      <c r="B9779" s="2" t="str">
        <f>"Charneiras"</f>
        <v>Charneiras</v>
      </c>
    </row>
    <row r="9780" spans="1:2">
      <c r="A9780" s="1" t="str">
        <f>"9003.90.90"</f>
        <v>9003.90.90</v>
      </c>
      <c r="B9780" s="2" t="str">
        <f>"Outras"</f>
        <v>Outras</v>
      </c>
    </row>
    <row r="9781" spans="1:2">
      <c r="A9781" s="1" t="str">
        <f>"9004.10.00"</f>
        <v>9004.10.00</v>
      </c>
      <c r="B9781" s="2" t="str">
        <f>"Oculos de sol"</f>
        <v>Oculos de sol</v>
      </c>
    </row>
    <row r="9782" spans="1:2">
      <c r="A9782" s="1" t="str">
        <f>"9004.90.10"</f>
        <v>9004.90.10</v>
      </c>
      <c r="B9782" s="2" t="str">
        <f>"Oculos para correcao"</f>
        <v>Oculos para correcao</v>
      </c>
    </row>
    <row r="9783" spans="1:2">
      <c r="A9783" s="1" t="str">
        <f>"9004.90.20"</f>
        <v>9004.90.20</v>
      </c>
      <c r="B9783" s="2" t="str">
        <f>"OCULOS DE SEGURANÇA"</f>
        <v>OCULOS DE SEGURANÇA</v>
      </c>
    </row>
    <row r="9784" spans="1:2">
      <c r="A9784" s="1" t="str">
        <f>"9004.90.90"</f>
        <v>9004.90.90</v>
      </c>
      <c r="B9784" s="2" t="str">
        <f>"Outros"</f>
        <v>Outros</v>
      </c>
    </row>
    <row r="9785" spans="1:2">
      <c r="A9785" s="1" t="str">
        <f>"9005.10.00"</f>
        <v>9005.10.00</v>
      </c>
      <c r="B9785" s="2" t="str">
        <f>"Binoculos"</f>
        <v>Binoculos</v>
      </c>
    </row>
    <row r="9786" spans="1:2">
      <c r="A9786" s="1" t="str">
        <f>"9005.80.00"</f>
        <v>9005.80.00</v>
      </c>
      <c r="B9786" s="2" t="str">
        <f>"Outros instrumentos"</f>
        <v>Outros instrumentos</v>
      </c>
    </row>
    <row r="9787" spans="1:2">
      <c r="A9787" s="1" t="str">
        <f>"9005.90.10"</f>
        <v>9005.90.10</v>
      </c>
      <c r="B9787" s="2" t="str">
        <f>"De binoculos"</f>
        <v>De binoculos</v>
      </c>
    </row>
    <row r="9788" spans="1:2">
      <c r="A9788" s="1" t="str">
        <f>"9005.90.90"</f>
        <v>9005.90.90</v>
      </c>
      <c r="B9788" s="2" t="str">
        <f>"Outros"</f>
        <v>Outros</v>
      </c>
    </row>
    <row r="9789" spans="1:2">
      <c r="A9789" s="1" t="str">
        <f>"9006.30.00"</f>
        <v>9006.30.00</v>
      </c>
      <c r="B9789" s="2" t="str">
        <f>"Cameras fotograficas especialmente"</f>
        <v>Cameras fotograficas especialmente</v>
      </c>
    </row>
    <row r="9790" spans="1:2">
      <c r="A9790" s="1" t="str">
        <f>"9006.40.00"</f>
        <v>9006.40.00</v>
      </c>
      <c r="B9790" s="2" t="str">
        <f>"Cameras fotograficas para filmes de"</f>
        <v>Cameras fotograficas para filmes de</v>
      </c>
    </row>
    <row r="9791" spans="1:2">
      <c r="A9791" s="1" t="str">
        <f>"9006.51.00"</f>
        <v>9006.51.00</v>
      </c>
      <c r="B9791" s="2" t="str">
        <f>"Com visor de reflexao atraves da ob"</f>
        <v>Com visor de reflexao atraves da ob</v>
      </c>
    </row>
    <row r="9792" spans="1:2">
      <c r="A9792" s="1" t="str">
        <f>"9006.52.00"</f>
        <v>9006.52.00</v>
      </c>
      <c r="B9792" s="2" t="str">
        <f>"Outras, para filmes em rolos de lar"</f>
        <v>Outras, para filmes em rolos de lar</v>
      </c>
    </row>
    <row r="9793" spans="1:2">
      <c r="A9793" s="1" t="str">
        <f>"9006.53.10"</f>
        <v>9006.53.10</v>
      </c>
      <c r="B9793" s="2" t="str">
        <f>"De foco fixo"</f>
        <v>De foco fixo</v>
      </c>
    </row>
    <row r="9794" spans="1:2">
      <c r="A9794" s="1" t="str">
        <f>"9006.53.20"</f>
        <v>9006.53.20</v>
      </c>
      <c r="B9794" s="2" t="str">
        <f>"De foco ajustavel"</f>
        <v>De foco ajustavel</v>
      </c>
    </row>
    <row r="9795" spans="1:2">
      <c r="A9795" s="1" t="str">
        <f>"9006.59.30"</f>
        <v>9006.59.30</v>
      </c>
      <c r="B9795" s="2" t="str">
        <f>"Fotocompositoras a laser para prepa"</f>
        <v>Fotocompositoras a laser para prepa</v>
      </c>
    </row>
    <row r="9796" spans="1:2">
      <c r="A9796" s="1" t="str">
        <f>"9006.59.40"</f>
        <v>9006.59.40</v>
      </c>
      <c r="B9796" s="2" t="str">
        <f>"Outras, de foco fixo"</f>
        <v>Outras, de foco fixo</v>
      </c>
    </row>
    <row r="9797" spans="1:2">
      <c r="A9797" s="1" t="str">
        <f>"9006.59.51"</f>
        <v>9006.59.51</v>
      </c>
      <c r="B9797" s="2" t="str">
        <f>"Para obtencao de negativos de 45 mm"</f>
        <v>Para obtencao de negativos de 45 mm</v>
      </c>
    </row>
    <row r="9798" spans="1:2">
      <c r="A9798" s="1" t="str">
        <f>"9006.59.59"</f>
        <v>9006.59.59</v>
      </c>
      <c r="B9798" s="2" t="str">
        <f>"Outras"</f>
        <v>Outras</v>
      </c>
    </row>
    <row r="9799" spans="1:2">
      <c r="A9799" s="1" t="str">
        <f>"9006.61.00"</f>
        <v>9006.61.00</v>
      </c>
      <c r="B9799" s="2" t="str">
        <f>"Aparelhos de tubo de descarga para"</f>
        <v>Aparelhos de tubo de descarga para</v>
      </c>
    </row>
    <row r="9800" spans="1:2">
      <c r="A9800" s="1" t="str">
        <f>"9006.69.00"</f>
        <v>9006.69.00</v>
      </c>
      <c r="B9800" s="2" t="str">
        <f>"Outras"</f>
        <v>Outras</v>
      </c>
    </row>
    <row r="9801" spans="1:2">
      <c r="A9801" s="1" t="str">
        <f>"9006.91.10"</f>
        <v>9006.91.10</v>
      </c>
      <c r="B9801" s="2" t="str">
        <f>"Corpos"</f>
        <v>Corpos</v>
      </c>
    </row>
    <row r="9802" spans="1:2">
      <c r="A9802" s="1" t="str">
        <f>"9006.91.90"</f>
        <v>9006.91.90</v>
      </c>
      <c r="B9802" s="2" t="str">
        <f>"Outros"</f>
        <v>Outros</v>
      </c>
    </row>
    <row r="9803" spans="1:2">
      <c r="A9803" s="1" t="str">
        <f>"9006.99.00"</f>
        <v>9006.99.00</v>
      </c>
      <c r="B9803" s="2" t="str">
        <f>"Outros"</f>
        <v>Outros</v>
      </c>
    </row>
    <row r="9804" spans="1:2">
      <c r="A9804" s="1" t="str">
        <f>"9007.10.00"</f>
        <v>9007.10.00</v>
      </c>
      <c r="B9804" s="2" t="str">
        <f>"Cameras"</f>
        <v>Cameras</v>
      </c>
    </row>
    <row r="9805" spans="1:2">
      <c r="A9805" s="1" t="str">
        <f>"9007.20.20"</f>
        <v>9007.20.20</v>
      </c>
      <c r="B9805" s="2" t="str">
        <f>"Para filmes de largura igual ou sup"</f>
        <v>Para filmes de largura igual ou sup</v>
      </c>
    </row>
    <row r="9806" spans="1:2">
      <c r="A9806" s="1" t="str">
        <f>"9007.20.90"</f>
        <v>9007.20.90</v>
      </c>
      <c r="B9806" s="2" t="str">
        <f>"Outros"</f>
        <v>Outros</v>
      </c>
    </row>
    <row r="9807" spans="1:2">
      <c r="A9807" s="1" t="str">
        <f>"9007.91.00"</f>
        <v>9007.91.00</v>
      </c>
      <c r="B9807" s="2" t="str">
        <f>"De cameras"</f>
        <v>De cameras</v>
      </c>
    </row>
    <row r="9808" spans="1:2">
      <c r="A9808" s="1" t="str">
        <f>"9007.92.00"</f>
        <v>9007.92.00</v>
      </c>
      <c r="B9808" s="2" t="str">
        <f>"De projetores"</f>
        <v>De projetores</v>
      </c>
    </row>
    <row r="9809" spans="1:2">
      <c r="A9809" s="1" t="str">
        <f>"9008.50.00"</f>
        <v>9008.50.00</v>
      </c>
      <c r="B9809" s="2" t="str">
        <f>"Projetores e aparelhos de ampliacao"</f>
        <v>Projetores e aparelhos de ampliacao</v>
      </c>
    </row>
    <row r="9810" spans="1:2">
      <c r="A9810" s="1" t="str">
        <f>"9008.90.00"</f>
        <v>9008.90.00</v>
      </c>
      <c r="B9810" s="2" t="str">
        <f>"Partes e acessorios"</f>
        <v>Partes e acessorios</v>
      </c>
    </row>
    <row r="9811" spans="1:2">
      <c r="A9811" s="1" t="str">
        <f>"9010.10.10"</f>
        <v>9010.10.10</v>
      </c>
      <c r="B9811" s="2" t="str">
        <f>"Cubas e cubetas, de operacao automa"</f>
        <v>Cubas e cubetas, de operacao automa</v>
      </c>
    </row>
    <row r="9812" spans="1:2">
      <c r="A9812" s="1" t="str">
        <f>"9010.10.20"</f>
        <v>9010.10.20</v>
      </c>
      <c r="B9812" s="2" t="str">
        <f>"Ampliadoras-copiadoras automaticas"</f>
        <v>Ampliadoras-copiadoras automaticas</v>
      </c>
    </row>
    <row r="9813" spans="1:2">
      <c r="A9813" s="1" t="str">
        <f>"9010.10.90"</f>
        <v>9010.10.90</v>
      </c>
      <c r="B9813" s="2" t="str">
        <f>"Outros"</f>
        <v>Outros</v>
      </c>
    </row>
    <row r="9814" spans="1:2">
      <c r="A9814" s="1" t="str">
        <f>"9010.50.10"</f>
        <v>9010.50.10</v>
      </c>
      <c r="B9814" s="2" t="str">
        <f>"Processadores fotograficos para o t"</f>
        <v>Processadores fotograficos para o t</v>
      </c>
    </row>
    <row r="9815" spans="1:2">
      <c r="A9815" s="1" t="str">
        <f>"9010.50.20"</f>
        <v>9010.50.20</v>
      </c>
      <c r="B9815" s="2" t="str">
        <f>"Aparelhos para revelacao automatica"</f>
        <v>Aparelhos para revelacao automatica</v>
      </c>
    </row>
    <row r="9816" spans="1:2">
      <c r="A9816" s="1" t="str">
        <f>"9010.50.90"</f>
        <v>9010.50.90</v>
      </c>
      <c r="B9816" s="2" t="str">
        <f>"Outros"</f>
        <v>Outros</v>
      </c>
    </row>
    <row r="9817" spans="1:2">
      <c r="A9817" s="1" t="str">
        <f>"9010.60.00"</f>
        <v>9010.60.00</v>
      </c>
      <c r="B9817" s="2" t="str">
        <f>"Telas para projecao"</f>
        <v>Telas para projecao</v>
      </c>
    </row>
    <row r="9818" spans="1:2">
      <c r="A9818" s="1" t="str">
        <f>"9010.90.10"</f>
        <v>9010.90.10</v>
      </c>
      <c r="B9818" s="2" t="str">
        <f>"De aparelhos ou material da subposi"</f>
        <v>De aparelhos ou material da subposi</v>
      </c>
    </row>
    <row r="9819" spans="1:2">
      <c r="A9819" s="1" t="str">
        <f>"9010.90.90"</f>
        <v>9010.90.90</v>
      </c>
      <c r="B9819" s="2" t="str">
        <f>"outros"</f>
        <v>outros</v>
      </c>
    </row>
    <row r="9820" spans="1:2">
      <c r="A9820" s="1" t="str">
        <f>"9011.10.00"</f>
        <v>9011.10.00</v>
      </c>
      <c r="B9820" s="2" t="str">
        <f>"MICROSCÓPIOS ESTEREOSCÓPICOS"</f>
        <v>MICROSCÓPIOS ESTEREOSCÓPICOS</v>
      </c>
    </row>
    <row r="9821" spans="1:2">
      <c r="A9821" s="1" t="str">
        <f>"9011.20.10"</f>
        <v>9011.20.10</v>
      </c>
      <c r="B9821" s="2" t="str">
        <f>"Para fotomicrografia"</f>
        <v>Para fotomicrografia</v>
      </c>
    </row>
    <row r="9822" spans="1:2">
      <c r="A9822" s="1" t="str">
        <f>"9011.20.20"</f>
        <v>9011.20.20</v>
      </c>
      <c r="B9822" s="2" t="str">
        <f>"Para cinefotomicrografia"</f>
        <v>Para cinefotomicrografia</v>
      </c>
    </row>
    <row r="9823" spans="1:2">
      <c r="A9823" s="1" t="str">
        <f>"9011.20.30"</f>
        <v>9011.20.30</v>
      </c>
      <c r="B9823" s="2" t="str">
        <f>"Para microprojecao"</f>
        <v>Para microprojecao</v>
      </c>
    </row>
    <row r="9824" spans="1:2">
      <c r="A9824" s="1" t="str">
        <f>"9011.80.10"</f>
        <v>9011.80.10</v>
      </c>
      <c r="B9824" s="2" t="str">
        <f>"Binoculares de platina movel"</f>
        <v>Binoculares de platina movel</v>
      </c>
    </row>
    <row r="9825" spans="1:2">
      <c r="A9825" s="1" t="str">
        <f>"9011.80.90"</f>
        <v>9011.80.90</v>
      </c>
      <c r="B9825" s="2" t="str">
        <f>"Outros"</f>
        <v>Outros</v>
      </c>
    </row>
    <row r="9826" spans="1:2">
      <c r="A9826" s="1" t="str">
        <f>"9011.90.10"</f>
        <v>9011.90.10</v>
      </c>
      <c r="B9826" s="2" t="str">
        <f>"Dos artigos da subposicao 9011.20"</f>
        <v>Dos artigos da subposicao 9011.20</v>
      </c>
    </row>
    <row r="9827" spans="1:2">
      <c r="A9827" s="1" t="str">
        <f>"9011.90.90"</f>
        <v>9011.90.90</v>
      </c>
      <c r="B9827" s="2" t="str">
        <f>"Outros"</f>
        <v>Outros</v>
      </c>
    </row>
    <row r="9828" spans="1:2">
      <c r="A9828" s="1" t="str">
        <f>"9012.10.10"</f>
        <v>9012.10.10</v>
      </c>
      <c r="B9828" s="2" t="str">
        <f>"Microscopios eletronicos"</f>
        <v>Microscopios eletronicos</v>
      </c>
    </row>
    <row r="9829" spans="1:2">
      <c r="A9829" s="1" t="str">
        <f>"9012.10.90"</f>
        <v>9012.10.90</v>
      </c>
      <c r="B9829" s="2" t="str">
        <f>"Outros"</f>
        <v>Outros</v>
      </c>
    </row>
    <row r="9830" spans="1:2">
      <c r="A9830" s="1" t="str">
        <f>"9012.90.10"</f>
        <v>9012.90.10</v>
      </c>
      <c r="B9830" s="2" t="str">
        <f>"De microscopios eletronicos"</f>
        <v>De microscopios eletronicos</v>
      </c>
    </row>
    <row r="9831" spans="1:2">
      <c r="A9831" s="1" t="str">
        <f>"9012.90.90"</f>
        <v>9012.90.90</v>
      </c>
      <c r="B9831" s="2" t="str">
        <f>"Outros"</f>
        <v>Outros</v>
      </c>
    </row>
    <row r="9832" spans="1:2">
      <c r="A9832" s="1" t="str">
        <f>"9013.10.10"</f>
        <v>9013.10.10</v>
      </c>
      <c r="B9832" s="2" t="str">
        <f>"Miras telescopicas para armas"</f>
        <v>Miras telescopicas para armas</v>
      </c>
    </row>
    <row r="9833" spans="1:2">
      <c r="A9833" s="1" t="str">
        <f>"9013.10.90"</f>
        <v>9013.10.90</v>
      </c>
      <c r="B9833" s="2" t="str">
        <f>"Outros"</f>
        <v>Outros</v>
      </c>
    </row>
    <row r="9834" spans="1:2">
      <c r="A9834" s="1" t="str">
        <f>"9013.20.00"</f>
        <v>9013.20.00</v>
      </c>
      <c r="B9834" s="2" t="str">
        <f>"modulo laser"</f>
        <v>modulo laser</v>
      </c>
    </row>
    <row r="9835" spans="1:2">
      <c r="A9835" s="1" t="str">
        <f>"9013.80.00"</f>
        <v>9013.80.00</v>
      </c>
      <c r="B9835" s="2" t="str">
        <f>"Outros dispositivos, aparelhos e in"</f>
        <v>Outros dispositivos, aparelhos e in</v>
      </c>
    </row>
    <row r="9836" spans="1:2">
      <c r="A9836" s="1" t="str">
        <f>"9013.80.10"</f>
        <v>9013.80.10</v>
      </c>
      <c r="B9836" s="2" t="str">
        <f>"DISPOSITIVOS DE CRISTAIS LÍQUIDOS"</f>
        <v>DISPOSITIVOS DE CRISTAIS LÍQUIDOS</v>
      </c>
    </row>
    <row r="9837" spans="1:2">
      <c r="A9837" s="1" t="str">
        <f>"9013.80.90"</f>
        <v>9013.80.90</v>
      </c>
      <c r="B9837" s="2" t="str">
        <f>"Outros"</f>
        <v>Outros</v>
      </c>
    </row>
    <row r="9838" spans="1:2">
      <c r="A9838" s="1" t="str">
        <f>"9013.90.00"</f>
        <v>9013.90.00</v>
      </c>
      <c r="B9838" s="2" t="str">
        <f>"Partes e acessorios"</f>
        <v>Partes e acessorios</v>
      </c>
    </row>
    <row r="9839" spans="1:2">
      <c r="A9839" s="1" t="str">
        <f>"9014.10.00"</f>
        <v>9014.10.00</v>
      </c>
      <c r="B9839" s="2" t="str">
        <f>"Bussolas, incluindo as agulhas de m"</f>
        <v>Bussolas, incluindo as agulhas de m</v>
      </c>
    </row>
    <row r="9840" spans="1:2">
      <c r="A9840" s="1" t="str">
        <f>"9014.20.10"</f>
        <v>9014.20.10</v>
      </c>
      <c r="B9840" s="2" t="str">
        <f>"Altimetros"</f>
        <v>Altimetros</v>
      </c>
    </row>
    <row r="9841" spans="1:2">
      <c r="A9841" s="1" t="str">
        <f>"9014.20.20"</f>
        <v>9014.20.20</v>
      </c>
      <c r="B9841" s="2" t="str">
        <f>"Pilotos automaticos"</f>
        <v>Pilotos automaticos</v>
      </c>
    </row>
    <row r="9842" spans="1:2">
      <c r="A9842" s="1" t="str">
        <f>"9014.20.30"</f>
        <v>9014.20.30</v>
      </c>
      <c r="B9842" s="2" t="str">
        <f>"Inclinometros"</f>
        <v>Inclinometros</v>
      </c>
    </row>
    <row r="9843" spans="1:2">
      <c r="A9843" s="1" t="str">
        <f>"9014.20.90"</f>
        <v>9014.20.90</v>
      </c>
      <c r="B9843" s="2" t="str">
        <f>"Outros"</f>
        <v>Outros</v>
      </c>
    </row>
    <row r="9844" spans="1:2">
      <c r="A9844" s="1" t="str">
        <f>"9014.80.10"</f>
        <v>9014.80.10</v>
      </c>
      <c r="B9844" s="2" t="str">
        <f>"Sondas acusticas (ecobatimetros) ou"</f>
        <v>Sondas acusticas (ecobatimetros) ou</v>
      </c>
    </row>
    <row r="9845" spans="1:2">
      <c r="A9845" s="1" t="str">
        <f>"9014.80.90"</f>
        <v>9014.80.90</v>
      </c>
      <c r="B9845" s="2" t="str">
        <f>"Outros"</f>
        <v>Outros</v>
      </c>
    </row>
    <row r="9846" spans="1:2">
      <c r="A9846" s="1" t="str">
        <f>"9014.90.00"</f>
        <v>9014.90.00</v>
      </c>
      <c r="B9846" s="2" t="str">
        <f>"Partes e acessorios"</f>
        <v>Partes e acessorios</v>
      </c>
    </row>
    <row r="9847" spans="1:2">
      <c r="A9847" s="1" t="str">
        <f>"9015.10.00"</f>
        <v>9015.10.00</v>
      </c>
      <c r="B9847" s="2" t="str">
        <f>"TELÊMETROS"</f>
        <v>TELÊMETROS</v>
      </c>
    </row>
    <row r="9848" spans="1:2">
      <c r="A9848" s="1" t="str">
        <f>"9015.20.10"</f>
        <v>9015.20.10</v>
      </c>
      <c r="B9848" s="2" t="str">
        <f>"COM SISTEMA DE LEITURA POR MEIO DE"</f>
        <v>COM SISTEMA DE LEITURA POR MEIO DE</v>
      </c>
    </row>
    <row r="9849" spans="1:2">
      <c r="A9849" s="1" t="str">
        <f>"9015.20.90"</f>
        <v>9015.20.90</v>
      </c>
      <c r="B9849" s="2" t="str">
        <f>"Outros"</f>
        <v>Outros</v>
      </c>
    </row>
    <row r="9850" spans="1:2">
      <c r="A9850" s="1" t="str">
        <f>"9015.30.00"</f>
        <v>9015.30.00</v>
      </c>
      <c r="B9850" s="2" t="str">
        <f>"NÍVEIS"</f>
        <v>NÍVEIS</v>
      </c>
    </row>
    <row r="9851" spans="1:2">
      <c r="A9851" s="1" t="str">
        <f>"9015.40.00"</f>
        <v>9015.40.00</v>
      </c>
      <c r="B9851" s="2" t="str">
        <f>"Instrumentos e aparelhos de fotogra"</f>
        <v>Instrumentos e aparelhos de fotogra</v>
      </c>
    </row>
    <row r="9852" spans="1:2">
      <c r="A9852" s="1" t="str">
        <f>"9015.80.10"</f>
        <v>9015.80.10</v>
      </c>
      <c r="B9852" s="2" t="str">
        <f>"Molinetes hidrometricos"</f>
        <v>Molinetes hidrometricos</v>
      </c>
    </row>
    <row r="9853" spans="1:2">
      <c r="A9853" s="1" t="str">
        <f>"9015.80.90"</f>
        <v>9015.80.90</v>
      </c>
      <c r="B9853" s="2" t="str">
        <f>"outros"</f>
        <v>outros</v>
      </c>
    </row>
    <row r="9854" spans="1:2">
      <c r="A9854" s="1" t="str">
        <f>"9015.90.10"</f>
        <v>9015.90.10</v>
      </c>
      <c r="B9854" s="2" t="str">
        <f>"De instrumentos ou aparelhos da sub"</f>
        <v>De instrumentos ou aparelhos da sub</v>
      </c>
    </row>
    <row r="9855" spans="1:2">
      <c r="A9855" s="1" t="str">
        <f>"9015.90.90"</f>
        <v>9015.90.90</v>
      </c>
      <c r="B9855" s="2" t="str">
        <f>"Outros"</f>
        <v>Outros</v>
      </c>
    </row>
    <row r="9856" spans="1:2">
      <c r="A9856" s="1" t="str">
        <f>"9016.00.10"</f>
        <v>9016.00.10</v>
      </c>
      <c r="B9856" s="2" t="str">
        <f>"SENSÍVEIS PESOS Ñ SUPERIORES 0,2MG"</f>
        <v>SENSÍVEIS PESOS Ñ SUPERIORES 0,2MG</v>
      </c>
    </row>
    <row r="9857" spans="1:2">
      <c r="A9857" s="1" t="str">
        <f>"9016.00.90"</f>
        <v>9016.00.90</v>
      </c>
      <c r="B9857" s="2" t="str">
        <f>"OUTRAS - BALANCA PRECISAO"</f>
        <v>OUTRAS - BALANCA PRECISAO</v>
      </c>
    </row>
    <row r="9858" spans="1:2">
      <c r="A9858" s="1" t="str">
        <f>"9017.10.10"</f>
        <v>9017.10.10</v>
      </c>
      <c r="B9858" s="2" t="str">
        <f>"Automaticas"</f>
        <v>Automaticas</v>
      </c>
    </row>
    <row r="9859" spans="1:2">
      <c r="A9859" s="1" t="str">
        <f>"9017.10.90"</f>
        <v>9017.10.90</v>
      </c>
      <c r="B9859" s="2" t="str">
        <f>"Outras"</f>
        <v>Outras</v>
      </c>
    </row>
    <row r="9860" spans="1:2">
      <c r="A9860" s="1" t="str">
        <f>"9017.20.00"</f>
        <v>9017.20.00</v>
      </c>
      <c r="B9860" s="2" t="str">
        <f>"OUTROS INSTR. DESEN. / TRAÇ. E CALC"</f>
        <v>OUTROS INSTR. DESEN. / TRAÇ. E CALC</v>
      </c>
    </row>
    <row r="9861" spans="1:2">
      <c r="A9861" s="1" t="str">
        <f>"9017.30.10"</f>
        <v>9017.30.10</v>
      </c>
      <c r="B9861" s="2" t="str">
        <f>"Micrometros"</f>
        <v>Micrometros</v>
      </c>
    </row>
    <row r="9862" spans="1:2">
      <c r="A9862" s="1" t="str">
        <f>"9017.30.20"</f>
        <v>9017.30.20</v>
      </c>
      <c r="B9862" s="2" t="str">
        <f>"PAQUÍMETROS"</f>
        <v>PAQUÍMETROS</v>
      </c>
    </row>
    <row r="9863" spans="1:2">
      <c r="A9863" s="1" t="str">
        <f>"9017.30.90"</f>
        <v>9017.30.90</v>
      </c>
      <c r="B9863" s="2" t="str">
        <f>"OUTROS"</f>
        <v>OUTROS</v>
      </c>
    </row>
    <row r="9864" spans="1:2">
      <c r="A9864" s="1" t="str">
        <f>"9017.80.10"</f>
        <v>9017.80.10</v>
      </c>
      <c r="B9864" s="2" t="str">
        <f>"ESCALA"</f>
        <v>ESCALA</v>
      </c>
    </row>
    <row r="9865" spans="1:2">
      <c r="A9865" s="1" t="str">
        <f>"9017.80.90"</f>
        <v>9017.80.90</v>
      </c>
      <c r="B9865" s="2" t="str">
        <f>"OUTROS"</f>
        <v>OUTROS</v>
      </c>
    </row>
    <row r="9866" spans="1:2">
      <c r="A9866" s="1" t="str">
        <f>"9017.90.10"</f>
        <v>9017.90.10</v>
      </c>
      <c r="B9866" s="2" t="str">
        <f>"De mesas ou maquinas de desenhar, a"</f>
        <v>De mesas ou maquinas de desenhar, a</v>
      </c>
    </row>
    <row r="9867" spans="1:2">
      <c r="A9867" s="1" t="str">
        <f>"9017.90.90"</f>
        <v>9017.90.90</v>
      </c>
      <c r="B9867" s="2" t="str">
        <f>"OUTROS"</f>
        <v>OUTROS</v>
      </c>
    </row>
    <row r="9868" spans="1:2">
      <c r="A9868" s="1" t="str">
        <f>"9018.11.00"</f>
        <v>9018.11.00</v>
      </c>
      <c r="B9868" s="2" t="str">
        <f>"Eletrocardiografos"</f>
        <v>Eletrocardiografos</v>
      </c>
    </row>
    <row r="9869" spans="1:2">
      <c r="A9869" s="1" t="str">
        <f>"9018.12.10"</f>
        <v>9018.12.10</v>
      </c>
      <c r="B9869" s="2" t="str">
        <f>"Ecografos com analise espectral Dop"</f>
        <v>Ecografos com analise espectral Dop</v>
      </c>
    </row>
    <row r="9870" spans="1:2">
      <c r="A9870" s="1" t="str">
        <f>"9018.12.90"</f>
        <v>9018.12.90</v>
      </c>
      <c r="B9870" s="2" t="str">
        <f>"Outros"</f>
        <v>Outros</v>
      </c>
    </row>
    <row r="9871" spans="1:2">
      <c r="A9871" s="1" t="str">
        <f>"9018.13.00"</f>
        <v>9018.13.00</v>
      </c>
      <c r="B9871" s="2" t="str">
        <f>"Aparelhos de diagnostico por visual"</f>
        <v>Aparelhos de diagnostico por visual</v>
      </c>
    </row>
    <row r="9872" spans="1:2">
      <c r="A9872" s="1" t="str">
        <f>"9018.14.10"</f>
        <v>9018.14.10</v>
      </c>
      <c r="B9872" s="2" t="str">
        <f>"Scanner de tomografia por emissao d"</f>
        <v>Scanner de tomografia por emissao d</v>
      </c>
    </row>
    <row r="9873" spans="1:2">
      <c r="A9873" s="1" t="str">
        <f>"9018.14.20"</f>
        <v>9018.14.20</v>
      </c>
      <c r="B9873" s="2" t="str">
        <f>"Camaras gama"</f>
        <v>Camaras gama</v>
      </c>
    </row>
    <row r="9874" spans="1:2">
      <c r="A9874" s="1" t="str">
        <f>"9018.14.90"</f>
        <v>9018.14.90</v>
      </c>
      <c r="B9874" s="2" t="str">
        <f>"Outros"</f>
        <v>Outros</v>
      </c>
    </row>
    <row r="9875" spans="1:2">
      <c r="A9875" s="1" t="str">
        <f>"9018.19.10"</f>
        <v>9018.19.10</v>
      </c>
      <c r="B9875" s="2" t="str">
        <f>"Endoscopios"</f>
        <v>Endoscopios</v>
      </c>
    </row>
    <row r="9876" spans="1:2">
      <c r="A9876" s="1" t="str">
        <f>"9018.19.20"</f>
        <v>9018.19.20</v>
      </c>
      <c r="B9876" s="2" t="str">
        <f>"Audiometros"</f>
        <v>Audiometros</v>
      </c>
    </row>
    <row r="9877" spans="1:2">
      <c r="A9877" s="1" t="str">
        <f>"9018.19.80"</f>
        <v>9018.19.80</v>
      </c>
      <c r="B9877" s="2" t="str">
        <f>"OUTROS"</f>
        <v>OUTROS</v>
      </c>
    </row>
    <row r="9878" spans="1:2">
      <c r="A9878" s="1" t="str">
        <f>"9018.19.90"</f>
        <v>9018.19.90</v>
      </c>
      <c r="B9878" s="2" t="str">
        <f>"Partes"</f>
        <v>Partes</v>
      </c>
    </row>
    <row r="9879" spans="1:2">
      <c r="A9879" s="1" t="str">
        <f>"9018.20.10"</f>
        <v>9018.20.10</v>
      </c>
      <c r="B9879" s="2" t="str">
        <f>"Para cirurgia, que operem por laser"</f>
        <v>Para cirurgia, que operem por laser</v>
      </c>
    </row>
    <row r="9880" spans="1:2">
      <c r="A9880" s="1" t="str">
        <f>"9018.20.20"</f>
        <v>9018.20.20</v>
      </c>
      <c r="B9880" s="2" t="str">
        <f>"Outros, para tratamento bucal, que"</f>
        <v>Outros, para tratamento bucal, que</v>
      </c>
    </row>
    <row r="9881" spans="1:2">
      <c r="A9881" s="1" t="str">
        <f>"9018.20.90"</f>
        <v>9018.20.90</v>
      </c>
      <c r="B9881" s="2" t="str">
        <f>"Outros"</f>
        <v>Outros</v>
      </c>
    </row>
    <row r="9882" spans="1:2">
      <c r="A9882" s="1" t="str">
        <f>"9018.31.11"</f>
        <v>9018.31.11</v>
      </c>
      <c r="B9882" s="2" t="str">
        <f>"De capacidade inferior ou igual a 2"</f>
        <v>De capacidade inferior ou igual a 2</v>
      </c>
    </row>
    <row r="9883" spans="1:2">
      <c r="A9883" s="1" t="str">
        <f>"9018.31.19"</f>
        <v>9018.31.19</v>
      </c>
      <c r="B9883" s="2" t="str">
        <f>"Outras"</f>
        <v>Outras</v>
      </c>
    </row>
    <row r="9884" spans="1:2">
      <c r="A9884" s="1" t="str">
        <f>"9018.31.90"</f>
        <v>9018.31.90</v>
      </c>
      <c r="B9884" s="2" t="str">
        <f>"Outras"</f>
        <v>Outras</v>
      </c>
    </row>
    <row r="9885" spans="1:2">
      <c r="A9885" s="1" t="str">
        <f>"9018.32.11"</f>
        <v>9018.32.11</v>
      </c>
      <c r="B9885" s="2" t="str">
        <f>"Gengivais"</f>
        <v>Gengivais</v>
      </c>
    </row>
    <row r="9886" spans="1:2">
      <c r="A9886" s="1" t="str">
        <f>"9018.32.12"</f>
        <v>9018.32.12</v>
      </c>
      <c r="B9886" s="2" t="str">
        <f>"De aco cromo-niquel, bisel trifacet"</f>
        <v>De aco cromo-niquel, bisel trifacet</v>
      </c>
    </row>
    <row r="9887" spans="1:2">
      <c r="A9887" s="1" t="str">
        <f>"9018.32.19"</f>
        <v>9018.32.19</v>
      </c>
      <c r="B9887" s="2" t="str">
        <f>"Outras"</f>
        <v>Outras</v>
      </c>
    </row>
    <row r="9888" spans="1:2">
      <c r="A9888" s="1" t="str">
        <f>"9018.32.20"</f>
        <v>9018.32.20</v>
      </c>
      <c r="B9888" s="2" t="str">
        <f>"Para suturas"</f>
        <v>Para suturas</v>
      </c>
    </row>
    <row r="9889" spans="1:2">
      <c r="A9889" s="1" t="str">
        <f>"9018.39.10"</f>
        <v>9018.39.10</v>
      </c>
      <c r="B9889" s="2" t="str">
        <f>"Agulhas"</f>
        <v>Agulhas</v>
      </c>
    </row>
    <row r="9890" spans="1:2">
      <c r="A9890" s="1" t="str">
        <f>"9018.39.21"</f>
        <v>9018.39.21</v>
      </c>
      <c r="B9890" s="2" t="str">
        <f>"De borracha"</f>
        <v>De borracha</v>
      </c>
    </row>
    <row r="9891" spans="1:2">
      <c r="A9891" s="1" t="str">
        <f>"9018.39.22"</f>
        <v>9018.39.22</v>
      </c>
      <c r="B9891" s="2" t="str">
        <f>"Cateteres de poli(cloreto de vinila"</f>
        <v>Cateteres de poli(cloreto de vinila</v>
      </c>
    </row>
    <row r="9892" spans="1:2">
      <c r="A9892" s="1" t="str">
        <f>"9018.39.23"</f>
        <v>9018.39.23</v>
      </c>
      <c r="B9892" s="2" t="str">
        <f>"Cateteres de poli(cloreto de vinila"</f>
        <v>Cateteres de poli(cloreto de vinila</v>
      </c>
    </row>
    <row r="9893" spans="1:2">
      <c r="A9893" s="1" t="str">
        <f>"9018.39.24"</f>
        <v>9018.39.24</v>
      </c>
      <c r="B9893" s="2" t="str">
        <f>"Cateteres intravenosos perifericos,"</f>
        <v>Cateteres intravenosos perifericos,</v>
      </c>
    </row>
    <row r="9894" spans="1:2">
      <c r="A9894" s="1" t="str">
        <f>"9018.39.29"</f>
        <v>9018.39.29</v>
      </c>
      <c r="B9894" s="2" t="str">
        <f>"Outros"</f>
        <v>Outros</v>
      </c>
    </row>
    <row r="9895" spans="1:2">
      <c r="A9895" s="1" t="str">
        <f>"9018.39.30"</f>
        <v>9018.39.30</v>
      </c>
      <c r="B9895" s="2" t="str">
        <f>"Lancetas para vacinacao e cauterios"</f>
        <v>Lancetas para vacinacao e cauterios</v>
      </c>
    </row>
    <row r="9896" spans="1:2">
      <c r="A9896" s="1" t="str">
        <f>"9018.39.91"</f>
        <v>9018.39.91</v>
      </c>
      <c r="B9896" s="2" t="str">
        <f>"Artigo para fistula arteriovenosa,"</f>
        <v>Artigo para fistula arteriovenosa,</v>
      </c>
    </row>
    <row r="9897" spans="1:2">
      <c r="A9897" s="1" t="str">
        <f>"9018.39.99"</f>
        <v>9018.39.99</v>
      </c>
      <c r="B9897" s="2" t="str">
        <f>"Outros"</f>
        <v>Outros</v>
      </c>
    </row>
    <row r="9898" spans="1:2">
      <c r="A9898" s="1" t="str">
        <f>"9018.41.00"</f>
        <v>9018.41.00</v>
      </c>
      <c r="B9898" s="2" t="str">
        <f>"Aparelhos dentarios de brocar, mesm"</f>
        <v>Aparelhos dentarios de brocar, mesm</v>
      </c>
    </row>
    <row r="9899" spans="1:2">
      <c r="A9899" s="1" t="str">
        <f>"9018.49.11"</f>
        <v>9018.49.11</v>
      </c>
      <c r="B9899" s="2" t="str">
        <f>"De carboneto de tungstenio (volfram"</f>
        <v>De carboneto de tungstenio (volfram</v>
      </c>
    </row>
    <row r="9900" spans="1:2">
      <c r="A9900" s="1" t="str">
        <f>"9018.49.12"</f>
        <v>9018.49.12</v>
      </c>
      <c r="B9900" s="2" t="str">
        <f>"De aco-vanadio"</f>
        <v>De aco-vanadio</v>
      </c>
    </row>
    <row r="9901" spans="1:2">
      <c r="A9901" s="1" t="str">
        <f>"9018.49.19"</f>
        <v>9018.49.19</v>
      </c>
      <c r="B9901" s="2" t="str">
        <f>"OUTRAS"</f>
        <v>OUTRAS</v>
      </c>
    </row>
    <row r="9902" spans="1:2">
      <c r="A9902" s="1" t="str">
        <f>"9018.49.20"</f>
        <v>9018.49.20</v>
      </c>
      <c r="B9902" s="2" t="str">
        <f>"Limas"</f>
        <v>Limas</v>
      </c>
    </row>
    <row r="9903" spans="1:2">
      <c r="A9903" s="1" t="str">
        <f>"9018.49.40"</f>
        <v>9018.49.40</v>
      </c>
      <c r="B9903" s="2" t="str">
        <f>"Para tratamento bucal, que operem p"</f>
        <v>Para tratamento bucal, que operem p</v>
      </c>
    </row>
    <row r="9904" spans="1:2">
      <c r="A9904" s="1" t="str">
        <f>"9018.49.91"</f>
        <v>9018.49.91</v>
      </c>
      <c r="B9904" s="2" t="str">
        <f>"Para desenho e construcao de pecas"</f>
        <v>Para desenho e construcao de pecas</v>
      </c>
    </row>
    <row r="9905" spans="1:2">
      <c r="A9905" s="1" t="str">
        <f>"9018.49.99"</f>
        <v>9018.49.99</v>
      </c>
      <c r="B9905" s="2" t="str">
        <f>"Outros"</f>
        <v>Outros</v>
      </c>
    </row>
    <row r="9906" spans="1:2">
      <c r="A9906" s="1" t="str">
        <f>"9018.50.10"</f>
        <v>9018.50.10</v>
      </c>
      <c r="B9906" s="2" t="str">
        <f>"Microscopios binoculares, do tipo u"</f>
        <v>Microscopios binoculares, do tipo u</v>
      </c>
    </row>
    <row r="9907" spans="1:2">
      <c r="A9907" s="1" t="str">
        <f>"9018.50.90"</f>
        <v>9018.50.90</v>
      </c>
      <c r="B9907" s="2" t="str">
        <f>"Outros"</f>
        <v>Outros</v>
      </c>
    </row>
    <row r="9908" spans="1:2">
      <c r="A9908" s="1" t="str">
        <f>"9018.90.10"</f>
        <v>9018.90.10</v>
      </c>
      <c r="B9908" s="2" t="str">
        <f>"Para transfusao de sangue ou infusa"</f>
        <v>Para transfusao de sangue ou infusa</v>
      </c>
    </row>
    <row r="9909" spans="1:2">
      <c r="A9909" s="1" t="str">
        <f>"9018.90.21"</f>
        <v>9018.90.21</v>
      </c>
      <c r="B9909" s="2" t="str">
        <f>"Eletricos"</f>
        <v>Eletricos</v>
      </c>
    </row>
    <row r="9910" spans="1:2">
      <c r="A9910" s="1" t="str">
        <f>"9018.90.29"</f>
        <v>9018.90.29</v>
      </c>
      <c r="B9910" s="2" t="str">
        <f>"Outros"</f>
        <v>Outros</v>
      </c>
    </row>
    <row r="9911" spans="1:2">
      <c r="A9911" s="1" t="str">
        <f>"9018.90.31"</f>
        <v>9018.90.31</v>
      </c>
      <c r="B9911" s="2" t="str">
        <f>"Litotritores por onda de choque"</f>
        <v>Litotritores por onda de choque</v>
      </c>
    </row>
    <row r="9912" spans="1:2">
      <c r="A9912" s="1" t="str">
        <f>"9018.90.39"</f>
        <v>9018.90.39</v>
      </c>
      <c r="B9912" s="2" t="str">
        <f>"Outros"</f>
        <v>Outros</v>
      </c>
    </row>
    <row r="9913" spans="1:2">
      <c r="A9913" s="1" t="str">
        <f>"9018.90.40"</f>
        <v>9018.90.40</v>
      </c>
      <c r="B9913" s="2" t="str">
        <f>"Rins artificiais"</f>
        <v>Rins artificiais</v>
      </c>
    </row>
    <row r="9914" spans="1:2">
      <c r="A9914" s="1" t="str">
        <f>"9018.90.50"</f>
        <v>9018.90.50</v>
      </c>
      <c r="B9914" s="2" t="str">
        <f>"Aparelhos de diatermia"</f>
        <v>Aparelhos de diatermia</v>
      </c>
    </row>
    <row r="9915" spans="1:2">
      <c r="A9915" s="1" t="str">
        <f>"9018.90.91"</f>
        <v>9018.90.91</v>
      </c>
      <c r="B9915" s="2" t="str">
        <f>"Incubadoras para bebes"</f>
        <v>Incubadoras para bebes</v>
      </c>
    </row>
    <row r="9916" spans="1:2">
      <c r="A9916" s="1" t="str">
        <f>"9018.90.92"</f>
        <v>9018.90.92</v>
      </c>
      <c r="B9916" s="2" t="str">
        <f>"OUTROS"</f>
        <v>OUTROS</v>
      </c>
    </row>
    <row r="9917" spans="1:2">
      <c r="A9917" s="1" t="str">
        <f>"9018.90.93"</f>
        <v>9018.90.93</v>
      </c>
      <c r="B9917" s="2" t="str">
        <f>"Aparelhos para terapia intra-uretra"</f>
        <v>Aparelhos para terapia intra-uretra</v>
      </c>
    </row>
    <row r="9918" spans="1:2">
      <c r="A9918" s="1" t="str">
        <f>"9018.90.94"</f>
        <v>9018.90.94</v>
      </c>
      <c r="B9918" s="2" t="str">
        <f>"Endoscopios"</f>
        <v>Endoscopios</v>
      </c>
    </row>
    <row r="9919" spans="1:2">
      <c r="A9919" s="1" t="str">
        <f>"9018.90.95"</f>
        <v>9018.90.95</v>
      </c>
      <c r="B9919" s="2" t="str">
        <f>"Grampos e clipes, seus aplicadores"</f>
        <v>Grampos e clipes, seus aplicadores</v>
      </c>
    </row>
    <row r="9920" spans="1:2">
      <c r="A9920" s="1" t="str">
        <f>"9018.90.96"</f>
        <v>9018.90.96</v>
      </c>
      <c r="B9920" s="2" t="str">
        <f>"Desfibriladores externos que operem"</f>
        <v>Desfibriladores externos que operem</v>
      </c>
    </row>
    <row r="9921" spans="1:2">
      <c r="A9921" s="1" t="str">
        <f>"9018.90.99"</f>
        <v>9018.90.99</v>
      </c>
      <c r="B9921" s="2" t="str">
        <f>"OUTROS"</f>
        <v>OUTROS</v>
      </c>
    </row>
    <row r="9922" spans="1:2">
      <c r="A9922" s="1" t="str">
        <f>"9019.10.00"</f>
        <v>9019.10.00</v>
      </c>
      <c r="B9922" s="2" t="str">
        <f>"Aparelhos de mecanoterapia; aparelh"</f>
        <v>Aparelhos de mecanoterapia; aparelh</v>
      </c>
    </row>
    <row r="9923" spans="1:2">
      <c r="A9923" s="1" t="str">
        <f>"9019.20.10"</f>
        <v>9019.20.10</v>
      </c>
      <c r="B9923" s="2" t="str">
        <f>"De oxigenoterapia"</f>
        <v>De oxigenoterapia</v>
      </c>
    </row>
    <row r="9924" spans="1:2">
      <c r="A9924" s="1" t="str">
        <f>"9019.20.20"</f>
        <v>9019.20.20</v>
      </c>
      <c r="B9924" s="2" t="str">
        <f>"OUTROS"</f>
        <v>OUTROS</v>
      </c>
    </row>
    <row r="9925" spans="1:2">
      <c r="A9925" s="1" t="str">
        <f>"9019.20.30"</f>
        <v>9019.20.30</v>
      </c>
      <c r="B9925" s="2" t="str">
        <f>"Respiratorios de reanimacao"</f>
        <v>Respiratorios de reanimacao</v>
      </c>
    </row>
    <row r="9926" spans="1:2">
      <c r="A9926" s="1" t="str">
        <f>"9019.20.40"</f>
        <v>9019.20.40</v>
      </c>
      <c r="B9926" s="2" t="str">
        <f>"Respiradores automaticos (pulmoes d"</f>
        <v>Respiradores automaticos (pulmoes d</v>
      </c>
    </row>
    <row r="9927" spans="1:2">
      <c r="A9927" s="1" t="str">
        <f>"9019.20.90"</f>
        <v>9019.20.90</v>
      </c>
      <c r="B9927" s="2" t="str">
        <f>"Outros"</f>
        <v>Outros</v>
      </c>
    </row>
    <row r="9928" spans="1:2">
      <c r="A9928" s="1" t="str">
        <f>"9020.00.10"</f>
        <v>9020.00.10</v>
      </c>
      <c r="B9928" s="2" t="str">
        <f>"Máscaras contra gases"</f>
        <v>Máscaras contra gases</v>
      </c>
    </row>
    <row r="9929" spans="1:2">
      <c r="A9929" s="1" t="str">
        <f>"9020.00.90"</f>
        <v>9020.00.90</v>
      </c>
      <c r="B9929" s="2" t="str">
        <f>"Outros"</f>
        <v>Outros</v>
      </c>
    </row>
    <row r="9930" spans="1:2">
      <c r="A9930" s="1" t="str">
        <f>"9021.10.10"</f>
        <v>9021.10.10</v>
      </c>
      <c r="B9930" s="2" t="str">
        <f>"Artigos e aparelhos ortopedicos"</f>
        <v>Artigos e aparelhos ortopedicos</v>
      </c>
    </row>
    <row r="9931" spans="1:2">
      <c r="A9931" s="1" t="str">
        <f>"9021.10.20"</f>
        <v>9021.10.20</v>
      </c>
      <c r="B9931" s="2" t="str">
        <f>"Artigos e aparelhos para fraturas"</f>
        <v>Artigos e aparelhos para fraturas</v>
      </c>
    </row>
    <row r="9932" spans="1:2">
      <c r="A9932" s="1" t="str">
        <f>"9021.10.91"</f>
        <v>9021.10.91</v>
      </c>
      <c r="B9932" s="2" t="str">
        <f>"De artigos e aparelhos de ortopedia"</f>
        <v>De artigos e aparelhos de ortopedia</v>
      </c>
    </row>
    <row r="9933" spans="1:2">
      <c r="A9933" s="1" t="str">
        <f>"9021.10.99"</f>
        <v>9021.10.99</v>
      </c>
      <c r="B9933" s="2" t="str">
        <f>"Outros"</f>
        <v>Outros</v>
      </c>
    </row>
    <row r="9934" spans="1:2">
      <c r="A9934" s="1" t="str">
        <f>"9021.21.10"</f>
        <v>9021.21.10</v>
      </c>
      <c r="B9934" s="2" t="str">
        <f>"De acrilico"</f>
        <v>De acrilico</v>
      </c>
    </row>
    <row r="9935" spans="1:2">
      <c r="A9935" s="1" t="str">
        <f>"9021.21.90"</f>
        <v>9021.21.90</v>
      </c>
      <c r="B9935" s="2" t="str">
        <f>"Outros"</f>
        <v>Outros</v>
      </c>
    </row>
    <row r="9936" spans="1:2">
      <c r="A9936" s="1" t="str">
        <f>"9021.29.00"</f>
        <v>9021.29.00</v>
      </c>
      <c r="B9936" s="2" t="str">
        <f>"Outros"</f>
        <v>Outros</v>
      </c>
    </row>
    <row r="9937" spans="1:2">
      <c r="A9937" s="1" t="str">
        <f>"9021.31.10"</f>
        <v>9021.31.10</v>
      </c>
      <c r="B9937" s="2" t="str">
        <f>"Femurais"</f>
        <v>Femurais</v>
      </c>
    </row>
    <row r="9938" spans="1:2">
      <c r="A9938" s="1" t="str">
        <f>"9021.31.20"</f>
        <v>9021.31.20</v>
      </c>
      <c r="B9938" s="2" t="str">
        <f>"Mioeletricas"</f>
        <v>Mioeletricas</v>
      </c>
    </row>
    <row r="9939" spans="1:2">
      <c r="A9939" s="1" t="str">
        <f>"9021.31.90"</f>
        <v>9021.31.90</v>
      </c>
      <c r="B9939" s="2" t="str">
        <f>"Outras"</f>
        <v>Outras</v>
      </c>
    </row>
    <row r="9940" spans="1:2">
      <c r="A9940" s="1" t="str">
        <f>"9021.39.11"</f>
        <v>9021.39.11</v>
      </c>
      <c r="B9940" s="2" t="str">
        <f>"Mecanicas"</f>
        <v>Mecanicas</v>
      </c>
    </row>
    <row r="9941" spans="1:2">
      <c r="A9941" s="1" t="str">
        <f>"9021.39.19"</f>
        <v>9021.39.19</v>
      </c>
      <c r="B9941" s="2" t="str">
        <f>"Outras"</f>
        <v>Outras</v>
      </c>
    </row>
    <row r="9942" spans="1:2">
      <c r="A9942" s="1" t="str">
        <f>"9021.39.20"</f>
        <v>9021.39.20</v>
      </c>
      <c r="B9942" s="2" t="str">
        <f>"Lentes intraoculares"</f>
        <v>Lentes intraoculares</v>
      </c>
    </row>
    <row r="9943" spans="1:2">
      <c r="A9943" s="1" t="str">
        <f>"9021.39.30"</f>
        <v>9021.39.30</v>
      </c>
      <c r="B9943" s="2" t="str">
        <f>"Proteses de arterias vasculares rev"</f>
        <v>Proteses de arterias vasculares rev</v>
      </c>
    </row>
    <row r="9944" spans="1:2">
      <c r="A9944" s="1" t="str">
        <f>"9021.39.40"</f>
        <v>9021.39.40</v>
      </c>
      <c r="B9944" s="2" t="str">
        <f>"Proteses mamarias nao implantaveis"</f>
        <v>Proteses mamarias nao implantaveis</v>
      </c>
    </row>
    <row r="9945" spans="1:2">
      <c r="A9945" s="1" t="str">
        <f>"9021.39.80"</f>
        <v>9021.39.80</v>
      </c>
      <c r="B9945" s="2" t="str">
        <f>"Outros"</f>
        <v>Outros</v>
      </c>
    </row>
    <row r="9946" spans="1:2">
      <c r="A9946" s="1" t="str">
        <f>"9021.39.91"</f>
        <v>9021.39.91</v>
      </c>
      <c r="B9946" s="2" t="str">
        <f>"Partes de proteses modulares que su"</f>
        <v>Partes de proteses modulares que su</v>
      </c>
    </row>
    <row r="9947" spans="1:2">
      <c r="A9947" s="1" t="str">
        <f>"9021.39.99"</f>
        <v>9021.39.99</v>
      </c>
      <c r="B9947" s="2" t="str">
        <f>"Outros"</f>
        <v>Outros</v>
      </c>
    </row>
    <row r="9948" spans="1:2">
      <c r="A9948" s="1" t="str">
        <f>"9021.40.00"</f>
        <v>9021.40.00</v>
      </c>
      <c r="B9948" s="2" t="str">
        <f>"Aparelhos para facilitar a audicao"</f>
        <v>Aparelhos para facilitar a audicao</v>
      </c>
    </row>
    <row r="9949" spans="1:2">
      <c r="A9949" s="1" t="str">
        <f>"9021.50.00"</f>
        <v>9021.50.00</v>
      </c>
      <c r="B9949" s="2" t="str">
        <f>"Marca-passos cardiacos (Estimulador"</f>
        <v>Marca-passos cardiacos (Estimulador</v>
      </c>
    </row>
    <row r="9950" spans="1:2">
      <c r="A9950" s="1" t="str">
        <f>"9021.90.11"</f>
        <v>9021.90.11</v>
      </c>
      <c r="B9950" s="2" t="str">
        <f>"Cardiodesfibriladores automaticos"</f>
        <v>Cardiodesfibriladores automaticos</v>
      </c>
    </row>
    <row r="9951" spans="1:2">
      <c r="A9951" s="1" t="str">
        <f>"9021.90.19"</f>
        <v>9021.90.19</v>
      </c>
      <c r="B9951" s="2" t="str">
        <f>"Outros"</f>
        <v>Outros</v>
      </c>
    </row>
    <row r="9952" spans="1:2">
      <c r="A9952" s="1" t="str">
        <f>"9021.90.81"</f>
        <v>9021.90.81</v>
      </c>
      <c r="B9952" s="2" t="str">
        <f>"Implantes expansiveis (stents), mes"</f>
        <v>Implantes expansiveis (stents), mes</v>
      </c>
    </row>
    <row r="9953" spans="1:2">
      <c r="A9953" s="1" t="str">
        <f>"9021.90.82"</f>
        <v>9021.90.82</v>
      </c>
      <c r="B9953" s="2" t="str">
        <f>"Oclusores interauriculares constitu"</f>
        <v>Oclusores interauriculares constitu</v>
      </c>
    </row>
    <row r="9954" spans="1:2">
      <c r="A9954" s="1" t="str">
        <f>"9021.90.89"</f>
        <v>9021.90.89</v>
      </c>
      <c r="B9954" s="2" t="str">
        <f>"Outros"</f>
        <v>Outros</v>
      </c>
    </row>
    <row r="9955" spans="1:2">
      <c r="A9955" s="1" t="str">
        <f>"9021.90.91"</f>
        <v>9021.90.91</v>
      </c>
      <c r="B9955" s="2" t="str">
        <f>"De marca-passos cardiacos"</f>
        <v>De marca-passos cardiacos</v>
      </c>
    </row>
    <row r="9956" spans="1:2">
      <c r="A9956" s="1" t="str">
        <f>"9021.90.92"</f>
        <v>9021.90.92</v>
      </c>
      <c r="B9956" s="2" t="str">
        <f>"De aparelhos para facilitar a audic"</f>
        <v>De aparelhos para facilitar a audic</v>
      </c>
    </row>
    <row r="9957" spans="1:2">
      <c r="A9957" s="1" t="str">
        <f>"9021.90.99"</f>
        <v>9021.90.99</v>
      </c>
      <c r="B9957" s="2" t="str">
        <f>"Outros"</f>
        <v>Outros</v>
      </c>
    </row>
    <row r="9958" spans="1:2">
      <c r="A9958" s="1" t="str">
        <f>"9022.12.00"</f>
        <v>9022.12.00</v>
      </c>
      <c r="B9958" s="2" t="str">
        <f>"Aparelhos de tomografia computadori"</f>
        <v>Aparelhos de tomografia computadori</v>
      </c>
    </row>
    <row r="9959" spans="1:2">
      <c r="A9959" s="1" t="str">
        <f>"9022.13.11"</f>
        <v>9022.13.11</v>
      </c>
      <c r="B9959" s="2" t="str">
        <f>"De tomadas maxilares panoramicas"</f>
        <v>De tomadas maxilares panoramicas</v>
      </c>
    </row>
    <row r="9960" spans="1:2">
      <c r="A9960" s="1" t="str">
        <f>"9022.13.19"</f>
        <v>9022.13.19</v>
      </c>
      <c r="B9960" s="2" t="str">
        <f>"Outros"</f>
        <v>Outros</v>
      </c>
    </row>
    <row r="9961" spans="1:2">
      <c r="A9961" s="1" t="str">
        <f>"9022.13.90"</f>
        <v>9022.13.90</v>
      </c>
      <c r="B9961" s="2" t="str">
        <f>"Outros"</f>
        <v>Outros</v>
      </c>
    </row>
    <row r="9962" spans="1:2">
      <c r="A9962" s="1" t="str">
        <f>"9022.14.11"</f>
        <v>9022.14.11</v>
      </c>
      <c r="B9962" s="2" t="str">
        <f>"Para mamografia"</f>
        <v>Para mamografia</v>
      </c>
    </row>
    <row r="9963" spans="1:2">
      <c r="A9963" s="1" t="str">
        <f>"9022.14.12"</f>
        <v>9022.14.12</v>
      </c>
      <c r="B9963" s="2" t="str">
        <f>"Para angiografia"</f>
        <v>Para angiografia</v>
      </c>
    </row>
    <row r="9964" spans="1:2">
      <c r="A9964" s="1" t="str">
        <f>"9022.14.13"</f>
        <v>9022.14.13</v>
      </c>
      <c r="B9964" s="2" t="str">
        <f>"Para densitometria ossea, computado"</f>
        <v>Para densitometria ossea, computado</v>
      </c>
    </row>
    <row r="9965" spans="1:2">
      <c r="A9965" s="1" t="str">
        <f>"9022.14.19"</f>
        <v>9022.14.19</v>
      </c>
      <c r="B9965" s="2" t="str">
        <f>"Outros"</f>
        <v>Outros</v>
      </c>
    </row>
    <row r="9966" spans="1:2">
      <c r="A9966" s="1" t="str">
        <f>"9022.14.90"</f>
        <v>9022.14.90</v>
      </c>
      <c r="B9966" s="2" t="str">
        <f>"Outros"</f>
        <v>Outros</v>
      </c>
    </row>
    <row r="9967" spans="1:2">
      <c r="A9967" s="1" t="str">
        <f>"9022.19.10"</f>
        <v>9022.19.10</v>
      </c>
      <c r="B9967" s="2" t="str">
        <f>"Espectrometros ou espectrografos de"</f>
        <v>Espectrometros ou espectrografos de</v>
      </c>
    </row>
    <row r="9968" spans="1:2">
      <c r="A9968" s="1" t="str">
        <f>"9022.19.91"</f>
        <v>9022.19.91</v>
      </c>
      <c r="B9968" s="2" t="str">
        <f>"Do tipo utilizado para inspecao de"</f>
        <v>Do tipo utilizado para inspecao de</v>
      </c>
    </row>
    <row r="9969" spans="1:2">
      <c r="A9969" s="1" t="str">
        <f>"9022.19.99"</f>
        <v>9022.19.99</v>
      </c>
      <c r="B9969" s="2" t="str">
        <f>"Outros"</f>
        <v>Outros</v>
      </c>
    </row>
    <row r="9970" spans="1:2">
      <c r="A9970" s="1" t="str">
        <f>"9022.21.10"</f>
        <v>9022.21.10</v>
      </c>
      <c r="B9970" s="2" t="str">
        <f>"Aparelhos de radiocobalto (bombas d"</f>
        <v>Aparelhos de radiocobalto (bombas d</v>
      </c>
    </row>
    <row r="9971" spans="1:2">
      <c r="A9971" s="1" t="str">
        <f>"9022.21.20"</f>
        <v>9022.21.20</v>
      </c>
      <c r="B9971" s="2" t="str">
        <f>"Outros, para gamaterapia"</f>
        <v>Outros, para gamaterapia</v>
      </c>
    </row>
    <row r="9972" spans="1:2">
      <c r="A9972" s="1" t="str">
        <f>"9022.21.90"</f>
        <v>9022.21.90</v>
      </c>
      <c r="B9972" s="2" t="str">
        <f>"Outros"</f>
        <v>Outros</v>
      </c>
    </row>
    <row r="9973" spans="1:2">
      <c r="A9973" s="1" t="str">
        <f>"9022.29.10"</f>
        <v>9022.29.10</v>
      </c>
      <c r="B9973" s="2" t="str">
        <f>"Para deteccao do nivel de enchiment"</f>
        <v>Para deteccao do nivel de enchiment</v>
      </c>
    </row>
    <row r="9974" spans="1:2">
      <c r="A9974" s="1" t="str">
        <f>"9022.29.90"</f>
        <v>9022.29.90</v>
      </c>
      <c r="B9974" s="2" t="str">
        <f>"Outros"</f>
        <v>Outros</v>
      </c>
    </row>
    <row r="9975" spans="1:2">
      <c r="A9975" s="1" t="str">
        <f>"9022.30.00"</f>
        <v>9022.30.00</v>
      </c>
      <c r="B9975" s="2" t="str">
        <f>"Tubos de raios X"</f>
        <v>Tubos de raios X</v>
      </c>
    </row>
    <row r="9976" spans="1:2">
      <c r="A9976" s="1" t="str">
        <f>"9022.90.11"</f>
        <v>9022.90.11</v>
      </c>
      <c r="B9976" s="2" t="str">
        <f>"Geradores de tensao"</f>
        <v>Geradores de tensao</v>
      </c>
    </row>
    <row r="9977" spans="1:2">
      <c r="A9977" s="1" t="str">
        <f>"9022.90.12"</f>
        <v>9022.90.12</v>
      </c>
      <c r="B9977" s="2" t="str">
        <f>"Telas radiologicas"</f>
        <v>Telas radiologicas</v>
      </c>
    </row>
    <row r="9978" spans="1:2">
      <c r="A9978" s="1" t="str">
        <f>"9022.90.19"</f>
        <v>9022.90.19</v>
      </c>
      <c r="B9978" s="2" t="str">
        <f>"Outros"</f>
        <v>Outros</v>
      </c>
    </row>
    <row r="9979" spans="1:2">
      <c r="A9979" s="1" t="str">
        <f>"9022.90.80"</f>
        <v>9022.90.80</v>
      </c>
      <c r="B9979" s="2" t="str">
        <f>"Outros"</f>
        <v>Outros</v>
      </c>
    </row>
    <row r="9980" spans="1:2">
      <c r="A9980" s="1" t="str">
        <f>"9022.90.90"</f>
        <v>9022.90.90</v>
      </c>
      <c r="B9980" s="2" t="str">
        <f>"Partes e acessorios de aparelhos de"</f>
        <v>Partes e acessorios de aparelhos de</v>
      </c>
    </row>
    <row r="9981" spans="1:2">
      <c r="A9981" s="1" t="str">
        <f>"9023.00.00"</f>
        <v>9023.00.00</v>
      </c>
      <c r="B9981" s="2" t="str">
        <f>"Instrumentos, aparelhos e modelos,"</f>
        <v>Instrumentos, aparelhos e modelos,</v>
      </c>
    </row>
    <row r="9982" spans="1:2">
      <c r="A9982" s="1" t="str">
        <f>"9024.10.10"</f>
        <v>9024.10.10</v>
      </c>
      <c r="B9982" s="2" t="str">
        <f>"Para ensaios de tracao ou compressa"</f>
        <v>Para ensaios de tracao ou compressa</v>
      </c>
    </row>
    <row r="9983" spans="1:2">
      <c r="A9983" s="1" t="str">
        <f>"9024.10.20"</f>
        <v>9024.10.20</v>
      </c>
      <c r="B9983" s="2" t="str">
        <f>"Para ensaios de dureza"</f>
        <v>Para ensaios de dureza</v>
      </c>
    </row>
    <row r="9984" spans="1:2">
      <c r="A9984" s="1" t="str">
        <f>"9024.10.90"</f>
        <v>9024.10.90</v>
      </c>
      <c r="B9984" s="2" t="str">
        <f>"OUTROS - EQUIPAMENTO PORTATIL P/ENS"</f>
        <v>OUTROS - EQUIPAMENTO PORTATIL P/ENS</v>
      </c>
    </row>
    <row r="9985" spans="1:2">
      <c r="A9985" s="1" t="str">
        <f>"9024.80.11"</f>
        <v>9024.80.11</v>
      </c>
      <c r="B9985" s="2" t="str">
        <f>"Automaticos, para fios"</f>
        <v>Automaticos, para fios</v>
      </c>
    </row>
    <row r="9986" spans="1:2">
      <c r="A9986" s="1" t="str">
        <f>"9024.80.19"</f>
        <v>9024.80.19</v>
      </c>
      <c r="B9986" s="2" t="str">
        <f>"Outros"</f>
        <v>Outros</v>
      </c>
    </row>
    <row r="9987" spans="1:2">
      <c r="A9987" s="1" t="str">
        <f>"9024.80.21"</f>
        <v>9024.80.21</v>
      </c>
      <c r="B9987" s="2" t="str">
        <f>"Maquinas para ensaios de pneumatico"</f>
        <v>Maquinas para ensaios de pneumatico</v>
      </c>
    </row>
    <row r="9988" spans="1:2">
      <c r="A9988" s="1" t="str">
        <f>"9024.80.29"</f>
        <v>9024.80.29</v>
      </c>
      <c r="B9988" s="2" t="str">
        <f>"OUTROS - MEDIDOR DE LISURA"</f>
        <v>OUTROS - MEDIDOR DE LISURA</v>
      </c>
    </row>
    <row r="9989" spans="1:2">
      <c r="A9989" s="1" t="str">
        <f>"9024.80.90"</f>
        <v>9024.80.90</v>
      </c>
      <c r="B9989" s="2" t="str">
        <f>"OUTROS - GRINDOMETRO"</f>
        <v>OUTROS - GRINDOMETRO</v>
      </c>
    </row>
    <row r="9990" spans="1:2">
      <c r="A9990" s="1" t="str">
        <f>"9024.90.00"</f>
        <v>9024.90.00</v>
      </c>
      <c r="B9990" s="2" t="str">
        <f>"PARTES E ACESSORIOS-LIXAS P/ REBOLO"</f>
        <v>PARTES E ACESSORIOS-LIXAS P/ REBOLO</v>
      </c>
    </row>
    <row r="9991" spans="1:2">
      <c r="A9991" s="1" t="str">
        <f>"9024.90.90"</f>
        <v>9024.90.90</v>
      </c>
      <c r="B9991" s="2" t="str">
        <f>"INATIVA - EMERIL - CS-17"</f>
        <v>INATIVA - EMERIL - CS-17</v>
      </c>
    </row>
    <row r="9992" spans="1:2">
      <c r="A9992" s="1" t="str">
        <f>"9025.11.10"</f>
        <v>9025.11.10</v>
      </c>
      <c r="B9992" s="2" t="str">
        <f>"Termometros clinicos"</f>
        <v>Termometros clinicos</v>
      </c>
    </row>
    <row r="9993" spans="1:2">
      <c r="A9993" s="1" t="str">
        <f>"9025.11.90"</f>
        <v>9025.11.90</v>
      </c>
      <c r="B9993" s="2" t="str">
        <f>"outros"</f>
        <v>outros</v>
      </c>
    </row>
    <row r="9994" spans="1:2">
      <c r="A9994" s="1" t="str">
        <f>"9025.11.99"</f>
        <v>9025.11.99</v>
      </c>
      <c r="B9994" s="2" t="str">
        <f>"outros"</f>
        <v>outros</v>
      </c>
    </row>
    <row r="9995" spans="1:2">
      <c r="A9995" s="1" t="str">
        <f>"9025.19.10"</f>
        <v>9025.19.10</v>
      </c>
      <c r="B9995" s="2" t="str">
        <f>"PIRÔMETROS ÓPTICOS"</f>
        <v>PIRÔMETROS ÓPTICOS</v>
      </c>
    </row>
    <row r="9996" spans="1:2">
      <c r="A9996" s="1" t="str">
        <f>"9025.19.90"</f>
        <v>9025.19.90</v>
      </c>
      <c r="B9996" s="2" t="str">
        <f>"OUTROS"</f>
        <v>OUTROS</v>
      </c>
    </row>
    <row r="9997" spans="1:2">
      <c r="A9997" s="1" t="str">
        <f>"9025.80.00"</f>
        <v>9025.80.00</v>
      </c>
      <c r="B9997" s="2" t="str">
        <f>"OUTROS INSTRUMENTOS"</f>
        <v>OUTROS INSTRUMENTOS</v>
      </c>
    </row>
    <row r="9998" spans="1:2">
      <c r="A9998" s="1" t="str">
        <f>"9025.90.10"</f>
        <v>9025.90.10</v>
      </c>
      <c r="B9998" s="2" t="str">
        <f>"DE TERMÔMETROS"</f>
        <v>DE TERMÔMETROS</v>
      </c>
    </row>
    <row r="9999" spans="1:2">
      <c r="A9999" s="1" t="str">
        <f>"9025.90.90"</f>
        <v>9025.90.90</v>
      </c>
      <c r="B9999" s="2" t="str">
        <f>"Outros"</f>
        <v>Outros</v>
      </c>
    </row>
    <row r="10000" spans="1:2">
      <c r="A10000" s="1" t="str">
        <f>"9026.10.11"</f>
        <v>9026.10.11</v>
      </c>
      <c r="B10000" s="2" t="str">
        <f>"Medidores-transmissores eletronicos"</f>
        <v>Medidores-transmissores eletronicos</v>
      </c>
    </row>
    <row r="10001" spans="1:2">
      <c r="A10001" s="1" t="str">
        <f>"9026.10.19"</f>
        <v>9026.10.19</v>
      </c>
      <c r="B10001" s="2" t="str">
        <f>"OUTROS - EXTENSOR A FIO"</f>
        <v>OUTROS - EXTENSOR A FIO</v>
      </c>
    </row>
    <row r="10002" spans="1:2">
      <c r="A10002" s="1" t="str">
        <f>"9026.10.21"</f>
        <v>9026.10.21</v>
      </c>
      <c r="B10002" s="2" t="str">
        <f>"De metais, mediante correntes paras"</f>
        <v>De metais, mediante correntes paras</v>
      </c>
    </row>
    <row r="10003" spans="1:2">
      <c r="A10003" s="1" t="str">
        <f>"9026.10.29"</f>
        <v>9026.10.29</v>
      </c>
      <c r="B10003" s="2" t="str">
        <f>"OUTROS"</f>
        <v>OUTROS</v>
      </c>
    </row>
    <row r="10004" spans="1:2">
      <c r="A10004" s="1" t="str">
        <f>"9026.20.10"</f>
        <v>9026.20.10</v>
      </c>
      <c r="B10004" s="2" t="str">
        <f>"MANOMETROS"</f>
        <v>MANOMETROS</v>
      </c>
    </row>
    <row r="10005" spans="1:2">
      <c r="A10005" s="1" t="str">
        <f>"9026.20.90"</f>
        <v>9026.20.90</v>
      </c>
      <c r="B10005" s="2" t="str">
        <f>"TRANSMISSOR DE PRESSAO"</f>
        <v>TRANSMISSOR DE PRESSAO</v>
      </c>
    </row>
    <row r="10006" spans="1:2">
      <c r="A10006" s="1" t="str">
        <f>"9026.80.00"</f>
        <v>9026.80.00</v>
      </c>
      <c r="B10006" s="2" t="str">
        <f>"Outros instrumentos e aparelhos"</f>
        <v>Outros instrumentos e aparelhos</v>
      </c>
    </row>
    <row r="10007" spans="1:2">
      <c r="A10007" s="1" t="str">
        <f>"9026.90.10"</f>
        <v>9026.90.10</v>
      </c>
      <c r="B10007" s="2" t="str">
        <f>"INSTRUM E APAREL MEDID/CONTROL NÍVE"</f>
        <v>INSTRUM E APAREL MEDID/CONTROL NÍVE</v>
      </c>
    </row>
    <row r="10008" spans="1:2">
      <c r="A10008" s="1" t="str">
        <f>"9026.90.20"</f>
        <v>9026.90.20</v>
      </c>
      <c r="B10008" s="2" t="str">
        <f>"DE MANÔMETROS"</f>
        <v>DE MANÔMETROS</v>
      </c>
    </row>
    <row r="10009" spans="1:2">
      <c r="A10009" s="1" t="str">
        <f>"9026.90.90"</f>
        <v>9026.90.90</v>
      </c>
      <c r="B10009" s="2" t="str">
        <f>"OUTROS"</f>
        <v>OUTROS</v>
      </c>
    </row>
    <row r="10010" spans="1:2">
      <c r="A10010" s="1" t="str">
        <f>"9027.10.00"</f>
        <v>9027.10.00</v>
      </c>
      <c r="B10010" s="2" t="str">
        <f>"Analisadores de gases ou de fumaca"</f>
        <v>Analisadores de gases ou de fumaca</v>
      </c>
    </row>
    <row r="10011" spans="1:2">
      <c r="A10011" s="1" t="str">
        <f>"9027.20.11"</f>
        <v>9027.20.11</v>
      </c>
      <c r="B10011" s="2" t="str">
        <f>"De fase gasosa"</f>
        <v>De fase gasosa</v>
      </c>
    </row>
    <row r="10012" spans="1:2">
      <c r="A10012" s="1" t="str">
        <f>"9027.20.12"</f>
        <v>9027.20.12</v>
      </c>
      <c r="B10012" s="2" t="str">
        <f>"De fase liquida"</f>
        <v>De fase liquida</v>
      </c>
    </row>
    <row r="10013" spans="1:2">
      <c r="A10013" s="1" t="str">
        <f>"9027.20.19"</f>
        <v>9027.20.19</v>
      </c>
      <c r="B10013" s="2" t="str">
        <f>"Outros"</f>
        <v>Outros</v>
      </c>
    </row>
    <row r="10014" spans="1:2">
      <c r="A10014" s="1" t="str">
        <f>"9027.20.21"</f>
        <v>9027.20.21</v>
      </c>
      <c r="B10014" s="2" t="str">
        <f>"Sequenciadores automaticos de ADN m"</f>
        <v>Sequenciadores automaticos de ADN m</v>
      </c>
    </row>
    <row r="10015" spans="1:2">
      <c r="A10015" s="1" t="str">
        <f>"9027.20.29"</f>
        <v>9027.20.29</v>
      </c>
      <c r="B10015" s="2" t="str">
        <f>"Outros"</f>
        <v>Outros</v>
      </c>
    </row>
    <row r="10016" spans="1:2">
      <c r="A10016" s="1" t="str">
        <f>"9027.30.11"</f>
        <v>9027.30.11</v>
      </c>
      <c r="B10016" s="2" t="str">
        <f>"De emissao atomica"</f>
        <v>De emissao atomica</v>
      </c>
    </row>
    <row r="10017" spans="1:2">
      <c r="A10017" s="1" t="str">
        <f>"9027.30.19"</f>
        <v>9027.30.19</v>
      </c>
      <c r="B10017" s="2" t="str">
        <f>"OUTROS ESPECTROMETROS"</f>
        <v>OUTROS ESPECTROMETROS</v>
      </c>
    </row>
    <row r="10018" spans="1:2">
      <c r="A10018" s="1" t="str">
        <f>"9027.30.20"</f>
        <v>9027.30.20</v>
      </c>
      <c r="B10018" s="2" t="str">
        <f>"ESPECTROFOTOMETRO"</f>
        <v>ESPECTROFOTOMETRO</v>
      </c>
    </row>
    <row r="10019" spans="1:2">
      <c r="A10019" s="1" t="str">
        <f>"9027.50.10"</f>
        <v>9027.50.10</v>
      </c>
      <c r="B10019" s="2" t="str">
        <f>"outros"</f>
        <v>outros</v>
      </c>
    </row>
    <row r="10020" spans="1:2">
      <c r="A10020" s="1" t="str">
        <f>"9027.50.20"</f>
        <v>9027.50.20</v>
      </c>
      <c r="B10020" s="2" t="str">
        <f>"Fotometros"</f>
        <v>Fotometros</v>
      </c>
    </row>
    <row r="10021" spans="1:2">
      <c r="A10021" s="1" t="str">
        <f>"9027.50.30"</f>
        <v>9027.50.30</v>
      </c>
      <c r="B10021" s="2" t="str">
        <f>"Refratometros"</f>
        <v>Refratometros</v>
      </c>
    </row>
    <row r="10022" spans="1:2">
      <c r="A10022" s="1" t="str">
        <f>"9027.50.40"</f>
        <v>9027.50.40</v>
      </c>
      <c r="B10022" s="2" t="str">
        <f>"Sacarimetros"</f>
        <v>Sacarimetros</v>
      </c>
    </row>
    <row r="10023" spans="1:2">
      <c r="A10023" s="1" t="str">
        <f>"9027.50.50"</f>
        <v>9027.50.50</v>
      </c>
      <c r="B10023" s="2" t="str">
        <f>"Citometro de fluxo"</f>
        <v>Citometro de fluxo</v>
      </c>
    </row>
    <row r="10024" spans="1:2">
      <c r="A10024" s="1" t="str">
        <f>"9027.50.90"</f>
        <v>9027.50.90</v>
      </c>
      <c r="B10024" s="2" t="str">
        <f>"OUTROS - MICRO GLOSS"</f>
        <v>OUTROS - MICRO GLOSS</v>
      </c>
    </row>
    <row r="10025" spans="1:2">
      <c r="A10025" s="1" t="str">
        <f>"9027.80.11"</f>
        <v>9027.80.11</v>
      </c>
      <c r="B10025" s="2" t="str">
        <f>"Calorimetros"</f>
        <v>Calorimetros</v>
      </c>
    </row>
    <row r="10026" spans="1:2">
      <c r="A10026" s="1" t="str">
        <f>"9027.80.12"</f>
        <v>9027.80.12</v>
      </c>
      <c r="B10026" s="2" t="str">
        <f>"VISCOSIMETROS COPO FORD"</f>
        <v>VISCOSIMETROS COPO FORD</v>
      </c>
    </row>
    <row r="10027" spans="1:2">
      <c r="A10027" s="1" t="str">
        <f>"9027.80.13"</f>
        <v>9027.80.13</v>
      </c>
      <c r="B10027" s="2" t="str">
        <f>"Densitometros"</f>
        <v>Densitometros</v>
      </c>
    </row>
    <row r="10028" spans="1:2">
      <c r="A10028" s="1" t="str">
        <f>"9027.80.14"</f>
        <v>9027.80.14</v>
      </c>
      <c r="B10028" s="2" t="str">
        <f>"APARELHOS MEDIDORES DE PH PORTATIL"</f>
        <v>APARELHOS MEDIDORES DE PH PORTATIL</v>
      </c>
    </row>
    <row r="10029" spans="1:2">
      <c r="A10029" s="1" t="str">
        <f>"9027.80.20"</f>
        <v>9027.80.20</v>
      </c>
      <c r="B10029" s="2" t="str">
        <f>"Espectrometros de massa"</f>
        <v>Espectrometros de massa</v>
      </c>
    </row>
    <row r="10030" spans="1:2">
      <c r="A10030" s="1" t="str">
        <f>"9027.80.30"</f>
        <v>9027.80.30</v>
      </c>
      <c r="B10030" s="2" t="str">
        <f>"Polarografos"</f>
        <v>Polarografos</v>
      </c>
    </row>
    <row r="10031" spans="1:2">
      <c r="A10031" s="1" t="str">
        <f>"9027.80.91"</f>
        <v>9027.80.91</v>
      </c>
      <c r="B10031" s="2" t="str">
        <f>"Exposimetros"</f>
        <v>Exposimetros</v>
      </c>
    </row>
    <row r="10032" spans="1:2">
      <c r="A10032" s="1" t="str">
        <f>"9027.80.99"</f>
        <v>9027.80.99</v>
      </c>
      <c r="B10032" s="2" t="str">
        <f>"OUTROS"</f>
        <v>OUTROS</v>
      </c>
    </row>
    <row r="10033" spans="1:2">
      <c r="A10033" s="1" t="str">
        <f>"9027.89.12"</f>
        <v>9027.89.12</v>
      </c>
      <c r="B10033" s="2" t="str">
        <f>"Viscosimetros"</f>
        <v>Viscosimetros</v>
      </c>
    </row>
    <row r="10034" spans="1:2">
      <c r="A10034" s="1" t="str">
        <f>"9027.89.14"</f>
        <v>9027.89.14</v>
      </c>
      <c r="B10034" s="2" t="str">
        <f>"Aparelhos medidores de PH"</f>
        <v>Aparelhos medidores de PH</v>
      </c>
    </row>
    <row r="10035" spans="1:2">
      <c r="A10035" s="1" t="str">
        <f>"9027.89.99"</f>
        <v>9027.89.99</v>
      </c>
      <c r="B10035" s="2" t="str">
        <f>"Outros"</f>
        <v>Outros</v>
      </c>
    </row>
    <row r="10036" spans="1:2">
      <c r="A10036" s="1" t="str">
        <f>"9027.90.10"</f>
        <v>9027.90.10</v>
      </c>
      <c r="B10036" s="2" t="str">
        <f>"Microtomos"</f>
        <v>Microtomos</v>
      </c>
    </row>
    <row r="10037" spans="1:2">
      <c r="A10037" s="1" t="str">
        <f>"9027.90.91"</f>
        <v>9027.90.91</v>
      </c>
      <c r="B10037" s="2" t="str">
        <f>"De espectrometros e espectrografos,"</f>
        <v>De espectrometros e espectrografos,</v>
      </c>
    </row>
    <row r="10038" spans="1:2">
      <c r="A10038" s="1" t="str">
        <f>"9027.90.93"</f>
        <v>9027.90.93</v>
      </c>
      <c r="B10038" s="2" t="str">
        <f>"De polarografos"</f>
        <v>De polarografos</v>
      </c>
    </row>
    <row r="10039" spans="1:2">
      <c r="A10039" s="1" t="str">
        <f>"9027.90.99"</f>
        <v>9027.90.99</v>
      </c>
      <c r="B10039" s="2" t="str">
        <f>"OUTROS"</f>
        <v>OUTROS</v>
      </c>
    </row>
    <row r="10040" spans="1:2">
      <c r="A10040" s="1" t="str">
        <f>"9028.10.11"</f>
        <v>9028.10.11</v>
      </c>
      <c r="B10040" s="2" t="str">
        <f>"Do tipo utilizado em postos (estaco"</f>
        <v>Do tipo utilizado em postos (estaco</v>
      </c>
    </row>
    <row r="10041" spans="1:2">
      <c r="A10041" s="1" t="str">
        <f>"9028.10.19"</f>
        <v>9028.10.19</v>
      </c>
      <c r="B10041" s="2" t="str">
        <f>"Outros"</f>
        <v>Outros</v>
      </c>
    </row>
    <row r="10042" spans="1:2">
      <c r="A10042" s="1" t="str">
        <f>"9028.10.90"</f>
        <v>9028.10.90</v>
      </c>
      <c r="B10042" s="2" t="str">
        <f>"Outros"</f>
        <v>Outros</v>
      </c>
    </row>
    <row r="10043" spans="1:2">
      <c r="A10043" s="1" t="str">
        <f>"9028.20.10"</f>
        <v>9028.20.10</v>
      </c>
      <c r="B10043" s="2" t="str">
        <f>"DE PESO INFERIOR OU IGUAL A 50 KG"</f>
        <v>DE PESO INFERIOR OU IGUAL A 50 KG</v>
      </c>
    </row>
    <row r="10044" spans="1:2">
      <c r="A10044" s="1" t="str">
        <f>"9028.20.20"</f>
        <v>9028.20.20</v>
      </c>
      <c r="B10044" s="2" t="str">
        <f>"De peso superior a 50 kg"</f>
        <v>De peso superior a 50 kg</v>
      </c>
    </row>
    <row r="10045" spans="1:2">
      <c r="A10045" s="1" t="str">
        <f>"9028.30.11"</f>
        <v>9028.30.11</v>
      </c>
      <c r="B10045" s="2" t="str">
        <f>"Digitais"</f>
        <v>Digitais</v>
      </c>
    </row>
    <row r="10046" spans="1:2">
      <c r="A10046" s="1" t="str">
        <f>"9028.30.19"</f>
        <v>9028.30.19</v>
      </c>
      <c r="B10046" s="2" t="str">
        <f>"Outros"</f>
        <v>Outros</v>
      </c>
    </row>
    <row r="10047" spans="1:2">
      <c r="A10047" s="1" t="str">
        <f>"9028.30.21"</f>
        <v>9028.30.21</v>
      </c>
      <c r="B10047" s="2" t="str">
        <f>"Digitais"</f>
        <v>Digitais</v>
      </c>
    </row>
    <row r="10048" spans="1:2">
      <c r="A10048" s="1" t="str">
        <f>"9028.30.29"</f>
        <v>9028.30.29</v>
      </c>
      <c r="B10048" s="2" t="str">
        <f>"Outros"</f>
        <v>Outros</v>
      </c>
    </row>
    <row r="10049" spans="1:2">
      <c r="A10049" s="1" t="str">
        <f>"9028.30.31"</f>
        <v>9028.30.31</v>
      </c>
      <c r="B10049" s="2" t="str">
        <f>"Digitais"</f>
        <v>Digitais</v>
      </c>
    </row>
    <row r="10050" spans="1:2">
      <c r="A10050" s="1" t="str">
        <f>"9028.30.39"</f>
        <v>9028.30.39</v>
      </c>
      <c r="B10050" s="2" t="str">
        <f>"Outros"</f>
        <v>Outros</v>
      </c>
    </row>
    <row r="10051" spans="1:2">
      <c r="A10051" s="1" t="str">
        <f>"9028.30.90"</f>
        <v>9028.30.90</v>
      </c>
      <c r="B10051" s="2" t="str">
        <f>"Outros"</f>
        <v>Outros</v>
      </c>
    </row>
    <row r="10052" spans="1:2">
      <c r="A10052" s="1" t="str">
        <f>"9028.90.10"</f>
        <v>9028.90.10</v>
      </c>
      <c r="B10052" s="2" t="str">
        <f>"De contadores de eletricidade"</f>
        <v>De contadores de eletricidade</v>
      </c>
    </row>
    <row r="10053" spans="1:2">
      <c r="A10053" s="1" t="str">
        <f>"9028.90.90"</f>
        <v>9028.90.90</v>
      </c>
      <c r="B10053" s="2" t="str">
        <f>"Outros"</f>
        <v>Outros</v>
      </c>
    </row>
    <row r="10054" spans="1:2">
      <c r="A10054" s="1" t="str">
        <f>"9029.10.10"</f>
        <v>9029.10.10</v>
      </c>
      <c r="B10054" s="2" t="str">
        <f>"monitor de direção"</f>
        <v>monitor de direção</v>
      </c>
    </row>
    <row r="10055" spans="1:2">
      <c r="A10055" s="1" t="str">
        <f>"9029.10.90"</f>
        <v>9029.10.90</v>
      </c>
      <c r="B10055" s="2" t="str">
        <f>"OUTROS"</f>
        <v>OUTROS</v>
      </c>
    </row>
    <row r="10056" spans="1:2">
      <c r="A10056" s="1" t="str">
        <f>"9029.20.10"</f>
        <v>9029.20.10</v>
      </c>
      <c r="B10056" s="2" t="str">
        <f>"INDICADORES DE VELOCIDADE E TACÔMET"</f>
        <v>INDICADORES DE VELOCIDADE E TACÔMET</v>
      </c>
    </row>
    <row r="10057" spans="1:2">
      <c r="A10057" s="1" t="str">
        <f>"9029.20.20"</f>
        <v>9029.20.20</v>
      </c>
      <c r="B10057" s="2" t="str">
        <f>"Estroboscopios"</f>
        <v>Estroboscopios</v>
      </c>
    </row>
    <row r="10058" spans="1:2">
      <c r="A10058" s="1" t="str">
        <f>"9029.90.10"</f>
        <v>9029.90.10</v>
      </c>
      <c r="B10058" s="2" t="str">
        <f>"De indicadores de velocidade e taco"</f>
        <v>De indicadores de velocidade e taco</v>
      </c>
    </row>
    <row r="10059" spans="1:2">
      <c r="A10059" s="1" t="str">
        <f>"9029.90.90"</f>
        <v>9029.90.90</v>
      </c>
      <c r="B10059" s="2" t="str">
        <f>"OUTROS"</f>
        <v>OUTROS</v>
      </c>
    </row>
    <row r="10060" spans="1:2">
      <c r="A10060" s="1" t="str">
        <f>"9030.10.10"</f>
        <v>9030.10.10</v>
      </c>
      <c r="B10060" s="2" t="str">
        <f>"Medidores de radioatividade"</f>
        <v>Medidores de radioatividade</v>
      </c>
    </row>
    <row r="10061" spans="1:2">
      <c r="A10061" s="1" t="str">
        <f>"9030.10.90"</f>
        <v>9030.10.90</v>
      </c>
      <c r="B10061" s="2" t="str">
        <f>"OUTROS"</f>
        <v>OUTROS</v>
      </c>
    </row>
    <row r="10062" spans="1:2">
      <c r="A10062" s="1" t="str">
        <f>"9030.20.10"</f>
        <v>9030.20.10</v>
      </c>
      <c r="B10062" s="2" t="str">
        <f>"Osciloscopios digitais"</f>
        <v>Osciloscopios digitais</v>
      </c>
    </row>
    <row r="10063" spans="1:2">
      <c r="A10063" s="1" t="str">
        <f>"9030.20.21"</f>
        <v>9030.20.21</v>
      </c>
      <c r="B10063" s="2" t="str">
        <f>"De frequencia igual ou superior a 6"</f>
        <v>De frequencia igual ou superior a 6</v>
      </c>
    </row>
    <row r="10064" spans="1:2">
      <c r="A10064" s="1" t="str">
        <f>"9030.20.22"</f>
        <v>9030.20.22</v>
      </c>
      <c r="B10064" s="2" t="str">
        <f>"Vetorscopios"</f>
        <v>Vetorscopios</v>
      </c>
    </row>
    <row r="10065" spans="1:2">
      <c r="A10065" s="1" t="str">
        <f>"9030.20.29"</f>
        <v>9030.20.29</v>
      </c>
      <c r="B10065" s="2" t="str">
        <f>"Outros"</f>
        <v>Outros</v>
      </c>
    </row>
    <row r="10066" spans="1:2">
      <c r="A10066" s="1" t="str">
        <f>"9030.20.30"</f>
        <v>9030.20.30</v>
      </c>
      <c r="B10066" s="2" t="str">
        <f>"Oscilografos"</f>
        <v>Oscilografos</v>
      </c>
    </row>
    <row r="10067" spans="1:2">
      <c r="A10067" s="1" t="str">
        <f>"9030.31.00"</f>
        <v>9030.31.00</v>
      </c>
      <c r="B10067" s="2" t="str">
        <f>"Multímetros, sem dispositivo regist"</f>
        <v>Multímetros, sem dispositivo regist</v>
      </c>
    </row>
    <row r="10068" spans="1:2">
      <c r="A10068" s="1" t="str">
        <f>"9030.32.00"</f>
        <v>9030.32.00</v>
      </c>
      <c r="B10068" s="2" t="str">
        <f>"Multimetros, com dispositivo regist"</f>
        <v>Multimetros, com dispositivo regist</v>
      </c>
    </row>
    <row r="10069" spans="1:2">
      <c r="A10069" s="1" t="str">
        <f>"9030.33.11"</f>
        <v>9030.33.11</v>
      </c>
      <c r="B10069" s="2" t="str">
        <f>"Digitais"</f>
        <v>Digitais</v>
      </c>
    </row>
    <row r="10070" spans="1:2">
      <c r="A10070" s="1" t="str">
        <f>"9030.33.19"</f>
        <v>9030.33.19</v>
      </c>
      <c r="B10070" s="2" t="str">
        <f>"OUTROS"</f>
        <v>OUTROS</v>
      </c>
    </row>
    <row r="10071" spans="1:2">
      <c r="A10071" s="1" t="str">
        <f>"9030.33.21"</f>
        <v>9030.33.21</v>
      </c>
      <c r="B10071" s="2" t="str">
        <f>"Do tipo utilizado em veiculos autom"</f>
        <v>Do tipo utilizado em veiculos autom</v>
      </c>
    </row>
    <row r="10072" spans="1:2">
      <c r="A10072" s="1" t="str">
        <f>"9030.33.29"</f>
        <v>9030.33.29</v>
      </c>
      <c r="B10072" s="2" t="str">
        <f>"OUTROS"</f>
        <v>OUTROS</v>
      </c>
    </row>
    <row r="10073" spans="1:2">
      <c r="A10073" s="1" t="str">
        <f>"9030.33.90"</f>
        <v>9030.33.90</v>
      </c>
      <c r="B10073" s="2" t="str">
        <f>"Outros"</f>
        <v>Outros</v>
      </c>
    </row>
    <row r="10074" spans="1:2">
      <c r="A10074" s="1" t="str">
        <f>"9030.39.10"</f>
        <v>9030.39.10</v>
      </c>
      <c r="B10074" s="2" t="str">
        <f>"De teste de continuidade em circuit"</f>
        <v>De teste de continuidade em circuit</v>
      </c>
    </row>
    <row r="10075" spans="1:2">
      <c r="A10075" s="1" t="str">
        <f>"9030.39.29"</f>
        <v>9030.39.29</v>
      </c>
      <c r="B10075" s="2" t="str">
        <f>"INATIVO"</f>
        <v>INATIVO</v>
      </c>
    </row>
    <row r="10076" spans="1:2">
      <c r="A10076" s="1" t="str">
        <f>"9030.39.90"</f>
        <v>9030.39.90</v>
      </c>
      <c r="B10076" s="2" t="str">
        <f>"OUTROS"</f>
        <v>OUTROS</v>
      </c>
    </row>
    <row r="10077" spans="1:2">
      <c r="A10077" s="1" t="str">
        <f>"9030.40.10"</f>
        <v>9030.40.10</v>
      </c>
      <c r="B10077" s="2" t="str">
        <f>"Analisadores de protocolo"</f>
        <v>Analisadores de protocolo</v>
      </c>
    </row>
    <row r="10078" spans="1:2">
      <c r="A10078" s="1" t="str">
        <f>"9030.40.20"</f>
        <v>9030.40.20</v>
      </c>
      <c r="B10078" s="2" t="str">
        <f>"Analisadores de nivel seletivo"</f>
        <v>Analisadores de nivel seletivo</v>
      </c>
    </row>
    <row r="10079" spans="1:2">
      <c r="A10079" s="1" t="str">
        <f>"9030.40.30"</f>
        <v>9030.40.30</v>
      </c>
      <c r="B10079" s="2" t="str">
        <f>"Analisadores digitais de transmissa"</f>
        <v>Analisadores digitais de transmissa</v>
      </c>
    </row>
    <row r="10080" spans="1:2">
      <c r="A10080" s="1" t="str">
        <f>"9030.40.90"</f>
        <v>9030.40.90</v>
      </c>
      <c r="B10080" s="2" t="str">
        <f>"Outros"</f>
        <v>Outros</v>
      </c>
    </row>
    <row r="10081" spans="1:2">
      <c r="A10081" s="1" t="str">
        <f>"9030.82.10"</f>
        <v>9030.82.10</v>
      </c>
      <c r="B10081" s="2" t="str">
        <f>"De testes de circuitos integrados"</f>
        <v>De testes de circuitos integrados</v>
      </c>
    </row>
    <row r="10082" spans="1:2">
      <c r="A10082" s="1" t="str">
        <f>"9030.82.90"</f>
        <v>9030.82.90</v>
      </c>
      <c r="B10082" s="2" t="str">
        <f>"Outros"</f>
        <v>Outros</v>
      </c>
    </row>
    <row r="10083" spans="1:2">
      <c r="A10083" s="1" t="str">
        <f>"9030.84.10"</f>
        <v>9030.84.10</v>
      </c>
      <c r="B10083" s="2" t="str">
        <f>"De teste automatico de circuito imp"</f>
        <v>De teste automatico de circuito imp</v>
      </c>
    </row>
    <row r="10084" spans="1:2">
      <c r="A10084" s="1" t="str">
        <f>"9030.84.20"</f>
        <v>9030.84.20</v>
      </c>
      <c r="B10084" s="2" t="str">
        <f>"De medidas de parametros caracteris"</f>
        <v>De medidas de parametros caracteris</v>
      </c>
    </row>
    <row r="10085" spans="1:2">
      <c r="A10085" s="1" t="str">
        <f>"9030.84.90"</f>
        <v>9030.84.90</v>
      </c>
      <c r="B10085" s="2" t="str">
        <f>"Outros"</f>
        <v>Outros</v>
      </c>
    </row>
    <row r="10086" spans="1:2">
      <c r="A10086" s="1" t="str">
        <f>"9030.89.10"</f>
        <v>9030.89.10</v>
      </c>
      <c r="B10086" s="2" t="str">
        <f>"Analisadores logicos de circuitos d"</f>
        <v>Analisadores logicos de circuitos d</v>
      </c>
    </row>
    <row r="10087" spans="1:2">
      <c r="A10087" s="1" t="str">
        <f>"9030.89.20"</f>
        <v>9030.89.20</v>
      </c>
      <c r="B10087" s="2" t="str">
        <f>"ANALISADIOR DE VIBRAÇÃO"</f>
        <v>ANALISADIOR DE VIBRAÇÃO</v>
      </c>
    </row>
    <row r="10088" spans="1:2">
      <c r="A10088" s="1" t="str">
        <f>"9030.89.30"</f>
        <v>9030.89.30</v>
      </c>
      <c r="B10088" s="2" t="str">
        <f>"Frequencimetros"</f>
        <v>Frequencimetros</v>
      </c>
    </row>
    <row r="10089" spans="1:2">
      <c r="A10089" s="1" t="str">
        <f>"9030.89.40"</f>
        <v>9030.89.40</v>
      </c>
      <c r="B10089" s="2" t="str">
        <f>"Fasimetros"</f>
        <v>Fasimetros</v>
      </c>
    </row>
    <row r="10090" spans="1:2">
      <c r="A10090" s="1" t="str">
        <f>"9030.89.90"</f>
        <v>9030.89.90</v>
      </c>
      <c r="B10090" s="2" t="str">
        <f>"OUTROS"</f>
        <v>OUTROS</v>
      </c>
    </row>
    <row r="10091" spans="1:2">
      <c r="A10091" s="1" t="str">
        <f>"9030.90.10"</f>
        <v>9030.90.10</v>
      </c>
      <c r="B10091" s="2" t="str">
        <f>"De instrumentos e aparelhos da subp"</f>
        <v>De instrumentos e aparelhos da subp</v>
      </c>
    </row>
    <row r="10092" spans="1:2">
      <c r="A10092" s="1" t="str">
        <f>"9030.90.90"</f>
        <v>9030.90.90</v>
      </c>
      <c r="B10092" s="2" t="str">
        <f>"OUTROS"</f>
        <v>OUTROS</v>
      </c>
    </row>
    <row r="10093" spans="1:2">
      <c r="A10093" s="1" t="str">
        <f>"9031.10.00"</f>
        <v>9031.10.00</v>
      </c>
      <c r="B10093" s="2" t="str">
        <f>"Maquinas de balancear (equilibrar)"</f>
        <v>Maquinas de balancear (equilibrar)</v>
      </c>
    </row>
    <row r="10094" spans="1:2">
      <c r="A10094" s="1" t="str">
        <f>"9031.20.10"</f>
        <v>9031.20.10</v>
      </c>
      <c r="B10094" s="2" t="str">
        <f>"Para motores"</f>
        <v>Para motores</v>
      </c>
    </row>
    <row r="10095" spans="1:2">
      <c r="A10095" s="1" t="str">
        <f>"9031.20.90"</f>
        <v>9031.20.90</v>
      </c>
      <c r="B10095" s="2" t="str">
        <f>"Outros"</f>
        <v>Outros</v>
      </c>
    </row>
    <row r="10096" spans="1:2">
      <c r="A10096" s="1" t="str">
        <f>"9031.41.00"</f>
        <v>9031.41.00</v>
      </c>
      <c r="B10096" s="2" t="str">
        <f>"Para controle de wafers ou de dispo"</f>
        <v>Para controle de wafers ou de dispo</v>
      </c>
    </row>
    <row r="10097" spans="1:2">
      <c r="A10097" s="1" t="str">
        <f>"9031.49.10"</f>
        <v>9031.49.10</v>
      </c>
      <c r="B10097" s="2" t="str">
        <f>"Para medida de parametros dimension"</f>
        <v>Para medida de parametros dimension</v>
      </c>
    </row>
    <row r="10098" spans="1:2">
      <c r="A10098" s="1" t="str">
        <f>"9031.49.20"</f>
        <v>9031.49.20</v>
      </c>
      <c r="B10098" s="2" t="str">
        <f>"Para medida da espessura de pneumat"</f>
        <v>Para medida da espessura de pneumat</v>
      </c>
    </row>
    <row r="10099" spans="1:2">
      <c r="A10099" s="1" t="str">
        <f>"9031.49.90"</f>
        <v>9031.49.90</v>
      </c>
      <c r="B10099" s="2" t="str">
        <f>"OUTROS KITS P/ RETROFITTING MAQUINA"</f>
        <v>OUTROS KITS P/ RETROFITTING MAQUINA</v>
      </c>
    </row>
    <row r="10100" spans="1:2">
      <c r="A10100" s="1" t="str">
        <f>"9031.80.11"</f>
        <v>9031.80.11</v>
      </c>
      <c r="B10100" s="2" t="str">
        <f>"Dinamômetros"</f>
        <v>Dinamômetros</v>
      </c>
    </row>
    <row r="10101" spans="1:2">
      <c r="A10101" s="1" t="str">
        <f>"9031.80.12"</f>
        <v>9031.80.12</v>
      </c>
      <c r="B10101" s="2" t="str">
        <f>"RUGOSIMETROS"</f>
        <v>RUGOSIMETROS</v>
      </c>
    </row>
    <row r="10102" spans="1:2">
      <c r="A10102" s="1" t="str">
        <f>"9031.80.20"</f>
        <v>9031.80.20</v>
      </c>
      <c r="B10102" s="2" t="str">
        <f>"Maquinas para medicao tridimensiona"</f>
        <v>Maquinas para medicao tridimensiona</v>
      </c>
    </row>
    <row r="10103" spans="1:2">
      <c r="A10103" s="1" t="str">
        <f>"9031.80.30"</f>
        <v>9031.80.30</v>
      </c>
      <c r="B10103" s="2" t="str">
        <f>"INSTRUMENTO DE MEDIÇÃO PADROES"</f>
        <v>INSTRUMENTO DE MEDIÇÃO PADROES</v>
      </c>
    </row>
    <row r="10104" spans="1:2">
      <c r="A10104" s="1" t="str">
        <f>"9031.80.40"</f>
        <v>9031.80.40</v>
      </c>
      <c r="B10104" s="2" t="str">
        <f>"Aparelhos digitais, de uso em veicu"</f>
        <v>Aparelhos digitais, de uso em veicu</v>
      </c>
    </row>
    <row r="10105" spans="1:2">
      <c r="A10105" s="1" t="str">
        <f>"9031.80.50"</f>
        <v>9031.80.50</v>
      </c>
      <c r="B10105" s="2" t="str">
        <f>"Aparelhos para analise de texteis,"</f>
        <v>Aparelhos para analise de texteis,</v>
      </c>
    </row>
    <row r="10106" spans="1:2">
      <c r="A10106" s="1" t="str">
        <f>"9031.80.60"</f>
        <v>9031.80.60</v>
      </c>
      <c r="B10106" s="2" t="str">
        <f>"Celula carga para medicao"</f>
        <v>Celula carga para medicao</v>
      </c>
    </row>
    <row r="10107" spans="1:2">
      <c r="A10107" s="1" t="str">
        <f>"9031.80.91"</f>
        <v>9031.80.91</v>
      </c>
      <c r="B10107" s="2" t="str">
        <f>"Para controle dimensional de pneuma"</f>
        <v>Para controle dimensional de pneuma</v>
      </c>
    </row>
    <row r="10108" spans="1:2">
      <c r="A10108" s="1" t="str">
        <f>"9031.80.99"</f>
        <v>9031.80.99</v>
      </c>
      <c r="B10108" s="2" t="str">
        <f>"OUTROS"</f>
        <v>OUTROS</v>
      </c>
    </row>
    <row r="10109" spans="1:2">
      <c r="A10109" s="1" t="str">
        <f>"9031.90.10"</f>
        <v>9031.90.10</v>
      </c>
      <c r="B10109" s="2" t="str">
        <f>"De bancos de ensaio"</f>
        <v>De bancos de ensaio</v>
      </c>
    </row>
    <row r="10110" spans="1:2">
      <c r="A10110" s="1" t="str">
        <f>"9031.90.90"</f>
        <v>9031.90.90</v>
      </c>
      <c r="B10110" s="2" t="str">
        <f>"OUTROS INSTRUMENTOS, APARELHOS"</f>
        <v>OUTROS INSTRUMENTOS, APARELHOS</v>
      </c>
    </row>
    <row r="10111" spans="1:2">
      <c r="A10111" s="1" t="str">
        <f>"9032.10.10"</f>
        <v>9032.10.10</v>
      </c>
      <c r="B10111" s="2" t="str">
        <f>"DE EXPANSÃO DE FLUIDOS"</f>
        <v>DE EXPANSÃO DE FLUIDOS</v>
      </c>
    </row>
    <row r="10112" spans="1:2">
      <c r="A10112" s="1" t="str">
        <f>"9032.10.90"</f>
        <v>9032.10.90</v>
      </c>
      <c r="B10112" s="2" t="str">
        <f>"OUTROS"</f>
        <v>OUTROS</v>
      </c>
    </row>
    <row r="10113" spans="1:2">
      <c r="A10113" s="1" t="str">
        <f>"9032.20.00"</f>
        <v>9032.20.00</v>
      </c>
      <c r="B10113" s="2" t="str">
        <f>"MANOSTATOS (PRESSOSTATOS)"</f>
        <v>MANOSTATOS (PRESSOSTATOS)</v>
      </c>
    </row>
    <row r="10114" spans="1:2">
      <c r="A10114" s="1" t="str">
        <f>"9032.81.00"</f>
        <v>9032.81.00</v>
      </c>
      <c r="B10114" s="2" t="str">
        <f>"Hidraulicos ou pneumaticos"</f>
        <v>Hidraulicos ou pneumaticos</v>
      </c>
    </row>
    <row r="10115" spans="1:2">
      <c r="A10115" s="1" t="str">
        <f>"9032.89.11"</f>
        <v>9032.89.11</v>
      </c>
      <c r="B10115" s="2" t="str">
        <f>"ELETRÔNICOS"</f>
        <v>ELETRÔNICOS</v>
      </c>
    </row>
    <row r="10116" spans="1:2">
      <c r="A10116" s="1" t="str">
        <f>"9032.89.19"</f>
        <v>9032.89.19</v>
      </c>
      <c r="B10116" s="2" t="str">
        <f>"EQUIPAMENTOS CONTROLE AUTOMATICO"</f>
        <v>EQUIPAMENTOS CONTROLE AUTOMATICO</v>
      </c>
    </row>
    <row r="10117" spans="1:2">
      <c r="A10117" s="1" t="str">
        <f>"9032.89.21"</f>
        <v>9032.89.21</v>
      </c>
      <c r="B10117" s="2" t="str">
        <f>"De sistemas antibloqueantes de frei"</f>
        <v>De sistemas antibloqueantes de frei</v>
      </c>
    </row>
    <row r="10118" spans="1:2">
      <c r="A10118" s="1" t="str">
        <f>"9032.89.22"</f>
        <v>9032.89.22</v>
      </c>
      <c r="B10118" s="2" t="str">
        <f>"De sistemas de suspensao"</f>
        <v>De sistemas de suspensao</v>
      </c>
    </row>
    <row r="10119" spans="1:2">
      <c r="A10119" s="1" t="str">
        <f>"9032.89.23"</f>
        <v>9032.89.23</v>
      </c>
      <c r="B10119" s="2" t="str">
        <f>"De sistemas de transmissao"</f>
        <v>De sistemas de transmissao</v>
      </c>
    </row>
    <row r="10120" spans="1:2">
      <c r="A10120" s="1" t="str">
        <f>"9032.89.24"</f>
        <v>9032.89.24</v>
      </c>
      <c r="B10120" s="2" t="str">
        <f>"De sistemas de ignicao"</f>
        <v>De sistemas de ignicao</v>
      </c>
    </row>
    <row r="10121" spans="1:2">
      <c r="A10121" s="1" t="str">
        <f>"9032.89.25"</f>
        <v>9032.89.25</v>
      </c>
      <c r="B10121" s="2" t="str">
        <f>"De sistemas de injecao"</f>
        <v>De sistemas de injecao</v>
      </c>
    </row>
    <row r="10122" spans="1:2">
      <c r="A10122" s="1" t="str">
        <f>"9032.89.29"</f>
        <v>9032.89.29</v>
      </c>
      <c r="B10122" s="2" t="str">
        <f>"MATERIAL MAN. VEÍCULO (SENSOR CHUVA"</f>
        <v>MATERIAL MAN. VEÍCULO (SENSOR CHUVA</v>
      </c>
    </row>
    <row r="10123" spans="1:2">
      <c r="A10123" s="1" t="str">
        <f>"9032.89.30"</f>
        <v>9032.89.30</v>
      </c>
      <c r="B10123" s="2" t="str">
        <f>"Equipamentos digitais para controle"</f>
        <v>Equipamentos digitais para controle</v>
      </c>
    </row>
    <row r="10124" spans="1:2">
      <c r="A10124" s="1" t="str">
        <f>"9032.89.81"</f>
        <v>9032.89.81</v>
      </c>
      <c r="B10124" s="2" t="str">
        <f>"De pressao"</f>
        <v>De pressao</v>
      </c>
    </row>
    <row r="10125" spans="1:2">
      <c r="A10125" s="1" t="str">
        <f>"9032.89.82"</f>
        <v>9032.89.82</v>
      </c>
      <c r="B10125" s="2" t="str">
        <f>"CONTROLADOR DE TEMPERATURA"</f>
        <v>CONTROLADOR DE TEMPERATURA</v>
      </c>
    </row>
    <row r="10126" spans="1:2">
      <c r="A10126" s="1" t="str">
        <f>"9032.89.83"</f>
        <v>9032.89.83</v>
      </c>
      <c r="B10126" s="2" t="str">
        <f>"DE UMIDADE"</f>
        <v>DE UMIDADE</v>
      </c>
    </row>
    <row r="10127" spans="1:2">
      <c r="A10127" s="1" t="str">
        <f>"9032.89.84"</f>
        <v>9032.89.84</v>
      </c>
      <c r="B10127" s="2" t="str">
        <f>"De velocidade de motores eletricos"</f>
        <v>De velocidade de motores eletricos</v>
      </c>
    </row>
    <row r="10128" spans="1:2">
      <c r="A10128" s="1" t="str">
        <f>"9032.89.89"</f>
        <v>9032.89.89</v>
      </c>
      <c r="B10128" s="2" t="str">
        <f>"OUTROS"</f>
        <v>OUTROS</v>
      </c>
    </row>
    <row r="10129" spans="1:2">
      <c r="A10129" s="1" t="str">
        <f>"9032.89.90"</f>
        <v>9032.89.90</v>
      </c>
      <c r="B10129" s="2" t="str">
        <f>"OUTROS"</f>
        <v>OUTROS</v>
      </c>
    </row>
    <row r="10130" spans="1:2">
      <c r="A10130" s="1" t="str">
        <f>"9032.90.10"</f>
        <v>9032.90.10</v>
      </c>
      <c r="B10130" s="2" t="str">
        <f>"CIRCUITOS IMPRESSOS COM COMP. ELETR"</f>
        <v>CIRCUITOS IMPRESSOS COM COMP. ELETR</v>
      </c>
    </row>
    <row r="10131" spans="1:2">
      <c r="A10131" s="1" t="str">
        <f>"9032.90.91"</f>
        <v>9032.90.91</v>
      </c>
      <c r="B10131" s="2" t="str">
        <f>"De termostatos"</f>
        <v>De termostatos</v>
      </c>
    </row>
    <row r="10132" spans="1:2">
      <c r="A10132" s="1" t="str">
        <f>"9032.90.99"</f>
        <v>9032.90.99</v>
      </c>
      <c r="B10132" s="2" t="str">
        <f>"OUTROS"</f>
        <v>OUTROS</v>
      </c>
    </row>
    <row r="10133" spans="1:2">
      <c r="A10133" s="1" t="str">
        <f>"9033.00.00"</f>
        <v>9033.00.00</v>
      </c>
      <c r="B10133" s="2" t="str">
        <f>"PARA MÁQ, APAR, INSTRUM OU ARTI 90"</f>
        <v>PARA MÁQ, APAR, INSTRUM OU ARTI 90</v>
      </c>
    </row>
    <row r="10134" spans="1:2">
      <c r="A10134" s="1" t="str">
        <f>"9048.90.69"</f>
        <v>9048.90.69</v>
      </c>
      <c r="B10134" s="2" t="str">
        <f>"Outros"</f>
        <v>Outros</v>
      </c>
    </row>
    <row r="10135" spans="1:2">
      <c r="A10135" s="1" t="str">
        <f>"9101.11.00"</f>
        <v>9101.11.00</v>
      </c>
      <c r="B10135" s="2" t="str">
        <f>"De mostrador exclusivamente mecanic"</f>
        <v>De mostrador exclusivamente mecanic</v>
      </c>
    </row>
    <row r="10136" spans="1:2">
      <c r="A10136" s="1" t="str">
        <f>"9101.19.00"</f>
        <v>9101.19.00</v>
      </c>
      <c r="B10136" s="2" t="str">
        <f>"OUTROS - RELOGIO"</f>
        <v>OUTROS - RELOGIO</v>
      </c>
    </row>
    <row r="10137" spans="1:2">
      <c r="A10137" s="1" t="str">
        <f>"9101.21.00"</f>
        <v>9101.21.00</v>
      </c>
      <c r="B10137" s="2" t="str">
        <f>"De corda automatica"</f>
        <v>De corda automatica</v>
      </c>
    </row>
    <row r="10138" spans="1:2">
      <c r="A10138" s="1" t="str">
        <f>"9101.29.00"</f>
        <v>9101.29.00</v>
      </c>
      <c r="B10138" s="2" t="str">
        <f>"Outros"</f>
        <v>Outros</v>
      </c>
    </row>
    <row r="10139" spans="1:2">
      <c r="A10139" s="1" t="str">
        <f>"9101.91.00"</f>
        <v>9101.91.00</v>
      </c>
      <c r="B10139" s="2" t="str">
        <f>"Funcionando eletricamente"</f>
        <v>Funcionando eletricamente</v>
      </c>
    </row>
    <row r="10140" spans="1:2">
      <c r="A10140" s="1" t="str">
        <f>"9101.99.00"</f>
        <v>9101.99.00</v>
      </c>
      <c r="B10140" s="2" t="str">
        <f>"Outros"</f>
        <v>Outros</v>
      </c>
    </row>
    <row r="10141" spans="1:2">
      <c r="A10141" s="1" t="str">
        <f>"9102.11.10"</f>
        <v>9102.11.10</v>
      </c>
      <c r="B10141" s="2" t="str">
        <f>"Com caixa de metal comum"</f>
        <v>Com caixa de metal comum</v>
      </c>
    </row>
    <row r="10142" spans="1:2">
      <c r="A10142" s="1" t="str">
        <f>"9102.11.90"</f>
        <v>9102.11.90</v>
      </c>
      <c r="B10142" s="2" t="str">
        <f>"Outros"</f>
        <v>Outros</v>
      </c>
    </row>
    <row r="10143" spans="1:2">
      <c r="A10143" s="1" t="str">
        <f>"9102.12.10"</f>
        <v>9102.12.10</v>
      </c>
      <c r="B10143" s="2" t="str">
        <f>"Com caixa de metal comum"</f>
        <v>Com caixa de metal comum</v>
      </c>
    </row>
    <row r="10144" spans="1:2">
      <c r="A10144" s="1" t="str">
        <f>"9102.12.20"</f>
        <v>9102.12.20</v>
      </c>
      <c r="B10144" s="2" t="str">
        <f>"Com caixa de plastico, exceto as re"</f>
        <v>Com caixa de plastico, exceto as re</v>
      </c>
    </row>
    <row r="10145" spans="1:2">
      <c r="A10145" s="1" t="str">
        <f>"9102.12.90"</f>
        <v>9102.12.90</v>
      </c>
      <c r="B10145" s="2" t="str">
        <f>"Outros"</f>
        <v>Outros</v>
      </c>
    </row>
    <row r="10146" spans="1:2">
      <c r="A10146" s="1" t="str">
        <f>"9102.19.00"</f>
        <v>9102.19.00</v>
      </c>
      <c r="B10146" s="2" t="str">
        <f>"Outros"</f>
        <v>Outros</v>
      </c>
    </row>
    <row r="10147" spans="1:2">
      <c r="A10147" s="1" t="str">
        <f>"9102.21.00"</f>
        <v>9102.21.00</v>
      </c>
      <c r="B10147" s="2" t="str">
        <f>"De corda automatica"</f>
        <v>De corda automatica</v>
      </c>
    </row>
    <row r="10148" spans="1:2">
      <c r="A10148" s="1" t="str">
        <f>"9102.29.00"</f>
        <v>9102.29.00</v>
      </c>
      <c r="B10148" s="2" t="str">
        <f>"Outros"</f>
        <v>Outros</v>
      </c>
    </row>
    <row r="10149" spans="1:2">
      <c r="A10149" s="1" t="str">
        <f>"9102.91.00"</f>
        <v>9102.91.00</v>
      </c>
      <c r="B10149" s="2" t="str">
        <f>"FUNCIONANDO ELETRICAMENTE"</f>
        <v>FUNCIONANDO ELETRICAMENTE</v>
      </c>
    </row>
    <row r="10150" spans="1:2">
      <c r="A10150" s="1" t="str">
        <f>"9102.99.00"</f>
        <v>9102.99.00</v>
      </c>
      <c r="B10150" s="2" t="str">
        <f>"OUTROS"</f>
        <v>OUTROS</v>
      </c>
    </row>
    <row r="10151" spans="1:2">
      <c r="A10151" s="1" t="str">
        <f>"9103.10.00"</f>
        <v>9103.10.00</v>
      </c>
      <c r="B10151" s="2" t="str">
        <f>"Funcionando eletricamente"</f>
        <v>Funcionando eletricamente</v>
      </c>
    </row>
    <row r="10152" spans="1:2">
      <c r="A10152" s="1" t="str">
        <f>"9103.90.00"</f>
        <v>9103.90.00</v>
      </c>
      <c r="B10152" s="2" t="str">
        <f>"Outros"</f>
        <v>Outros</v>
      </c>
    </row>
    <row r="10153" spans="1:2">
      <c r="A10153" s="1" t="str">
        <f>"9104.00.00"</f>
        <v>9104.00.00</v>
      </c>
      <c r="B10153" s="2" t="str">
        <f>"Relogios para paineis de instrument"</f>
        <v>Relogios para paineis de instrument</v>
      </c>
    </row>
    <row r="10154" spans="1:2">
      <c r="A10154" s="1" t="str">
        <f>"9105.11.00"</f>
        <v>9105.11.00</v>
      </c>
      <c r="B10154" s="2" t="str">
        <f>"Funcionando eletricamente"</f>
        <v>Funcionando eletricamente</v>
      </c>
    </row>
    <row r="10155" spans="1:2">
      <c r="A10155" s="1" t="str">
        <f>"9105.19.00"</f>
        <v>9105.19.00</v>
      </c>
      <c r="B10155" s="2" t="str">
        <f>"Outros"</f>
        <v>Outros</v>
      </c>
    </row>
    <row r="10156" spans="1:2">
      <c r="A10156" s="1" t="str">
        <f>"9105.21.00"</f>
        <v>9105.21.00</v>
      </c>
      <c r="B10156" s="2" t="str">
        <f>"Funcionando eletricamente"</f>
        <v>Funcionando eletricamente</v>
      </c>
    </row>
    <row r="10157" spans="1:2">
      <c r="A10157" s="1" t="str">
        <f>"9105.29.00"</f>
        <v>9105.29.00</v>
      </c>
      <c r="B10157" s="2" t="str">
        <f>"Outros"</f>
        <v>Outros</v>
      </c>
    </row>
    <row r="10158" spans="1:2">
      <c r="A10158" s="1" t="str">
        <f>"9105.91.00"</f>
        <v>9105.91.00</v>
      </c>
      <c r="B10158" s="2" t="str">
        <f>"Funcionando eletricamente"</f>
        <v>Funcionando eletricamente</v>
      </c>
    </row>
    <row r="10159" spans="1:2">
      <c r="A10159" s="1" t="str">
        <f>"9105.99.00"</f>
        <v>9105.99.00</v>
      </c>
      <c r="B10159" s="2" t="str">
        <f>"Outros"</f>
        <v>Outros</v>
      </c>
    </row>
    <row r="10160" spans="1:2">
      <c r="A10160" s="1" t="str">
        <f>"9106.10.00"</f>
        <v>9106.10.00</v>
      </c>
      <c r="B10160" s="2" t="str">
        <f>"Relogios de ponto; relogios datador"</f>
        <v>Relogios de ponto; relogios datador</v>
      </c>
    </row>
    <row r="10161" spans="1:2">
      <c r="A10161" s="1" t="str">
        <f>"9106.90.00"</f>
        <v>9106.90.00</v>
      </c>
      <c r="B10161" s="2" t="str">
        <f>"OUTROS"</f>
        <v>OUTROS</v>
      </c>
    </row>
    <row r="10162" spans="1:2">
      <c r="A10162" s="1" t="str">
        <f>"9107.00.10"</f>
        <v>9107.00.10</v>
      </c>
      <c r="B10162" s="2" t="str">
        <f>"INTERRUPTORES HORÁRIOS"</f>
        <v>INTERRUPTORES HORÁRIOS</v>
      </c>
    </row>
    <row r="10163" spans="1:2">
      <c r="A10163" s="1" t="str">
        <f>"9107.00.90"</f>
        <v>9107.00.90</v>
      </c>
      <c r="B10163" s="2" t="str">
        <f>"Outros"</f>
        <v>Outros</v>
      </c>
    </row>
    <row r="10164" spans="1:2">
      <c r="A10164" s="1" t="str">
        <f>"9108.11.10"</f>
        <v>9108.11.10</v>
      </c>
      <c r="B10164" s="2" t="str">
        <f>"Para relogios das posicoes 91.01 ou"</f>
        <v>Para relogios das posicoes 91.01 ou</v>
      </c>
    </row>
    <row r="10165" spans="1:2">
      <c r="A10165" s="1" t="str">
        <f>"9108.11.90"</f>
        <v>9108.11.90</v>
      </c>
      <c r="B10165" s="2" t="str">
        <f>"Outros"</f>
        <v>Outros</v>
      </c>
    </row>
    <row r="10166" spans="1:2">
      <c r="A10166" s="1" t="str">
        <f>"9108.12.00"</f>
        <v>9108.12.00</v>
      </c>
      <c r="B10166" s="2" t="str">
        <f>"De mostrador exclusivamente optoele"</f>
        <v>De mostrador exclusivamente optoele</v>
      </c>
    </row>
    <row r="10167" spans="1:2">
      <c r="A10167" s="1" t="str">
        <f>"9108.19.00"</f>
        <v>9108.19.00</v>
      </c>
      <c r="B10167" s="2" t="str">
        <f>"Outros"</f>
        <v>Outros</v>
      </c>
    </row>
    <row r="10168" spans="1:2">
      <c r="A10168" s="1" t="str">
        <f>"9108.20.00"</f>
        <v>9108.20.00</v>
      </c>
      <c r="B10168" s="2" t="str">
        <f>"De corda automatica"</f>
        <v>De corda automatica</v>
      </c>
    </row>
    <row r="10169" spans="1:2">
      <c r="A10169" s="1" t="str">
        <f>"9108.90.00"</f>
        <v>9108.90.00</v>
      </c>
      <c r="B10169" s="2" t="str">
        <f>"Outros"</f>
        <v>Outros</v>
      </c>
    </row>
    <row r="10170" spans="1:2">
      <c r="A10170" s="1" t="str">
        <f>"9109.10.00"</f>
        <v>9109.10.00</v>
      </c>
      <c r="B10170" s="2" t="str">
        <f>"Funcionando eletricamente"</f>
        <v>Funcionando eletricamente</v>
      </c>
    </row>
    <row r="10171" spans="1:2">
      <c r="A10171" s="1" t="str">
        <f>"9109.90.00"</f>
        <v>9109.90.00</v>
      </c>
      <c r="B10171" s="2" t="str">
        <f>"Outros"</f>
        <v>Outros</v>
      </c>
    </row>
    <row r="10172" spans="1:2">
      <c r="A10172" s="1" t="str">
        <f>"9110.11.10"</f>
        <v>9110.11.10</v>
      </c>
      <c r="B10172" s="2" t="str">
        <f>"Para relogios das posicoes 91.01 ou"</f>
        <v>Para relogios das posicoes 91.01 ou</v>
      </c>
    </row>
    <row r="10173" spans="1:2">
      <c r="A10173" s="1" t="str">
        <f>"9110.11.90"</f>
        <v>9110.11.90</v>
      </c>
      <c r="B10173" s="2" t="str">
        <f>"Outros"</f>
        <v>Outros</v>
      </c>
    </row>
    <row r="10174" spans="1:2">
      <c r="A10174" s="1" t="str">
        <f>"9110.12.00"</f>
        <v>9110.12.00</v>
      </c>
      <c r="B10174" s="2" t="str">
        <f>"Mecanismos incompletos, montados"</f>
        <v>Mecanismos incompletos, montados</v>
      </c>
    </row>
    <row r="10175" spans="1:2">
      <c r="A10175" s="1" t="str">
        <f>"9110.19.00"</f>
        <v>9110.19.00</v>
      </c>
      <c r="B10175" s="2" t="str">
        <f>"Esbocos"</f>
        <v>Esbocos</v>
      </c>
    </row>
    <row r="10176" spans="1:2">
      <c r="A10176" s="1" t="str">
        <f>"9110.90.00"</f>
        <v>9110.90.00</v>
      </c>
      <c r="B10176" s="2" t="str">
        <f>"Outros"</f>
        <v>Outros</v>
      </c>
    </row>
    <row r="10177" spans="1:2">
      <c r="A10177" s="1" t="str">
        <f>"9111.10.00"</f>
        <v>9111.10.00</v>
      </c>
      <c r="B10177" s="2" t="str">
        <f>"Caixas de metais preciosos ou de me"</f>
        <v>Caixas de metais preciosos ou de me</v>
      </c>
    </row>
    <row r="10178" spans="1:2">
      <c r="A10178" s="1" t="str">
        <f>"9111.20.10"</f>
        <v>9111.20.10</v>
      </c>
      <c r="B10178" s="2" t="str">
        <f>"De latao, em esboco"</f>
        <v>De latao, em esboco</v>
      </c>
    </row>
    <row r="10179" spans="1:2">
      <c r="A10179" s="1" t="str">
        <f>"9111.20.90"</f>
        <v>9111.20.90</v>
      </c>
      <c r="B10179" s="2" t="str">
        <f>"Outras"</f>
        <v>Outras</v>
      </c>
    </row>
    <row r="10180" spans="1:2">
      <c r="A10180" s="1" t="str">
        <f>"9111.80.00"</f>
        <v>9111.80.00</v>
      </c>
      <c r="B10180" s="2" t="str">
        <f>"Outras caixas"</f>
        <v>Outras caixas</v>
      </c>
    </row>
    <row r="10181" spans="1:2">
      <c r="A10181" s="1" t="str">
        <f>"9111.90.10"</f>
        <v>9111.90.10</v>
      </c>
      <c r="B10181" s="2" t="str">
        <f>"Fundos de metais comuns"</f>
        <v>Fundos de metais comuns</v>
      </c>
    </row>
    <row r="10182" spans="1:2">
      <c r="A10182" s="1" t="str">
        <f>"9111.90.90"</f>
        <v>9111.90.90</v>
      </c>
      <c r="B10182" s="2" t="str">
        <f>"Outras"</f>
        <v>Outras</v>
      </c>
    </row>
    <row r="10183" spans="1:2">
      <c r="A10183" s="1" t="str">
        <f>"9112.20.00"</f>
        <v>9112.20.00</v>
      </c>
      <c r="B10183" s="2" t="str">
        <f>"Caixas e semelhantes"</f>
        <v>Caixas e semelhantes</v>
      </c>
    </row>
    <row r="10184" spans="1:2">
      <c r="A10184" s="1" t="str">
        <f>"9112.90.00"</f>
        <v>9112.90.00</v>
      </c>
      <c r="B10184" s="2" t="str">
        <f>"Partes"</f>
        <v>Partes</v>
      </c>
    </row>
    <row r="10185" spans="1:2">
      <c r="A10185" s="1" t="str">
        <f>"9113.10.00"</f>
        <v>9113.10.00</v>
      </c>
      <c r="B10185" s="2" t="str">
        <f>"De metais preciosos ou de metais fo"</f>
        <v>De metais preciosos ou de metais fo</v>
      </c>
    </row>
    <row r="10186" spans="1:2">
      <c r="A10186" s="1" t="str">
        <f>"9113.20.00"</f>
        <v>9113.20.00</v>
      </c>
      <c r="B10186" s="2" t="str">
        <f>"De metais comuns, mesmo dourados ou"</f>
        <v>De metais comuns, mesmo dourados ou</v>
      </c>
    </row>
    <row r="10187" spans="1:2">
      <c r="A10187" s="1" t="str">
        <f>"9113.90.00"</f>
        <v>9113.90.00</v>
      </c>
      <c r="B10187" s="2" t="str">
        <f>"Outras"</f>
        <v>Outras</v>
      </c>
    </row>
    <row r="10188" spans="1:2">
      <c r="A10188" s="1" t="str">
        <f>"9114.10.00"</f>
        <v>9114.10.00</v>
      </c>
      <c r="B10188" s="2" t="str">
        <f>"Molas, incluindo as espirais"</f>
        <v>Molas, incluindo as espirais</v>
      </c>
    </row>
    <row r="10189" spans="1:2">
      <c r="A10189" s="1" t="str">
        <f>"9114.30.00"</f>
        <v>9114.30.00</v>
      </c>
      <c r="B10189" s="2" t="str">
        <f>"Quadrantes"</f>
        <v>Quadrantes</v>
      </c>
    </row>
    <row r="10190" spans="1:2">
      <c r="A10190" s="1" t="str">
        <f>"9114.40.00"</f>
        <v>9114.40.00</v>
      </c>
      <c r="B10190" s="2" t="str">
        <f>"Platinas e pontes"</f>
        <v>Platinas e pontes</v>
      </c>
    </row>
    <row r="10191" spans="1:2">
      <c r="A10191" s="1" t="str">
        <f>"9114.90.10"</f>
        <v>9114.90.10</v>
      </c>
      <c r="B10191" s="2" t="str">
        <f>"Coroas"</f>
        <v>Coroas</v>
      </c>
    </row>
    <row r="10192" spans="1:2">
      <c r="A10192" s="1" t="str">
        <f>"9114.90.20"</f>
        <v>9114.90.20</v>
      </c>
      <c r="B10192" s="2" t="str">
        <f>"Ponteiros"</f>
        <v>Ponteiros</v>
      </c>
    </row>
    <row r="10193" spans="1:2">
      <c r="A10193" s="1" t="str">
        <f>"9114.90.30"</f>
        <v>9114.90.30</v>
      </c>
      <c r="B10193" s="2" t="str">
        <f>"Hastes"</f>
        <v>Hastes</v>
      </c>
    </row>
    <row r="10194" spans="1:2">
      <c r="A10194" s="1" t="str">
        <f>"9114.90.40"</f>
        <v>9114.90.40</v>
      </c>
      <c r="B10194" s="2" t="str">
        <f>"Basculas"</f>
        <v>Basculas</v>
      </c>
    </row>
    <row r="10195" spans="1:2">
      <c r="A10195" s="1" t="str">
        <f>"9114.90.50"</f>
        <v>9114.90.50</v>
      </c>
      <c r="B10195" s="2" t="str">
        <f>"Eixos e pinhoes"</f>
        <v>Eixos e pinhoes</v>
      </c>
    </row>
    <row r="10196" spans="1:2">
      <c r="A10196" s="1" t="str">
        <f>"9114.90.60"</f>
        <v>9114.90.60</v>
      </c>
      <c r="B10196" s="2" t="str">
        <f>"Rodas"</f>
        <v>Rodas</v>
      </c>
    </row>
    <row r="10197" spans="1:2">
      <c r="A10197" s="1" t="str">
        <f>"9114.90.70"</f>
        <v>9114.90.70</v>
      </c>
      <c r="B10197" s="2" t="str">
        <f>"Rotores"</f>
        <v>Rotores</v>
      </c>
    </row>
    <row r="10198" spans="1:2">
      <c r="A10198" s="1" t="str">
        <f>"9114.90.90"</f>
        <v>9114.90.90</v>
      </c>
      <c r="B10198" s="2" t="str">
        <f>"Outras"</f>
        <v>Outras</v>
      </c>
    </row>
    <row r="10199" spans="1:2">
      <c r="A10199" s="1" t="str">
        <f>"9201.10.00"</f>
        <v>9201.10.00</v>
      </c>
      <c r="B10199" s="2" t="str">
        <f>"Pianos verticais"</f>
        <v>Pianos verticais</v>
      </c>
    </row>
    <row r="10200" spans="1:2">
      <c r="A10200" s="1" t="str">
        <f>"9201.20.00"</f>
        <v>9201.20.00</v>
      </c>
      <c r="B10200" s="2" t="str">
        <f>"Pianos de cauda"</f>
        <v>Pianos de cauda</v>
      </c>
    </row>
    <row r="10201" spans="1:2">
      <c r="A10201" s="1" t="str">
        <f>"9201.90.00"</f>
        <v>9201.90.00</v>
      </c>
      <c r="B10201" s="2" t="str">
        <f>"Outros"</f>
        <v>Outros</v>
      </c>
    </row>
    <row r="10202" spans="1:2">
      <c r="A10202" s="1" t="str">
        <f>"9202.10.00"</f>
        <v>9202.10.00</v>
      </c>
      <c r="B10202" s="2" t="str">
        <f>"De cordas, tocados com o auxilio de"</f>
        <v>De cordas, tocados com o auxilio de</v>
      </c>
    </row>
    <row r="10203" spans="1:2">
      <c r="A10203" s="1" t="str">
        <f>"9202.90.00"</f>
        <v>9202.90.00</v>
      </c>
      <c r="B10203" s="2" t="str">
        <f>"Outros"</f>
        <v>Outros</v>
      </c>
    </row>
    <row r="10204" spans="1:2">
      <c r="A10204" s="1" t="str">
        <f>"9205.10.00"</f>
        <v>9205.10.00</v>
      </c>
      <c r="B10204" s="2" t="str">
        <f>"Instrumentos denominados ômetaisö"</f>
        <v>Instrumentos denominados ômetaisö</v>
      </c>
    </row>
    <row r="10205" spans="1:2">
      <c r="A10205" s="1" t="str">
        <f>"9205.90.00"</f>
        <v>9205.90.00</v>
      </c>
      <c r="B10205" s="2" t="str">
        <f>"Outros"</f>
        <v>Outros</v>
      </c>
    </row>
    <row r="10206" spans="1:2">
      <c r="A10206" s="1" t="str">
        <f>"9206.00.00"</f>
        <v>9206.00.00</v>
      </c>
      <c r="B10206" s="2" t="str">
        <f>"Instrumentos musicais de percussao"</f>
        <v>Instrumentos musicais de percussao</v>
      </c>
    </row>
    <row r="10207" spans="1:2">
      <c r="A10207" s="1" t="str">
        <f>"9207.10.10"</f>
        <v>9207.10.10</v>
      </c>
      <c r="B10207" s="2" t="str">
        <f>"Sintetizadores"</f>
        <v>Sintetizadores</v>
      </c>
    </row>
    <row r="10208" spans="1:2">
      <c r="A10208" s="1" t="str">
        <f>"9207.10.90"</f>
        <v>9207.10.90</v>
      </c>
      <c r="B10208" s="2" t="str">
        <f>"Outros"</f>
        <v>Outros</v>
      </c>
    </row>
    <row r="10209" spans="1:2">
      <c r="A10209" s="1" t="str">
        <f>"9207.90.10"</f>
        <v>9207.90.10</v>
      </c>
      <c r="B10209" s="2" t="str">
        <f>"Guitarras e contrabaixos"</f>
        <v>Guitarras e contrabaixos</v>
      </c>
    </row>
    <row r="10210" spans="1:2">
      <c r="A10210" s="1" t="str">
        <f>"9207.90.90"</f>
        <v>9207.90.90</v>
      </c>
      <c r="B10210" s="2" t="str">
        <f>"Outros"</f>
        <v>Outros</v>
      </c>
    </row>
    <row r="10211" spans="1:2">
      <c r="A10211" s="1" t="str">
        <f>"9208.10.00"</f>
        <v>9208.10.00</v>
      </c>
      <c r="B10211" s="2" t="str">
        <f>"Caixas de musica"</f>
        <v>Caixas de musica</v>
      </c>
    </row>
    <row r="10212" spans="1:2">
      <c r="A10212" s="1" t="str">
        <f>"9208.90.00"</f>
        <v>9208.90.00</v>
      </c>
      <c r="B10212" s="2" t="str">
        <f>"Outros"</f>
        <v>Outros</v>
      </c>
    </row>
    <row r="10213" spans="1:2">
      <c r="A10213" s="1" t="str">
        <f>"9209.30.00"</f>
        <v>9209.30.00</v>
      </c>
      <c r="B10213" s="2" t="str">
        <f>"Cordas para instrumentos musicais"</f>
        <v>Cordas para instrumentos musicais</v>
      </c>
    </row>
    <row r="10214" spans="1:2">
      <c r="A10214" s="1" t="str">
        <f>"9209.91.00"</f>
        <v>9209.91.00</v>
      </c>
      <c r="B10214" s="2" t="str">
        <f>"Partes e acessorios de pianos"</f>
        <v>Partes e acessorios de pianos</v>
      </c>
    </row>
    <row r="10215" spans="1:2">
      <c r="A10215" s="1" t="str">
        <f>"9209.92.00"</f>
        <v>9209.92.00</v>
      </c>
      <c r="B10215" s="2" t="str">
        <f>"Partes e acessorios de instrumentos"</f>
        <v>Partes e acessorios de instrumentos</v>
      </c>
    </row>
    <row r="10216" spans="1:2">
      <c r="A10216" s="1" t="str">
        <f>"9209.94.00"</f>
        <v>9209.94.00</v>
      </c>
      <c r="B10216" s="2" t="str">
        <f>"Partes e acessorios de instrumentos"</f>
        <v>Partes e acessorios de instrumentos</v>
      </c>
    </row>
    <row r="10217" spans="1:2">
      <c r="A10217" s="1" t="str">
        <f>"9209.99.00"</f>
        <v>9209.99.00</v>
      </c>
      <c r="B10217" s="2" t="str">
        <f>"Outros"</f>
        <v>Outros</v>
      </c>
    </row>
    <row r="10218" spans="1:2">
      <c r="A10218" s="1" t="str">
        <f>"9301.10.00"</f>
        <v>9301.10.00</v>
      </c>
      <c r="B10218" s="2" t="str">
        <f>"Pecas de artilharia (por exemplo, c"</f>
        <v>Pecas de artilharia (por exemplo, c</v>
      </c>
    </row>
    <row r="10219" spans="1:2">
      <c r="A10219" s="1" t="str">
        <f>"9301.20.00"</f>
        <v>9301.20.00</v>
      </c>
      <c r="B10219" s="2" t="str">
        <f>"Lanca-misseis; lanca-chamas; lanca-"</f>
        <v>Lanca-misseis; lanca-chamas; lanca-</v>
      </c>
    </row>
    <row r="10220" spans="1:2">
      <c r="A10220" s="1" t="str">
        <f>"9301.90.00"</f>
        <v>9301.90.00</v>
      </c>
      <c r="B10220" s="2" t="str">
        <f>"Outras"</f>
        <v>Outras</v>
      </c>
    </row>
    <row r="10221" spans="1:2">
      <c r="A10221" s="1" t="str">
        <f>"9302.00.00"</f>
        <v>9302.00.00</v>
      </c>
      <c r="B10221" s="2" t="str">
        <f>"Revolveres e pistolas, exceto os da"</f>
        <v>Revolveres e pistolas, exceto os da</v>
      </c>
    </row>
    <row r="10222" spans="1:2">
      <c r="A10222" s="1" t="str">
        <f>"9303.00.21"</f>
        <v>9303.00.21</v>
      </c>
      <c r="B10222" s="2" t="str">
        <f>"INATIVO"</f>
        <v>INATIVO</v>
      </c>
    </row>
    <row r="10223" spans="1:2">
      <c r="A10223" s="1" t="str">
        <f>"9303.10.00"</f>
        <v>9303.10.00</v>
      </c>
      <c r="B10223" s="2" t="str">
        <f>"Armas de fogo carregaveis exclusiva"</f>
        <v>Armas de fogo carregaveis exclusiva</v>
      </c>
    </row>
    <row r="10224" spans="1:2">
      <c r="A10224" s="1" t="str">
        <f>"9303.20.00"</f>
        <v>9303.20.00</v>
      </c>
      <c r="B10224" s="2" t="str">
        <f>"Outras espingardas e carabinas de c"</f>
        <v>Outras espingardas e carabinas de c</v>
      </c>
    </row>
    <row r="10225" spans="1:2">
      <c r="A10225" s="1" t="str">
        <f>"9303.30.00"</f>
        <v>9303.30.00</v>
      </c>
      <c r="B10225" s="2" t="str">
        <f>"Outras espingardas e carabinas de c"</f>
        <v>Outras espingardas e carabinas de c</v>
      </c>
    </row>
    <row r="10226" spans="1:2">
      <c r="A10226" s="1" t="str">
        <f>"9303.90.00"</f>
        <v>9303.90.00</v>
      </c>
      <c r="B10226" s="2" t="str">
        <f>"Outros"</f>
        <v>Outros</v>
      </c>
    </row>
    <row r="10227" spans="1:2">
      <c r="A10227" s="1" t="str">
        <f>"9304.00.00"</f>
        <v>9304.00.00</v>
      </c>
      <c r="B10227" s="2" t="str">
        <f>"Outras armas (por exemplo, espingar"</f>
        <v>Outras armas (por exemplo, espingar</v>
      </c>
    </row>
    <row r="10228" spans="1:2">
      <c r="A10228" s="1" t="str">
        <f>"9305.10.00"</f>
        <v>9305.10.00</v>
      </c>
      <c r="B10228" s="2" t="str">
        <f>"De revolveres ou pistolas"</f>
        <v>De revolveres ou pistolas</v>
      </c>
    </row>
    <row r="10229" spans="1:2">
      <c r="A10229" s="1" t="str">
        <f>"9305.20.00"</f>
        <v>9305.20.00</v>
      </c>
      <c r="B10229" s="2" t="str">
        <f>"De espingardas ou carabinas da posi"</f>
        <v>De espingardas ou carabinas da posi</v>
      </c>
    </row>
    <row r="10230" spans="1:2">
      <c r="A10230" s="1" t="str">
        <f>"9305.91.00"</f>
        <v>9305.91.00</v>
      </c>
      <c r="B10230" s="2" t="str">
        <f>"De armas de guerra da posicao 93.01"</f>
        <v>De armas de guerra da posicao 93.01</v>
      </c>
    </row>
    <row r="10231" spans="1:2">
      <c r="A10231" s="1" t="str">
        <f>"9305.99.00"</f>
        <v>9305.99.00</v>
      </c>
      <c r="B10231" s="2" t="str">
        <f>"Outros"</f>
        <v>Outros</v>
      </c>
    </row>
    <row r="10232" spans="1:2">
      <c r="A10232" s="1" t="str">
        <f>"9306.21.00"</f>
        <v>9306.21.00</v>
      </c>
      <c r="B10232" s="2" t="str">
        <f>"Cartuchos"</f>
        <v>Cartuchos</v>
      </c>
    </row>
    <row r="10233" spans="1:2">
      <c r="A10233" s="1" t="str">
        <f>"9306.29.00"</f>
        <v>9306.29.00</v>
      </c>
      <c r="B10233" s="2" t="str">
        <f>"Outros"</f>
        <v>Outros</v>
      </c>
    </row>
    <row r="10234" spans="1:2">
      <c r="A10234" s="1" t="str">
        <f>"9306.30.00"</f>
        <v>9306.30.00</v>
      </c>
      <c r="B10234" s="2" t="str">
        <f>"Outros cartuchos e suas partes"</f>
        <v>Outros cartuchos e suas partes</v>
      </c>
    </row>
    <row r="10235" spans="1:2">
      <c r="A10235" s="1" t="str">
        <f>"9306.90.00"</f>
        <v>9306.90.00</v>
      </c>
      <c r="B10235" s="2" t="str">
        <f>"Outros"</f>
        <v>Outros</v>
      </c>
    </row>
    <row r="10236" spans="1:2">
      <c r="A10236" s="1" t="str">
        <f>"9307.00.00"</f>
        <v>9307.00.00</v>
      </c>
      <c r="B10236" s="2" t="str">
        <f>"Sabres, espadas, baionetas, lancas"</f>
        <v>Sabres, espadas, baionetas, lancas</v>
      </c>
    </row>
    <row r="10237" spans="1:2">
      <c r="A10237" s="1" t="str">
        <f>"9401.10.10"</f>
        <v>9401.10.10</v>
      </c>
      <c r="B10237" s="2" t="str">
        <f>"Ejetaveis"</f>
        <v>Ejetaveis</v>
      </c>
    </row>
    <row r="10238" spans="1:2">
      <c r="A10238" s="1" t="str">
        <f>"9401.10.90"</f>
        <v>9401.10.90</v>
      </c>
      <c r="B10238" s="2" t="str">
        <f>"Outros"</f>
        <v>Outros</v>
      </c>
    </row>
    <row r="10239" spans="1:2">
      <c r="A10239" s="1" t="str">
        <f>"9401.20.00"</f>
        <v>9401.20.00</v>
      </c>
      <c r="B10239" s="2" t="str">
        <f>"OUTROS"</f>
        <v>OUTROS</v>
      </c>
    </row>
    <row r="10240" spans="1:2">
      <c r="A10240" s="1" t="str">
        <f>"9401.30.10"</f>
        <v>9401.30.10</v>
      </c>
      <c r="B10240" s="2" t="str">
        <f>"De madeira"</f>
        <v>De madeira</v>
      </c>
    </row>
    <row r="10241" spans="1:2">
      <c r="A10241" s="1" t="str">
        <f>"9401.30.90"</f>
        <v>9401.30.90</v>
      </c>
      <c r="B10241" s="2" t="str">
        <f>"OUTROS"</f>
        <v>OUTROS</v>
      </c>
    </row>
    <row r="10242" spans="1:2">
      <c r="A10242" s="1" t="str">
        <f>"9401.39.00"</f>
        <v>9401.39.00</v>
      </c>
      <c r="B10242" s="2" t="str">
        <f>"Outros"</f>
        <v>Outros</v>
      </c>
    </row>
    <row r="10243" spans="1:2">
      <c r="A10243" s="1" t="str">
        <f>"9401.40.10"</f>
        <v>9401.40.10</v>
      </c>
      <c r="B10243" s="2" t="str">
        <f>"De madeira"</f>
        <v>De madeira</v>
      </c>
    </row>
    <row r="10244" spans="1:2">
      <c r="A10244" s="1" t="str">
        <f>"9401.40.90"</f>
        <v>9401.40.90</v>
      </c>
      <c r="B10244" s="2" t="str">
        <f>"Outros"</f>
        <v>Outros</v>
      </c>
    </row>
    <row r="10245" spans="1:2">
      <c r="A10245" s="1" t="str">
        <f>"9401.52.00"</f>
        <v>9401.52.00</v>
      </c>
      <c r="B10245" s="2" t="str">
        <f>"De bambu"</f>
        <v>De bambu</v>
      </c>
    </row>
    <row r="10246" spans="1:2">
      <c r="A10246" s="1" t="str">
        <f>"9401.53.00"</f>
        <v>9401.53.00</v>
      </c>
      <c r="B10246" s="2" t="str">
        <f>"De rotim"</f>
        <v>De rotim</v>
      </c>
    </row>
    <row r="10247" spans="1:2">
      <c r="A10247" s="1" t="str">
        <f>"9401.59.00"</f>
        <v>9401.59.00</v>
      </c>
      <c r="B10247" s="2" t="str">
        <f>"Outros"</f>
        <v>Outros</v>
      </c>
    </row>
    <row r="10248" spans="1:2">
      <c r="A10248" s="1" t="str">
        <f>"9401.61.00"</f>
        <v>9401.61.00</v>
      </c>
      <c r="B10248" s="2" t="str">
        <f>"Estofados"</f>
        <v>Estofados</v>
      </c>
    </row>
    <row r="10249" spans="1:2">
      <c r="A10249" s="1" t="str">
        <f>"9401.69.00"</f>
        <v>9401.69.00</v>
      </c>
      <c r="B10249" s="2" t="str">
        <f>"OUTROS"</f>
        <v>OUTROS</v>
      </c>
    </row>
    <row r="10250" spans="1:2">
      <c r="A10250" s="1" t="str">
        <f>"9401.71.00"</f>
        <v>9401.71.00</v>
      </c>
      <c r="B10250" s="2" t="str">
        <f>"ESTOFADOS"</f>
        <v>ESTOFADOS</v>
      </c>
    </row>
    <row r="10251" spans="1:2">
      <c r="A10251" s="1" t="str">
        <f>"9401.79.00"</f>
        <v>9401.79.00</v>
      </c>
      <c r="B10251" s="2" t="str">
        <f>"OUTROS"</f>
        <v>OUTROS</v>
      </c>
    </row>
    <row r="10252" spans="1:2">
      <c r="A10252" s="1" t="str">
        <f>"9401.80.00"</f>
        <v>9401.80.00</v>
      </c>
      <c r="B10252" s="2" t="str">
        <f>"OUTROS ASSENTOS"</f>
        <v>OUTROS ASSENTOS</v>
      </c>
    </row>
    <row r="10253" spans="1:2">
      <c r="A10253" s="1" t="str">
        <f>"9401.90.10"</f>
        <v>9401.90.10</v>
      </c>
      <c r="B10253" s="2" t="str">
        <f>"De madeira"</f>
        <v>De madeira</v>
      </c>
    </row>
    <row r="10254" spans="1:2">
      <c r="A10254" s="1" t="str">
        <f>"9401.90.90"</f>
        <v>9401.90.90</v>
      </c>
      <c r="B10254" s="2" t="str">
        <f>"OUTROS"</f>
        <v>OUTROS</v>
      </c>
    </row>
    <row r="10255" spans="1:2">
      <c r="A10255" s="1" t="str">
        <f>"9401.99.00"</f>
        <v>9401.99.00</v>
      </c>
      <c r="B10255" s="2" t="str">
        <f>"Outros"</f>
        <v>Outros</v>
      </c>
    </row>
    <row r="10256" spans="1:2">
      <c r="A10256" s="1" t="str">
        <f>"9402.10.00"</f>
        <v>9402.10.00</v>
      </c>
      <c r="B10256" s="2" t="str">
        <f>"Cadeiras de dentista, cadeiras para"</f>
        <v>Cadeiras de dentista, cadeiras para</v>
      </c>
    </row>
    <row r="10257" spans="1:2">
      <c r="A10257" s="1" t="str">
        <f>"9402.90.10"</f>
        <v>9402.90.10</v>
      </c>
      <c r="B10257" s="2" t="str">
        <f>"Mesas de operacao"</f>
        <v>Mesas de operacao</v>
      </c>
    </row>
    <row r="10258" spans="1:2">
      <c r="A10258" s="1" t="str">
        <f>"9402.90.20"</f>
        <v>9402.90.20</v>
      </c>
      <c r="B10258" s="2" t="str">
        <f>"Camas dotadas de mecanismos para us"</f>
        <v>Camas dotadas de mecanismos para us</v>
      </c>
    </row>
    <row r="10259" spans="1:2">
      <c r="A10259" s="1" t="str">
        <f>"9402.90.90"</f>
        <v>9402.90.90</v>
      </c>
      <c r="B10259" s="2" t="str">
        <f>"outros"</f>
        <v>outros</v>
      </c>
    </row>
    <row r="10260" spans="1:2">
      <c r="A10260" s="1" t="str">
        <f>"9403.10.00"</f>
        <v>9403.10.00</v>
      </c>
      <c r="B10260" s="2" t="str">
        <f>"MÓVEIS DE MET, UTILIZ. EM ESCRIT."</f>
        <v>MÓVEIS DE MET, UTILIZ. EM ESCRIT.</v>
      </c>
    </row>
    <row r="10261" spans="1:2">
      <c r="A10261" s="1" t="str">
        <f>"9403.20.00"</f>
        <v>9403.20.00</v>
      </c>
      <c r="B10261" s="2" t="str">
        <f>"OUTROS MOVEIS DE METAL"</f>
        <v>OUTROS MOVEIS DE METAL</v>
      </c>
    </row>
    <row r="10262" spans="1:2">
      <c r="A10262" s="1" t="str">
        <f>"9403.20.90"</f>
        <v>9403.20.90</v>
      </c>
      <c r="B10262" s="2" t="str">
        <f>"Outros"</f>
        <v>Outros</v>
      </c>
    </row>
    <row r="10263" spans="1:2">
      <c r="A10263" s="1" t="str">
        <f>"9403.30.00"</f>
        <v>9403.30.00</v>
      </c>
      <c r="B10263" s="2" t="str">
        <f>"MOVEIS DE MADEIRA, PAINEL"</f>
        <v>MOVEIS DE MADEIRA, PAINEL</v>
      </c>
    </row>
    <row r="10264" spans="1:2">
      <c r="A10264" s="1" t="str">
        <f>"9403.40.00"</f>
        <v>9403.40.00</v>
      </c>
      <c r="B10264" s="2" t="str">
        <f>"MOVEIS DE MADEIRA UTILIZ. EM COZINH"</f>
        <v>MOVEIS DE MADEIRA UTILIZ. EM COZINH</v>
      </c>
    </row>
    <row r="10265" spans="1:2">
      <c r="A10265" s="1" t="str">
        <f>"9403.50.00"</f>
        <v>9403.50.00</v>
      </c>
      <c r="B10265" s="2" t="str">
        <f>"MOVEIS DE MADEIRA P/ QUARTOS DORMIR"</f>
        <v>MOVEIS DE MADEIRA P/ QUARTOS DORMIR</v>
      </c>
    </row>
    <row r="10266" spans="1:2">
      <c r="A10266" s="1" t="str">
        <f>"9403.60.00"</f>
        <v>9403.60.00</v>
      </c>
      <c r="B10266" s="2" t="str">
        <f>"OUTROS - MOVEIS DE MADEIRA"</f>
        <v>OUTROS - MOVEIS DE MADEIRA</v>
      </c>
    </row>
    <row r="10267" spans="1:2">
      <c r="A10267" s="1" t="str">
        <f>"9403.70.00"</f>
        <v>9403.70.00</v>
      </c>
      <c r="B10267" s="2" t="str">
        <f>"MÓVEIS DE PLÁSTICO"</f>
        <v>MÓVEIS DE PLÁSTICO</v>
      </c>
    </row>
    <row r="10268" spans="1:2">
      <c r="A10268" s="1" t="str">
        <f>"9403.82.00"</f>
        <v>9403.82.00</v>
      </c>
      <c r="B10268" s="2" t="str">
        <f>"De bambu"</f>
        <v>De bambu</v>
      </c>
    </row>
    <row r="10269" spans="1:2">
      <c r="A10269" s="1" t="str">
        <f>"9403.83.00"</f>
        <v>9403.83.00</v>
      </c>
      <c r="B10269" s="2" t="str">
        <f>"De rotim"</f>
        <v>De rotim</v>
      </c>
    </row>
    <row r="10270" spans="1:2">
      <c r="A10270" s="1" t="str">
        <f>"9403.89.00"</f>
        <v>9403.89.00</v>
      </c>
      <c r="B10270" s="2" t="str">
        <f>"MÓVEIS OUTR. MAT, ROTIM/VIME/BAMBU'"</f>
        <v>MÓVEIS OUTR. MAT, ROTIM/VIME/BAMBU'</v>
      </c>
    </row>
    <row r="10271" spans="1:2">
      <c r="A10271" s="1" t="str">
        <f>"9403.90.10"</f>
        <v>9403.90.10</v>
      </c>
      <c r="B10271" s="2" t="str">
        <f>"DE MADEIRA"</f>
        <v>DE MADEIRA</v>
      </c>
    </row>
    <row r="10272" spans="1:2">
      <c r="A10272" s="1" t="str">
        <f>"9403.90.90"</f>
        <v>9403.90.90</v>
      </c>
      <c r="B10272" s="2" t="str">
        <f>"OUTRAS  -MOVEIS ARMAZENAMENTO"</f>
        <v>OUTRAS  -MOVEIS ARMAZENAMENTO</v>
      </c>
    </row>
    <row r="10273" spans="1:2">
      <c r="A10273" s="1" t="str">
        <f>"9403.99.00"</f>
        <v>9403.99.00</v>
      </c>
      <c r="B10273" s="2" t="str">
        <f>"Outras"</f>
        <v>Outras</v>
      </c>
    </row>
    <row r="10274" spans="1:2">
      <c r="A10274" s="1" t="str">
        <f>"9404.00.00"</f>
        <v>9404.00.00</v>
      </c>
      <c r="B10274" s="2" t="str">
        <f>"INATIVO"</f>
        <v>INATIVO</v>
      </c>
    </row>
    <row r="10275" spans="1:2">
      <c r="A10275" s="1" t="str">
        <f>"9404.10.00"</f>
        <v>9404.10.00</v>
      </c>
      <c r="B10275" s="2" t="str">
        <f>"Suportes para camas (somies)"</f>
        <v>Suportes para camas (somies)</v>
      </c>
    </row>
    <row r="10276" spans="1:2">
      <c r="A10276" s="1" t="str">
        <f>"9404.21.00"</f>
        <v>9404.21.00</v>
      </c>
      <c r="B10276" s="2" t="str">
        <f>"De borracha alveolar ou de plastico"</f>
        <v>De borracha alveolar ou de plastico</v>
      </c>
    </row>
    <row r="10277" spans="1:2">
      <c r="A10277" s="1" t="str">
        <f>"9404.29.00"</f>
        <v>9404.29.00</v>
      </c>
      <c r="B10277" s="2" t="str">
        <f>"De outras materias"</f>
        <v>De outras materias</v>
      </c>
    </row>
    <row r="10278" spans="1:2">
      <c r="A10278" s="1" t="str">
        <f>"9404.30.00"</f>
        <v>9404.30.00</v>
      </c>
      <c r="B10278" s="2" t="str">
        <f>"Sacos de dormir"</f>
        <v>Sacos de dormir</v>
      </c>
    </row>
    <row r="10279" spans="1:2">
      <c r="A10279" s="1" t="str">
        <f>"9404.90.00"</f>
        <v>9404.90.00</v>
      </c>
      <c r="B10279" s="2" t="str">
        <f>"OUTROS"</f>
        <v>OUTROS</v>
      </c>
    </row>
    <row r="10280" spans="1:2">
      <c r="A10280" s="1" t="str">
        <f>"9405.10.10"</f>
        <v>9405.10.10</v>
      </c>
      <c r="B10280" s="2" t="str">
        <f>"Lampadas escialiticas (luzes sem so"</f>
        <v>Lampadas escialiticas (luzes sem so</v>
      </c>
    </row>
    <row r="10281" spans="1:2">
      <c r="A10281" s="1" t="str">
        <f>"9405.10.91"</f>
        <v>9405.10.91</v>
      </c>
      <c r="B10281" s="2" t="str">
        <f>"De pedra"</f>
        <v>De pedra</v>
      </c>
    </row>
    <row r="10282" spans="1:2">
      <c r="A10282" s="1" t="str">
        <f>"9405.10.92"</f>
        <v>9405.10.92</v>
      </c>
      <c r="B10282" s="2" t="str">
        <f>"De vidro"</f>
        <v>De vidro</v>
      </c>
    </row>
    <row r="10283" spans="1:2">
      <c r="A10283" s="1" t="str">
        <f>"9405.10.93"</f>
        <v>9405.10.93</v>
      </c>
      <c r="B10283" s="2" t="str">
        <f>"DE METAIS COMUNS"</f>
        <v>DE METAIS COMUNS</v>
      </c>
    </row>
    <row r="10284" spans="1:2">
      <c r="A10284" s="1" t="str">
        <f>"9405.10.99"</f>
        <v>9405.10.99</v>
      </c>
      <c r="B10284" s="2" t="str">
        <f>"OUTROS"</f>
        <v>OUTROS</v>
      </c>
    </row>
    <row r="10285" spans="1:2">
      <c r="A10285" s="1" t="str">
        <f>"9405.11.90"</f>
        <v>9405.11.90</v>
      </c>
      <c r="B10285" s="2" t="str">
        <f>"Outros"</f>
        <v>Outros</v>
      </c>
    </row>
    <row r="10286" spans="1:2">
      <c r="A10286" s="1" t="str">
        <f>"9405.19.90"</f>
        <v>9405.19.90</v>
      </c>
      <c r="B10286" s="2" t="str">
        <f>"Outros"</f>
        <v>Outros</v>
      </c>
    </row>
    <row r="10287" spans="1:2">
      <c r="A10287" s="1" t="str">
        <f>"9405.20.00"</f>
        <v>9405.20.00</v>
      </c>
      <c r="B10287" s="2" t="str">
        <f>"Abajures (Candeeiros*) de cabeceira"</f>
        <v>Abajures (Candeeiros*) de cabeceira</v>
      </c>
    </row>
    <row r="10288" spans="1:2">
      <c r="A10288" s="1" t="str">
        <f>"9405.30.00"</f>
        <v>9405.30.00</v>
      </c>
      <c r="B10288" s="2" t="str">
        <f>"Guirlandas eletricas do tipo utiliz"</f>
        <v>Guirlandas eletricas do tipo utiliz</v>
      </c>
    </row>
    <row r="10289" spans="1:2">
      <c r="A10289" s="1" t="str">
        <f>"9405.40.10"</f>
        <v>9405.40.10</v>
      </c>
      <c r="B10289" s="2" t="str">
        <f>"OUTROS"</f>
        <v>OUTROS</v>
      </c>
    </row>
    <row r="10290" spans="1:2">
      <c r="A10290" s="1" t="str">
        <f>"9405.40.90"</f>
        <v>9405.40.90</v>
      </c>
      <c r="B10290" s="2" t="str">
        <f>"OUTROS"</f>
        <v>OUTROS</v>
      </c>
    </row>
    <row r="10291" spans="1:2">
      <c r="A10291" s="1" t="str">
        <f>"9405.42.00"</f>
        <v>9405.42.00</v>
      </c>
      <c r="B10291" s="2" t="str">
        <f>"Outros, concebidos para serem utili"</f>
        <v>Outros, concebidos para serem utili</v>
      </c>
    </row>
    <row r="10292" spans="1:2">
      <c r="A10292" s="1" t="str">
        <f>"9405.49.00"</f>
        <v>9405.49.00</v>
      </c>
      <c r="B10292" s="2" t="str">
        <f>"Outros"</f>
        <v>Outros</v>
      </c>
    </row>
    <row r="10293" spans="1:2">
      <c r="A10293" s="1" t="str">
        <f>"9405.50.00"</f>
        <v>9405.50.00</v>
      </c>
      <c r="B10293" s="2" t="str">
        <f>"Aparelhos nao eletricos de iluminac"</f>
        <v>Aparelhos nao eletricos de iluminac</v>
      </c>
    </row>
    <row r="10294" spans="1:2">
      <c r="A10294" s="1" t="str">
        <f>"9405.60.00"</f>
        <v>9405.60.00</v>
      </c>
      <c r="B10294" s="2" t="str">
        <f>"Anúncios, cartazes ou tabuletas"</f>
        <v>Anúncios, cartazes ou tabuletas</v>
      </c>
    </row>
    <row r="10295" spans="1:2">
      <c r="A10295" s="1" t="str">
        <f>"9405.91.00"</f>
        <v>9405.91.00</v>
      </c>
      <c r="B10295" s="2" t="str">
        <f>"De vidro"</f>
        <v>De vidro</v>
      </c>
    </row>
    <row r="10296" spans="1:2">
      <c r="A10296" s="1" t="str">
        <f>"9405.92.00"</f>
        <v>9405.92.00</v>
      </c>
      <c r="B10296" s="2" t="str">
        <f>"De plastico"</f>
        <v>De plastico</v>
      </c>
    </row>
    <row r="10297" spans="1:2">
      <c r="A10297" s="1" t="str">
        <f>"9405.99.00"</f>
        <v>9405.99.00</v>
      </c>
      <c r="B10297" s="2" t="str">
        <f>"Outras"</f>
        <v>Outras</v>
      </c>
    </row>
    <row r="10298" spans="1:2">
      <c r="A10298" s="1" t="str">
        <f>"9406.00.92"</f>
        <v>9406.00.92</v>
      </c>
      <c r="B10298" s="2" t="str">
        <f>"INTIVO"</f>
        <v>INTIVO</v>
      </c>
    </row>
    <row r="10299" spans="1:2">
      <c r="A10299" s="1" t="str">
        <f>"9406.10.00"</f>
        <v>9406.10.00</v>
      </c>
      <c r="B10299" s="2" t="str">
        <f>"INATIVO"</f>
        <v>INATIVO</v>
      </c>
    </row>
    <row r="10300" spans="1:2">
      <c r="A10300" s="1" t="str">
        <f>"9406.10.10"</f>
        <v>9406.10.10</v>
      </c>
      <c r="B10300" s="2" t="str">
        <f>"Estufas"</f>
        <v>Estufas</v>
      </c>
    </row>
    <row r="10301" spans="1:2">
      <c r="A10301" s="1" t="str">
        <f>"9406.10.90"</f>
        <v>9406.10.90</v>
      </c>
      <c r="B10301" s="2" t="str">
        <f>"Outras"</f>
        <v>Outras</v>
      </c>
    </row>
    <row r="10302" spans="1:2">
      <c r="A10302" s="1" t="str">
        <f>"9406.90.10"</f>
        <v>9406.90.10</v>
      </c>
      <c r="B10302" s="2" t="str">
        <f>"Estufas"</f>
        <v>Estufas</v>
      </c>
    </row>
    <row r="10303" spans="1:2">
      <c r="A10303" s="1" t="str">
        <f>"9406.90.20"</f>
        <v>9406.90.20</v>
      </c>
      <c r="B10303" s="2" t="str">
        <f>"Com estrutura de ferro ou aco e par"</f>
        <v>Com estrutura de ferro ou aco e par</v>
      </c>
    </row>
    <row r="10304" spans="1:2">
      <c r="A10304" s="1" t="str">
        <f>"9406.90.90"</f>
        <v>9406.90.90</v>
      </c>
      <c r="B10304" s="2" t="str">
        <f>"Outras"</f>
        <v>Outras</v>
      </c>
    </row>
    <row r="10305" spans="1:2">
      <c r="A10305" s="1" t="str">
        <f>"9415.90.90"</f>
        <v>9415.90.90</v>
      </c>
      <c r="B10305" s="2" t="str">
        <f>"INATIVO"</f>
        <v>INATIVO</v>
      </c>
    </row>
    <row r="10306" spans="1:2">
      <c r="A10306" s="1" t="str">
        <f>"9503.00.10"</f>
        <v>9503.00.10</v>
      </c>
      <c r="B10306" s="2" t="str">
        <f>"Triciclos, patinetes, carros de ped"</f>
        <v>Triciclos, patinetes, carros de ped</v>
      </c>
    </row>
    <row r="10307" spans="1:2">
      <c r="A10307" s="1" t="str">
        <f>"9503.00.21"</f>
        <v>9503.00.21</v>
      </c>
      <c r="B10307" s="2" t="str">
        <f>"Bonecos, mesmo vestidos, com mecani"</f>
        <v>Bonecos, mesmo vestidos, com mecani</v>
      </c>
    </row>
    <row r="10308" spans="1:2">
      <c r="A10308" s="1" t="str">
        <f>"9503.00.22"</f>
        <v>9503.00.22</v>
      </c>
      <c r="B10308" s="2" t="str">
        <f>"OUTROS BONECOS, MESMO VESTIDOS"</f>
        <v>OUTROS BONECOS, MESMO VESTIDOS</v>
      </c>
    </row>
    <row r="10309" spans="1:2">
      <c r="A10309" s="1" t="str">
        <f>"9503.00.29"</f>
        <v>9503.00.29</v>
      </c>
      <c r="B10309" s="2" t="str">
        <f>"Partes e acessorios"</f>
        <v>Partes e acessorios</v>
      </c>
    </row>
    <row r="10310" spans="1:2">
      <c r="A10310" s="1" t="str">
        <f>"9503.00.31"</f>
        <v>9503.00.31</v>
      </c>
      <c r="B10310" s="2" t="str">
        <f>"COELHO DE PASCOA"</f>
        <v>COELHO DE PASCOA</v>
      </c>
    </row>
    <row r="10311" spans="1:2">
      <c r="A10311" s="1" t="str">
        <f>"9503.00.39"</f>
        <v>9503.00.39</v>
      </c>
      <c r="B10311" s="2" t="str">
        <f>"OUTROS"</f>
        <v>OUTROS</v>
      </c>
    </row>
    <row r="10312" spans="1:2">
      <c r="A10312" s="1" t="str">
        <f>"9503.00.40"</f>
        <v>9503.00.40</v>
      </c>
      <c r="B10312" s="2" t="str">
        <f>"Trens eletricos, incluindo os trilh"</f>
        <v>Trens eletricos, incluindo os trilh</v>
      </c>
    </row>
    <row r="10313" spans="1:2">
      <c r="A10313" s="1" t="str">
        <f>"9503.00.50"</f>
        <v>9503.00.50</v>
      </c>
      <c r="B10313" s="2" t="str">
        <f>"Modelos reduzidos, mesmo animados,"</f>
        <v>Modelos reduzidos, mesmo animados,</v>
      </c>
    </row>
    <row r="10314" spans="1:2">
      <c r="A10314" s="1" t="str">
        <f>"9503.00.60"</f>
        <v>9503.00.60</v>
      </c>
      <c r="B10314" s="2" t="str">
        <f>"Outros conjuntos e brinquedos"</f>
        <v>Outros conjuntos e brinquedos</v>
      </c>
    </row>
    <row r="10315" spans="1:2">
      <c r="A10315" s="1" t="str">
        <f>"9503.00.70"</f>
        <v>9503.00.70</v>
      </c>
      <c r="B10315" s="2" t="str">
        <f>"Quebra-cabecas (puzzles)"</f>
        <v>Quebra-cabecas (puzzles)</v>
      </c>
    </row>
    <row r="10316" spans="1:2">
      <c r="A10316" s="1" t="str">
        <f>"9503.00.80"</f>
        <v>9503.00.80</v>
      </c>
      <c r="B10316" s="2" t="str">
        <f>"OUTROS BRINQUEDOS APRESENTAD SORTID"</f>
        <v>OUTROS BRINQUEDOS APRESENTAD SORTID</v>
      </c>
    </row>
    <row r="10317" spans="1:2">
      <c r="A10317" s="1" t="str">
        <f>"9503.00.91"</f>
        <v>9503.00.91</v>
      </c>
      <c r="B10317" s="2" t="str">
        <f>"Instrumentos e aparelhos musicais,"</f>
        <v>Instrumentos e aparelhos musicais,</v>
      </c>
    </row>
    <row r="10318" spans="1:2">
      <c r="A10318" s="1" t="str">
        <f>"9503.00.97"</f>
        <v>9503.00.97</v>
      </c>
      <c r="B10318" s="2" t="str">
        <f>"OUTROS BRINQUEDOS, COM MOTOR ELÉTRI"</f>
        <v>OUTROS BRINQUEDOS, COM MOTOR ELÉTRI</v>
      </c>
    </row>
    <row r="10319" spans="1:2">
      <c r="A10319" s="1" t="str">
        <f>"9503.00.98"</f>
        <v>9503.00.98</v>
      </c>
      <c r="B10319" s="2" t="str">
        <f>"Outros brinquedos, com motor nao el"</f>
        <v>Outros brinquedos, com motor nao el</v>
      </c>
    </row>
    <row r="10320" spans="1:2">
      <c r="A10320" s="1" t="str">
        <f>"9503.00.99"</f>
        <v>9503.00.99</v>
      </c>
      <c r="B10320" s="2" t="str">
        <f>"OUTROS"</f>
        <v>OUTROS</v>
      </c>
    </row>
    <row r="10321" spans="1:2">
      <c r="A10321" s="1" t="str">
        <f>"9504.20.00"</f>
        <v>9504.20.00</v>
      </c>
      <c r="B10321" s="2" t="str">
        <f>"Bilhares de qualquer tipo e seus ac"</f>
        <v>Bilhares de qualquer tipo e seus ac</v>
      </c>
    </row>
    <row r="10322" spans="1:2">
      <c r="A10322" s="1" t="str">
        <f>"9504.30.00"</f>
        <v>9504.30.00</v>
      </c>
      <c r="B10322" s="2" t="str">
        <f>"Outros jogos que funcionem por intr"</f>
        <v>Outros jogos que funcionem por intr</v>
      </c>
    </row>
    <row r="10323" spans="1:2">
      <c r="A10323" s="1" t="str">
        <f>"9504.40.00"</f>
        <v>9504.40.00</v>
      </c>
      <c r="B10323" s="2" t="str">
        <f>"Cartas de jogar"</f>
        <v>Cartas de jogar</v>
      </c>
    </row>
    <row r="10324" spans="1:2">
      <c r="A10324" s="1" t="str">
        <f>"9504.50.00"</f>
        <v>9504.50.00</v>
      </c>
      <c r="B10324" s="2" t="str">
        <f>"Consoles e maquinas de jogos de vid"</f>
        <v>Consoles e maquinas de jogos de vid</v>
      </c>
    </row>
    <row r="10325" spans="1:2">
      <c r="A10325" s="1" t="str">
        <f>"9504.90.10"</f>
        <v>9504.90.10</v>
      </c>
      <c r="B10325" s="2" t="str">
        <f>"Jogos de balizas automaticos (bolic"</f>
        <v>Jogos de balizas automaticos (bolic</v>
      </c>
    </row>
    <row r="10326" spans="1:2">
      <c r="A10326" s="1" t="str">
        <f>"9504.90.90"</f>
        <v>9504.90.90</v>
      </c>
      <c r="B10326" s="2" t="str">
        <f>"Outros"</f>
        <v>Outros</v>
      </c>
    </row>
    <row r="10327" spans="1:2">
      <c r="A10327" s="1" t="str">
        <f>"9505.10.00"</f>
        <v>9505.10.00</v>
      </c>
      <c r="B10327" s="2" t="str">
        <f>"Artigos para festas de Natal"</f>
        <v>Artigos para festas de Natal</v>
      </c>
    </row>
    <row r="10328" spans="1:2">
      <c r="A10328" s="1" t="str">
        <f>"9505.90.00"</f>
        <v>9505.90.00</v>
      </c>
      <c r="B10328" s="2" t="str">
        <f>"Outros"</f>
        <v>Outros</v>
      </c>
    </row>
    <row r="10329" spans="1:2">
      <c r="A10329" s="1" t="str">
        <f>"9506.11.00"</f>
        <v>9506.11.00</v>
      </c>
      <c r="B10329" s="2" t="str">
        <f>"Esquis"</f>
        <v>Esquis</v>
      </c>
    </row>
    <row r="10330" spans="1:2">
      <c r="A10330" s="1" t="str">
        <f>"9506.12.00"</f>
        <v>9506.12.00</v>
      </c>
      <c r="B10330" s="2" t="str">
        <f>"Fixadores para esquis"</f>
        <v>Fixadores para esquis</v>
      </c>
    </row>
    <row r="10331" spans="1:2">
      <c r="A10331" s="1" t="str">
        <f>"9506.19.00"</f>
        <v>9506.19.00</v>
      </c>
      <c r="B10331" s="2" t="str">
        <f>"Outros"</f>
        <v>Outros</v>
      </c>
    </row>
    <row r="10332" spans="1:2">
      <c r="A10332" s="1" t="str">
        <f>"9506.21.00"</f>
        <v>9506.21.00</v>
      </c>
      <c r="B10332" s="2" t="str">
        <f>"Pranchas a vela"</f>
        <v>Pranchas a vela</v>
      </c>
    </row>
    <row r="10333" spans="1:2">
      <c r="A10333" s="1" t="str">
        <f>"9506.29.00"</f>
        <v>9506.29.00</v>
      </c>
      <c r="B10333" s="2" t="str">
        <f>"Outros"</f>
        <v>Outros</v>
      </c>
    </row>
    <row r="10334" spans="1:2">
      <c r="A10334" s="1" t="str">
        <f>"9506.31.00"</f>
        <v>9506.31.00</v>
      </c>
      <c r="B10334" s="2" t="str">
        <f>"Tacos completos"</f>
        <v>Tacos completos</v>
      </c>
    </row>
    <row r="10335" spans="1:2">
      <c r="A10335" s="1" t="str">
        <f>"9506.32.00"</f>
        <v>9506.32.00</v>
      </c>
      <c r="B10335" s="2" t="str">
        <f>"Bolas"</f>
        <v>Bolas</v>
      </c>
    </row>
    <row r="10336" spans="1:2">
      <c r="A10336" s="1" t="str">
        <f>"9506.39.00"</f>
        <v>9506.39.00</v>
      </c>
      <c r="B10336" s="2" t="str">
        <f>"Outros"</f>
        <v>Outros</v>
      </c>
    </row>
    <row r="10337" spans="1:2">
      <c r="A10337" s="1" t="str">
        <f>"9506.40.00"</f>
        <v>9506.40.00</v>
      </c>
      <c r="B10337" s="2" t="str">
        <f>"Artigos e equipamentos para tenis d"</f>
        <v>Artigos e equipamentos para tenis d</v>
      </c>
    </row>
    <row r="10338" spans="1:2">
      <c r="A10338" s="1" t="str">
        <f>"9506.51.00"</f>
        <v>9506.51.00</v>
      </c>
      <c r="B10338" s="2" t="str">
        <f>"Raquetes de tenis, mesmo nao encord"</f>
        <v>Raquetes de tenis, mesmo nao encord</v>
      </c>
    </row>
    <row r="10339" spans="1:2">
      <c r="A10339" s="1" t="str">
        <f>"9506.59.00"</f>
        <v>9506.59.00</v>
      </c>
      <c r="B10339" s="2" t="str">
        <f>"Outras"</f>
        <v>Outras</v>
      </c>
    </row>
    <row r="10340" spans="1:2">
      <c r="A10340" s="1" t="str">
        <f>"9506.61.00"</f>
        <v>9506.61.00</v>
      </c>
      <c r="B10340" s="2" t="str">
        <f>"Bolas de tenis"</f>
        <v>Bolas de tenis</v>
      </c>
    </row>
    <row r="10341" spans="1:2">
      <c r="A10341" s="1" t="str">
        <f>"9506.62.00"</f>
        <v>9506.62.00</v>
      </c>
      <c r="B10341" s="2" t="str">
        <f>"INFLÁVEIS"</f>
        <v>INFLÁVEIS</v>
      </c>
    </row>
    <row r="10342" spans="1:2">
      <c r="A10342" s="1" t="str">
        <f>"9506.69.00"</f>
        <v>9506.69.00</v>
      </c>
      <c r="B10342" s="2" t="str">
        <f>"Outras"</f>
        <v>Outras</v>
      </c>
    </row>
    <row r="10343" spans="1:2">
      <c r="A10343" s="1" t="str">
        <f>"9506.70.00"</f>
        <v>9506.70.00</v>
      </c>
      <c r="B10343" s="2" t="str">
        <f>"Patins para gelo e patins de rodas,"</f>
        <v>Patins para gelo e patins de rodas,</v>
      </c>
    </row>
    <row r="10344" spans="1:2">
      <c r="A10344" s="1" t="str">
        <f>"9506.91.00"</f>
        <v>9506.91.00</v>
      </c>
      <c r="B10344" s="2" t="str">
        <f>"Artigos e equipamentos para cultura"</f>
        <v>Artigos e equipamentos para cultura</v>
      </c>
    </row>
    <row r="10345" spans="1:2">
      <c r="A10345" s="1" t="str">
        <f>"9506.99.00"</f>
        <v>9506.99.00</v>
      </c>
      <c r="B10345" s="2" t="str">
        <f>"Outros"</f>
        <v>Outros</v>
      </c>
    </row>
    <row r="10346" spans="1:2">
      <c r="A10346" s="1" t="str">
        <f>"9507.10.00"</f>
        <v>9507.10.00</v>
      </c>
      <c r="B10346" s="2" t="str">
        <f>"Varas (Canas*) de pesca"</f>
        <v>Varas (Canas*) de pesca</v>
      </c>
    </row>
    <row r="10347" spans="1:2">
      <c r="A10347" s="1" t="str">
        <f>"9507.20.00"</f>
        <v>9507.20.00</v>
      </c>
      <c r="B10347" s="2" t="str">
        <f>"Anzois, mesmo montados em sedelas ("</f>
        <v>Anzois, mesmo montados em sedelas (</v>
      </c>
    </row>
    <row r="10348" spans="1:2">
      <c r="A10348" s="1" t="str">
        <f>"9507.30.00"</f>
        <v>9507.30.00</v>
      </c>
      <c r="B10348" s="2" t="str">
        <f>"Molinetes (Carretos*) de pesca"</f>
        <v>Molinetes (Carretos*) de pesca</v>
      </c>
    </row>
    <row r="10349" spans="1:2">
      <c r="A10349" s="1" t="str">
        <f>"9507.90.00"</f>
        <v>9507.90.00</v>
      </c>
      <c r="B10349" s="2" t="str">
        <f>"Outros"</f>
        <v>Outros</v>
      </c>
    </row>
    <row r="10350" spans="1:2">
      <c r="A10350" s="1" t="str">
        <f>"9508.10.00"</f>
        <v>9508.10.00</v>
      </c>
      <c r="B10350" s="2" t="str">
        <f>"Circos ambulantes e colecoes de ani"</f>
        <v>Circos ambulantes e colecoes de ani</v>
      </c>
    </row>
    <row r="10351" spans="1:2">
      <c r="A10351" s="1" t="str">
        <f>"9508.90.10"</f>
        <v>9508.90.10</v>
      </c>
      <c r="B10351" s="2" t="str">
        <f>"Montanha-russa com percurso igual o"</f>
        <v>Montanha-russa com percurso igual o</v>
      </c>
    </row>
    <row r="10352" spans="1:2">
      <c r="A10352" s="1" t="str">
        <f>"9508.90.20"</f>
        <v>9508.90.20</v>
      </c>
      <c r="B10352" s="2" t="str">
        <f>"Carrosseis, mesmo dotados de dispos"</f>
        <v>Carrosseis, mesmo dotados de dispos</v>
      </c>
    </row>
    <row r="10353" spans="1:2">
      <c r="A10353" s="1" t="str">
        <f>"9508.90.30"</f>
        <v>9508.90.30</v>
      </c>
      <c r="B10353" s="2" t="str">
        <f>"Vagonetes do tipo utilizado em mont"</f>
        <v>Vagonetes do tipo utilizado em mont</v>
      </c>
    </row>
    <row r="10354" spans="1:2">
      <c r="A10354" s="1" t="str">
        <f>"9508.90.90"</f>
        <v>9508.90.90</v>
      </c>
      <c r="B10354" s="2" t="str">
        <f>"Outros"</f>
        <v>Outros</v>
      </c>
    </row>
    <row r="10355" spans="1:2">
      <c r="A10355" s="1" t="str">
        <f>"9536.69.90"</f>
        <v>9536.69.90</v>
      </c>
      <c r="B10355" s="2" t="str">
        <f>"INATIVA - PLUG FEMEA"</f>
        <v>INATIVA - PLUG FEMEA</v>
      </c>
    </row>
    <row r="10356" spans="1:2">
      <c r="A10356" s="1" t="str">
        <f>"9601.10.00"</f>
        <v>9601.10.00</v>
      </c>
      <c r="B10356" s="2" t="str">
        <f>"Marfim trabalhado e obras de marfim"</f>
        <v>Marfim trabalhado e obras de marfim</v>
      </c>
    </row>
    <row r="10357" spans="1:2">
      <c r="A10357" s="1" t="str">
        <f>"9601.90.00"</f>
        <v>9601.90.00</v>
      </c>
      <c r="B10357" s="2" t="str">
        <f>"Outros"</f>
        <v>Outros</v>
      </c>
    </row>
    <row r="10358" spans="1:2">
      <c r="A10358" s="1" t="str">
        <f>"9602.00.10"</f>
        <v>9602.00.10</v>
      </c>
      <c r="B10358" s="2" t="str">
        <f>"Capsulas de gelatinas digeriveis"</f>
        <v>Capsulas de gelatinas digeriveis</v>
      </c>
    </row>
    <row r="10359" spans="1:2">
      <c r="A10359" s="1" t="str">
        <f>"9602.00.20"</f>
        <v>9602.00.20</v>
      </c>
      <c r="B10359" s="2" t="str">
        <f>"Colmeias artificiais"</f>
        <v>Colmeias artificiais</v>
      </c>
    </row>
    <row r="10360" spans="1:2">
      <c r="A10360" s="1" t="str">
        <f>"9602.00.90"</f>
        <v>9602.00.90</v>
      </c>
      <c r="B10360" s="2" t="str">
        <f>"Outras"</f>
        <v>Outras</v>
      </c>
    </row>
    <row r="10361" spans="1:2">
      <c r="A10361" s="1" t="str">
        <f>"9603.10.00"</f>
        <v>9603.10.00</v>
      </c>
      <c r="B10361" s="2" t="str">
        <f>"VASSOURAS E ESCOVAS"</f>
        <v>VASSOURAS E ESCOVAS</v>
      </c>
    </row>
    <row r="10362" spans="1:2">
      <c r="A10362" s="1" t="str">
        <f>"9603.21.00"</f>
        <v>9603.21.00</v>
      </c>
      <c r="B10362" s="2" t="str">
        <f>"Escovas de dentes, incluindo as esc"</f>
        <v>Escovas de dentes, incluindo as esc</v>
      </c>
    </row>
    <row r="10363" spans="1:2">
      <c r="A10363" s="1" t="str">
        <f>"9603.29.00"</f>
        <v>9603.29.00</v>
      </c>
      <c r="B10363" s="2" t="str">
        <f>"Outros"</f>
        <v>Outros</v>
      </c>
    </row>
    <row r="10364" spans="1:2">
      <c r="A10364" s="1" t="str">
        <f>"9603.30.00"</f>
        <v>9603.30.00</v>
      </c>
      <c r="B10364" s="2" t="str">
        <f>"PINCÉIS E ESCOVAS"</f>
        <v>PINCÉIS E ESCOVAS</v>
      </c>
    </row>
    <row r="10365" spans="1:2">
      <c r="A10365" s="1" t="str">
        <f>"9603.40.10"</f>
        <v>9603.40.10</v>
      </c>
      <c r="B10365" s="2" t="str">
        <f>"ROLOS"</f>
        <v>ROLOS</v>
      </c>
    </row>
    <row r="10366" spans="1:2">
      <c r="A10366" s="1" t="str">
        <f>"9603.40.90"</f>
        <v>9603.40.90</v>
      </c>
      <c r="B10366" s="2" t="str">
        <f>"OUTROS - ESCOVA TUFADA"</f>
        <v>OUTROS - ESCOVA TUFADA</v>
      </c>
    </row>
    <row r="10367" spans="1:2">
      <c r="A10367" s="1" t="str">
        <f>"9603.50.00"</f>
        <v>9603.50.00</v>
      </c>
      <c r="B10367" s="2" t="str">
        <f>"ESCOVA TUFADA"</f>
        <v>ESCOVA TUFADA</v>
      </c>
    </row>
    <row r="10368" spans="1:2">
      <c r="A10368" s="1" t="str">
        <f>"9603.90.00"</f>
        <v>9603.90.00</v>
      </c>
      <c r="B10368" s="2" t="str">
        <f>"OUTROS - ESCOVA REDONDA"</f>
        <v>OUTROS - ESCOVA REDONDA</v>
      </c>
    </row>
    <row r="10369" spans="1:2">
      <c r="A10369" s="1" t="str">
        <f>"9603.90.90"</f>
        <v>9603.90.90</v>
      </c>
      <c r="B10369" s="2" t="str">
        <f>"INATIVA - ESCOVA EM ROLO"</f>
        <v>INATIVA - ESCOVA EM ROLO</v>
      </c>
    </row>
    <row r="10370" spans="1:2">
      <c r="A10370" s="1" t="str">
        <f>"9604.00.00"</f>
        <v>9604.00.00</v>
      </c>
      <c r="B10370" s="2" t="str">
        <f>"Peneiras e crivos, manuais."</f>
        <v>Peneiras e crivos, manuais.</v>
      </c>
    </row>
    <row r="10371" spans="1:2">
      <c r="A10371" s="1" t="str">
        <f>"9605.00.00"</f>
        <v>9605.00.00</v>
      </c>
      <c r="B10371" s="2" t="str">
        <f>"Conjuntos de viagem para toucador d"</f>
        <v>Conjuntos de viagem para toucador d</v>
      </c>
    </row>
    <row r="10372" spans="1:2">
      <c r="A10372" s="1" t="str">
        <f>"9606.10.00"</f>
        <v>9606.10.00</v>
      </c>
      <c r="B10372" s="2" t="str">
        <f>"Botoes de pressao e suas partes"</f>
        <v>Botoes de pressao e suas partes</v>
      </c>
    </row>
    <row r="10373" spans="1:2">
      <c r="A10373" s="1" t="str">
        <f>"9606.21.00"</f>
        <v>9606.21.00</v>
      </c>
      <c r="B10373" s="2" t="str">
        <f>"De plastico, nao recobertos de mate"</f>
        <v>De plastico, nao recobertos de mate</v>
      </c>
    </row>
    <row r="10374" spans="1:2">
      <c r="A10374" s="1" t="str">
        <f>"9606.22.00"</f>
        <v>9606.22.00</v>
      </c>
      <c r="B10374" s="2" t="str">
        <f>"De metais comuns, nao recobertos de"</f>
        <v>De metais comuns, nao recobertos de</v>
      </c>
    </row>
    <row r="10375" spans="1:2">
      <c r="A10375" s="1" t="str">
        <f>"9606.29.00"</f>
        <v>9606.29.00</v>
      </c>
      <c r="B10375" s="2" t="str">
        <f>"Outros"</f>
        <v>Outros</v>
      </c>
    </row>
    <row r="10376" spans="1:2">
      <c r="A10376" s="1" t="str">
        <f>"9606.30.00"</f>
        <v>9606.30.00</v>
      </c>
      <c r="B10376" s="2" t="str">
        <f>"Formas e outras partes, de botoes;"</f>
        <v>Formas e outras partes, de botoes;</v>
      </c>
    </row>
    <row r="10377" spans="1:2">
      <c r="A10377" s="1" t="str">
        <f>"9607.11.00"</f>
        <v>9607.11.00</v>
      </c>
      <c r="B10377" s="2" t="str">
        <f>"Com grampos de metal comum"</f>
        <v>Com grampos de metal comum</v>
      </c>
    </row>
    <row r="10378" spans="1:2">
      <c r="A10378" s="1" t="str">
        <f>"9607.19.00"</f>
        <v>9607.19.00</v>
      </c>
      <c r="B10378" s="2" t="str">
        <f>"Outros"</f>
        <v>Outros</v>
      </c>
    </row>
    <row r="10379" spans="1:2">
      <c r="A10379" s="1" t="str">
        <f>"9607.20.00"</f>
        <v>9607.20.00</v>
      </c>
      <c r="B10379" s="2" t="str">
        <f>"Partes"</f>
        <v>Partes</v>
      </c>
    </row>
    <row r="10380" spans="1:2">
      <c r="A10380" s="1" t="str">
        <f>"9608.10.00"</f>
        <v>9608.10.00</v>
      </c>
      <c r="B10380" s="2" t="str">
        <f>"CANETAS ESFEROGRAFICAS"</f>
        <v>CANETAS ESFEROGRAFICAS</v>
      </c>
    </row>
    <row r="10381" spans="1:2">
      <c r="A10381" s="1" t="str">
        <f>"9608.20.00"</f>
        <v>9608.20.00</v>
      </c>
      <c r="B10381" s="2" t="str">
        <f>"CANETAS E MARCADORES, COM PONTA DE"</f>
        <v>CANETAS E MARCADORES, COM PONTA DE</v>
      </c>
    </row>
    <row r="10382" spans="1:2">
      <c r="A10382" s="1" t="str">
        <f>"9608.30.00"</f>
        <v>9608.30.00</v>
      </c>
      <c r="B10382" s="2" t="str">
        <f>"Canetas-tinteiro (Canetas de tinta"</f>
        <v>Canetas-tinteiro (Canetas de tinta</v>
      </c>
    </row>
    <row r="10383" spans="1:2">
      <c r="A10383" s="1" t="str">
        <f>"9608.39.00"</f>
        <v>9608.39.00</v>
      </c>
      <c r="B10383" s="2" t="str">
        <f>"INATIVO"</f>
        <v>INATIVO</v>
      </c>
    </row>
    <row r="10384" spans="1:2">
      <c r="A10384" s="1" t="str">
        <f>"9608.40.00"</f>
        <v>9608.40.00</v>
      </c>
      <c r="B10384" s="2" t="str">
        <f>"LAPISEIRAS"</f>
        <v>LAPISEIRAS</v>
      </c>
    </row>
    <row r="10385" spans="1:2">
      <c r="A10385" s="1" t="str">
        <f>"9608.50.00"</f>
        <v>9608.50.00</v>
      </c>
      <c r="B10385" s="2" t="str">
        <f>"Sortidos de artigos de, pelo menos,"</f>
        <v>Sortidos de artigos de, pelo menos,</v>
      </c>
    </row>
    <row r="10386" spans="1:2">
      <c r="A10386" s="1" t="str">
        <f>"9608.60.00"</f>
        <v>9608.60.00</v>
      </c>
      <c r="B10386" s="2" t="str">
        <f>"Cargas com ponta, para canetas esfe"</f>
        <v>Cargas com ponta, para canetas esfe</v>
      </c>
    </row>
    <row r="10387" spans="1:2">
      <c r="A10387" s="1" t="str">
        <f>"9608.91.00"</f>
        <v>9608.91.00</v>
      </c>
      <c r="B10387" s="2" t="str">
        <f>"Penas (Aparos*) e suas pontas"</f>
        <v>Penas (Aparos*) e suas pontas</v>
      </c>
    </row>
    <row r="10388" spans="1:2">
      <c r="A10388" s="1" t="str">
        <f>"9608.99.81"</f>
        <v>9608.99.81</v>
      </c>
      <c r="B10388" s="2" t="str">
        <f>"Pontas porosas para os artigos da s"</f>
        <v>Pontas porosas para os artigos da s</v>
      </c>
    </row>
    <row r="10389" spans="1:2">
      <c r="A10389" s="1" t="str">
        <f>"9608.99.89"</f>
        <v>9608.99.89</v>
      </c>
      <c r="B10389" s="2" t="str">
        <f>"Outras"</f>
        <v>Outras</v>
      </c>
    </row>
    <row r="10390" spans="1:2">
      <c r="A10390" s="1" t="str">
        <f>"9608.99.90"</f>
        <v>9608.99.90</v>
      </c>
      <c r="B10390" s="2" t="str">
        <f>"Outros"</f>
        <v>Outros</v>
      </c>
    </row>
    <row r="10391" spans="1:2">
      <c r="A10391" s="1" t="str">
        <f>"9609.10.00"</f>
        <v>9609.10.00</v>
      </c>
      <c r="B10391" s="2" t="str">
        <f>"Lapis com ponta grafite"</f>
        <v>Lapis com ponta grafite</v>
      </c>
    </row>
    <row r="10392" spans="1:2">
      <c r="A10392" s="1" t="str">
        <f>"9609.20.00"</f>
        <v>9609.20.00</v>
      </c>
      <c r="B10392" s="2" t="str">
        <f>"MINAS PARA LÁPIS OU PARA LAPISEIRAS"</f>
        <v>MINAS PARA LÁPIS OU PARA LAPISEIRAS</v>
      </c>
    </row>
    <row r="10393" spans="1:2">
      <c r="A10393" s="1" t="str">
        <f>"9609.90.00"</f>
        <v>9609.90.00</v>
      </c>
      <c r="B10393" s="2" t="str">
        <f>"OUTROS"</f>
        <v>OUTROS</v>
      </c>
    </row>
    <row r="10394" spans="1:2">
      <c r="A10394" s="1" t="str">
        <f>"9610.00.00"</f>
        <v>9610.00.00</v>
      </c>
      <c r="B10394" s="2" t="str">
        <f>"LOUSAS/QUADROS P/  ESCREV/DESENHAR"</f>
        <v>LOUSAS/QUADROS P/  ESCREV/DESENHAR</v>
      </c>
    </row>
    <row r="10395" spans="1:2">
      <c r="A10395" s="1" t="str">
        <f>"9611.00.00"</f>
        <v>9611.00.00</v>
      </c>
      <c r="B10395" s="2" t="str">
        <f>"CARIMBOS, INCLUINDO OS DATADORES"</f>
        <v>CARIMBOS, INCLUINDO OS DATADORES</v>
      </c>
    </row>
    <row r="10396" spans="1:2">
      <c r="A10396" s="1" t="str">
        <f>"9612.10.00"</f>
        <v>9612.10.00</v>
      </c>
      <c r="B10396" s="2" t="str">
        <f>"Fitas Impressoras"</f>
        <v>Fitas Impressoras</v>
      </c>
    </row>
    <row r="10397" spans="1:2">
      <c r="A10397" s="1" t="str">
        <f>"9612.10.11"</f>
        <v>9612.10.11</v>
      </c>
      <c r="B10397" s="2" t="str">
        <f>"Com tinta magnetizavel a base de ox"</f>
        <v>Com tinta magnetizavel a base de ox</v>
      </c>
    </row>
    <row r="10398" spans="1:2">
      <c r="A10398" s="1" t="str">
        <f>"9612.10.12"</f>
        <v>9612.10.12</v>
      </c>
      <c r="B10398" s="2" t="str">
        <f>"Corretivas (tipo cover up), para ma"</f>
        <v>Corretivas (tipo cover up), para ma</v>
      </c>
    </row>
    <row r="10399" spans="1:2">
      <c r="A10399" s="1" t="str">
        <f>"9612.10.13"</f>
        <v>9612.10.13</v>
      </c>
      <c r="B10399" s="2" t="str">
        <f>"Outras, apresentadas em cartucho, p"</f>
        <v>Outras, apresentadas em cartucho, p</v>
      </c>
    </row>
    <row r="10400" spans="1:2">
      <c r="A10400" s="1" t="str">
        <f>"9612.10.19"</f>
        <v>9612.10.19</v>
      </c>
      <c r="B10400" s="2" t="str">
        <f>"OUTRAS"</f>
        <v>OUTRAS</v>
      </c>
    </row>
    <row r="10401" spans="1:2">
      <c r="A10401" s="1" t="str">
        <f>"9612.10.90"</f>
        <v>9612.10.90</v>
      </c>
      <c r="B10401" s="2" t="str">
        <f>"OUTRAS"</f>
        <v>OUTRAS</v>
      </c>
    </row>
    <row r="10402" spans="1:2">
      <c r="A10402" s="1" t="str">
        <f>"9612.20.00"</f>
        <v>9612.20.00</v>
      </c>
      <c r="B10402" s="2" t="str">
        <f>"ALMOFADAS DE CARIMBO"</f>
        <v>ALMOFADAS DE CARIMBO</v>
      </c>
    </row>
    <row r="10403" spans="1:2">
      <c r="A10403" s="1" t="str">
        <f>"9613.10.00"</f>
        <v>9613.10.00</v>
      </c>
      <c r="B10403" s="2" t="str">
        <f>"Isqueiros de bolso, a gas, nao reca"</f>
        <v>Isqueiros de bolso, a gas, nao reca</v>
      </c>
    </row>
    <row r="10404" spans="1:2">
      <c r="A10404" s="1" t="str">
        <f>"9613.20.00"</f>
        <v>9613.20.00</v>
      </c>
      <c r="B10404" s="2" t="str">
        <f>"Isqueiros de bolso, a gas, recarreg"</f>
        <v>Isqueiros de bolso, a gas, recarreg</v>
      </c>
    </row>
    <row r="10405" spans="1:2">
      <c r="A10405" s="1" t="str">
        <f>"9613.80.00"</f>
        <v>9613.80.00</v>
      </c>
      <c r="B10405" s="2" t="str">
        <f>"Outros isqueiros e acendedores"</f>
        <v>Outros isqueiros e acendedores</v>
      </c>
    </row>
    <row r="10406" spans="1:2">
      <c r="A10406" s="1" t="str">
        <f>"9613.90.00"</f>
        <v>9613.90.00</v>
      </c>
      <c r="B10406" s="2" t="str">
        <f>"Partes"</f>
        <v>Partes</v>
      </c>
    </row>
    <row r="10407" spans="1:2">
      <c r="A10407" s="1" t="str">
        <f>"9614.00.00"</f>
        <v>9614.00.00</v>
      </c>
      <c r="B10407" s="2" t="str">
        <f>"Cachimbos (incluindo os seus fornil"</f>
        <v>Cachimbos (incluindo os seus fornil</v>
      </c>
    </row>
    <row r="10408" spans="1:2">
      <c r="A10408" s="1" t="str">
        <f>"9615.11.00"</f>
        <v>9615.11.00</v>
      </c>
      <c r="B10408" s="2" t="str">
        <f>"De borracha endurecida ou de plasti"</f>
        <v>De borracha endurecida ou de plasti</v>
      </c>
    </row>
    <row r="10409" spans="1:2">
      <c r="A10409" s="1" t="str">
        <f>"9615.19.00"</f>
        <v>9615.19.00</v>
      </c>
      <c r="B10409" s="2" t="str">
        <f>"Outros"</f>
        <v>Outros</v>
      </c>
    </row>
    <row r="10410" spans="1:2">
      <c r="A10410" s="1" t="str">
        <f>"9615.90.00"</f>
        <v>9615.90.00</v>
      </c>
      <c r="B10410" s="2" t="str">
        <f>"Outros"</f>
        <v>Outros</v>
      </c>
    </row>
    <row r="10411" spans="1:2">
      <c r="A10411" s="1" t="str">
        <f>"9616.10.00"</f>
        <v>9616.10.00</v>
      </c>
      <c r="B10411" s="2" t="str">
        <f>"Vaporizadores de toucador, suas arm"</f>
        <v>Vaporizadores de toucador, suas arm</v>
      </c>
    </row>
    <row r="10412" spans="1:2">
      <c r="A10412" s="1" t="str">
        <f>"9616.20.00"</f>
        <v>9616.20.00</v>
      </c>
      <c r="B10412" s="2" t="str">
        <f>"Borlas ou esponjas para pos ou para"</f>
        <v>Borlas ou esponjas para pos ou para</v>
      </c>
    </row>
    <row r="10413" spans="1:2">
      <c r="A10413" s="1" t="str">
        <f>"9617.00.10"</f>
        <v>9617.00.10</v>
      </c>
      <c r="B10413" s="2" t="str">
        <f>"Garrafas termicas e outros recipien"</f>
        <v>Garrafas termicas e outros recipien</v>
      </c>
    </row>
    <row r="10414" spans="1:2">
      <c r="A10414" s="1" t="str">
        <f>"9617.00.20"</f>
        <v>9617.00.20</v>
      </c>
      <c r="B10414" s="2" t="str">
        <f>"Partes"</f>
        <v>Partes</v>
      </c>
    </row>
    <row r="10415" spans="1:2">
      <c r="A10415" s="1" t="str">
        <f>"9618.00.00"</f>
        <v>9618.00.00</v>
      </c>
      <c r="B10415" s="2" t="str">
        <f>"MANEQUINS E ARTIGOS SEMELHANTES"</f>
        <v>MANEQUINS E ARTIGOS SEMELHANTES</v>
      </c>
    </row>
    <row r="10416" spans="1:2">
      <c r="A10416" s="1" t="str">
        <f>"9619.00.00"</f>
        <v>9619.00.00</v>
      </c>
      <c r="B10416" s="2" t="str">
        <f>"Absorventes (Pensos*) e tampoes hig"</f>
        <v>Absorventes (Pensos*) e tampoes hig</v>
      </c>
    </row>
    <row r="10417" spans="1:2">
      <c r="A10417" s="1" t="str">
        <f>"9620.00.00"</f>
        <v>9620.00.00</v>
      </c>
      <c r="B10417" s="2" t="str">
        <f>"Monopes, bipes, tripes e artigos se"</f>
        <v>Monopes, bipes, tripes e artigos se</v>
      </c>
    </row>
    <row r="10418" spans="1:2">
      <c r="A10418" s="1" t="str">
        <f>"9626.10.29"</f>
        <v>9626.10.29</v>
      </c>
      <c r="B10418" s="2" t="str">
        <f>"INATIVO"</f>
        <v>INATIVO</v>
      </c>
    </row>
    <row r="10419" spans="1:2">
      <c r="A10419" s="1" t="str">
        <f>"9701.10.00"</f>
        <v>9701.10.00</v>
      </c>
      <c r="B10419" s="2" t="str">
        <f>"Quadros, pinturas e desenhos"</f>
        <v>Quadros, pinturas e desenhos</v>
      </c>
    </row>
    <row r="10420" spans="1:2">
      <c r="A10420" s="1" t="str">
        <f>"9701.21.00"</f>
        <v>9701.21.00</v>
      </c>
      <c r="B10420" s="2" t="str">
        <f>"Quadros, pinturas e desenhos"</f>
        <v>Quadros, pinturas e desenhos</v>
      </c>
    </row>
    <row r="10421" spans="1:2">
      <c r="A10421" s="1" t="str">
        <f>"9701.29.00"</f>
        <v>9701.29.00</v>
      </c>
      <c r="B10421" s="2" t="str">
        <f>"Outros"</f>
        <v>Outros</v>
      </c>
    </row>
    <row r="10422" spans="1:2">
      <c r="A10422" s="1" t="str">
        <f>"9701.90.00"</f>
        <v>9701.90.00</v>
      </c>
      <c r="B10422" s="2" t="str">
        <f>"Outros"</f>
        <v>Outros</v>
      </c>
    </row>
    <row r="10423" spans="1:2">
      <c r="A10423" s="1" t="str">
        <f>"9701.91.00"</f>
        <v>9701.91.00</v>
      </c>
      <c r="B10423" s="2" t="str">
        <f>"Quadros, pinturas e desenhos"</f>
        <v>Quadros, pinturas e desenhos</v>
      </c>
    </row>
    <row r="10424" spans="1:2">
      <c r="A10424" s="1" t="str">
        <f>"9702.00.00"</f>
        <v>9702.00.00</v>
      </c>
      <c r="B10424" s="2" t="str">
        <f>"Gravuras, estampas e litografias, o"</f>
        <v>Gravuras, estampas e litografias, o</v>
      </c>
    </row>
    <row r="10425" spans="1:2">
      <c r="A10425" s="1" t="str">
        <f>"9703.00.00"</f>
        <v>9703.00.00</v>
      </c>
      <c r="B10425" s="2" t="str">
        <f>"Producoes originais de arte estatua"</f>
        <v>Producoes originais de arte estatua</v>
      </c>
    </row>
    <row r="10426" spans="1:2">
      <c r="A10426" s="1" t="str">
        <f>"9704.00.00"</f>
        <v>9704.00.00</v>
      </c>
      <c r="B10426" s="2" t="str">
        <f>"OUTROS"</f>
        <v>OUTROS</v>
      </c>
    </row>
    <row r="10427" spans="1:2">
      <c r="A10427" s="1" t="str">
        <f>"9705.00.00"</f>
        <v>9705.00.00</v>
      </c>
      <c r="B10427" s="2" t="str">
        <f>"Colecoes e especimes para colecoes,"</f>
        <v>Colecoes e especimes para colecoes,</v>
      </c>
    </row>
    <row r="10428" spans="1:2">
      <c r="A10428" s="1" t="str">
        <f>"9706.00.00"</f>
        <v>9706.00.00</v>
      </c>
      <c r="B10428" s="2" t="str">
        <f>"Antiguidades com mais de 100 anos."</f>
        <v>Antiguidades com mais de 100 anos.</v>
      </c>
    </row>
    <row r="10429" spans="1:2">
      <c r="A10429" s="1" t="str">
        <f>"9706.10.00"</f>
        <v>9706.10.00</v>
      </c>
      <c r="B10429" s="2" t="str">
        <f>"Com mais de 250 anos"</f>
        <v>Com mais de 250 anos</v>
      </c>
    </row>
    <row r="10430" spans="1:2">
      <c r="A10430" s="1" t="str">
        <f>"9918.90.99"</f>
        <v>9918.90.99</v>
      </c>
      <c r="B10430" s="2" t="str">
        <f>"INATIVO"</f>
        <v>INATIVO</v>
      </c>
    </row>
    <row r="10431" spans="1:2">
      <c r="A10431" s="1" t="str">
        <f>"9925.11.99"</f>
        <v>9925.11.99</v>
      </c>
      <c r="B10431" s="2" t="str">
        <f>"Outros"</f>
        <v>Outros</v>
      </c>
    </row>
    <row r="10432" spans="1:2" ht="15" thickBot="1">
      <c r="A10432" s="3" t="str">
        <f>"9999.99.99"</f>
        <v>9999.99.99</v>
      </c>
      <c r="B10432" s="4" t="str">
        <f>"OUTROS"</f>
        <v>OUTROS</v>
      </c>
    </row>
    <row r="10433" spans="1:1">
      <c r="A10433" t="s">
        <v>6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8BA8AF-5584-4725-B2C1-654BE7B41FA4}"/>
</file>

<file path=customXml/itemProps2.xml><?xml version="1.0" encoding="utf-8"?>
<ds:datastoreItem xmlns:ds="http://schemas.openxmlformats.org/officeDocument/2006/customXml" ds:itemID="{0525EB03-8F70-428A-B1C3-D715B6B79F0A}"/>
</file>

<file path=customXml/itemProps3.xml><?xml version="1.0" encoding="utf-8"?>
<ds:datastoreItem xmlns:ds="http://schemas.openxmlformats.org/officeDocument/2006/customXml" ds:itemID="{1534D296-2526-4FE3-94AF-495D4C6EBE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2025-01-16T12:13:23Z</dcterms:created>
  <dcterms:modified xsi:type="dcterms:W3CDTF">2025-01-16T14:00:50Z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