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FAC2374-E168-4F3E-B06F-9F996A6C4E76}" xr6:coauthVersionLast="47" xr6:coauthVersionMax="47" xr10:uidLastSave="{00000000-0000-0000-0000-000000000000}"/>
  <bookViews>
    <workbookView xWindow="-108" yWindow="-108" windowWidth="23256" windowHeight="14016" xr2:uid="{83D95747-219D-463E-B46D-AE7350DEFB3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  <c r="B491" i="1"/>
  <c r="C491" i="1"/>
  <c r="D491" i="1"/>
  <c r="E491" i="1"/>
  <c r="B492" i="1"/>
  <c r="C492" i="1"/>
  <c r="D492" i="1"/>
  <c r="E492" i="1"/>
  <c r="B493" i="1"/>
  <c r="C493" i="1"/>
  <c r="D493" i="1"/>
  <c r="E493" i="1"/>
  <c r="B494" i="1"/>
  <c r="C494" i="1"/>
  <c r="D494" i="1"/>
  <c r="E494" i="1"/>
  <c r="B495" i="1"/>
  <c r="C495" i="1"/>
  <c r="D495" i="1"/>
  <c r="E495" i="1"/>
  <c r="B496" i="1"/>
  <c r="C496" i="1"/>
  <c r="D496" i="1"/>
  <c r="E496" i="1"/>
  <c r="B497" i="1"/>
  <c r="C497" i="1"/>
  <c r="D497" i="1"/>
  <c r="E497" i="1"/>
  <c r="B498" i="1"/>
  <c r="C498" i="1"/>
  <c r="D498" i="1"/>
  <c r="E498" i="1"/>
  <c r="B499" i="1"/>
  <c r="C499" i="1"/>
  <c r="D499" i="1"/>
  <c r="E499" i="1"/>
  <c r="B500" i="1"/>
  <c r="C500" i="1"/>
  <c r="D500" i="1"/>
  <c r="E500" i="1"/>
  <c r="B501" i="1"/>
  <c r="C501" i="1"/>
  <c r="D501" i="1"/>
  <c r="E501" i="1"/>
  <c r="B502" i="1"/>
  <c r="C502" i="1"/>
  <c r="D502" i="1"/>
  <c r="E502" i="1"/>
  <c r="B503" i="1"/>
  <c r="C503" i="1"/>
  <c r="D503" i="1"/>
  <c r="E503" i="1"/>
  <c r="B504" i="1"/>
  <c r="C504" i="1"/>
  <c r="D504" i="1"/>
  <c r="E504" i="1"/>
  <c r="B505" i="1"/>
  <c r="C505" i="1"/>
  <c r="D505" i="1"/>
  <c r="E505" i="1"/>
  <c r="B506" i="1"/>
  <c r="C506" i="1"/>
  <c r="D506" i="1"/>
  <c r="E506" i="1"/>
  <c r="B507" i="1"/>
  <c r="C507" i="1"/>
  <c r="D507" i="1"/>
  <c r="E507" i="1"/>
  <c r="B508" i="1"/>
  <c r="C508" i="1"/>
  <c r="D508" i="1"/>
  <c r="E508" i="1"/>
  <c r="B509" i="1"/>
  <c r="C509" i="1"/>
  <c r="D509" i="1"/>
  <c r="E509" i="1"/>
  <c r="B510" i="1"/>
  <c r="C510" i="1"/>
  <c r="D510" i="1"/>
  <c r="E510" i="1"/>
  <c r="B511" i="1"/>
  <c r="C511" i="1"/>
  <c r="D511" i="1"/>
  <c r="E511" i="1"/>
  <c r="B512" i="1"/>
  <c r="C512" i="1"/>
  <c r="D512" i="1"/>
  <c r="E512" i="1"/>
  <c r="B513" i="1"/>
  <c r="C513" i="1"/>
  <c r="D513" i="1"/>
  <c r="E513" i="1"/>
  <c r="B514" i="1"/>
  <c r="C514" i="1"/>
  <c r="D514" i="1"/>
  <c r="E514" i="1"/>
  <c r="B515" i="1"/>
  <c r="C515" i="1"/>
  <c r="D515" i="1"/>
  <c r="E515" i="1"/>
  <c r="B516" i="1"/>
  <c r="C516" i="1"/>
  <c r="D516" i="1"/>
  <c r="E516" i="1"/>
  <c r="B517" i="1"/>
  <c r="C517" i="1"/>
  <c r="D517" i="1"/>
  <c r="E517" i="1"/>
  <c r="B518" i="1"/>
  <c r="C518" i="1"/>
  <c r="D518" i="1"/>
  <c r="E518" i="1"/>
  <c r="B519" i="1"/>
  <c r="C519" i="1"/>
  <c r="D519" i="1"/>
  <c r="E519" i="1"/>
  <c r="B520" i="1"/>
  <c r="C520" i="1"/>
  <c r="D520" i="1"/>
  <c r="E520" i="1"/>
  <c r="B521" i="1"/>
  <c r="C521" i="1"/>
  <c r="D521" i="1"/>
  <c r="E521" i="1"/>
  <c r="B522" i="1"/>
  <c r="C522" i="1"/>
  <c r="D522" i="1"/>
  <c r="E522" i="1"/>
  <c r="B523" i="1"/>
  <c r="C523" i="1"/>
  <c r="D523" i="1"/>
  <c r="E523" i="1"/>
  <c r="B524" i="1"/>
  <c r="C524" i="1"/>
  <c r="D524" i="1"/>
  <c r="E524" i="1"/>
  <c r="B525" i="1"/>
  <c r="C525" i="1"/>
  <c r="D525" i="1"/>
  <c r="E525" i="1"/>
  <c r="B526" i="1"/>
  <c r="C526" i="1"/>
  <c r="D526" i="1"/>
  <c r="E526" i="1"/>
  <c r="B527" i="1"/>
  <c r="D527" i="1"/>
  <c r="E527" i="1"/>
  <c r="B528" i="1"/>
  <c r="C528" i="1"/>
  <c r="D528" i="1"/>
  <c r="E528" i="1"/>
  <c r="B529" i="1"/>
  <c r="C529" i="1"/>
  <c r="D529" i="1"/>
  <c r="E529" i="1"/>
  <c r="B530" i="1"/>
  <c r="C530" i="1"/>
  <c r="D530" i="1"/>
  <c r="E530" i="1"/>
  <c r="B531" i="1"/>
  <c r="C531" i="1"/>
  <c r="D531" i="1"/>
  <c r="E531" i="1"/>
  <c r="B532" i="1"/>
  <c r="C532" i="1"/>
  <c r="D532" i="1"/>
  <c r="E532" i="1"/>
  <c r="B533" i="1"/>
  <c r="C533" i="1"/>
  <c r="D533" i="1"/>
  <c r="E533" i="1"/>
  <c r="B534" i="1"/>
  <c r="C534" i="1"/>
  <c r="D534" i="1"/>
  <c r="E534" i="1"/>
  <c r="B535" i="1"/>
  <c r="C535" i="1"/>
  <c r="D535" i="1"/>
  <c r="E535" i="1"/>
  <c r="B536" i="1"/>
  <c r="C536" i="1"/>
  <c r="D536" i="1"/>
  <c r="E536" i="1"/>
  <c r="B537" i="1"/>
  <c r="C537" i="1"/>
  <c r="D537" i="1"/>
  <c r="E537" i="1"/>
  <c r="B538" i="1"/>
  <c r="C538" i="1"/>
  <c r="D538" i="1"/>
  <c r="E538" i="1"/>
  <c r="B539" i="1"/>
  <c r="C539" i="1"/>
  <c r="D539" i="1"/>
  <c r="E539" i="1"/>
  <c r="B540" i="1"/>
  <c r="C540" i="1"/>
  <c r="D540" i="1"/>
  <c r="E540" i="1"/>
  <c r="B541" i="1"/>
  <c r="C541" i="1"/>
  <c r="D541" i="1"/>
  <c r="E541" i="1"/>
  <c r="B542" i="1"/>
  <c r="C542" i="1"/>
  <c r="D542" i="1"/>
  <c r="E542" i="1"/>
  <c r="B543" i="1"/>
  <c r="C543" i="1"/>
  <c r="D543" i="1"/>
  <c r="E543" i="1"/>
  <c r="B544" i="1"/>
  <c r="C544" i="1"/>
  <c r="D544" i="1"/>
  <c r="E544" i="1"/>
  <c r="B545" i="1"/>
  <c r="C545" i="1"/>
  <c r="D545" i="1"/>
  <c r="E545" i="1"/>
  <c r="B546" i="1"/>
  <c r="C546" i="1"/>
  <c r="D546" i="1"/>
  <c r="E546" i="1"/>
  <c r="B547" i="1"/>
  <c r="C547" i="1"/>
  <c r="D547" i="1"/>
  <c r="E547" i="1"/>
  <c r="B548" i="1"/>
  <c r="C548" i="1"/>
  <c r="D548" i="1"/>
  <c r="E548" i="1"/>
  <c r="B549" i="1"/>
  <c r="C549" i="1"/>
  <c r="D549" i="1"/>
  <c r="E549" i="1"/>
  <c r="B550" i="1"/>
  <c r="C550" i="1"/>
  <c r="D550" i="1"/>
  <c r="E550" i="1"/>
  <c r="B551" i="1"/>
  <c r="C551" i="1"/>
  <c r="D551" i="1"/>
  <c r="E551" i="1"/>
  <c r="B552" i="1"/>
  <c r="C552" i="1"/>
  <c r="D552" i="1"/>
  <c r="E552" i="1"/>
  <c r="B553" i="1"/>
  <c r="C553" i="1"/>
  <c r="D553" i="1"/>
  <c r="E553" i="1"/>
  <c r="B554" i="1"/>
  <c r="C554" i="1"/>
  <c r="D554" i="1"/>
  <c r="E554" i="1"/>
  <c r="B555" i="1"/>
  <c r="C555" i="1"/>
  <c r="D555" i="1"/>
  <c r="E555" i="1"/>
  <c r="B556" i="1"/>
  <c r="C556" i="1"/>
  <c r="D556" i="1"/>
  <c r="E556" i="1"/>
  <c r="B557" i="1"/>
  <c r="C557" i="1"/>
  <c r="D557" i="1"/>
  <c r="E557" i="1"/>
  <c r="B558" i="1"/>
  <c r="C558" i="1"/>
  <c r="D558" i="1"/>
  <c r="E558" i="1"/>
  <c r="B559" i="1"/>
  <c r="C559" i="1"/>
  <c r="D559" i="1"/>
  <c r="E559" i="1"/>
  <c r="B560" i="1"/>
  <c r="C560" i="1"/>
  <c r="D560" i="1"/>
  <c r="E560" i="1"/>
  <c r="B561" i="1"/>
  <c r="C561" i="1"/>
  <c r="D561" i="1"/>
  <c r="E561" i="1"/>
  <c r="B562" i="1"/>
  <c r="C562" i="1"/>
  <c r="D562" i="1"/>
  <c r="E562" i="1"/>
  <c r="B563" i="1"/>
  <c r="C563" i="1"/>
  <c r="D563" i="1"/>
  <c r="E563" i="1"/>
  <c r="B564" i="1"/>
  <c r="C564" i="1"/>
  <c r="D564" i="1"/>
  <c r="E564" i="1"/>
  <c r="B565" i="1"/>
  <c r="C565" i="1"/>
  <c r="D565" i="1"/>
  <c r="E565" i="1"/>
  <c r="B566" i="1"/>
  <c r="C566" i="1"/>
  <c r="D566" i="1"/>
  <c r="E566" i="1"/>
  <c r="B567" i="1"/>
  <c r="C567" i="1"/>
  <c r="D567" i="1"/>
  <c r="E567" i="1"/>
  <c r="B568" i="1"/>
  <c r="C568" i="1"/>
  <c r="D568" i="1"/>
  <c r="E568" i="1"/>
  <c r="B569" i="1"/>
  <c r="C569" i="1"/>
  <c r="D569" i="1"/>
  <c r="E569" i="1"/>
  <c r="B570" i="1"/>
  <c r="C570" i="1"/>
  <c r="D570" i="1"/>
  <c r="E570" i="1"/>
  <c r="B571" i="1"/>
  <c r="C571" i="1"/>
  <c r="D571" i="1"/>
  <c r="E571" i="1"/>
  <c r="B572" i="1"/>
  <c r="C572" i="1"/>
  <c r="D572" i="1"/>
  <c r="E572" i="1"/>
  <c r="B573" i="1"/>
  <c r="C573" i="1"/>
  <c r="D573" i="1"/>
  <c r="E573" i="1"/>
  <c r="B574" i="1"/>
  <c r="C574" i="1"/>
  <c r="D574" i="1"/>
  <c r="E574" i="1"/>
  <c r="B575" i="1"/>
  <c r="C575" i="1"/>
  <c r="D575" i="1"/>
  <c r="E575" i="1"/>
  <c r="B576" i="1"/>
  <c r="C576" i="1"/>
  <c r="D576" i="1"/>
  <c r="E576" i="1"/>
  <c r="B577" i="1"/>
  <c r="C577" i="1"/>
  <c r="D577" i="1"/>
  <c r="E577" i="1"/>
  <c r="B578" i="1"/>
  <c r="C578" i="1"/>
  <c r="D578" i="1"/>
  <c r="E578" i="1"/>
  <c r="B579" i="1"/>
  <c r="C579" i="1"/>
  <c r="D579" i="1"/>
  <c r="E579" i="1"/>
  <c r="B580" i="1"/>
  <c r="C580" i="1"/>
  <c r="D580" i="1"/>
  <c r="E580" i="1"/>
  <c r="B581" i="1"/>
  <c r="C581" i="1"/>
  <c r="D581" i="1"/>
  <c r="E581" i="1"/>
  <c r="B582" i="1"/>
  <c r="C582" i="1"/>
  <c r="D582" i="1"/>
  <c r="E582" i="1"/>
  <c r="B583" i="1"/>
  <c r="C583" i="1"/>
  <c r="D583" i="1"/>
  <c r="E583" i="1"/>
  <c r="B584" i="1"/>
  <c r="C584" i="1"/>
  <c r="D584" i="1"/>
  <c r="E584" i="1"/>
  <c r="B585" i="1"/>
  <c r="C585" i="1"/>
  <c r="D585" i="1"/>
  <c r="E585" i="1"/>
  <c r="B586" i="1"/>
  <c r="C586" i="1"/>
  <c r="D586" i="1"/>
  <c r="E586" i="1"/>
  <c r="B587" i="1"/>
  <c r="C587" i="1"/>
  <c r="D587" i="1"/>
  <c r="E587" i="1"/>
  <c r="B588" i="1"/>
  <c r="C588" i="1"/>
  <c r="D588" i="1"/>
  <c r="E588" i="1"/>
  <c r="B589" i="1"/>
  <c r="C589" i="1"/>
  <c r="D589" i="1"/>
  <c r="E589" i="1"/>
  <c r="B590" i="1"/>
  <c r="C590" i="1"/>
  <c r="D590" i="1"/>
  <c r="E590" i="1"/>
  <c r="B591" i="1"/>
  <c r="C591" i="1"/>
  <c r="D591" i="1"/>
  <c r="E591" i="1"/>
  <c r="B592" i="1"/>
  <c r="C592" i="1"/>
  <c r="D592" i="1"/>
  <c r="E592" i="1"/>
  <c r="B593" i="1"/>
  <c r="C593" i="1"/>
  <c r="D593" i="1"/>
  <c r="E593" i="1"/>
  <c r="B594" i="1"/>
  <c r="C594" i="1"/>
  <c r="D594" i="1"/>
  <c r="E594" i="1"/>
  <c r="B595" i="1"/>
  <c r="C595" i="1"/>
  <c r="D595" i="1"/>
  <c r="E595" i="1"/>
  <c r="B596" i="1"/>
  <c r="C596" i="1"/>
  <c r="D596" i="1"/>
  <c r="E596" i="1"/>
  <c r="B597" i="1"/>
  <c r="C597" i="1"/>
  <c r="D597" i="1"/>
  <c r="E597" i="1"/>
  <c r="B598" i="1"/>
  <c r="C598" i="1"/>
  <c r="D598" i="1"/>
  <c r="E598" i="1"/>
  <c r="B599" i="1"/>
  <c r="C599" i="1"/>
  <c r="D599" i="1"/>
  <c r="E599" i="1"/>
  <c r="B600" i="1"/>
  <c r="C600" i="1"/>
  <c r="D600" i="1"/>
  <c r="E600" i="1"/>
  <c r="B601" i="1"/>
  <c r="C601" i="1"/>
  <c r="D601" i="1"/>
  <c r="E601" i="1"/>
  <c r="B602" i="1"/>
  <c r="C602" i="1"/>
  <c r="D602" i="1"/>
  <c r="E602" i="1"/>
  <c r="B603" i="1"/>
  <c r="C603" i="1"/>
  <c r="D603" i="1"/>
  <c r="E603" i="1"/>
  <c r="B604" i="1"/>
  <c r="C604" i="1"/>
  <c r="D604" i="1"/>
  <c r="E604" i="1"/>
  <c r="B605" i="1"/>
  <c r="C605" i="1"/>
  <c r="D605" i="1"/>
  <c r="E605" i="1"/>
  <c r="B606" i="1"/>
  <c r="C606" i="1"/>
  <c r="D606" i="1"/>
  <c r="E606" i="1"/>
  <c r="B607" i="1"/>
  <c r="C607" i="1"/>
  <c r="D607" i="1"/>
  <c r="E607" i="1"/>
  <c r="B608" i="1"/>
  <c r="C608" i="1"/>
  <c r="D608" i="1"/>
  <c r="E608" i="1"/>
  <c r="B609" i="1"/>
  <c r="C609" i="1"/>
  <c r="D609" i="1"/>
  <c r="E609" i="1"/>
  <c r="B610" i="1"/>
  <c r="C610" i="1"/>
  <c r="D610" i="1"/>
  <c r="E610" i="1"/>
  <c r="B611" i="1"/>
  <c r="C611" i="1"/>
  <c r="D611" i="1"/>
  <c r="E611" i="1"/>
  <c r="B612" i="1"/>
  <c r="C612" i="1"/>
  <c r="D612" i="1"/>
  <c r="E612" i="1"/>
  <c r="B613" i="1"/>
  <c r="C613" i="1"/>
  <c r="D613" i="1"/>
  <c r="E613" i="1"/>
  <c r="B614" i="1"/>
  <c r="C614" i="1"/>
  <c r="D614" i="1"/>
  <c r="E614" i="1"/>
  <c r="B615" i="1"/>
  <c r="C615" i="1"/>
  <c r="D615" i="1"/>
  <c r="E615" i="1"/>
  <c r="B616" i="1"/>
  <c r="C616" i="1"/>
  <c r="D616" i="1"/>
  <c r="E616" i="1"/>
  <c r="B617" i="1"/>
  <c r="C617" i="1"/>
  <c r="D617" i="1"/>
  <c r="E617" i="1"/>
</calcChain>
</file>

<file path=xl/sharedStrings.xml><?xml version="1.0" encoding="utf-8"?>
<sst xmlns="http://schemas.openxmlformats.org/spreadsheetml/2006/main" count="6" uniqueCount="6">
  <si>
    <t>Transportador</t>
  </si>
  <si>
    <t>Nome</t>
  </si>
  <si>
    <t>CNPJ</t>
  </si>
  <si>
    <t>Nome Abreviado</t>
  </si>
  <si>
    <t>Via Transporte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</si>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</sst>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"/>
    <numFmt numFmtId="165" formatCode="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5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FF8C-C19F-4D73-9194-14A5A5CF9572}">
  <dimension ref="A1:E618"/>
  <sheetViews>
    <sheetView tabSelected="1" workbookViewId="0">
      <selection activeCell="B6" sqref="B6"/>
    </sheetView>
  </sheetViews>
  <sheetFormatPr defaultRowHeight="14.4" x14ac:dyDescent="0.3"/>
  <cols>
    <col min="1" max="1" width="13.77734375" bestFit="1" customWidth="1"/>
    <col min="2" max="2" width="44.44140625" bestFit="1" customWidth="1"/>
    <col min="3" max="3" width="17.77734375" bestFit="1" customWidth="1"/>
    <col min="4" max="4" width="15.21875" bestFit="1" customWidth="1"/>
    <col min="5" max="5" width="12.886718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"DESTINATÁRIO - FORNECEDOR"</f>
        <v>DESTINATÁRIO - FORNECEDOR</v>
      </c>
      <c r="C2" s="6" t="str">
        <f>""</f>
        <v/>
      </c>
      <c r="D2" s="6" t="str">
        <f>"DESTINATÁRIO"</f>
        <v>DESTINATÁRIO</v>
      </c>
      <c r="E2" s="6" t="str">
        <f t="shared" ref="E2:E65" si="0">"Rodoviário"</f>
        <v>Rodoviário</v>
      </c>
    </row>
    <row r="3" spans="1:5" x14ac:dyDescent="0.3">
      <c r="A3" s="1">
        <v>2</v>
      </c>
      <c r="B3" s="2" t="str">
        <f>"Transportadora Plimor Ltda."</f>
        <v>Transportadora Plimor Ltda.</v>
      </c>
      <c r="C3" s="2" t="str">
        <f>"88.085.485/0046-06"</f>
        <v>88.085.485/0046-06</v>
      </c>
      <c r="D3" s="2" t="str">
        <f>"Plimor"</f>
        <v>Plimor</v>
      </c>
      <c r="E3" s="2" t="str">
        <f t="shared" si="0"/>
        <v>Rodoviário</v>
      </c>
    </row>
    <row r="4" spans="1:5" x14ac:dyDescent="0.3">
      <c r="A4" s="1">
        <v>3</v>
      </c>
      <c r="B4" s="2" t="str">
        <f>"ASR Transportes Ltda"</f>
        <v>ASR Transportes Ltda</v>
      </c>
      <c r="C4" s="2" t="str">
        <f>"03.410.332/0001-32"</f>
        <v>03.410.332/0001-32</v>
      </c>
      <c r="D4" s="2" t="str">
        <f>"ASR"</f>
        <v>ASR</v>
      </c>
      <c r="E4" s="2" t="str">
        <f t="shared" si="0"/>
        <v>Rodoviário</v>
      </c>
    </row>
    <row r="5" spans="1:5" x14ac:dyDescent="0.3">
      <c r="A5" s="1">
        <v>4</v>
      </c>
      <c r="B5" s="2" t="str">
        <f>"Cooperleste - Coop. Transp. Suleste Para"</f>
        <v>Cooperleste - Coop. Transp. Suleste Para</v>
      </c>
      <c r="C5" s="2" t="str">
        <f>"02.867.585/0001-77"</f>
        <v>02.867.585/0001-77</v>
      </c>
      <c r="D5" s="2" t="str">
        <f>"Cooperleste"</f>
        <v>Cooperleste</v>
      </c>
      <c r="E5" s="2" t="str">
        <f t="shared" si="0"/>
        <v>Rodoviário</v>
      </c>
    </row>
    <row r="6" spans="1:5" x14ac:dyDescent="0.3">
      <c r="A6" s="1">
        <v>5</v>
      </c>
      <c r="B6" s="2" t="str">
        <f>"Transesp - Transportes Especializados Lt"</f>
        <v>Transesp - Transportes Especializados Lt</v>
      </c>
      <c r="C6" s="2" t="str">
        <f>"77.162.949/0004-65"</f>
        <v>77.162.949/0004-65</v>
      </c>
      <c r="D6" s="2" t="str">
        <f>"Transesp"</f>
        <v>Transesp</v>
      </c>
      <c r="E6" s="2" t="str">
        <f t="shared" si="0"/>
        <v>Rodoviário</v>
      </c>
    </row>
    <row r="7" spans="1:5" x14ac:dyDescent="0.3">
      <c r="A7" s="1">
        <v>6</v>
      </c>
      <c r="B7" s="2" t="str">
        <f>"Efitrans Transportes Ltda."</f>
        <v>Efitrans Transportes Ltda.</v>
      </c>
      <c r="C7" s="2" t="str">
        <f>"00.650.831/0001-09"</f>
        <v>00.650.831/0001-09</v>
      </c>
      <c r="D7" s="2" t="str">
        <f>"Efitrans"</f>
        <v>Efitrans</v>
      </c>
      <c r="E7" s="2" t="str">
        <f t="shared" si="0"/>
        <v>Rodoviário</v>
      </c>
    </row>
    <row r="8" spans="1:5" x14ac:dyDescent="0.3">
      <c r="A8" s="1">
        <v>7</v>
      </c>
      <c r="B8" s="2" t="str">
        <f>"Translovatto"</f>
        <v>Translovatto</v>
      </c>
      <c r="C8" s="2" t="str">
        <f>"89.823.918/0005-78"</f>
        <v>89.823.918/0005-78</v>
      </c>
      <c r="D8" s="2" t="str">
        <f>"Translovatto"</f>
        <v>Translovatto</v>
      </c>
      <c r="E8" s="2" t="str">
        <f t="shared" si="0"/>
        <v>Rodoviário</v>
      </c>
    </row>
    <row r="9" spans="1:5" x14ac:dyDescent="0.3">
      <c r="A9" s="1">
        <v>8</v>
      </c>
      <c r="B9" s="2" t="str">
        <f>"Transportadora Falcão Ltda"</f>
        <v>Transportadora Falcão Ltda</v>
      </c>
      <c r="C9" s="2" t="str">
        <f>"78.015.690/0001-40"</f>
        <v>78.015.690/0001-40</v>
      </c>
      <c r="D9" s="2" t="str">
        <f>"Falcão"</f>
        <v>Falcão</v>
      </c>
      <c r="E9" s="2" t="str">
        <f t="shared" si="0"/>
        <v>Rodoviário</v>
      </c>
    </row>
    <row r="10" spans="1:5" x14ac:dyDescent="0.3">
      <c r="A10" s="1">
        <v>9</v>
      </c>
      <c r="B10" s="2" t="str">
        <f>"DINARTE DE SOUZA SOARES"</f>
        <v>DINARTE DE SOUZA SOARES</v>
      </c>
      <c r="C10" s="2" t="str">
        <f>"318.804.019-91"</f>
        <v>318.804.019-91</v>
      </c>
      <c r="D10" s="2" t="str">
        <f>"DINARTE"</f>
        <v>DINARTE</v>
      </c>
      <c r="E10" s="2" t="str">
        <f t="shared" si="0"/>
        <v>Rodoviário</v>
      </c>
    </row>
    <row r="11" spans="1:5" x14ac:dyDescent="0.3">
      <c r="A11" s="1">
        <v>10</v>
      </c>
      <c r="B11" s="2" t="str">
        <f>"TRANSPORTADORA TRÂNSITO LTDA."</f>
        <v>TRANSPORTADORA TRÂNSITO LTDA.</v>
      </c>
      <c r="C11" s="2" t="str">
        <f>"73.202.640/0005-81"</f>
        <v>73.202.640/0005-81</v>
      </c>
      <c r="D11" s="2" t="str">
        <f>"TRÂNSITO"</f>
        <v>TRÂNSITO</v>
      </c>
      <c r="E11" s="2" t="str">
        <f t="shared" si="0"/>
        <v>Rodoviário</v>
      </c>
    </row>
    <row r="12" spans="1:5" x14ac:dyDescent="0.3">
      <c r="A12" s="1">
        <v>11</v>
      </c>
      <c r="B12" s="2" t="str">
        <f>"AJB TRANSPORTES LTDA"</f>
        <v>AJB TRANSPORTES LTDA</v>
      </c>
      <c r="C12" s="2" t="str">
        <f>"78.724.135/0001-97"</f>
        <v>78.724.135/0001-97</v>
      </c>
      <c r="D12" s="2" t="str">
        <f>"AJB - PR"</f>
        <v>AJB - PR</v>
      </c>
      <c r="E12" s="2" t="str">
        <f t="shared" si="0"/>
        <v>Rodoviário</v>
      </c>
    </row>
    <row r="13" spans="1:5" x14ac:dyDescent="0.3">
      <c r="A13" s="1">
        <v>12</v>
      </c>
      <c r="B13" s="2" t="str">
        <f>"Jamef Transportes Ltda"</f>
        <v>Jamef Transportes Ltda</v>
      </c>
      <c r="C13" s="2" t="str">
        <f>"20.147.617/0019-70"</f>
        <v>20.147.617/0019-70</v>
      </c>
      <c r="D13" s="2" t="str">
        <f>"Jamef"</f>
        <v>Jamef</v>
      </c>
      <c r="E13" s="2" t="str">
        <f t="shared" si="0"/>
        <v>Rodoviário</v>
      </c>
    </row>
    <row r="14" spans="1:5" x14ac:dyDescent="0.3">
      <c r="A14" s="1">
        <v>13</v>
      </c>
      <c r="B14" s="2" t="str">
        <f>"Expresso Mercúrio S/A"</f>
        <v>Expresso Mercúrio S/A</v>
      </c>
      <c r="C14" s="2" t="str">
        <f>"95.591.723/0021-62"</f>
        <v>95.591.723/0021-62</v>
      </c>
      <c r="D14" s="2" t="str">
        <f>"Mercúrio"</f>
        <v>Mercúrio</v>
      </c>
      <c r="E14" s="2" t="str">
        <f t="shared" si="0"/>
        <v>Rodoviário</v>
      </c>
    </row>
    <row r="15" spans="1:5" x14ac:dyDescent="0.3">
      <c r="A15" s="1">
        <v>14</v>
      </c>
      <c r="B15" s="2" t="str">
        <f>"ARARIBA TRANSPORTES RODOVIARIOS LTDA"</f>
        <v>ARARIBA TRANSPORTES RODOVIARIOS LTDA</v>
      </c>
      <c r="C15" s="2" t="str">
        <f>"96.673.512/0001-98"</f>
        <v>96.673.512/0001-98</v>
      </c>
      <c r="D15" s="2" t="str">
        <f>"ARARIBA"</f>
        <v>ARARIBA</v>
      </c>
      <c r="E15" s="2" t="str">
        <f t="shared" si="0"/>
        <v>Rodoviário</v>
      </c>
    </row>
    <row r="16" spans="1:5" x14ac:dyDescent="0.3">
      <c r="A16" s="1">
        <v>15</v>
      </c>
      <c r="B16" s="2" t="str">
        <f>"TRANSPORTADORA BOICY LTDA"</f>
        <v>TRANSPORTADORA BOICY LTDA</v>
      </c>
      <c r="C16" s="2" t="str">
        <f>"77.945.558/0001-74"</f>
        <v>77.945.558/0001-74</v>
      </c>
      <c r="D16" s="2" t="str">
        <f>"BOICY"</f>
        <v>BOICY</v>
      </c>
      <c r="E16" s="2" t="str">
        <f t="shared" si="0"/>
        <v>Rodoviário</v>
      </c>
    </row>
    <row r="17" spans="1:5" x14ac:dyDescent="0.3">
      <c r="A17" s="1">
        <v>16</v>
      </c>
      <c r="B17" s="2" t="str">
        <f>"Milenium Transportes Ltda."</f>
        <v>Milenium Transportes Ltda.</v>
      </c>
      <c r="C17" s="2" t="str">
        <f>"00.091.369/0005-80"</f>
        <v>00.091.369/0005-80</v>
      </c>
      <c r="D17" s="2" t="str">
        <f>"Milenium"</f>
        <v>Milenium</v>
      </c>
      <c r="E17" s="2" t="str">
        <f t="shared" si="0"/>
        <v>Rodoviário</v>
      </c>
    </row>
    <row r="18" spans="1:5" x14ac:dyDescent="0.3">
      <c r="A18" s="1">
        <v>17</v>
      </c>
      <c r="B18" s="2" t="str">
        <f>"M.B.R - Transporte Internacional"</f>
        <v>M.B.R - Transporte Internacional</v>
      </c>
      <c r="C18" s="2" t="str">
        <f>""</f>
        <v/>
      </c>
      <c r="D18" s="2" t="str">
        <f>"MBR"</f>
        <v>MBR</v>
      </c>
      <c r="E18" s="2" t="str">
        <f t="shared" si="0"/>
        <v>Rodoviário</v>
      </c>
    </row>
    <row r="19" spans="1:5" x14ac:dyDescent="0.3">
      <c r="A19" s="1">
        <v>18</v>
      </c>
      <c r="B19" s="2" t="str">
        <f>"Transportes Marili Ltda."</f>
        <v>Transportes Marili Ltda.</v>
      </c>
      <c r="C19" s="2" t="str">
        <f>"75.039.230/0001-63"</f>
        <v>75.039.230/0001-63</v>
      </c>
      <c r="D19" s="2" t="str">
        <f>"Marili"</f>
        <v>Marili</v>
      </c>
      <c r="E19" s="2" t="str">
        <f t="shared" si="0"/>
        <v>Rodoviário</v>
      </c>
    </row>
    <row r="20" spans="1:5" x14ac:dyDescent="0.3">
      <c r="A20" s="1">
        <v>19</v>
      </c>
      <c r="B20" s="2" t="str">
        <f>"E. Bernardo Wosniack &amp; Cia Ltda."</f>
        <v>E. Bernardo Wosniack &amp; Cia Ltda.</v>
      </c>
      <c r="C20" s="2" t="str">
        <f>"01.127.671/0001-80"</f>
        <v>01.127.671/0001-80</v>
      </c>
      <c r="D20" s="2" t="str">
        <f>"Dinho Transp"</f>
        <v>Dinho Transp</v>
      </c>
      <c r="E20" s="2" t="str">
        <f t="shared" si="0"/>
        <v>Rodoviário</v>
      </c>
    </row>
    <row r="21" spans="1:5" x14ac:dyDescent="0.3">
      <c r="A21" s="1">
        <v>20</v>
      </c>
      <c r="B21" s="2" t="str">
        <f>"Saratoga Engenharia e Transportes Ltda"</f>
        <v>Saratoga Engenharia e Transportes Ltda</v>
      </c>
      <c r="C21" s="2" t="str">
        <f>"64.710.338/0004-62"</f>
        <v>64.710.338/0004-62</v>
      </c>
      <c r="D21" s="2" t="str">
        <f>"Saratoga"</f>
        <v>Saratoga</v>
      </c>
      <c r="E21" s="2" t="str">
        <f t="shared" si="0"/>
        <v>Rodoviário</v>
      </c>
    </row>
    <row r="22" spans="1:5" x14ac:dyDescent="0.3">
      <c r="A22" s="1">
        <v>21</v>
      </c>
      <c r="B22" s="2" t="str">
        <f>"Transportes Della Volpe S/A"</f>
        <v>Transportes Della Volpe S/A</v>
      </c>
      <c r="C22" s="2" t="str">
        <f>"61.139.432/0055-65"</f>
        <v>61.139.432/0055-65</v>
      </c>
      <c r="D22" s="2" t="str">
        <f>"Della Volpe"</f>
        <v>Della Volpe</v>
      </c>
      <c r="E22" s="2" t="str">
        <f t="shared" si="0"/>
        <v>Rodoviário</v>
      </c>
    </row>
    <row r="23" spans="1:5" x14ac:dyDescent="0.3">
      <c r="A23" s="1">
        <v>22</v>
      </c>
      <c r="B23" s="2" t="str">
        <f>"Transportadora Rodomeu"</f>
        <v>Transportadora Rodomeu</v>
      </c>
      <c r="C23" s="2" t="str">
        <f>""</f>
        <v/>
      </c>
      <c r="D23" s="2" t="str">
        <f>"Rodomeu"</f>
        <v>Rodomeu</v>
      </c>
      <c r="E23" s="2" t="str">
        <f t="shared" si="0"/>
        <v>Rodoviário</v>
      </c>
    </row>
    <row r="24" spans="1:5" x14ac:dyDescent="0.3">
      <c r="A24" s="1">
        <v>23</v>
      </c>
      <c r="B24" s="2" t="str">
        <f>"Transportadora Gamper Ltda."</f>
        <v>Transportadora Gamper Ltda.</v>
      </c>
      <c r="C24" s="2" t="str">
        <f>"77.778.892/0002-61"</f>
        <v>77.778.892/0002-61</v>
      </c>
      <c r="D24" s="2" t="str">
        <f>"Gamper"</f>
        <v>Gamper</v>
      </c>
      <c r="E24" s="2" t="str">
        <f t="shared" si="0"/>
        <v>Rodoviário</v>
      </c>
    </row>
    <row r="25" spans="1:5" x14ac:dyDescent="0.3">
      <c r="A25" s="1">
        <v>24</v>
      </c>
      <c r="B25" s="2" t="str">
        <f>"TRANSPORTE CRIPY LTDA"</f>
        <v>TRANSPORTE CRIPY LTDA</v>
      </c>
      <c r="C25" s="2" t="str">
        <f>"00.423.372/0001-20"</f>
        <v>00.423.372/0001-20</v>
      </c>
      <c r="D25" s="2" t="str">
        <f>"DHL DANZAS"</f>
        <v>DHL DANZAS</v>
      </c>
      <c r="E25" s="2" t="str">
        <f t="shared" si="0"/>
        <v>Rodoviário</v>
      </c>
    </row>
    <row r="26" spans="1:5" x14ac:dyDescent="0.3">
      <c r="A26" s="1">
        <v>25</v>
      </c>
      <c r="B26" s="2" t="str">
        <f>"EXPRESSO JAVALI S.A"</f>
        <v>EXPRESSO JAVALI S.A</v>
      </c>
      <c r="C26" s="2" t="str">
        <f>"88.610.266/0002-88"</f>
        <v>88.610.266/0002-88</v>
      </c>
      <c r="D26" s="2" t="str">
        <f>"JAVALI"</f>
        <v>JAVALI</v>
      </c>
      <c r="E26" s="2" t="str">
        <f t="shared" si="0"/>
        <v>Rodoviário</v>
      </c>
    </row>
    <row r="27" spans="1:5" x14ac:dyDescent="0.3">
      <c r="A27" s="1">
        <v>26</v>
      </c>
      <c r="B27" s="2" t="str">
        <f>"Transportadora Cometa S/A."</f>
        <v>Transportadora Cometa S/A.</v>
      </c>
      <c r="C27" s="2" t="str">
        <f>"10.970.887/0007-90"</f>
        <v>10.970.887/0007-90</v>
      </c>
      <c r="D27" s="2" t="str">
        <f>"Rapid Cometa"</f>
        <v>Rapid Cometa</v>
      </c>
      <c r="E27" s="2" t="str">
        <f t="shared" si="0"/>
        <v>Rodoviário</v>
      </c>
    </row>
    <row r="28" spans="1:5" x14ac:dyDescent="0.3">
      <c r="A28" s="1">
        <v>27</v>
      </c>
      <c r="B28" s="2" t="str">
        <f>"Trans Tatinhos B.Almeida Neto &amp; Cia Ltda"</f>
        <v>Trans Tatinhos B.Almeida Neto &amp; Cia Ltda</v>
      </c>
      <c r="C28" s="2" t="str">
        <f>"02.474.590/0001-10"</f>
        <v>02.474.590/0001-10</v>
      </c>
      <c r="D28" s="2" t="str">
        <f>"Tatinhos"</f>
        <v>Tatinhos</v>
      </c>
      <c r="E28" s="2" t="str">
        <f t="shared" si="0"/>
        <v>Rodoviário</v>
      </c>
    </row>
    <row r="29" spans="1:5" x14ac:dyDescent="0.3">
      <c r="A29" s="1">
        <v>28</v>
      </c>
      <c r="B29" s="2" t="str">
        <f>"RTG TRANSPORTES LTDA"</f>
        <v>RTG TRANSPORTES LTDA</v>
      </c>
      <c r="C29" s="2" t="str">
        <f>"00.550.311/0001-24"</f>
        <v>00.550.311/0001-24</v>
      </c>
      <c r="D29" s="2" t="str">
        <f>"RTG"</f>
        <v>RTG</v>
      </c>
      <c r="E29" s="2" t="str">
        <f t="shared" si="0"/>
        <v>Rodoviário</v>
      </c>
    </row>
    <row r="30" spans="1:5" x14ac:dyDescent="0.3">
      <c r="A30" s="1">
        <v>29</v>
      </c>
      <c r="B30" s="2" t="str">
        <f>"SOTO TRANSPORTES COM. E REPRESENTAÇÕES"</f>
        <v>SOTO TRANSPORTES COM. E REPRESENTAÇÕES</v>
      </c>
      <c r="C30" s="2" t="str">
        <f>"02.073.632/0001-00"</f>
        <v>02.073.632/0001-00</v>
      </c>
      <c r="D30" s="2" t="str">
        <f>"SOTO"</f>
        <v>SOTO</v>
      </c>
      <c r="E30" s="2" t="str">
        <f t="shared" si="0"/>
        <v>Rodoviário</v>
      </c>
    </row>
    <row r="31" spans="1:5" x14ac:dyDescent="0.3">
      <c r="A31" s="1">
        <v>30</v>
      </c>
      <c r="B31" s="2" t="str">
        <f>"TRANSPORTE CARROSIO VAIROLATTI &amp;CIA SRL"</f>
        <v>TRANSPORTE CARROSIO VAIROLATTI &amp;CIA SRL</v>
      </c>
      <c r="C31" s="2" t="str">
        <f>""</f>
        <v/>
      </c>
      <c r="D31" s="2" t="str">
        <f>"CARROSIO"</f>
        <v>CARROSIO</v>
      </c>
      <c r="E31" s="2" t="str">
        <f t="shared" si="0"/>
        <v>Rodoviário</v>
      </c>
    </row>
    <row r="32" spans="1:5" x14ac:dyDescent="0.3">
      <c r="A32" s="1">
        <v>31</v>
      </c>
      <c r="B32" s="2" t="str">
        <f>"OLIMPIA TRANSPORTES E METALURG"</f>
        <v>OLIMPIA TRANSPORTES E METALURG</v>
      </c>
      <c r="C32" s="2" t="str">
        <f>"87.784.534/0004-87"</f>
        <v>87.784.534/0004-87</v>
      </c>
      <c r="D32" s="2" t="str">
        <f>"OLIMPIA"</f>
        <v>OLIMPIA</v>
      </c>
      <c r="E32" s="2" t="str">
        <f t="shared" si="0"/>
        <v>Rodoviário</v>
      </c>
    </row>
    <row r="33" spans="1:5" x14ac:dyDescent="0.3">
      <c r="A33" s="1">
        <v>32</v>
      </c>
      <c r="B33" s="2" t="str">
        <f>"West Cargo"</f>
        <v>West Cargo</v>
      </c>
      <c r="C33" s="2" t="str">
        <f>"02.743.895/0001-80"</f>
        <v>02.743.895/0001-80</v>
      </c>
      <c r="D33" s="2" t="str">
        <f>"WEST CARGO"</f>
        <v>WEST CARGO</v>
      </c>
      <c r="E33" s="2" t="str">
        <f t="shared" si="0"/>
        <v>Rodoviário</v>
      </c>
    </row>
    <row r="34" spans="1:5" x14ac:dyDescent="0.3">
      <c r="A34" s="1">
        <v>33</v>
      </c>
      <c r="B34" s="2" t="str">
        <f>"TRANSPORTADORA AVELLI"</f>
        <v>TRANSPORTADORA AVELLI</v>
      </c>
      <c r="C34" s="2" t="str">
        <f>""</f>
        <v/>
      </c>
      <c r="D34" s="2" t="str">
        <f>"AVELLI"</f>
        <v>AVELLI</v>
      </c>
      <c r="E34" s="2" t="str">
        <f t="shared" si="0"/>
        <v>Rodoviário</v>
      </c>
    </row>
    <row r="35" spans="1:5" x14ac:dyDescent="0.3">
      <c r="A35" s="1">
        <v>34</v>
      </c>
      <c r="B35" s="2" t="str">
        <f>"TRANSPORTADORA GAINO"</f>
        <v>TRANSPORTADORA GAINO</v>
      </c>
      <c r="C35" s="2" t="str">
        <f>"47.005.699/0008-12"</f>
        <v>47.005.699/0008-12</v>
      </c>
      <c r="D35" s="2" t="str">
        <f>"GAINO"</f>
        <v>GAINO</v>
      </c>
      <c r="E35" s="2" t="str">
        <f t="shared" si="0"/>
        <v>Rodoviário</v>
      </c>
    </row>
    <row r="36" spans="1:5" x14ac:dyDescent="0.3">
      <c r="A36" s="1">
        <v>35</v>
      </c>
      <c r="B36" s="2" t="str">
        <f>"TRANSPORTADORA CATTALINI"</f>
        <v>TRANSPORTADORA CATTALINI</v>
      </c>
      <c r="C36" s="2" t="str">
        <f>""</f>
        <v/>
      </c>
      <c r="D36" s="2" t="str">
        <f>"CATTALINI"</f>
        <v>CATTALINI</v>
      </c>
      <c r="E36" s="2" t="str">
        <f t="shared" si="0"/>
        <v>Rodoviário</v>
      </c>
    </row>
    <row r="37" spans="1:5" x14ac:dyDescent="0.3">
      <c r="A37" s="1">
        <v>36</v>
      </c>
      <c r="B37" s="2" t="str">
        <f>"MBR TRANSPORTES INTERNCAIONAIS SRL"</f>
        <v>MBR TRANSPORTES INTERNCAIONAIS SRL</v>
      </c>
      <c r="C37" s="2" t="str">
        <f>"05.534.312/0001-07"</f>
        <v>05.534.312/0001-07</v>
      </c>
      <c r="D37" s="2" t="str">
        <f>"MBR TRANSP"</f>
        <v>MBR TRANSP</v>
      </c>
      <c r="E37" s="2" t="str">
        <f t="shared" si="0"/>
        <v>Rodoviário</v>
      </c>
    </row>
    <row r="38" spans="1:5" x14ac:dyDescent="0.3">
      <c r="A38" s="1">
        <v>37</v>
      </c>
      <c r="B38" s="2" t="str">
        <f>"TRANSPORTES E LOGÍSTICA DML LTDA"</f>
        <v>TRANSPORTES E LOGÍSTICA DML LTDA</v>
      </c>
      <c r="C38" s="2" t="str">
        <f>"05.971.592/0002-93"</f>
        <v>05.971.592/0002-93</v>
      </c>
      <c r="D38" s="2" t="str">
        <f>"GLORIA LOGIS"</f>
        <v>GLORIA LOGIS</v>
      </c>
      <c r="E38" s="2" t="str">
        <f t="shared" si="0"/>
        <v>Rodoviário</v>
      </c>
    </row>
    <row r="39" spans="1:5" x14ac:dyDescent="0.3">
      <c r="A39" s="1">
        <v>38</v>
      </c>
      <c r="B39" s="2" t="str">
        <f>"PANALPINA TRANSPORTES"</f>
        <v>PANALPINA TRANSPORTES</v>
      </c>
      <c r="C39" s="2" t="str">
        <f>""</f>
        <v/>
      </c>
      <c r="D39" s="2" t="str">
        <f>"PANALPINA"</f>
        <v>PANALPINA</v>
      </c>
      <c r="E39" s="2" t="str">
        <f t="shared" si="0"/>
        <v>Rodoviário</v>
      </c>
    </row>
    <row r="40" spans="1:5" x14ac:dyDescent="0.3">
      <c r="A40" s="1">
        <v>39</v>
      </c>
      <c r="B40" s="2" t="str">
        <f>"MULTITRANS TRASPORTE E ARMAZ. GERAIS LTD"</f>
        <v>MULTITRANS TRASPORTE E ARMAZ. GERAIS LTD</v>
      </c>
      <c r="C40" s="2" t="str">
        <f>"01.201.578/0001-79"</f>
        <v>01.201.578/0001-79</v>
      </c>
      <c r="D40" s="2" t="str">
        <f>"MULTITRANS"</f>
        <v>MULTITRANS</v>
      </c>
      <c r="E40" s="2" t="str">
        <f t="shared" si="0"/>
        <v>Rodoviário</v>
      </c>
    </row>
    <row r="41" spans="1:5" x14ac:dyDescent="0.3">
      <c r="A41" s="1">
        <v>40</v>
      </c>
      <c r="B41" s="2" t="str">
        <f>"RODOBASE TRANSPORTES RODOVIARIOS"</f>
        <v>RODOBASE TRANSPORTES RODOVIARIOS</v>
      </c>
      <c r="C41" s="2" t="str">
        <f>"03.188.227/0001-09"</f>
        <v>03.188.227/0001-09</v>
      </c>
      <c r="D41" s="2" t="str">
        <f>"RODOBASE"</f>
        <v>RODOBASE</v>
      </c>
      <c r="E41" s="2" t="str">
        <f t="shared" si="0"/>
        <v>Rodoviário</v>
      </c>
    </row>
    <row r="42" spans="1:5" x14ac:dyDescent="0.3">
      <c r="A42" s="1">
        <v>41</v>
      </c>
      <c r="B42" s="2" t="str">
        <f>"DFX TRANSPORTES"</f>
        <v>DFX TRANSPORTES</v>
      </c>
      <c r="C42" s="2" t="str">
        <f>""</f>
        <v/>
      </c>
      <c r="D42" s="2" t="str">
        <f>"DFX"</f>
        <v>DFX</v>
      </c>
      <c r="E42" s="2" t="str">
        <f t="shared" si="0"/>
        <v>Rodoviário</v>
      </c>
    </row>
    <row r="43" spans="1:5" x14ac:dyDescent="0.3">
      <c r="A43" s="1">
        <v>42</v>
      </c>
      <c r="B43" s="2" t="str">
        <f>"CAROSSIO"</f>
        <v>CAROSSIO</v>
      </c>
      <c r="C43" s="2" t="str">
        <f>"844.707.710-15"</f>
        <v>844.707.710-15</v>
      </c>
      <c r="D43" s="2" t="str">
        <f>"CAROSSIO"</f>
        <v>CAROSSIO</v>
      </c>
      <c r="E43" s="2" t="str">
        <f t="shared" si="0"/>
        <v>Rodoviário</v>
      </c>
    </row>
    <row r="44" spans="1:5" x14ac:dyDescent="0.3">
      <c r="A44" s="1">
        <v>43</v>
      </c>
      <c r="B44" s="2" t="str">
        <f>"TRANSPORTES AFF LTDA"</f>
        <v>TRANSPORTES AFF LTDA</v>
      </c>
      <c r="C44" s="2" t="str">
        <f>"04.890.049/0001-18"</f>
        <v>04.890.049/0001-18</v>
      </c>
      <c r="D44" s="2" t="str">
        <f>"AFF"</f>
        <v>AFF</v>
      </c>
      <c r="E44" s="2" t="str">
        <f t="shared" si="0"/>
        <v>Rodoviário</v>
      </c>
    </row>
    <row r="45" spans="1:5" x14ac:dyDescent="0.3">
      <c r="A45" s="1">
        <v>44</v>
      </c>
      <c r="B45" s="2" t="str">
        <f>"DHL EXPRESS BRASIL LTDA"</f>
        <v>DHL EXPRESS BRASIL LTDA</v>
      </c>
      <c r="C45" s="2" t="str">
        <f>"58.890.252/0001-13"</f>
        <v>58.890.252/0001-13</v>
      </c>
      <c r="D45" s="2" t="str">
        <f>"DHL EXPRESS"</f>
        <v>DHL EXPRESS</v>
      </c>
      <c r="E45" s="2" t="str">
        <f t="shared" si="0"/>
        <v>Rodoviário</v>
      </c>
    </row>
    <row r="46" spans="1:5" x14ac:dyDescent="0.3">
      <c r="A46" s="1">
        <v>45</v>
      </c>
      <c r="B46" s="2" t="str">
        <f>"FEDERAL EXPRESS CORPORATION"</f>
        <v>FEDERAL EXPRESS CORPORATION</v>
      </c>
      <c r="C46" s="2" t="str">
        <f>"00.676.486/0001-82"</f>
        <v>00.676.486/0001-82</v>
      </c>
      <c r="D46" s="2" t="str">
        <f>"FEDEX"</f>
        <v>FEDEX</v>
      </c>
      <c r="E46" s="2" t="str">
        <f t="shared" si="0"/>
        <v>Rodoviário</v>
      </c>
    </row>
    <row r="47" spans="1:5" x14ac:dyDescent="0.3">
      <c r="A47" s="1">
        <v>46</v>
      </c>
      <c r="B47" s="2" t="str">
        <f>"DHL"</f>
        <v>DHL</v>
      </c>
      <c r="C47" s="2" t="str">
        <f>""</f>
        <v/>
      </c>
      <c r="D47" s="2" t="str">
        <f>"DHL"</f>
        <v>DHL</v>
      </c>
      <c r="E47" s="2" t="str">
        <f t="shared" si="0"/>
        <v>Rodoviário</v>
      </c>
    </row>
    <row r="48" spans="1:5" x14ac:dyDescent="0.3">
      <c r="A48" s="1">
        <v>47</v>
      </c>
      <c r="B48" s="2" t="str">
        <f>"HMV LOGISTICA"</f>
        <v>HMV LOGISTICA</v>
      </c>
      <c r="C48" s="2" t="str">
        <f>"07.124.499/0001-98"</f>
        <v>07.124.499/0001-98</v>
      </c>
      <c r="D48" s="2" t="str">
        <f>"HMV LOGISTIC"</f>
        <v>HMV LOGISTIC</v>
      </c>
      <c r="E48" s="2" t="str">
        <f t="shared" si="0"/>
        <v>Rodoviário</v>
      </c>
    </row>
    <row r="49" spans="1:5" x14ac:dyDescent="0.3">
      <c r="A49" s="1">
        <v>48</v>
      </c>
      <c r="B49" s="2" t="str">
        <f>"VALDIR OLINO TOMASI JUNIOR"</f>
        <v>VALDIR OLINO TOMASI JUNIOR</v>
      </c>
      <c r="C49" s="2" t="str">
        <f>""</f>
        <v/>
      </c>
      <c r="D49" s="2" t="str">
        <f>"DP"</f>
        <v>DP</v>
      </c>
      <c r="E49" s="2" t="str">
        <f t="shared" si="0"/>
        <v>Rodoviário</v>
      </c>
    </row>
    <row r="50" spans="1:5" x14ac:dyDescent="0.3">
      <c r="A50" s="1">
        <v>49</v>
      </c>
      <c r="B50" s="2" t="str">
        <f>"TRANSPORTES PANAZZOLO LTDA"</f>
        <v>TRANSPORTES PANAZZOLO LTDA</v>
      </c>
      <c r="C50" s="2" t="str">
        <f>"92.758.457/0006-92"</f>
        <v>92.758.457/0006-92</v>
      </c>
      <c r="D50" s="2" t="str">
        <f>"PANAZZOLO"</f>
        <v>PANAZZOLO</v>
      </c>
      <c r="E50" s="2" t="str">
        <f t="shared" si="0"/>
        <v>Rodoviário</v>
      </c>
    </row>
    <row r="51" spans="1:5" x14ac:dyDescent="0.3">
      <c r="A51" s="1">
        <v>50</v>
      </c>
      <c r="B51" s="2" t="str">
        <f>"UPS SCS TRANSPORTES (BRASIL) S.A."</f>
        <v>UPS SCS TRANSPORTES (BRASIL) S.A.</v>
      </c>
      <c r="C51" s="2" t="str">
        <f>"53.284.634/0001-80"</f>
        <v>53.284.634/0001-80</v>
      </c>
      <c r="D51" s="2" t="str">
        <f>"UPS"</f>
        <v>UPS</v>
      </c>
      <c r="E51" s="2" t="str">
        <f t="shared" si="0"/>
        <v>Rodoviário</v>
      </c>
    </row>
    <row r="52" spans="1:5" x14ac:dyDescent="0.3">
      <c r="A52" s="1">
        <v>51</v>
      </c>
      <c r="B52" s="2" t="str">
        <f>"RODONAVES - RTE"</f>
        <v>RODONAVES - RTE</v>
      </c>
      <c r="C52" s="2" t="str">
        <f>"44.914.992/0017-03"</f>
        <v>44.914.992/0017-03</v>
      </c>
      <c r="D52" s="2" t="str">
        <f>"RODONAVES"</f>
        <v>RODONAVES</v>
      </c>
      <c r="E52" s="2" t="str">
        <f t="shared" si="0"/>
        <v>Rodoviário</v>
      </c>
    </row>
    <row r="53" spans="1:5" x14ac:dyDescent="0.3">
      <c r="A53" s="1">
        <v>52</v>
      </c>
      <c r="B53" s="2" t="str">
        <f>"NPL TRANSPORTES E LOGISTICA LTDA."</f>
        <v>NPL TRANSPORTES E LOGISTICA LTDA.</v>
      </c>
      <c r="C53" s="2" t="str">
        <f>"72.810.468/0001-52"</f>
        <v>72.810.468/0001-52</v>
      </c>
      <c r="D53" s="2" t="str">
        <f>"NPL"</f>
        <v>NPL</v>
      </c>
      <c r="E53" s="2" t="str">
        <f t="shared" si="0"/>
        <v>Rodoviário</v>
      </c>
    </row>
    <row r="54" spans="1:5" x14ac:dyDescent="0.3">
      <c r="A54" s="1">
        <v>53</v>
      </c>
      <c r="B54" s="2" t="str">
        <f>"TRANSPORTES CUEVAS DE NERJA S.R.L"</f>
        <v>TRANSPORTES CUEVAS DE NERJA S.R.L</v>
      </c>
      <c r="C54" s="2" t="str">
        <f>""</f>
        <v/>
      </c>
      <c r="D54" s="2" t="str">
        <f>"CUEVAS"</f>
        <v>CUEVAS</v>
      </c>
      <c r="E54" s="2" t="str">
        <f t="shared" si="0"/>
        <v>Rodoviário</v>
      </c>
    </row>
    <row r="55" spans="1:5" x14ac:dyDescent="0.3">
      <c r="A55" s="1">
        <v>54</v>
      </c>
      <c r="B55" s="2" t="str">
        <f>"RODO MAR VEÍCULOS E MÁQUINAS LTDA"</f>
        <v>RODO MAR VEÍCULOS E MÁQUINAS LTDA</v>
      </c>
      <c r="C55" s="2" t="str">
        <f>"84.936.426/0001-41"</f>
        <v>84.936.426/0001-41</v>
      </c>
      <c r="D55" s="2" t="str">
        <f>"RODO MAR"</f>
        <v>RODO MAR</v>
      </c>
      <c r="E55" s="2" t="str">
        <f t="shared" si="0"/>
        <v>Rodoviário</v>
      </c>
    </row>
    <row r="56" spans="1:5" x14ac:dyDescent="0.3">
      <c r="A56" s="1">
        <v>55</v>
      </c>
      <c r="B56" s="2" t="str">
        <f>"ATENTA TRANSPORTES E LOGÍSTICA LTDA."</f>
        <v>ATENTA TRANSPORTES E LOGÍSTICA LTDA.</v>
      </c>
      <c r="C56" s="2" t="str">
        <f>"07.012.761/0001-02"</f>
        <v>07.012.761/0001-02</v>
      </c>
      <c r="D56" s="2" t="str">
        <f>"ATENTA"</f>
        <v>ATENTA</v>
      </c>
      <c r="E56" s="2" t="str">
        <f t="shared" si="0"/>
        <v>Rodoviário</v>
      </c>
    </row>
    <row r="57" spans="1:5" x14ac:dyDescent="0.3">
      <c r="A57" s="1">
        <v>56</v>
      </c>
      <c r="B57" s="2" t="str">
        <f>"SEAWARDS PROJETOS INTERNACIONAIS LTDA"</f>
        <v>SEAWARDS PROJETOS INTERNACIONAIS LTDA</v>
      </c>
      <c r="C57" s="2" t="str">
        <f>"02.542.625/0001-00"</f>
        <v>02.542.625/0001-00</v>
      </c>
      <c r="D57" s="2" t="str">
        <f>"SEAWARDS"</f>
        <v>SEAWARDS</v>
      </c>
      <c r="E57" s="2" t="str">
        <f t="shared" si="0"/>
        <v>Rodoviário</v>
      </c>
    </row>
    <row r="58" spans="1:5" x14ac:dyDescent="0.3">
      <c r="A58" s="1">
        <v>57</v>
      </c>
      <c r="B58" s="2" t="str">
        <f>"DM Transporte e Logística Internacional"</f>
        <v>DM Transporte e Logística Internacional</v>
      </c>
      <c r="C58" s="2" t="str">
        <f>"89.154.041/0001-46"</f>
        <v>89.154.041/0001-46</v>
      </c>
      <c r="D58" s="2" t="str">
        <f>"DM TRANSP."</f>
        <v>DM TRANSP.</v>
      </c>
      <c r="E58" s="2" t="str">
        <f t="shared" si="0"/>
        <v>Rodoviário</v>
      </c>
    </row>
    <row r="59" spans="1:5" x14ac:dyDescent="0.3">
      <c r="A59" s="1">
        <v>58</v>
      </c>
      <c r="B59" s="2" t="str">
        <f>"TRANSPORTADORA TRANSVALE LTDA"</f>
        <v>TRANSPORTADORA TRANSVALE LTDA</v>
      </c>
      <c r="C59" s="2" t="str">
        <f>""</f>
        <v/>
      </c>
      <c r="D59" s="2" t="str">
        <f>"TRANSVALE"</f>
        <v>TRANSVALE</v>
      </c>
      <c r="E59" s="2" t="str">
        <f t="shared" si="0"/>
        <v>Rodoviário</v>
      </c>
    </row>
    <row r="60" spans="1:5" x14ac:dyDescent="0.3">
      <c r="A60" s="1">
        <v>59</v>
      </c>
      <c r="B60" s="2" t="str">
        <f>"J. ROTANER TRANSPORTES DE CARGAS LTDA"</f>
        <v>J. ROTANER TRANSPORTES DE CARGAS LTDA</v>
      </c>
      <c r="C60" s="2" t="str">
        <f>""</f>
        <v/>
      </c>
      <c r="D60" s="2" t="str">
        <f>"J. ROTANER"</f>
        <v>J. ROTANER</v>
      </c>
      <c r="E60" s="2" t="str">
        <f t="shared" si="0"/>
        <v>Rodoviário</v>
      </c>
    </row>
    <row r="61" spans="1:5" x14ac:dyDescent="0.3">
      <c r="A61" s="1">
        <v>60</v>
      </c>
      <c r="B61" s="2" t="str">
        <f>"RIGATOSSO HERMANOS S.A."</f>
        <v>RIGATOSSO HERMANOS S.A.</v>
      </c>
      <c r="C61" s="2" t="str">
        <f>"02.241.870/0001-88"</f>
        <v>02.241.870/0001-88</v>
      </c>
      <c r="D61" s="2" t="str">
        <f>"RIGATOSSO"</f>
        <v>RIGATOSSO</v>
      </c>
      <c r="E61" s="2" t="str">
        <f t="shared" si="0"/>
        <v>Rodoviário</v>
      </c>
    </row>
    <row r="62" spans="1:5" x14ac:dyDescent="0.3">
      <c r="A62" s="1">
        <v>61</v>
      </c>
      <c r="B62" s="2" t="str">
        <f>"BOM JESUS COM. E TRANSPORTES LTDA."</f>
        <v>BOM JESUS COM. E TRANSPORTES LTDA.</v>
      </c>
      <c r="C62" s="2" t="str">
        <f>"07.120.450/0001-67"</f>
        <v>07.120.450/0001-67</v>
      </c>
      <c r="D62" s="2" t="str">
        <f>"BOM JESUS"</f>
        <v>BOM JESUS</v>
      </c>
      <c r="E62" s="2" t="str">
        <f t="shared" si="0"/>
        <v>Rodoviário</v>
      </c>
    </row>
    <row r="63" spans="1:5" x14ac:dyDescent="0.3">
      <c r="A63" s="1">
        <v>62</v>
      </c>
      <c r="B63" s="2" t="str">
        <f>"VALDOLEI GENEROSO DE BORBA"</f>
        <v>VALDOLEI GENEROSO DE BORBA</v>
      </c>
      <c r="C63" s="2" t="str">
        <f>"416.346.089-68"</f>
        <v>416.346.089-68</v>
      </c>
      <c r="D63" s="2" t="str">
        <f>"VALDOLEI"</f>
        <v>VALDOLEI</v>
      </c>
      <c r="E63" s="2" t="str">
        <f t="shared" si="0"/>
        <v>Rodoviário</v>
      </c>
    </row>
    <row r="64" spans="1:5" x14ac:dyDescent="0.3">
      <c r="A64" s="1">
        <v>63</v>
      </c>
      <c r="B64" s="2" t="str">
        <f>"TRANSTOMAZ LOGÍSTICA, ARMAZENAMENTO E DI"</f>
        <v>TRANSTOMAZ LOGÍSTICA, ARMAZENAMENTO E DI</v>
      </c>
      <c r="C64" s="2" t="str">
        <f>"03.867.083/0001-09"</f>
        <v>03.867.083/0001-09</v>
      </c>
      <c r="D64" s="2" t="str">
        <f>"TRANSTOMAZ"</f>
        <v>TRANSTOMAZ</v>
      </c>
      <c r="E64" s="2" t="str">
        <f t="shared" si="0"/>
        <v>Rodoviário</v>
      </c>
    </row>
    <row r="65" spans="1:5" x14ac:dyDescent="0.3">
      <c r="A65" s="1">
        <v>64</v>
      </c>
      <c r="B65" s="2" t="str">
        <f>"CRISTINA SERVO &amp; CIA LTDA."</f>
        <v>CRISTINA SERVO &amp; CIA LTDA.</v>
      </c>
      <c r="C65" s="2" t="str">
        <f>"03.396.814/0001-85"</f>
        <v>03.396.814/0001-85</v>
      </c>
      <c r="D65" s="2" t="str">
        <f>"TIME EXPRESS"</f>
        <v>TIME EXPRESS</v>
      </c>
      <c r="E65" s="2" t="str">
        <f t="shared" si="0"/>
        <v>Rodoviário</v>
      </c>
    </row>
    <row r="66" spans="1:5" x14ac:dyDescent="0.3">
      <c r="A66" s="1">
        <v>65</v>
      </c>
      <c r="B66" s="2" t="str">
        <f>"TRANSJAFER TRANSP RODOVIÁRIOS LTDA - ME"</f>
        <v>TRANSJAFER TRANSP RODOVIÁRIOS LTDA - ME</v>
      </c>
      <c r="C66" s="2" t="str">
        <f>"57.642.175/0001-10"</f>
        <v>57.642.175/0001-10</v>
      </c>
      <c r="D66" s="2" t="str">
        <f>"TRANSJAFER"</f>
        <v>TRANSJAFER</v>
      </c>
      <c r="E66" s="2" t="str">
        <f t="shared" ref="E66:E129" si="1">"Rodoviário"</f>
        <v>Rodoviário</v>
      </c>
    </row>
    <row r="67" spans="1:5" x14ac:dyDescent="0.3">
      <c r="A67" s="1">
        <v>66</v>
      </c>
      <c r="B67" s="2" t="str">
        <f>"TRANSPORTADORA MINUANO LTDA"</f>
        <v>TRANSPORTADORA MINUANO LTDA</v>
      </c>
      <c r="C67" s="2" t="str">
        <f>"87.183.570/0002-23"</f>
        <v>87.183.570/0002-23</v>
      </c>
      <c r="D67" s="2" t="str">
        <f>"MINUANO"</f>
        <v>MINUANO</v>
      </c>
      <c r="E67" s="2" t="str">
        <f t="shared" si="1"/>
        <v>Rodoviário</v>
      </c>
    </row>
    <row r="68" spans="1:5" x14ac:dyDescent="0.3">
      <c r="A68" s="1">
        <v>67</v>
      </c>
      <c r="B68" s="2" t="str">
        <f>"GAGAMA"</f>
        <v>GAGAMA</v>
      </c>
      <c r="C68" s="2" t="str">
        <f>""</f>
        <v/>
      </c>
      <c r="D68" s="2" t="str">
        <f>"GAGAMA"</f>
        <v>GAGAMA</v>
      </c>
      <c r="E68" s="2" t="str">
        <f t="shared" si="1"/>
        <v>Rodoviário</v>
      </c>
    </row>
    <row r="69" spans="1:5" x14ac:dyDescent="0.3">
      <c r="A69" s="1">
        <v>68</v>
      </c>
      <c r="B69" s="2" t="str">
        <f>"EMITENTE - IMPRESS"</f>
        <v>EMITENTE - IMPRESS</v>
      </c>
      <c r="C69" s="2" t="str">
        <f>"02.644.907/0001-19"</f>
        <v>02.644.907/0001-19</v>
      </c>
      <c r="D69" s="2" t="str">
        <f>"EMITENTE"</f>
        <v>EMITENTE</v>
      </c>
      <c r="E69" s="2" t="str">
        <f t="shared" si="1"/>
        <v>Rodoviário</v>
      </c>
    </row>
    <row r="70" spans="1:5" x14ac:dyDescent="0.3">
      <c r="A70" s="1">
        <v>69</v>
      </c>
      <c r="B70" s="2" t="str">
        <f>"TRANSPORTES LICORSUL LTDA"</f>
        <v>TRANSPORTES LICORSUL LTDA</v>
      </c>
      <c r="C70" s="2" t="str">
        <f>"87.846.580/0002-00"</f>
        <v>87.846.580/0002-00</v>
      </c>
      <c r="D70" s="2" t="str">
        <f>"REGIONAL CAR"</f>
        <v>REGIONAL CAR</v>
      </c>
      <c r="E70" s="2" t="str">
        <f t="shared" si="1"/>
        <v>Rodoviário</v>
      </c>
    </row>
    <row r="71" spans="1:5" x14ac:dyDescent="0.3">
      <c r="A71" s="1">
        <v>70</v>
      </c>
      <c r="B71" s="2" t="str">
        <f>"FIORESE E FIORESE LTDA."</f>
        <v>FIORESE E FIORESE LTDA.</v>
      </c>
      <c r="C71" s="2" t="str">
        <f>"00.103.530/0001-65"</f>
        <v>00.103.530/0001-65</v>
      </c>
      <c r="D71" s="2" t="str">
        <f>"FIORESE"</f>
        <v>FIORESE</v>
      </c>
      <c r="E71" s="2" t="str">
        <f t="shared" si="1"/>
        <v>Rodoviário</v>
      </c>
    </row>
    <row r="72" spans="1:5" x14ac:dyDescent="0.3">
      <c r="A72" s="1">
        <v>71</v>
      </c>
      <c r="B72" s="2" t="str">
        <f>"TRANSPORTES WALDEMAR LTDA"</f>
        <v>TRANSPORTES WALDEMAR LTDA</v>
      </c>
      <c r="C72" s="2" t="str">
        <f>"89.317.697/0001-32"</f>
        <v>89.317.697/0001-32</v>
      </c>
      <c r="D72" s="2" t="str">
        <f>"TW"</f>
        <v>TW</v>
      </c>
      <c r="E72" s="2" t="str">
        <f t="shared" si="1"/>
        <v>Rodoviário</v>
      </c>
    </row>
    <row r="73" spans="1:5" x14ac:dyDescent="0.3">
      <c r="A73" s="1">
        <v>72</v>
      </c>
      <c r="B73" s="2" t="str">
        <f>"TRANSMAGNA TRANSPORTES LTDA."</f>
        <v>TRANSMAGNA TRANSPORTES LTDA.</v>
      </c>
      <c r="C73" s="2" t="str">
        <f>"79.942.140/0010-20"</f>
        <v>79.942.140/0010-20</v>
      </c>
      <c r="D73" s="2" t="str">
        <f>"TRANSMAGNA"</f>
        <v>TRANSMAGNA</v>
      </c>
      <c r="E73" s="2" t="str">
        <f t="shared" si="1"/>
        <v>Rodoviário</v>
      </c>
    </row>
    <row r="74" spans="1:5" x14ac:dyDescent="0.3">
      <c r="A74" s="1">
        <v>73</v>
      </c>
      <c r="B74" s="2" t="str">
        <f>"TRANSPORTES TORINO LTDA"</f>
        <v>TRANSPORTES TORINO LTDA</v>
      </c>
      <c r="C74" s="2" t="str">
        <f>"08.636.051/0001-16"</f>
        <v>08.636.051/0001-16</v>
      </c>
      <c r="D74" s="2" t="str">
        <f>"TORINO"</f>
        <v>TORINO</v>
      </c>
      <c r="E74" s="2" t="str">
        <f t="shared" si="1"/>
        <v>Rodoviário</v>
      </c>
    </row>
    <row r="75" spans="1:5" x14ac:dyDescent="0.3">
      <c r="A75" s="1">
        <v>74</v>
      </c>
      <c r="B75" s="2" t="str">
        <f>"Transportes Mobiline Ltda"</f>
        <v>Transportes Mobiline Ltda</v>
      </c>
      <c r="C75" s="2" t="str">
        <f>"03.341.775/0002-08"</f>
        <v>03.341.775/0002-08</v>
      </c>
      <c r="D75" s="2" t="str">
        <f>"Móbile Trans"</f>
        <v>Móbile Trans</v>
      </c>
      <c r="E75" s="2" t="str">
        <f t="shared" si="1"/>
        <v>Rodoviário</v>
      </c>
    </row>
    <row r="76" spans="1:5" x14ac:dyDescent="0.3">
      <c r="A76" s="1">
        <v>75</v>
      </c>
      <c r="B76" s="2" t="str">
        <f>"AUTO SOCORRO ZAMBON"</f>
        <v>AUTO SOCORRO ZAMBON</v>
      </c>
      <c r="C76" s="2" t="str">
        <f>"04.184.796/0001-30"</f>
        <v>04.184.796/0001-30</v>
      </c>
      <c r="D76" s="2" t="str">
        <f>"ZAMBON"</f>
        <v>ZAMBON</v>
      </c>
      <c r="E76" s="2" t="str">
        <f t="shared" si="1"/>
        <v>Rodoviário</v>
      </c>
    </row>
    <row r="77" spans="1:5" x14ac:dyDescent="0.3">
      <c r="A77" s="1">
        <v>76</v>
      </c>
      <c r="B77" s="2" t="str">
        <f>"RIO VERDE TRANSPORTES ROD. LTDA"</f>
        <v>RIO VERDE TRANSPORTES ROD. LTDA</v>
      </c>
      <c r="C77" s="2" t="str">
        <f>"52.699.865/0001-91"</f>
        <v>52.699.865/0001-91</v>
      </c>
      <c r="D77" s="2" t="str">
        <f>"RIO VERDE"</f>
        <v>RIO VERDE</v>
      </c>
      <c r="E77" s="2" t="str">
        <f t="shared" si="1"/>
        <v>Rodoviário</v>
      </c>
    </row>
    <row r="78" spans="1:5" x14ac:dyDescent="0.3">
      <c r="A78" s="1">
        <v>77</v>
      </c>
      <c r="B78" s="2" t="str">
        <f>"TODAVIA TRANSPORTES E DISTR. LOG. LTDA"</f>
        <v>TODAVIA TRANSPORTES E DISTR. LOG. LTDA</v>
      </c>
      <c r="C78" s="2" t="str">
        <f>"02.875.794/0002-43"</f>
        <v>02.875.794/0002-43</v>
      </c>
      <c r="D78" s="2" t="str">
        <f>"TODAVIA"</f>
        <v>TODAVIA</v>
      </c>
      <c r="E78" s="2" t="str">
        <f t="shared" si="1"/>
        <v>Rodoviário</v>
      </c>
    </row>
    <row r="79" spans="1:5" x14ac:dyDescent="0.3">
      <c r="A79" s="1">
        <v>78</v>
      </c>
      <c r="B79" s="2" t="str">
        <f>"TRANSPORTADORA TEGON VALENTI"</f>
        <v>TRANSPORTADORA TEGON VALENTI</v>
      </c>
      <c r="C79" s="2" t="str">
        <f>"87.550.281/0009-91"</f>
        <v>87.550.281/0009-91</v>
      </c>
      <c r="D79" s="2" t="str">
        <f>"TEGON"</f>
        <v>TEGON</v>
      </c>
      <c r="E79" s="2" t="str">
        <f t="shared" si="1"/>
        <v>Rodoviário</v>
      </c>
    </row>
    <row r="80" spans="1:5" x14ac:dyDescent="0.3">
      <c r="A80" s="1">
        <v>79</v>
      </c>
      <c r="B80" s="2" t="str">
        <f>"VIAÇÃO COMETA S.A"</f>
        <v>VIAÇÃO COMETA S.A</v>
      </c>
      <c r="C80" s="2" t="str">
        <f>"61.084.018/0058-49"</f>
        <v>61.084.018/0058-49</v>
      </c>
      <c r="D80" s="2" t="str">
        <f>"COMETA"</f>
        <v>COMETA</v>
      </c>
      <c r="E80" s="2" t="str">
        <f t="shared" si="1"/>
        <v>Rodoviário</v>
      </c>
    </row>
    <row r="81" spans="1:5" x14ac:dyDescent="0.3">
      <c r="A81" s="1">
        <v>80</v>
      </c>
      <c r="B81" s="2" t="str">
        <f>"CUROTTO"</f>
        <v>CUROTTO</v>
      </c>
      <c r="C81" s="2" t="str">
        <f>""</f>
        <v/>
      </c>
      <c r="D81" s="2" t="str">
        <f>"CUROTTO"</f>
        <v>CUROTTO</v>
      </c>
      <c r="E81" s="2" t="str">
        <f t="shared" si="1"/>
        <v>Rodoviário</v>
      </c>
    </row>
    <row r="82" spans="1:5" x14ac:dyDescent="0.3">
      <c r="A82" s="1">
        <v>81</v>
      </c>
      <c r="B82" s="2" t="str">
        <f>"EMPRESA DE ONIBUS NSA. SRA. DA PENHA S.A"</f>
        <v>EMPRESA DE ONIBUS NSA. SRA. DA PENHA S.A</v>
      </c>
      <c r="C82" s="2" t="str">
        <f>"76.539.600/0001-94"</f>
        <v>76.539.600/0001-94</v>
      </c>
      <c r="D82" s="2" t="str">
        <f>"PENHA"</f>
        <v>PENHA</v>
      </c>
      <c r="E82" s="2" t="str">
        <f t="shared" si="1"/>
        <v>Rodoviário</v>
      </c>
    </row>
    <row r="83" spans="1:5" x14ac:dyDescent="0.3">
      <c r="A83" s="1">
        <v>82</v>
      </c>
      <c r="B83" s="2" t="str">
        <f>"EXPRESSO FLOR DE MINAS LTDA"</f>
        <v>EXPRESSO FLOR DE MINAS LTDA</v>
      </c>
      <c r="C83" s="2" t="str">
        <f>"01.527.825/0002-02"</f>
        <v>01.527.825/0002-02</v>
      </c>
      <c r="D83" s="2" t="str">
        <f>"FLOR  MINAS"</f>
        <v>FLOR  MINAS</v>
      </c>
      <c r="E83" s="2" t="str">
        <f t="shared" si="1"/>
        <v>Rodoviário</v>
      </c>
    </row>
    <row r="84" spans="1:5" x14ac:dyDescent="0.3">
      <c r="A84" s="1">
        <v>83</v>
      </c>
      <c r="B84" s="2" t="str">
        <f>"Rossato Logística e Serviços Ltda."</f>
        <v>Rossato Logística e Serviços Ltda.</v>
      </c>
      <c r="C84" s="2" t="str">
        <f>"80.827.686/0001-28"</f>
        <v>80.827.686/0001-28</v>
      </c>
      <c r="D84" s="2" t="str">
        <f>"ROSSATO"</f>
        <v>ROSSATO</v>
      </c>
      <c r="E84" s="2" t="str">
        <f t="shared" si="1"/>
        <v>Rodoviário</v>
      </c>
    </row>
    <row r="85" spans="1:5" x14ac:dyDescent="0.3">
      <c r="A85" s="1">
        <v>84</v>
      </c>
      <c r="B85" s="2" t="str">
        <f>"EMPRESA DE TRANSPORTES ARALDI LTDA"</f>
        <v>EMPRESA DE TRANSPORTES ARALDI LTDA</v>
      </c>
      <c r="C85" s="2" t="str">
        <f>"02.150.579/0003-66"</f>
        <v>02.150.579/0003-66</v>
      </c>
      <c r="D85" s="2" t="str">
        <f>"ARALDI"</f>
        <v>ARALDI</v>
      </c>
      <c r="E85" s="2" t="str">
        <f t="shared" si="1"/>
        <v>Rodoviário</v>
      </c>
    </row>
    <row r="86" spans="1:5" x14ac:dyDescent="0.3">
      <c r="A86" s="1">
        <v>85</v>
      </c>
      <c r="B86" s="2" t="str">
        <f>"TRANSAL TRANSP. SALVAN LTDA"</f>
        <v>TRANSAL TRANSP. SALVAN LTDA</v>
      </c>
      <c r="C86" s="2" t="str">
        <f>"00.214.121/0003-06"</f>
        <v>00.214.121/0003-06</v>
      </c>
      <c r="D86" s="2" t="str">
        <f>"TRANSAL"</f>
        <v>TRANSAL</v>
      </c>
      <c r="E86" s="2" t="str">
        <f t="shared" si="1"/>
        <v>Rodoviário</v>
      </c>
    </row>
    <row r="87" spans="1:5" x14ac:dyDescent="0.3">
      <c r="A87" s="1">
        <v>86</v>
      </c>
      <c r="B87" s="2" t="str">
        <f>"ALPHEU TRANSPORTES E LOGISTICA LTDA"</f>
        <v>ALPHEU TRANSPORTES E LOGISTICA LTDA</v>
      </c>
      <c r="C87" s="2" t="str">
        <f>"96.373.535/0002-68"</f>
        <v>96.373.535/0002-68</v>
      </c>
      <c r="D87" s="2" t="str">
        <f>"ALPHEU"</f>
        <v>ALPHEU</v>
      </c>
      <c r="E87" s="2" t="str">
        <f t="shared" si="1"/>
        <v>Rodoviário</v>
      </c>
    </row>
    <row r="88" spans="1:5" x14ac:dyDescent="0.3">
      <c r="A88" s="1">
        <v>87</v>
      </c>
      <c r="B88" s="2" t="str">
        <f>"TRANS 13 RODOVIÁRIO LTDA"</f>
        <v>TRANS 13 RODOVIÁRIO LTDA</v>
      </c>
      <c r="C88" s="2" t="str">
        <f>"03.382.756/0001-30"</f>
        <v>03.382.756/0001-30</v>
      </c>
      <c r="D88" s="2" t="str">
        <f>"TRANS 13"</f>
        <v>TRANS 13</v>
      </c>
      <c r="E88" s="2" t="str">
        <f t="shared" si="1"/>
        <v>Rodoviário</v>
      </c>
    </row>
    <row r="89" spans="1:5" x14ac:dyDescent="0.3">
      <c r="A89" s="1">
        <v>88</v>
      </c>
      <c r="B89" s="2" t="str">
        <f>"EXPRESSO ARAÇATUBA"</f>
        <v>EXPRESSO ARAÇATUBA</v>
      </c>
      <c r="C89" s="2" t="str">
        <f>"57.692.055/0001-27"</f>
        <v>57.692.055/0001-27</v>
      </c>
      <c r="D89" s="2" t="str">
        <f>"ARAÇATUBA"</f>
        <v>ARAÇATUBA</v>
      </c>
      <c r="E89" s="2" t="str">
        <f t="shared" si="1"/>
        <v>Rodoviário</v>
      </c>
    </row>
    <row r="90" spans="1:5" x14ac:dyDescent="0.3">
      <c r="A90" s="1">
        <v>89</v>
      </c>
      <c r="B90" s="2" t="str">
        <f>"TRANSPORTADORA RISSO LTDA"</f>
        <v>TRANSPORTADORA RISSO LTDA</v>
      </c>
      <c r="C90" s="2" t="str">
        <f>"52.661.634/0009-46"</f>
        <v>52.661.634/0009-46</v>
      </c>
      <c r="D90" s="2" t="str">
        <f>"RISSO"</f>
        <v>RISSO</v>
      </c>
      <c r="E90" s="2" t="str">
        <f t="shared" si="1"/>
        <v>Rodoviário</v>
      </c>
    </row>
    <row r="91" spans="1:5" x14ac:dyDescent="0.3">
      <c r="A91" s="1">
        <v>90</v>
      </c>
      <c r="B91" s="2" t="str">
        <f>"AWKWARD TRANSPORTES LTDA"</f>
        <v>AWKWARD TRANSPORTES LTDA</v>
      </c>
      <c r="C91" s="2" t="str">
        <f>"04.901.541/0001-41"</f>
        <v>04.901.541/0001-41</v>
      </c>
      <c r="D91" s="2" t="str">
        <f>"AWKWARD"</f>
        <v>AWKWARD</v>
      </c>
      <c r="E91" s="2" t="str">
        <f t="shared" si="1"/>
        <v>Rodoviário</v>
      </c>
    </row>
    <row r="92" spans="1:5" x14ac:dyDescent="0.3">
      <c r="A92" s="1">
        <v>91</v>
      </c>
      <c r="B92" s="2" t="str">
        <f>"TRANSPORTADORA AQUARIUN LTDA"</f>
        <v>TRANSPORTADORA AQUARIUN LTDA</v>
      </c>
      <c r="C92" s="2" t="str">
        <f>"53.982.542/0002-54"</f>
        <v>53.982.542/0002-54</v>
      </c>
      <c r="D92" s="2" t="str">
        <f>"TRANSP AQUAR"</f>
        <v>TRANSP AQUAR</v>
      </c>
      <c r="E92" s="2" t="str">
        <f t="shared" si="1"/>
        <v>Rodoviário</v>
      </c>
    </row>
    <row r="93" spans="1:5" x14ac:dyDescent="0.3">
      <c r="A93" s="1">
        <v>92</v>
      </c>
      <c r="B93" s="2" t="str">
        <f>"TRANSPORTADORA FERREIRA JUNIOR LTDA"</f>
        <v>TRANSPORTADORA FERREIRA JUNIOR LTDA</v>
      </c>
      <c r="C93" s="2" t="str">
        <f>"81.717.811/0001-00"</f>
        <v>81.717.811/0001-00</v>
      </c>
      <c r="D93" s="2" t="str">
        <f>"FERREIRA JR"</f>
        <v>FERREIRA JR</v>
      </c>
      <c r="E93" s="2" t="str">
        <f t="shared" si="1"/>
        <v>Rodoviário</v>
      </c>
    </row>
    <row r="94" spans="1:5" x14ac:dyDescent="0.3">
      <c r="A94" s="1">
        <v>93</v>
      </c>
      <c r="B94" s="2" t="str">
        <f>"NASCISUL TRANSPORTES LTDA"</f>
        <v>NASCISUL TRANSPORTES LTDA</v>
      </c>
      <c r="C94" s="2" t="str">
        <f>"01.222.681/0012-58"</f>
        <v>01.222.681/0012-58</v>
      </c>
      <c r="D94" s="2" t="str">
        <f>"NASCISUL"</f>
        <v>NASCISUL</v>
      </c>
      <c r="E94" s="2" t="str">
        <f t="shared" si="1"/>
        <v>Rodoviário</v>
      </c>
    </row>
    <row r="95" spans="1:5" x14ac:dyDescent="0.3">
      <c r="A95" s="1">
        <v>94</v>
      </c>
      <c r="B95" s="2" t="str">
        <f>"COOP DE TRANSP CARGAS E LOG SALTO"</f>
        <v>COOP DE TRANSP CARGAS E LOG SALTO</v>
      </c>
      <c r="C95" s="2" t="str">
        <f>"09.284.385/0001-30"</f>
        <v>09.284.385/0001-30</v>
      </c>
      <c r="D95" s="2" t="str">
        <f>"TRANSSALTO"</f>
        <v>TRANSSALTO</v>
      </c>
      <c r="E95" s="2" t="str">
        <f t="shared" si="1"/>
        <v>Rodoviário</v>
      </c>
    </row>
    <row r="96" spans="1:5" x14ac:dyDescent="0.3">
      <c r="A96" s="1">
        <v>95</v>
      </c>
      <c r="B96" s="2" t="str">
        <f>"ALFA TRANSPORTES ESPECIAIS LTDA"</f>
        <v>ALFA TRANSPORTES ESPECIAIS LTDA</v>
      </c>
      <c r="C96" s="2" t="str">
        <f>"82.110.818/0002-02"</f>
        <v>82.110.818/0002-02</v>
      </c>
      <c r="D96" s="2" t="str">
        <f>"ALFA"</f>
        <v>ALFA</v>
      </c>
      <c r="E96" s="2" t="str">
        <f t="shared" si="1"/>
        <v>Rodoviário</v>
      </c>
    </row>
    <row r="97" spans="1:5" x14ac:dyDescent="0.3">
      <c r="A97" s="1">
        <v>96</v>
      </c>
      <c r="B97" s="2" t="str">
        <f>"BISAHNI LOGISTICA S.A."</f>
        <v>BISAHNI LOGISTICA S.A.</v>
      </c>
      <c r="C97" s="2" t="str">
        <f>""</f>
        <v/>
      </c>
      <c r="D97" s="2" t="str">
        <f>"BISAHNI"</f>
        <v>BISAHNI</v>
      </c>
      <c r="E97" s="2" t="str">
        <f t="shared" si="1"/>
        <v>Rodoviário</v>
      </c>
    </row>
    <row r="98" spans="1:5" x14ac:dyDescent="0.3">
      <c r="A98" s="1">
        <v>97</v>
      </c>
      <c r="B98" s="2" t="str">
        <f>"TRANSJARO LTDA"</f>
        <v>TRANSJARO LTDA</v>
      </c>
      <c r="C98" s="2" t="str">
        <f>"09.420.104/0001-20"</f>
        <v>09.420.104/0001-20</v>
      </c>
      <c r="D98" s="2" t="str">
        <f>"TRANSJARO"</f>
        <v>TRANSJARO</v>
      </c>
      <c r="E98" s="2" t="str">
        <f t="shared" si="1"/>
        <v>Rodoviário</v>
      </c>
    </row>
    <row r="99" spans="1:5" x14ac:dyDescent="0.3">
      <c r="A99" s="1">
        <v>98</v>
      </c>
      <c r="B99" s="2" t="str">
        <f>"TRANSP MEDEIROS &amp; S/C LTDA"</f>
        <v>TRANSP MEDEIROS &amp; S/C LTDA</v>
      </c>
      <c r="C99" s="2" t="str">
        <f>"09.324.232/0001-70"</f>
        <v>09.324.232/0001-70</v>
      </c>
      <c r="D99" s="2" t="str">
        <f>"MEDEIROS"</f>
        <v>MEDEIROS</v>
      </c>
      <c r="E99" s="2" t="str">
        <f t="shared" si="1"/>
        <v>Rodoviário</v>
      </c>
    </row>
    <row r="100" spans="1:5" x14ac:dyDescent="0.3">
      <c r="A100" s="1">
        <v>99</v>
      </c>
      <c r="B100" s="2" t="str">
        <f>"EXPRESSO ROD TAMOYO LTDA"</f>
        <v>EXPRESSO ROD TAMOYO LTDA</v>
      </c>
      <c r="C100" s="2" t="str">
        <f>"78.747.136/0003-19"</f>
        <v>78.747.136/0003-19</v>
      </c>
      <c r="D100" s="2" t="str">
        <f>"TAMOYO"</f>
        <v>TAMOYO</v>
      </c>
      <c r="E100" s="2" t="str">
        <f t="shared" si="1"/>
        <v>Rodoviário</v>
      </c>
    </row>
    <row r="101" spans="1:5" x14ac:dyDescent="0.3">
      <c r="A101" s="1">
        <v>100</v>
      </c>
      <c r="B101" s="2" t="str">
        <f>"CATTANI CARGAS LTDA."</f>
        <v>CATTANI CARGAS LTDA.</v>
      </c>
      <c r="C101" s="2" t="str">
        <f>"04.544.189/0001-34"</f>
        <v>04.544.189/0001-34</v>
      </c>
      <c r="D101" s="2" t="str">
        <f>"CATTANI"</f>
        <v>CATTANI</v>
      </c>
      <c r="E101" s="2" t="str">
        <f t="shared" si="1"/>
        <v>Rodoviário</v>
      </c>
    </row>
    <row r="102" spans="1:5" x14ac:dyDescent="0.3">
      <c r="A102" s="1">
        <v>101</v>
      </c>
      <c r="B102" s="2" t="str">
        <f>"TNT EXPRESS BRASIL LTDA"</f>
        <v>TNT EXPRESS BRASIL LTDA</v>
      </c>
      <c r="C102" s="2" t="str">
        <f>"73.475.303/0001-34"</f>
        <v>73.475.303/0001-34</v>
      </c>
      <c r="D102" s="2" t="str">
        <f>"TNT"</f>
        <v>TNT</v>
      </c>
      <c r="E102" s="2" t="str">
        <f t="shared" si="1"/>
        <v>Rodoviário</v>
      </c>
    </row>
    <row r="103" spans="1:5" x14ac:dyDescent="0.3">
      <c r="A103" s="1">
        <v>102</v>
      </c>
      <c r="B103" s="2" t="str">
        <f>"AMBISERVICE TRAT EFLU RESI INDL LTDA"</f>
        <v>AMBISERVICE TRAT EFLU RESI INDL LTDA</v>
      </c>
      <c r="C103" s="2" t="str">
        <f>"09.245.489/0001-36"</f>
        <v>09.245.489/0001-36</v>
      </c>
      <c r="D103" s="2" t="str">
        <f>"AMBISERVICE"</f>
        <v>AMBISERVICE</v>
      </c>
      <c r="E103" s="2" t="str">
        <f t="shared" si="1"/>
        <v>Rodoviário</v>
      </c>
    </row>
    <row r="104" spans="1:5" x14ac:dyDescent="0.3">
      <c r="A104" s="1">
        <v>103</v>
      </c>
      <c r="B104" s="2" t="str">
        <f>"FLEXORUBBER ELASTOMEROS LTDA"</f>
        <v>FLEXORUBBER ELASTOMEROS LTDA</v>
      </c>
      <c r="C104" s="2" t="str">
        <f>"05.091.254/0001-86"</f>
        <v>05.091.254/0001-86</v>
      </c>
      <c r="D104" s="2" t="str">
        <f>"FLEXORUBBER"</f>
        <v>FLEXORUBBER</v>
      </c>
      <c r="E104" s="2" t="str">
        <f t="shared" si="1"/>
        <v>Rodoviário</v>
      </c>
    </row>
    <row r="105" spans="1:5" x14ac:dyDescent="0.3">
      <c r="A105" s="1">
        <v>104</v>
      </c>
      <c r="B105" s="2" t="str">
        <f>"MOVEIS BETTIO LTDA"</f>
        <v>MOVEIS BETTIO LTDA</v>
      </c>
      <c r="C105" s="2" t="str">
        <f>"21.997.010/0001-13"</f>
        <v>21.997.010/0001-13</v>
      </c>
      <c r="D105" s="2" t="str">
        <f>"BETTIO"</f>
        <v>BETTIO</v>
      </c>
      <c r="E105" s="2" t="str">
        <f t="shared" si="1"/>
        <v>Rodoviário</v>
      </c>
    </row>
    <row r="106" spans="1:5" x14ac:dyDescent="0.3">
      <c r="A106" s="1">
        <v>105</v>
      </c>
      <c r="B106" s="2" t="str">
        <f>"J.C. INDUSTRIA DE MÓVEIS LTDA"</f>
        <v>J.C. INDUSTRIA DE MÓVEIS LTDA</v>
      </c>
      <c r="C106" s="2" t="str">
        <f>"41.807.256/0001-92"</f>
        <v>41.807.256/0001-92</v>
      </c>
      <c r="D106" s="2" t="str">
        <f>"JC MOVEIS"</f>
        <v>JC MOVEIS</v>
      </c>
      <c r="E106" s="2" t="str">
        <f t="shared" si="1"/>
        <v>Rodoviário</v>
      </c>
    </row>
    <row r="107" spans="1:5" x14ac:dyDescent="0.3">
      <c r="A107" s="1">
        <v>106</v>
      </c>
      <c r="B107" s="2" t="str">
        <f>"FIBRAPLAC CHAPAS DE MDF LTDA"</f>
        <v>FIBRAPLAC CHAPAS DE MDF LTDA</v>
      </c>
      <c r="C107" s="2" t="str">
        <f>"04.176.791/0002-47"</f>
        <v>04.176.791/0002-47</v>
      </c>
      <c r="D107" s="2" t="str">
        <f>"FIBRAPLAC"</f>
        <v>FIBRAPLAC</v>
      </c>
      <c r="E107" s="2" t="str">
        <f t="shared" si="1"/>
        <v>Rodoviário</v>
      </c>
    </row>
    <row r="108" spans="1:5" x14ac:dyDescent="0.3">
      <c r="A108" s="1">
        <v>107</v>
      </c>
      <c r="B108" s="2" t="str">
        <f>"MD PAPEIS LTDA"</f>
        <v>MD PAPEIS LTDA</v>
      </c>
      <c r="C108" s="2" t="str">
        <f>"72.907.595/0004-17"</f>
        <v>72.907.595/0004-17</v>
      </c>
      <c r="D108" s="2" t="str">
        <f>"MD PAPEIS"</f>
        <v>MD PAPEIS</v>
      </c>
      <c r="E108" s="2" t="str">
        <f t="shared" si="1"/>
        <v>Rodoviário</v>
      </c>
    </row>
    <row r="109" spans="1:5" x14ac:dyDescent="0.3">
      <c r="A109" s="1">
        <v>108</v>
      </c>
      <c r="B109" s="2" t="str">
        <f>"FLORIATEC IND E COM DE PCS LTDA"</f>
        <v>FLORIATEC IND E COM DE PCS LTDA</v>
      </c>
      <c r="C109" s="2" t="str">
        <f>"08.802.230/0001-86"</f>
        <v>08.802.230/0001-86</v>
      </c>
      <c r="D109" s="2" t="str">
        <f>"FLORIATEC"</f>
        <v>FLORIATEC</v>
      </c>
      <c r="E109" s="2" t="str">
        <f t="shared" si="1"/>
        <v>Rodoviário</v>
      </c>
    </row>
    <row r="110" spans="1:5" x14ac:dyDescent="0.3">
      <c r="A110" s="1">
        <v>109</v>
      </c>
      <c r="B110" s="2" t="str">
        <f>"MODULAR TRANSPORTES LTDA."</f>
        <v>MODULAR TRANSPORTES LTDA.</v>
      </c>
      <c r="C110" s="2" t="str">
        <f>"88.009.030/0006-14"</f>
        <v>88.009.030/0006-14</v>
      </c>
      <c r="D110" s="2" t="str">
        <f>"MODULAR"</f>
        <v>MODULAR</v>
      </c>
      <c r="E110" s="2" t="str">
        <f t="shared" si="1"/>
        <v>Rodoviário</v>
      </c>
    </row>
    <row r="111" spans="1:5" x14ac:dyDescent="0.3">
      <c r="A111" s="1">
        <v>110</v>
      </c>
      <c r="B111" s="2" t="str">
        <f>"INSTALADORA TECNICA DE MAQUINAS LTDA"</f>
        <v>INSTALADORA TECNICA DE MAQUINAS LTDA</v>
      </c>
      <c r="C111" s="2" t="str">
        <f>"76.662.907/0001-88"</f>
        <v>76.662.907/0001-88</v>
      </c>
      <c r="D111" s="2" t="str">
        <f>"INSTEMAQ"</f>
        <v>INSTEMAQ</v>
      </c>
      <c r="E111" s="2" t="str">
        <f t="shared" si="1"/>
        <v>Rodoviário</v>
      </c>
    </row>
    <row r="112" spans="1:5" x14ac:dyDescent="0.3">
      <c r="A112" s="1">
        <v>111</v>
      </c>
      <c r="B112" s="2" t="str">
        <f>"TINMER DO BRASIL TRANSPORTES INTERNACION"</f>
        <v>TINMER DO BRASIL TRANSPORTES INTERNACION</v>
      </c>
      <c r="C112" s="2" t="str">
        <f>"04.488.188/0002-09"</f>
        <v>04.488.188/0002-09</v>
      </c>
      <c r="D112" s="2" t="str">
        <f>"TINMER"</f>
        <v>TINMER</v>
      </c>
      <c r="E112" s="2" t="str">
        <f t="shared" si="1"/>
        <v>Rodoviário</v>
      </c>
    </row>
    <row r="113" spans="1:5" x14ac:dyDescent="0.3">
      <c r="A113" s="1">
        <v>112</v>
      </c>
      <c r="B113" s="2" t="str">
        <f>"BORSARI E ROMERO LTDA"</f>
        <v>BORSARI E ROMERO LTDA</v>
      </c>
      <c r="C113" s="2" t="str">
        <f>"04.550.720/0001-81"</f>
        <v>04.550.720/0001-81</v>
      </c>
      <c r="D113" s="2" t="str">
        <f>"BORSARI"</f>
        <v>BORSARI</v>
      </c>
      <c r="E113" s="2" t="str">
        <f t="shared" si="1"/>
        <v>Rodoviário</v>
      </c>
    </row>
    <row r="114" spans="1:5" x14ac:dyDescent="0.3">
      <c r="A114" s="1">
        <v>113</v>
      </c>
      <c r="B114" s="2" t="str">
        <f>"STEELNOX EQUIPAMENTOS INDUSTRIAIS LTDA"</f>
        <v>STEELNOX EQUIPAMENTOS INDUSTRIAIS LTDA</v>
      </c>
      <c r="C114" s="2" t="str">
        <f>"00.388.733/0001-45"</f>
        <v>00.388.733/0001-45</v>
      </c>
      <c r="D114" s="2" t="str">
        <f>"STEELNOX"</f>
        <v>STEELNOX</v>
      </c>
      <c r="E114" s="2" t="str">
        <f t="shared" si="1"/>
        <v>Rodoviário</v>
      </c>
    </row>
    <row r="115" spans="1:5" x14ac:dyDescent="0.3">
      <c r="A115" s="1">
        <v>114</v>
      </c>
      <c r="B115" s="2" t="str">
        <f>"NC SERVICE PR COM DE MAQUINAS LTDA"</f>
        <v>NC SERVICE PR COM DE MAQUINAS LTDA</v>
      </c>
      <c r="C115" s="2" t="str">
        <f>"07.269.059/0001-29"</f>
        <v>07.269.059/0001-29</v>
      </c>
      <c r="D115" s="2" t="str">
        <f>"NC SERVICE"</f>
        <v>NC SERVICE</v>
      </c>
      <c r="E115" s="2" t="str">
        <f t="shared" si="1"/>
        <v>Rodoviário</v>
      </c>
    </row>
    <row r="116" spans="1:5" x14ac:dyDescent="0.3">
      <c r="A116" s="1">
        <v>115</v>
      </c>
      <c r="B116" s="2" t="str">
        <f>"ELETROTÉCNICA JARAGUÁ LTDA"</f>
        <v>ELETROTÉCNICA JARAGUÁ LTDA</v>
      </c>
      <c r="C116" s="2" t="str">
        <f>"78.606.522/0001-29"</f>
        <v>78.606.522/0001-29</v>
      </c>
      <c r="D116" s="2" t="str">
        <f>"JARAGUA"</f>
        <v>JARAGUA</v>
      </c>
      <c r="E116" s="2" t="str">
        <f t="shared" si="1"/>
        <v>Rodoviário</v>
      </c>
    </row>
    <row r="117" spans="1:5" x14ac:dyDescent="0.3">
      <c r="A117" s="1">
        <v>116</v>
      </c>
      <c r="B117" s="2" t="str">
        <f>"AWR ELETRO MECANICA INDUSTRIAL LTDA"</f>
        <v>AWR ELETRO MECANICA INDUSTRIAL LTDA</v>
      </c>
      <c r="C117" s="2" t="str">
        <f>"09.252.504/0001-73"</f>
        <v>09.252.504/0001-73</v>
      </c>
      <c r="D117" s="2" t="str">
        <f>"AWR"</f>
        <v>AWR</v>
      </c>
      <c r="E117" s="2" t="str">
        <f t="shared" si="1"/>
        <v>Rodoviário</v>
      </c>
    </row>
    <row r="118" spans="1:5" x14ac:dyDescent="0.3">
      <c r="A118" s="1">
        <v>117</v>
      </c>
      <c r="B118" s="2" t="str">
        <f>"TORBER USINAGEM MECÂNICA LTDA"</f>
        <v>TORBER USINAGEM MECÂNICA LTDA</v>
      </c>
      <c r="C118" s="2" t="str">
        <f>"02.148.733/0001-01"</f>
        <v>02.148.733/0001-01</v>
      </c>
      <c r="D118" s="2" t="str">
        <f>"TORBER"</f>
        <v>TORBER</v>
      </c>
      <c r="E118" s="2" t="str">
        <f t="shared" si="1"/>
        <v>Rodoviário</v>
      </c>
    </row>
    <row r="119" spans="1:5" x14ac:dyDescent="0.3">
      <c r="A119" s="1">
        <v>118</v>
      </c>
      <c r="B119" s="2" t="str">
        <f>"NEYD MARIA MAKIOLKA MONTINGELLI"</f>
        <v>NEYD MARIA MAKIOLKA MONTINGELLI</v>
      </c>
      <c r="C119" s="2" t="str">
        <f>"08.486.566/0001-87"</f>
        <v>08.486.566/0001-87</v>
      </c>
      <c r="D119" s="2" t="str">
        <f>"TRANSMADAL"</f>
        <v>TRANSMADAL</v>
      </c>
      <c r="E119" s="2" t="str">
        <f t="shared" si="1"/>
        <v>Rodoviário</v>
      </c>
    </row>
    <row r="120" spans="1:5" x14ac:dyDescent="0.3">
      <c r="A120" s="1">
        <v>119</v>
      </c>
      <c r="B120" s="2" t="str">
        <f>"NPL TRANSPORTES E LOGISTICA LTDA."</f>
        <v>NPL TRANSPORTES E LOGISTICA LTDA.</v>
      </c>
      <c r="C120" s="2" t="str">
        <f>"72.810.468/0003-14"</f>
        <v>72.810.468/0003-14</v>
      </c>
      <c r="D120" s="2" t="str">
        <f>"NPL-PARANAGU"</f>
        <v>NPL-PARANAGU</v>
      </c>
      <c r="E120" s="2" t="str">
        <f t="shared" si="1"/>
        <v>Rodoviário</v>
      </c>
    </row>
    <row r="121" spans="1:5" x14ac:dyDescent="0.3">
      <c r="A121" s="1">
        <v>120</v>
      </c>
      <c r="B121" s="2" t="str">
        <f>"BERNECK S/A PAINEIS E SERRADOS"</f>
        <v>BERNECK S/A PAINEIS E SERRADOS</v>
      </c>
      <c r="C121" s="2" t="str">
        <f>"81.905.176/0001-94"</f>
        <v>81.905.176/0001-94</v>
      </c>
      <c r="D121" s="2" t="str">
        <f>"BERNECK"</f>
        <v>BERNECK</v>
      </c>
      <c r="E121" s="2" t="str">
        <f t="shared" si="1"/>
        <v>Rodoviário</v>
      </c>
    </row>
    <row r="122" spans="1:5" x14ac:dyDescent="0.3">
      <c r="A122" s="1">
        <v>121</v>
      </c>
      <c r="B122" s="2" t="str">
        <f>"WP LTM TRANSPORTES INTERNACIONAIS LTDA."</f>
        <v>WP LTM TRANSPORTES INTERNACIONAIS LTDA.</v>
      </c>
      <c r="C122" s="2" t="str">
        <f>"02.750.962/0001-93"</f>
        <v>02.750.962/0001-93</v>
      </c>
      <c r="D122" s="2" t="str">
        <f>"LTM"</f>
        <v>LTM</v>
      </c>
      <c r="E122" s="2" t="str">
        <f t="shared" si="1"/>
        <v>Rodoviário</v>
      </c>
    </row>
    <row r="123" spans="1:5" x14ac:dyDescent="0.3">
      <c r="A123" s="1">
        <v>122</v>
      </c>
      <c r="B123" s="2" t="str">
        <f>"TRANSVILLE TRANSPORTES E SERIÇOS LTDA"</f>
        <v>TRANSVILLE TRANSPORTES E SERIÇOS LTDA</v>
      </c>
      <c r="C123" s="2" t="str">
        <f>"82.604.042/0001-04"</f>
        <v>82.604.042/0001-04</v>
      </c>
      <c r="D123" s="2" t="str">
        <f>"TRANSVILLE"</f>
        <v>TRANSVILLE</v>
      </c>
      <c r="E123" s="2" t="str">
        <f t="shared" si="1"/>
        <v>Rodoviário</v>
      </c>
    </row>
    <row r="124" spans="1:5" x14ac:dyDescent="0.3">
      <c r="A124" s="1">
        <v>123</v>
      </c>
      <c r="B124" s="2" t="str">
        <f>"GEZIANE DE C O BASILIO"</f>
        <v>GEZIANE DE C O BASILIO</v>
      </c>
      <c r="C124" s="2" t="str">
        <f>"05.874.289/0001-91"</f>
        <v>05.874.289/0001-91</v>
      </c>
      <c r="D124" s="2" t="str">
        <f>"NICOLAU"</f>
        <v>NICOLAU</v>
      </c>
      <c r="E124" s="2" t="str">
        <f t="shared" si="1"/>
        <v>Rodoviário</v>
      </c>
    </row>
    <row r="125" spans="1:5" x14ac:dyDescent="0.3">
      <c r="A125" s="1">
        <v>124</v>
      </c>
      <c r="B125" s="2" t="str">
        <f>"SIEMENS LTDA"</f>
        <v>SIEMENS LTDA</v>
      </c>
      <c r="C125" s="2" t="str">
        <f>"44.013.159/0031-31"</f>
        <v>44.013.159/0031-31</v>
      </c>
      <c r="D125" s="2" t="str">
        <f>"SIEMENS"</f>
        <v>SIEMENS</v>
      </c>
      <c r="E125" s="2" t="str">
        <f t="shared" si="1"/>
        <v>Rodoviário</v>
      </c>
    </row>
    <row r="126" spans="1:5" x14ac:dyDescent="0.3">
      <c r="A126" s="1">
        <v>125</v>
      </c>
      <c r="B126" s="2" t="str">
        <f>"USIBLOCK IND MECANICA LTDA"</f>
        <v>USIBLOCK IND MECANICA LTDA</v>
      </c>
      <c r="C126" s="2" t="str">
        <f>"81.449.860/0001-09"</f>
        <v>81.449.860/0001-09</v>
      </c>
      <c r="D126" s="2" t="str">
        <f>"USIBLOCK"</f>
        <v>USIBLOCK</v>
      </c>
      <c r="E126" s="2" t="str">
        <f t="shared" si="1"/>
        <v>Rodoviário</v>
      </c>
    </row>
    <row r="127" spans="1:5" x14ac:dyDescent="0.3">
      <c r="A127" s="1">
        <v>126</v>
      </c>
      <c r="B127" s="2" t="str">
        <f>"GOLD INDUSTRIA QUIMICA LTDA"</f>
        <v>GOLD INDUSTRIA QUIMICA LTDA</v>
      </c>
      <c r="C127" s="2" t="str">
        <f>"05.666.061/0001-06"</f>
        <v>05.666.061/0001-06</v>
      </c>
      <c r="D127" s="2" t="str">
        <f>"GOLD"</f>
        <v>GOLD</v>
      </c>
      <c r="E127" s="2" t="str">
        <f t="shared" si="1"/>
        <v>Rodoviário</v>
      </c>
    </row>
    <row r="128" spans="1:5" x14ac:dyDescent="0.3">
      <c r="A128" s="1">
        <v>127</v>
      </c>
      <c r="B128" s="2" t="str">
        <f>"UPS DO BRASIL REMESSAS EXPRESSAS LTDA"</f>
        <v>UPS DO BRASIL REMESSAS EXPRESSAS LTDA</v>
      </c>
      <c r="C128" s="2" t="str">
        <f>"74.155.052/0001-73"</f>
        <v>74.155.052/0001-73</v>
      </c>
      <c r="D128" s="2" t="str">
        <f>"UPS DO BRA"</f>
        <v>UPS DO BRA</v>
      </c>
      <c r="E128" s="2" t="str">
        <f t="shared" si="1"/>
        <v>Rodoviário</v>
      </c>
    </row>
    <row r="129" spans="1:5" x14ac:dyDescent="0.3">
      <c r="A129" s="1">
        <v>128</v>
      </c>
      <c r="B129" s="2" t="str">
        <f>"QUIMICASOL LTDA ME"</f>
        <v>QUIMICASOL LTDA ME</v>
      </c>
      <c r="C129" s="2" t="str">
        <f>"06.943.501/0001-98"</f>
        <v>06.943.501/0001-98</v>
      </c>
      <c r="D129" s="2" t="str">
        <f>"QUIMICASOL"</f>
        <v>QUIMICASOL</v>
      </c>
      <c r="E129" s="2" t="str">
        <f t="shared" si="1"/>
        <v>Rodoviário</v>
      </c>
    </row>
    <row r="130" spans="1:5" x14ac:dyDescent="0.3">
      <c r="A130" s="1">
        <v>129</v>
      </c>
      <c r="B130" s="2" t="str">
        <f>"HASHIMOTO &amp; CIA LTDA"</f>
        <v>HASHIMOTO &amp; CIA LTDA</v>
      </c>
      <c r="C130" s="2" t="str">
        <f>"03.929.698/0001-12"</f>
        <v>03.929.698/0001-12</v>
      </c>
      <c r="D130" s="2" t="str">
        <f>"HASHIMOTO"</f>
        <v>HASHIMOTO</v>
      </c>
      <c r="E130" s="2" t="str">
        <f t="shared" ref="E130:E193" si="2">"Rodoviário"</f>
        <v>Rodoviário</v>
      </c>
    </row>
    <row r="131" spans="1:5" x14ac:dyDescent="0.3">
      <c r="A131" s="1">
        <v>130</v>
      </c>
      <c r="B131" s="2" t="str">
        <f>"RUBBERCITY ARTEFATOS DE BORRACHA LTDA"</f>
        <v>RUBBERCITY ARTEFATOS DE BORRACHA LTDA</v>
      </c>
      <c r="C131" s="2" t="str">
        <f>"60.975.562/0001-82"</f>
        <v>60.975.562/0001-82</v>
      </c>
      <c r="D131" s="2" t="str">
        <f>"RUBBERCITY"</f>
        <v>RUBBERCITY</v>
      </c>
      <c r="E131" s="2" t="str">
        <f t="shared" si="2"/>
        <v>Rodoviário</v>
      </c>
    </row>
    <row r="132" spans="1:5" x14ac:dyDescent="0.3">
      <c r="A132" s="1">
        <v>131</v>
      </c>
      <c r="B132" s="2" t="str">
        <f>"DECORPRINT- DECORATIVOS DO PR IND E COM"</f>
        <v>DECORPRINT- DECORATIVOS DO PR IND E COM</v>
      </c>
      <c r="C132" s="2" t="str">
        <f>"42.512.392/0001-18"</f>
        <v>42.512.392/0001-18</v>
      </c>
      <c r="D132" s="2" t="str">
        <f>"DECORPRINT"</f>
        <v>DECORPRINT</v>
      </c>
      <c r="E132" s="2" t="str">
        <f t="shared" si="2"/>
        <v>Rodoviário</v>
      </c>
    </row>
    <row r="133" spans="1:5" x14ac:dyDescent="0.3">
      <c r="A133" s="1">
        <v>132</v>
      </c>
      <c r="B133" s="2" t="str">
        <f>"INDUSCRIL IND E COM DE TINTAS E REVEST"</f>
        <v>INDUSCRIL IND E COM DE TINTAS E REVEST</v>
      </c>
      <c r="C133" s="2" t="str">
        <f>"03.846.513/0001-06"</f>
        <v>03.846.513/0001-06</v>
      </c>
      <c r="D133" s="2" t="str">
        <f>"INDUSCRIL"</f>
        <v>INDUSCRIL</v>
      </c>
      <c r="E133" s="2" t="str">
        <f t="shared" si="2"/>
        <v>Rodoviário</v>
      </c>
    </row>
    <row r="134" spans="1:5" x14ac:dyDescent="0.3">
      <c r="A134" s="1">
        <v>133</v>
      </c>
      <c r="B134" s="2" t="str">
        <f>"M.W. TRANSPORTES LTDA"</f>
        <v>M.W. TRANSPORTES LTDA</v>
      </c>
      <c r="C134" s="2" t="str">
        <f>"17.676.693/0013-73"</f>
        <v>17.676.693/0013-73</v>
      </c>
      <c r="D134" s="2" t="str">
        <f>"EUREKA"</f>
        <v>EUREKA</v>
      </c>
      <c r="E134" s="2" t="str">
        <f t="shared" si="2"/>
        <v>Rodoviário</v>
      </c>
    </row>
    <row r="135" spans="1:5" x14ac:dyDescent="0.3">
      <c r="A135" s="1">
        <v>134</v>
      </c>
      <c r="B135" s="2" t="str">
        <f>"TRANSPORTADORA CURITIBA LTDA"</f>
        <v>TRANSPORTADORA CURITIBA LTDA</v>
      </c>
      <c r="C135" s="2" t="str">
        <f>"76.654.516/0001-11"</f>
        <v>76.654.516/0001-11</v>
      </c>
      <c r="D135" s="2" t="str">
        <f>"CURITIBA"</f>
        <v>CURITIBA</v>
      </c>
      <c r="E135" s="2" t="str">
        <f t="shared" si="2"/>
        <v>Rodoviário</v>
      </c>
    </row>
    <row r="136" spans="1:5" x14ac:dyDescent="0.3">
      <c r="A136" s="1">
        <v>135</v>
      </c>
      <c r="B136" s="2" t="str">
        <f>"LOPAR INDUSTRIAL MADEIREIRA LTDA"</f>
        <v>LOPAR INDUSTRIAL MADEIREIRA LTDA</v>
      </c>
      <c r="C136" s="2" t="str">
        <f>"82.363.433/0001-76"</f>
        <v>82.363.433/0001-76</v>
      </c>
      <c r="D136" s="2" t="str">
        <f>"LOPAR"</f>
        <v>LOPAR</v>
      </c>
      <c r="E136" s="2" t="str">
        <f t="shared" si="2"/>
        <v>Rodoviário</v>
      </c>
    </row>
    <row r="137" spans="1:5" x14ac:dyDescent="0.3">
      <c r="A137" s="1">
        <v>136</v>
      </c>
      <c r="B137" s="2" t="str">
        <f>"ORLANDO BRANDES BOEIRA - TRANSBOEIRA"</f>
        <v>ORLANDO BRANDES BOEIRA - TRANSBOEIRA</v>
      </c>
      <c r="C137" s="2" t="str">
        <f>"91.664.581/0001-11"</f>
        <v>91.664.581/0001-11</v>
      </c>
      <c r="D137" s="2" t="str">
        <f>"TRANSBOEIRA"</f>
        <v>TRANSBOEIRA</v>
      </c>
      <c r="E137" s="2" t="str">
        <f t="shared" si="2"/>
        <v>Rodoviário</v>
      </c>
    </row>
    <row r="138" spans="1:5" x14ac:dyDescent="0.3">
      <c r="A138" s="1">
        <v>137</v>
      </c>
      <c r="B138" s="2" t="str">
        <f>"DP MOTO BOY - DE VALDIR OLINO T JR"</f>
        <v>DP MOTO BOY - DE VALDIR OLINO T JR</v>
      </c>
      <c r="C138" s="2" t="str">
        <f>"05.582.328/0001-87"</f>
        <v>05.582.328/0001-87</v>
      </c>
      <c r="D138" s="2" t="str">
        <f>"DP MOTO BOY"</f>
        <v>DP MOTO BOY</v>
      </c>
      <c r="E138" s="2" t="str">
        <f t="shared" si="2"/>
        <v>Rodoviário</v>
      </c>
    </row>
    <row r="139" spans="1:5" x14ac:dyDescent="0.3">
      <c r="A139" s="1">
        <v>138</v>
      </c>
      <c r="B139" s="2" t="str">
        <f>"ALTAMAQ LOC E COM DE MAQ LTDA"</f>
        <v>ALTAMAQ LOC E COM DE MAQ LTDA</v>
      </c>
      <c r="C139" s="2" t="str">
        <f>"06.792.504/0001-78"</f>
        <v>06.792.504/0001-78</v>
      </c>
      <c r="D139" s="2" t="str">
        <f>"ALTAMAQ"</f>
        <v>ALTAMAQ</v>
      </c>
      <c r="E139" s="2" t="str">
        <f t="shared" si="2"/>
        <v>Rodoviário</v>
      </c>
    </row>
    <row r="140" spans="1:5" x14ac:dyDescent="0.3">
      <c r="A140" s="1">
        <v>139</v>
      </c>
      <c r="B140" s="2" t="str">
        <f>"DIMENSIONAL EQUIPAMENTOS ELETRICOS LTDA"</f>
        <v>DIMENSIONAL EQUIPAMENTOS ELETRICOS LTDA</v>
      </c>
      <c r="C140" s="2" t="str">
        <f>"56.545.742/0001-57"</f>
        <v>56.545.742/0001-57</v>
      </c>
      <c r="D140" s="2" t="str">
        <f>"DIMENSIONAL"</f>
        <v>DIMENSIONAL</v>
      </c>
      <c r="E140" s="2" t="str">
        <f t="shared" si="2"/>
        <v>Rodoviário</v>
      </c>
    </row>
    <row r="141" spans="1:5" x14ac:dyDescent="0.3">
      <c r="A141" s="1">
        <v>140</v>
      </c>
      <c r="B141" s="2" t="str">
        <f>"DISK ENCOMENDAS LTDA"</f>
        <v>DISK ENCOMENDAS LTDA</v>
      </c>
      <c r="C141" s="2" t="str">
        <f>"00.470.046/0001-74"</f>
        <v>00.470.046/0001-74</v>
      </c>
      <c r="D141" s="2" t="str">
        <f>"DISK ENCOM"</f>
        <v>DISK ENCOM</v>
      </c>
      <c r="E141" s="2" t="str">
        <f t="shared" si="2"/>
        <v>Rodoviário</v>
      </c>
    </row>
    <row r="142" spans="1:5" x14ac:dyDescent="0.3">
      <c r="A142" s="1">
        <v>141</v>
      </c>
      <c r="B142" s="2" t="str">
        <f>"PCR METALURGICA LTDA ME"</f>
        <v>PCR METALURGICA LTDA ME</v>
      </c>
      <c r="C142" s="2" t="str">
        <f>"91.831.016/0003-63"</f>
        <v>91.831.016/0003-63</v>
      </c>
      <c r="D142" s="2" t="str">
        <f>"PCR"</f>
        <v>PCR</v>
      </c>
      <c r="E142" s="2" t="str">
        <f t="shared" si="2"/>
        <v>Rodoviário</v>
      </c>
    </row>
    <row r="143" spans="1:5" x14ac:dyDescent="0.3">
      <c r="A143" s="1">
        <v>142</v>
      </c>
      <c r="B143" s="2" t="str">
        <f>"ELETRO COMERCIAL REYMASTER LTDA"</f>
        <v>ELETRO COMERCIAL REYMASTER LTDA</v>
      </c>
      <c r="C143" s="2" t="str">
        <f>"80.223.324/0001-28"</f>
        <v>80.223.324/0001-28</v>
      </c>
      <c r="D143" s="2" t="str">
        <f>"REYMASTER"</f>
        <v>REYMASTER</v>
      </c>
      <c r="E143" s="2" t="str">
        <f t="shared" si="2"/>
        <v>Rodoviário</v>
      </c>
    </row>
    <row r="144" spans="1:5" x14ac:dyDescent="0.3">
      <c r="A144" s="1">
        <v>143</v>
      </c>
      <c r="B144" s="2" t="str">
        <f>"COVERIGHT SURFACES DO BRASIL IND COM LTD"</f>
        <v>COVERIGHT SURFACES DO BRASIL IND COM LTD</v>
      </c>
      <c r="C144" s="2" t="str">
        <f>"05.326.824/0001-70"</f>
        <v>05.326.824/0001-70</v>
      </c>
      <c r="D144" s="2" t="str">
        <f>"COVERIGHT"</f>
        <v>COVERIGHT</v>
      </c>
      <c r="E144" s="2" t="str">
        <f t="shared" si="2"/>
        <v>Rodoviário</v>
      </c>
    </row>
    <row r="145" spans="1:5" x14ac:dyDescent="0.3">
      <c r="A145" s="1">
        <v>144</v>
      </c>
      <c r="B145" s="2" t="str">
        <f>"CELIGRAF RECUP DE CILINDROS BORRACHA LTD"</f>
        <v>CELIGRAF RECUP DE CILINDROS BORRACHA LTD</v>
      </c>
      <c r="C145" s="2" t="str">
        <f>"72.111.222/0001-92"</f>
        <v>72.111.222/0001-92</v>
      </c>
      <c r="D145" s="2" t="str">
        <f>"CELIGRAF"</f>
        <v>CELIGRAF</v>
      </c>
      <c r="E145" s="2" t="str">
        <f t="shared" si="2"/>
        <v>Rodoviário</v>
      </c>
    </row>
    <row r="146" spans="1:5" x14ac:dyDescent="0.3">
      <c r="A146" s="1">
        <v>145</v>
      </c>
      <c r="B146" s="2" t="str">
        <f>"COMPORTA LTDA"</f>
        <v>COMPORTA LTDA</v>
      </c>
      <c r="C146" s="2" t="str">
        <f>"77.048.015/0001-54"</f>
        <v>77.048.015/0001-54</v>
      </c>
      <c r="D146" s="2" t="str">
        <f>"COMPORTA"</f>
        <v>COMPORTA</v>
      </c>
      <c r="E146" s="2" t="str">
        <f t="shared" si="2"/>
        <v>Rodoviário</v>
      </c>
    </row>
    <row r="147" spans="1:5" x14ac:dyDescent="0.3">
      <c r="A147" s="1">
        <v>146</v>
      </c>
      <c r="B147" s="2" t="str">
        <f>"ECONFER FERRAMENTAS E USINAGEM LTDA"</f>
        <v>ECONFER FERRAMENTAS E USINAGEM LTDA</v>
      </c>
      <c r="C147" s="2" t="str">
        <f>"06.111.479/0001-10"</f>
        <v>06.111.479/0001-10</v>
      </c>
      <c r="D147" s="2" t="str">
        <f>"econfer"</f>
        <v>econfer</v>
      </c>
      <c r="E147" s="2" t="str">
        <f t="shared" si="2"/>
        <v>Rodoviário</v>
      </c>
    </row>
    <row r="148" spans="1:5" x14ac:dyDescent="0.3">
      <c r="A148" s="1">
        <v>147</v>
      </c>
      <c r="B148" s="2" t="str">
        <f>"MLS PINTURA LTDA"</f>
        <v>MLS PINTURA LTDA</v>
      </c>
      <c r="C148" s="2" t="str">
        <f>"06.254.795/0001-40"</f>
        <v>06.254.795/0001-40</v>
      </c>
      <c r="D148" s="2" t="str">
        <f>"MLS PINTURAS"</f>
        <v>MLS PINTURAS</v>
      </c>
      <c r="E148" s="2" t="str">
        <f t="shared" si="2"/>
        <v>Rodoviário</v>
      </c>
    </row>
    <row r="149" spans="1:5" x14ac:dyDescent="0.3">
      <c r="A149" s="1">
        <v>148</v>
      </c>
      <c r="B149" s="2" t="str">
        <f>"GUARARAPES PAINÉIS LTDA"</f>
        <v>GUARARAPES PAINÉIS LTDA</v>
      </c>
      <c r="C149" s="2" t="str">
        <f>"08.810.422/0001-34"</f>
        <v>08.810.422/0001-34</v>
      </c>
      <c r="D149" s="2" t="str">
        <f>"GUARARAPES"</f>
        <v>GUARARAPES</v>
      </c>
      <c r="E149" s="2" t="str">
        <f t="shared" si="2"/>
        <v>Rodoviário</v>
      </c>
    </row>
    <row r="150" spans="1:5" x14ac:dyDescent="0.3">
      <c r="A150" s="1">
        <v>149</v>
      </c>
      <c r="B150" s="2" t="str">
        <f>"AWS BRASIL COMERCIAL LTDA"</f>
        <v>AWS BRASIL COMERCIAL LTDA</v>
      </c>
      <c r="C150" s="2" t="str">
        <f>"03.628.331/0002-40"</f>
        <v>03.628.331/0002-40</v>
      </c>
      <c r="D150" s="2" t="str">
        <f>"AWS"</f>
        <v>AWS</v>
      </c>
      <c r="E150" s="2" t="str">
        <f t="shared" si="2"/>
        <v>Rodoviário</v>
      </c>
    </row>
    <row r="151" spans="1:5" x14ac:dyDescent="0.3">
      <c r="A151" s="1">
        <v>150</v>
      </c>
      <c r="B151" s="2" t="str">
        <f>"ELETRO MOTORES TRINOSKI LTDA"</f>
        <v>ELETRO MOTORES TRINOSKI LTDA</v>
      </c>
      <c r="C151" s="2" t="str">
        <f>"01.362.162/0001-32"</f>
        <v>01.362.162/0001-32</v>
      </c>
      <c r="D151" s="2" t="str">
        <f>"TRINOSKI"</f>
        <v>TRINOSKI</v>
      </c>
      <c r="E151" s="2" t="str">
        <f t="shared" si="2"/>
        <v>Rodoviário</v>
      </c>
    </row>
    <row r="152" spans="1:5" x14ac:dyDescent="0.3">
      <c r="A152" s="1">
        <v>151</v>
      </c>
      <c r="B152" s="2" t="str">
        <f>"RAPIDO TRANSPAULO"</f>
        <v>RAPIDO TRANSPAULO</v>
      </c>
      <c r="C152" s="2" t="str">
        <f>"88.317.847/0005-79"</f>
        <v>88.317.847/0005-79</v>
      </c>
      <c r="D152" s="2" t="str">
        <f>"TRANSPAULO"</f>
        <v>TRANSPAULO</v>
      </c>
      <c r="E152" s="2" t="str">
        <f t="shared" si="2"/>
        <v>Rodoviário</v>
      </c>
    </row>
    <row r="153" spans="1:5" x14ac:dyDescent="0.3">
      <c r="A153" s="1">
        <v>152</v>
      </c>
      <c r="B153" s="2" t="str">
        <f>"EXPRESSO PRINCESA DOS CAMPOS"</f>
        <v>EXPRESSO PRINCESA DOS CAMPOS</v>
      </c>
      <c r="C153" s="2" t="str">
        <f>"80.227.796/0004-00"</f>
        <v>80.227.796/0004-00</v>
      </c>
      <c r="D153" s="2" t="str">
        <f>"PRINCESA"</f>
        <v>PRINCESA</v>
      </c>
      <c r="E153" s="2" t="str">
        <f t="shared" si="2"/>
        <v>Rodoviário</v>
      </c>
    </row>
    <row r="154" spans="1:5" x14ac:dyDescent="0.3">
      <c r="A154" s="1">
        <v>153</v>
      </c>
      <c r="B154" s="2" t="str">
        <f>"HIDROMATIC COM EQUIP P/AUT INDL LTDA"</f>
        <v>HIDROMATIC COM EQUIP P/AUT INDL LTDA</v>
      </c>
      <c r="C154" s="2" t="str">
        <f>"79.465.134/0002-19"</f>
        <v>79.465.134/0002-19</v>
      </c>
      <c r="D154" s="2" t="str">
        <f>"HIDROMATIC"</f>
        <v>HIDROMATIC</v>
      </c>
      <c r="E154" s="2" t="str">
        <f t="shared" si="2"/>
        <v>Rodoviário</v>
      </c>
    </row>
    <row r="155" spans="1:5" x14ac:dyDescent="0.3">
      <c r="A155" s="1">
        <v>154</v>
      </c>
      <c r="B155" s="2" t="str">
        <f>"BRASPRESS TRANSPORTES URGENTES"</f>
        <v>BRASPRESS TRANSPORTES URGENTES</v>
      </c>
      <c r="C155" s="2" t="str">
        <f>"48.740.351/0003-27"</f>
        <v>48.740.351/0003-27</v>
      </c>
      <c r="D155" s="2" t="str">
        <f>"BRASPRESS"</f>
        <v>BRASPRESS</v>
      </c>
      <c r="E155" s="2" t="str">
        <f t="shared" si="2"/>
        <v>Rodoviário</v>
      </c>
    </row>
    <row r="156" spans="1:5" x14ac:dyDescent="0.3">
      <c r="A156" s="1">
        <v>155</v>
      </c>
      <c r="B156" s="2" t="str">
        <f>"COM DE TINTAS PIQUIRI LTDA"</f>
        <v>COM DE TINTAS PIQUIRI LTDA</v>
      </c>
      <c r="C156" s="2" t="str">
        <f>"73.335.929/0001-45"</f>
        <v>73.335.929/0001-45</v>
      </c>
      <c r="D156" s="2" t="str">
        <f>"PIQUIRI"</f>
        <v>PIQUIRI</v>
      </c>
      <c r="E156" s="2" t="str">
        <f t="shared" si="2"/>
        <v>Rodoviário</v>
      </c>
    </row>
    <row r="157" spans="1:5" x14ac:dyDescent="0.3">
      <c r="A157" s="1">
        <v>156</v>
      </c>
      <c r="B157" s="2" t="str">
        <f>"TRANSPORTADORA AQUARIUN LTDA"</f>
        <v>TRANSPORTADORA AQUARIUN LTDA</v>
      </c>
      <c r="C157" s="2" t="str">
        <f>"53.982.542/0007-69"</f>
        <v>53.982.542/0007-69</v>
      </c>
      <c r="D157" s="2" t="str">
        <f>"AQUARIUN PR"</f>
        <v>AQUARIUN PR</v>
      </c>
      <c r="E157" s="2" t="str">
        <f t="shared" si="2"/>
        <v>Rodoviário</v>
      </c>
    </row>
    <row r="158" spans="1:5" x14ac:dyDescent="0.3">
      <c r="A158" s="1">
        <v>157</v>
      </c>
      <c r="B158" s="2" t="str">
        <f>"TRANSPORTE BIN HNOS S.C.A."</f>
        <v>TRANSPORTE BIN HNOS S.C.A.</v>
      </c>
      <c r="C158" s="2" t="str">
        <f>""</f>
        <v/>
      </c>
      <c r="D158" s="2" t="str">
        <f>"BIN HNOS"</f>
        <v>BIN HNOS</v>
      </c>
      <c r="E158" s="2" t="str">
        <f t="shared" si="2"/>
        <v>Rodoviário</v>
      </c>
    </row>
    <row r="159" spans="1:5" x14ac:dyDescent="0.3">
      <c r="A159" s="1">
        <v>158</v>
      </c>
      <c r="B159" s="2" t="str">
        <f>"GLB EMBALAGENS"</f>
        <v>GLB EMBALAGENS</v>
      </c>
      <c r="C159" s="2" t="str">
        <f>"04.395.044/0001-19"</f>
        <v>04.395.044/0001-19</v>
      </c>
      <c r="D159" s="2" t="str">
        <f>"GLB"</f>
        <v>GLB</v>
      </c>
      <c r="E159" s="2" t="str">
        <f t="shared" si="2"/>
        <v>Rodoviário</v>
      </c>
    </row>
    <row r="160" spans="1:5" x14ac:dyDescent="0.3">
      <c r="A160" s="1">
        <v>159</v>
      </c>
      <c r="B160" s="2" t="str">
        <f>"BBM SERVICOS E TRANSPORTES LTDA"</f>
        <v>BBM SERVICOS E TRANSPORTES LTDA</v>
      </c>
      <c r="C160" s="2" t="str">
        <f>"01.107.327/0001-20"</f>
        <v>01.107.327/0001-20</v>
      </c>
      <c r="D160" s="2" t="str">
        <f>"BBM"</f>
        <v>BBM</v>
      </c>
      <c r="E160" s="2" t="str">
        <f t="shared" si="2"/>
        <v>Rodoviário</v>
      </c>
    </row>
    <row r="161" spans="1:5" x14ac:dyDescent="0.3">
      <c r="A161" s="1">
        <v>160</v>
      </c>
      <c r="B161" s="2" t="str">
        <f>"EMBAFORT IND. E COM. DE ART. DE MAD. LTD"</f>
        <v>EMBAFORT IND. E COM. DE ART. DE MAD. LTD</v>
      </c>
      <c r="C161" s="2" t="str">
        <f>"81.051.484/0001-08"</f>
        <v>81.051.484/0001-08</v>
      </c>
      <c r="D161" s="2" t="str">
        <f>"EMBAFORT"</f>
        <v>EMBAFORT</v>
      </c>
      <c r="E161" s="2" t="str">
        <f t="shared" si="2"/>
        <v>Rodoviário</v>
      </c>
    </row>
    <row r="162" spans="1:5" x14ac:dyDescent="0.3">
      <c r="A162" s="1">
        <v>161</v>
      </c>
      <c r="B162" s="2" t="str">
        <f>"ARTEFATOS DE PAPEIS DEL REI"</f>
        <v>ARTEFATOS DE PAPEIS DEL REI</v>
      </c>
      <c r="C162" s="2" t="str">
        <f>"81.496.143/0001-38"</f>
        <v>81.496.143/0001-38</v>
      </c>
      <c r="D162" s="2" t="str">
        <f>"DEL REI"</f>
        <v>DEL REI</v>
      </c>
      <c r="E162" s="2" t="str">
        <f t="shared" si="2"/>
        <v>Rodoviário</v>
      </c>
    </row>
    <row r="163" spans="1:5" x14ac:dyDescent="0.3">
      <c r="A163" s="1">
        <v>162</v>
      </c>
      <c r="B163" s="2" t="str">
        <f>"TECH SUL COML E LOC DE MAQ LTDA"</f>
        <v>TECH SUL COML E LOC DE MAQ LTDA</v>
      </c>
      <c r="C163" s="2" t="str">
        <f>"10.209.855/0001-80"</f>
        <v>10.209.855/0001-80</v>
      </c>
      <c r="D163" s="2" t="str">
        <f>"TECH SUL"</f>
        <v>TECH SUL</v>
      </c>
      <c r="E163" s="2" t="str">
        <f t="shared" si="2"/>
        <v>Rodoviário</v>
      </c>
    </row>
    <row r="164" spans="1:5" x14ac:dyDescent="0.3">
      <c r="A164" s="1">
        <v>163</v>
      </c>
      <c r="B164" s="2" t="str">
        <f>"SOHKORT FACAS E FERRAMENTAS INDL LTDA"</f>
        <v>SOHKORT FACAS E FERRAMENTAS INDL LTDA</v>
      </c>
      <c r="C164" s="2" t="str">
        <f>"07.055.504/0001-58"</f>
        <v>07.055.504/0001-58</v>
      </c>
      <c r="D164" s="2" t="str">
        <f>"SOHKORT FACA"</f>
        <v>SOHKORT FACA</v>
      </c>
      <c r="E164" s="2" t="str">
        <f t="shared" si="2"/>
        <v>Rodoviário</v>
      </c>
    </row>
    <row r="165" spans="1:5" x14ac:dyDescent="0.3">
      <c r="A165" s="1">
        <v>164</v>
      </c>
      <c r="B165" s="2" t="str">
        <f>"VALENCIA IND E COM DE COMPONENTES LTDA"</f>
        <v>VALENCIA IND E COM DE COMPONENTES LTDA</v>
      </c>
      <c r="C165" s="2" t="str">
        <f>"08.648.380/0001-87"</f>
        <v>08.648.380/0001-87</v>
      </c>
      <c r="D165" s="2" t="str">
        <f>"VALENCIA"</f>
        <v>VALENCIA</v>
      </c>
      <c r="E165" s="2" t="str">
        <f t="shared" si="2"/>
        <v>Rodoviário</v>
      </c>
    </row>
    <row r="166" spans="1:5" x14ac:dyDescent="0.3">
      <c r="A166" s="1">
        <v>165</v>
      </c>
      <c r="B166" s="2" t="str">
        <f>"GOLDEN SYSTEM PEÇAS E SERVIÇOS LTDA - ME"</f>
        <v>GOLDEN SYSTEM PEÇAS E SERVIÇOS LTDA - ME</v>
      </c>
      <c r="C166" s="2" t="str">
        <f>"02.911.466/0001-74"</f>
        <v>02.911.466/0001-74</v>
      </c>
      <c r="D166" s="2" t="str">
        <f>"GOLDEN SYSTE"</f>
        <v>GOLDEN SYSTE</v>
      </c>
      <c r="E166" s="2" t="str">
        <f t="shared" si="2"/>
        <v>Rodoviário</v>
      </c>
    </row>
    <row r="167" spans="1:5" x14ac:dyDescent="0.3">
      <c r="A167" s="1">
        <v>166</v>
      </c>
      <c r="B167" s="2" t="str">
        <f>"RODOJAN TRANSPORTES LTDA"</f>
        <v>RODOJAN TRANSPORTES LTDA</v>
      </c>
      <c r="C167" s="2" t="str">
        <f>"43.566.686/0002-76"</f>
        <v>43.566.686/0002-76</v>
      </c>
      <c r="D167" s="2" t="str">
        <f>"RODOJAN"</f>
        <v>RODOJAN</v>
      </c>
      <c r="E167" s="2" t="str">
        <f t="shared" si="2"/>
        <v>Rodoviário</v>
      </c>
    </row>
    <row r="168" spans="1:5" x14ac:dyDescent="0.3">
      <c r="A168" s="1">
        <v>167</v>
      </c>
      <c r="B168" s="2" t="str">
        <f>"TRANSPORTES J.A.C."</f>
        <v>TRANSPORTES J.A.C.</v>
      </c>
      <c r="C168" s="2" t="str">
        <f>"94.636.370/0002-44"</f>
        <v>94.636.370/0002-44</v>
      </c>
      <c r="D168" s="2" t="str">
        <f>"J.A.C."</f>
        <v>J.A.C.</v>
      </c>
      <c r="E168" s="2" t="str">
        <f t="shared" si="2"/>
        <v>Rodoviário</v>
      </c>
    </row>
    <row r="169" spans="1:5" x14ac:dyDescent="0.3">
      <c r="A169" s="1">
        <v>168</v>
      </c>
      <c r="B169" s="2" t="str">
        <f>"BOND CARNEIRO PRODUTOS QUIMICOS LTDA"</f>
        <v>BOND CARNEIRO PRODUTOS QUIMICOS LTDA</v>
      </c>
      <c r="C169" s="2" t="str">
        <f>"76.500.115/0001-07"</f>
        <v>76.500.115/0001-07</v>
      </c>
      <c r="D169" s="2" t="str">
        <f>"BOND CARNEIR"</f>
        <v>BOND CARNEIR</v>
      </c>
      <c r="E169" s="2" t="str">
        <f t="shared" si="2"/>
        <v>Rodoviário</v>
      </c>
    </row>
    <row r="170" spans="1:5" x14ac:dyDescent="0.3">
      <c r="A170" s="1">
        <v>169</v>
      </c>
      <c r="B170" s="2" t="str">
        <f>"RAYKROM ASSIT TECNICA EM BOMBAS HID LTD"</f>
        <v>RAYKROM ASSIT TECNICA EM BOMBAS HID LTD</v>
      </c>
      <c r="C170" s="2" t="str">
        <f>"02.546.999/0001-02"</f>
        <v>02.546.999/0001-02</v>
      </c>
      <c r="D170" s="2" t="str">
        <f>"RAYCROM"</f>
        <v>RAYCROM</v>
      </c>
      <c r="E170" s="2" t="str">
        <f t="shared" si="2"/>
        <v>Rodoviário</v>
      </c>
    </row>
    <row r="171" spans="1:5" x14ac:dyDescent="0.3">
      <c r="A171" s="1">
        <v>170</v>
      </c>
      <c r="B171" s="2" t="str">
        <f>"TR AR CONDICIONADO LTDA"</f>
        <v>TR AR CONDICIONADO LTDA</v>
      </c>
      <c r="C171" s="2" t="str">
        <f>"04.046.444/0001-19"</f>
        <v>04.046.444/0001-19</v>
      </c>
      <c r="D171" s="2" t="str">
        <f>"CLIMASUL"</f>
        <v>CLIMASUL</v>
      </c>
      <c r="E171" s="2" t="str">
        <f t="shared" si="2"/>
        <v>Rodoviário</v>
      </c>
    </row>
    <row r="172" spans="1:5" x14ac:dyDescent="0.3">
      <c r="A172" s="1">
        <v>171</v>
      </c>
      <c r="B172" s="2" t="str">
        <f>"VARGAS AUTO SOCORRO E TRANSPORTES LTDA"</f>
        <v>VARGAS AUTO SOCORRO E TRANSPORTES LTDA</v>
      </c>
      <c r="C172" s="2" t="str">
        <f>"75.073.049/0001-73"</f>
        <v>75.073.049/0001-73</v>
      </c>
      <c r="D172" s="2" t="str">
        <f>"VARGAS"</f>
        <v>VARGAS</v>
      </c>
      <c r="E172" s="2" t="str">
        <f t="shared" si="2"/>
        <v>Rodoviário</v>
      </c>
    </row>
    <row r="173" spans="1:5" x14ac:dyDescent="0.3">
      <c r="A173" s="1">
        <v>172</v>
      </c>
      <c r="B173" s="2" t="str">
        <f>"GOLDEN FIX SISTEMAS DE FIXACAO LTDA"</f>
        <v>GOLDEN FIX SISTEMAS DE FIXACAO LTDA</v>
      </c>
      <c r="C173" s="2" t="str">
        <f>"82.524.018/0001-57"</f>
        <v>82.524.018/0001-57</v>
      </c>
      <c r="D173" s="2" t="str">
        <f>"GOLDEN FIX"</f>
        <v>GOLDEN FIX</v>
      </c>
      <c r="E173" s="2" t="str">
        <f t="shared" si="2"/>
        <v>Rodoviário</v>
      </c>
    </row>
    <row r="174" spans="1:5" x14ac:dyDescent="0.3">
      <c r="A174" s="1">
        <v>173</v>
      </c>
      <c r="B174" s="2" t="str">
        <f>"MDZ CARGO S/A"</f>
        <v>MDZ CARGO S/A</v>
      </c>
      <c r="C174" s="2" t="str">
        <f>""</f>
        <v/>
      </c>
      <c r="D174" s="2" t="str">
        <f>"MDZ CARGO"</f>
        <v>MDZ CARGO</v>
      </c>
      <c r="E174" s="2" t="str">
        <f t="shared" si="2"/>
        <v>Rodoviário</v>
      </c>
    </row>
    <row r="175" spans="1:5" x14ac:dyDescent="0.3">
      <c r="A175" s="1">
        <v>174</v>
      </c>
      <c r="B175" s="2" t="str">
        <f>"ECLIPSE TRANSPORTES LTDA"</f>
        <v>ECLIPSE TRANSPORTES LTDA</v>
      </c>
      <c r="C175" s="2" t="str">
        <f>"01.744.885/0003-68"</f>
        <v>01.744.885/0003-68</v>
      </c>
      <c r="D175" s="2" t="str">
        <f>"ECLIPSE"</f>
        <v>ECLIPSE</v>
      </c>
      <c r="E175" s="2" t="str">
        <f t="shared" si="2"/>
        <v>Rodoviário</v>
      </c>
    </row>
    <row r="176" spans="1:5" x14ac:dyDescent="0.3">
      <c r="A176" s="1">
        <v>175</v>
      </c>
      <c r="B176" s="2" t="str">
        <f>"Transportadora Express Curitiba Ltda Me"</f>
        <v>Transportadora Express Curitiba Ltda Me</v>
      </c>
      <c r="C176" s="2" t="str">
        <f>"11.216.641/0001-02"</f>
        <v>11.216.641/0001-02</v>
      </c>
      <c r="D176" s="2" t="str">
        <f>"Express Ctba"</f>
        <v>Express Ctba</v>
      </c>
      <c r="E176" s="2" t="str">
        <f t="shared" si="2"/>
        <v>Rodoviário</v>
      </c>
    </row>
    <row r="177" spans="1:5" x14ac:dyDescent="0.3">
      <c r="A177" s="1">
        <v>176</v>
      </c>
      <c r="B177" s="2" t="str">
        <f>"CONTENPLAC IND PLACAS LTDA"</f>
        <v>CONTENPLAC IND PLACAS LTDA</v>
      </c>
      <c r="C177" s="2" t="str">
        <f>"03.363.495/0005-35"</f>
        <v>03.363.495/0005-35</v>
      </c>
      <c r="D177" s="2" t="str">
        <f>"CONTENPLAC"</f>
        <v>CONTENPLAC</v>
      </c>
      <c r="E177" s="2" t="str">
        <f t="shared" si="2"/>
        <v>Rodoviário</v>
      </c>
    </row>
    <row r="178" spans="1:5" x14ac:dyDescent="0.3">
      <c r="A178" s="1">
        <v>177</v>
      </c>
      <c r="B178" s="2" t="str">
        <f>"VILLALBA RENE BERNARDINO"</f>
        <v>VILLALBA RENE BERNARDINO</v>
      </c>
      <c r="C178" s="2" t="str">
        <f>""</f>
        <v/>
      </c>
      <c r="D178" s="2" t="str">
        <f>"VILLALBA"</f>
        <v>VILLALBA</v>
      </c>
      <c r="E178" s="2" t="str">
        <f t="shared" si="2"/>
        <v>Rodoviário</v>
      </c>
    </row>
    <row r="179" spans="1:5" x14ac:dyDescent="0.3">
      <c r="A179" s="1">
        <v>178</v>
      </c>
      <c r="B179" s="2" t="str">
        <f>"J Bosco Auto Socorro Ltda"</f>
        <v>J Bosco Auto Socorro Ltda</v>
      </c>
      <c r="C179" s="2" t="str">
        <f>"40.223.307/0001-76"</f>
        <v>40.223.307/0001-76</v>
      </c>
      <c r="D179" s="2" t="str">
        <f>"J Bosco"</f>
        <v>J Bosco</v>
      </c>
      <c r="E179" s="2" t="str">
        <f t="shared" si="2"/>
        <v>Rodoviário</v>
      </c>
    </row>
    <row r="180" spans="1:5" x14ac:dyDescent="0.3">
      <c r="A180" s="1">
        <v>179</v>
      </c>
      <c r="B180" s="2" t="str">
        <f>"C R BECHER TRANSPORTES LTDA"</f>
        <v>C R BECHER TRANSPORTES LTDA</v>
      </c>
      <c r="C180" s="2" t="str">
        <f>"80.528.359/0001-75"</f>
        <v>80.528.359/0001-75</v>
      </c>
      <c r="D180" s="2" t="str">
        <f>"CR BECHER"</f>
        <v>CR BECHER</v>
      </c>
      <c r="E180" s="2" t="str">
        <f t="shared" si="2"/>
        <v>Rodoviário</v>
      </c>
    </row>
    <row r="181" spans="1:5" x14ac:dyDescent="0.3">
      <c r="A181" s="1">
        <v>180</v>
      </c>
      <c r="B181" s="2" t="str">
        <f>"GAFOR LTDA"</f>
        <v>GAFOR LTDA</v>
      </c>
      <c r="C181" s="2" t="str">
        <f>"61.288.940/0030-57"</f>
        <v>61.288.940/0030-57</v>
      </c>
      <c r="D181" s="2" t="str">
        <f>"GAFOR"</f>
        <v>GAFOR</v>
      </c>
      <c r="E181" s="2" t="str">
        <f t="shared" si="2"/>
        <v>Rodoviário</v>
      </c>
    </row>
    <row r="182" spans="1:5" x14ac:dyDescent="0.3">
      <c r="A182" s="1">
        <v>181</v>
      </c>
      <c r="B182" s="2" t="str">
        <f>"CARGOLIFT LOGÍSTICA S.A."</f>
        <v>CARGOLIFT LOGÍSTICA S.A.</v>
      </c>
      <c r="C182" s="2" t="str">
        <f>"82.270.711/0003-02"</f>
        <v>82.270.711/0003-02</v>
      </c>
      <c r="D182" s="2" t="str">
        <f>"CARGOLIFT"</f>
        <v>CARGOLIFT</v>
      </c>
      <c r="E182" s="2" t="str">
        <f t="shared" si="2"/>
        <v>Rodoviário</v>
      </c>
    </row>
    <row r="183" spans="1:5" x14ac:dyDescent="0.3">
      <c r="A183" s="1">
        <v>182</v>
      </c>
      <c r="B183" s="2" t="str">
        <f>"EXTINTORES LESTE OESTE LTDA"</f>
        <v>EXTINTORES LESTE OESTE LTDA</v>
      </c>
      <c r="C183" s="2" t="str">
        <f>"10.695.167/0001-78"</f>
        <v>10.695.167/0001-78</v>
      </c>
      <c r="D183" s="2" t="str">
        <f>"LESTE OESTE"</f>
        <v>LESTE OESTE</v>
      </c>
      <c r="E183" s="2" t="str">
        <f t="shared" si="2"/>
        <v>Rodoviário</v>
      </c>
    </row>
    <row r="184" spans="1:5" x14ac:dyDescent="0.3">
      <c r="A184" s="1">
        <v>183</v>
      </c>
      <c r="B184" s="2" t="str">
        <f>"DAMBROSI APARAS E EMBALAGENS LTDA"</f>
        <v>DAMBROSI APARAS E EMBALAGENS LTDA</v>
      </c>
      <c r="C184" s="2" t="str">
        <f>"76.601.111/0001-15"</f>
        <v>76.601.111/0001-15</v>
      </c>
      <c r="D184" s="2" t="str">
        <f>"DAMBROSI"</f>
        <v>DAMBROSI</v>
      </c>
      <c r="E184" s="2" t="str">
        <f t="shared" si="2"/>
        <v>Rodoviário</v>
      </c>
    </row>
    <row r="185" spans="1:5" x14ac:dyDescent="0.3">
      <c r="A185" s="1">
        <v>184</v>
      </c>
      <c r="B185" s="2" t="str">
        <f>"VENETOPAR TRANSPORTES LTDA"</f>
        <v>VENETOPAR TRANSPORTES LTDA</v>
      </c>
      <c r="C185" s="2" t="str">
        <f>"93.949.899/0004-17"</f>
        <v>93.949.899/0004-17</v>
      </c>
      <c r="D185" s="2" t="str">
        <f>"VENETOPAR"</f>
        <v>VENETOPAR</v>
      </c>
      <c r="E185" s="2" t="str">
        <f t="shared" si="2"/>
        <v>Rodoviário</v>
      </c>
    </row>
    <row r="186" spans="1:5" x14ac:dyDescent="0.3">
      <c r="A186" s="1">
        <v>185</v>
      </c>
      <c r="B186" s="2" t="str">
        <f>"Silvia Renata da Silva Andrade"</f>
        <v>Silvia Renata da Silva Andrade</v>
      </c>
      <c r="C186" s="2" t="str">
        <f>"025.190.939-51"</f>
        <v>025.190.939-51</v>
      </c>
      <c r="D186" s="2" t="str">
        <f>"SILVIA RENAT"</f>
        <v>SILVIA RENAT</v>
      </c>
      <c r="E186" s="2" t="str">
        <f t="shared" si="2"/>
        <v>Rodoviário</v>
      </c>
    </row>
    <row r="187" spans="1:5" x14ac:dyDescent="0.3">
      <c r="A187" s="1">
        <v>186</v>
      </c>
      <c r="B187" s="2" t="str">
        <f>"RODOPLAC TRANSPORTES LTDA"</f>
        <v>RODOPLAC TRANSPORTES LTDA</v>
      </c>
      <c r="C187" s="2" t="str">
        <f>"05.525.557/0001-60"</f>
        <v>05.525.557/0001-60</v>
      </c>
      <c r="D187" s="2" t="str">
        <f>"RODOPLAC"</f>
        <v>RODOPLAC</v>
      </c>
      <c r="E187" s="2" t="str">
        <f t="shared" si="2"/>
        <v>Rodoviário</v>
      </c>
    </row>
    <row r="188" spans="1:5" x14ac:dyDescent="0.3">
      <c r="A188" s="1">
        <v>187</v>
      </c>
      <c r="B188" s="2" t="str">
        <f>"SALVACENTER COM DE SALVADOS LTDA ME"</f>
        <v>SALVACENTER COM DE SALVADOS LTDA ME</v>
      </c>
      <c r="C188" s="2" t="str">
        <f>"08.029.385/0001-21"</f>
        <v>08.029.385/0001-21</v>
      </c>
      <c r="D188" s="2" t="str">
        <f>"SALVACENTER"</f>
        <v>SALVACENTER</v>
      </c>
      <c r="E188" s="2" t="str">
        <f t="shared" si="2"/>
        <v>Rodoviário</v>
      </c>
    </row>
    <row r="189" spans="1:5" x14ac:dyDescent="0.3">
      <c r="A189" s="1">
        <v>188</v>
      </c>
      <c r="B189" s="2" t="str">
        <f>"ILVA DO BRASIL IND E COML LTDA"</f>
        <v>ILVA DO BRASIL IND E COML LTDA</v>
      </c>
      <c r="C189" s="2" t="str">
        <f>"76.485.069/0001-14"</f>
        <v>76.485.069/0001-14</v>
      </c>
      <c r="D189" s="2" t="str">
        <f>"ILVA"</f>
        <v>ILVA</v>
      </c>
      <c r="E189" s="2" t="str">
        <f t="shared" si="2"/>
        <v>Rodoviário</v>
      </c>
    </row>
    <row r="190" spans="1:5" x14ac:dyDescent="0.3">
      <c r="A190" s="1">
        <v>189</v>
      </c>
      <c r="B190" s="2" t="str">
        <f>"HERRBAIER IND COM DE ETIQUETAS LTDA"</f>
        <v>HERRBAIER IND COM DE ETIQUETAS LTDA</v>
      </c>
      <c r="C190" s="2" t="str">
        <f>"76.723.162/0001-10"</f>
        <v>76.723.162/0001-10</v>
      </c>
      <c r="D190" s="2" t="str">
        <f>"HERRBAIER"</f>
        <v>HERRBAIER</v>
      </c>
      <c r="E190" s="2" t="str">
        <f t="shared" si="2"/>
        <v>Rodoviário</v>
      </c>
    </row>
    <row r="191" spans="1:5" x14ac:dyDescent="0.3">
      <c r="A191" s="1">
        <v>190</v>
      </c>
      <c r="B191" s="2" t="str">
        <f>"LOBATRANS TRANSPORTES LTDA"</f>
        <v>LOBATRANS TRANSPORTES LTDA</v>
      </c>
      <c r="C191" s="2" t="str">
        <f>"07.043.293/0001-33"</f>
        <v>07.043.293/0001-33</v>
      </c>
      <c r="D191" s="2" t="str">
        <f>"LOBATRANS"</f>
        <v>LOBATRANS</v>
      </c>
      <c r="E191" s="2" t="str">
        <f t="shared" si="2"/>
        <v>Rodoviário</v>
      </c>
    </row>
    <row r="192" spans="1:5" x14ac:dyDescent="0.3">
      <c r="A192" s="1">
        <v>191</v>
      </c>
      <c r="B192" s="2" t="str">
        <f>"RODOGARCIA TRANSPORTES RODOVIARIOS LTDA"</f>
        <v>RODOGARCIA TRANSPORTES RODOVIARIOS LTDA</v>
      </c>
      <c r="C192" s="2" t="str">
        <f>"60.960.473/0006-77"</f>
        <v>60.960.473/0006-77</v>
      </c>
      <c r="D192" s="2" t="str">
        <f>"RODOGARCIA"</f>
        <v>RODOGARCIA</v>
      </c>
      <c r="E192" s="2" t="str">
        <f t="shared" si="2"/>
        <v>Rodoviário</v>
      </c>
    </row>
    <row r="193" spans="1:5" x14ac:dyDescent="0.3">
      <c r="A193" s="1">
        <v>192</v>
      </c>
      <c r="B193" s="2" t="str">
        <f>"MK ELETRO MOTORES LTDA"</f>
        <v>MK ELETRO MOTORES LTDA</v>
      </c>
      <c r="C193" s="2" t="str">
        <f>"09.629.086/0001-90"</f>
        <v>09.629.086/0001-90</v>
      </c>
      <c r="D193" s="2" t="str">
        <f>"MK ELETRO"</f>
        <v>MK ELETRO</v>
      </c>
      <c r="E193" s="2" t="str">
        <f t="shared" si="2"/>
        <v>Rodoviário</v>
      </c>
    </row>
    <row r="194" spans="1:5" x14ac:dyDescent="0.3">
      <c r="A194" s="1">
        <v>193</v>
      </c>
      <c r="B194" s="2" t="str">
        <f>"R DE BRITO E LOBO LTDA"</f>
        <v>R DE BRITO E LOBO LTDA</v>
      </c>
      <c r="C194" s="2" t="str">
        <f>"01.231.724/0001-09"</f>
        <v>01.231.724/0001-09</v>
      </c>
      <c r="D194" s="2" t="str">
        <f>"R DE BRITO"</f>
        <v>R DE BRITO</v>
      </c>
      <c r="E194" s="2" t="str">
        <f t="shared" ref="E194:E206" si="3">"Rodoviário"</f>
        <v>Rodoviário</v>
      </c>
    </row>
    <row r="195" spans="1:5" x14ac:dyDescent="0.3">
      <c r="A195" s="1">
        <v>194</v>
      </c>
      <c r="B195" s="2" t="str">
        <f>"TRANSPORTES TRANSAMIL LTDA"</f>
        <v>TRANSPORTES TRANSAMIL LTDA</v>
      </c>
      <c r="C195" s="2" t="str">
        <f>"94.996.691/0001-79"</f>
        <v>94.996.691/0001-79</v>
      </c>
      <c r="D195" s="2" t="str">
        <f>"TRANSAMIL"</f>
        <v>TRANSAMIL</v>
      </c>
      <c r="E195" s="2" t="str">
        <f t="shared" si="3"/>
        <v>Rodoviário</v>
      </c>
    </row>
    <row r="196" spans="1:5" x14ac:dyDescent="0.3">
      <c r="A196" s="1">
        <v>195</v>
      </c>
      <c r="B196" s="2" t="str">
        <f>"CALIBRAPAR SERVICOS E EQUIPAMETOS LTDA"</f>
        <v>CALIBRAPAR SERVICOS E EQUIPAMETOS LTDA</v>
      </c>
      <c r="C196" s="2" t="str">
        <f>"02.214.049/0001-72"</f>
        <v>02.214.049/0001-72</v>
      </c>
      <c r="D196" s="2" t="str">
        <f>"CALIBRAPAR"</f>
        <v>CALIBRAPAR</v>
      </c>
      <c r="E196" s="2" t="str">
        <f t="shared" si="3"/>
        <v>Rodoviário</v>
      </c>
    </row>
    <row r="197" spans="1:5" x14ac:dyDescent="0.3">
      <c r="A197" s="1">
        <v>196</v>
      </c>
      <c r="B197" s="2" t="str">
        <f>"MODULAR TRANSPORTES LTDA"</f>
        <v>MODULAR TRANSPORTES LTDA</v>
      </c>
      <c r="C197" s="2" t="str">
        <f>"88.009.030/0004-52"</f>
        <v>88.009.030/0004-52</v>
      </c>
      <c r="D197" s="2" t="str">
        <f>"MODULAR 1"</f>
        <v>MODULAR 1</v>
      </c>
      <c r="E197" s="2" t="str">
        <f t="shared" si="3"/>
        <v>Rodoviário</v>
      </c>
    </row>
    <row r="198" spans="1:5" x14ac:dyDescent="0.3">
      <c r="A198" s="1">
        <v>197</v>
      </c>
      <c r="B198" s="2" t="str">
        <f>"RCO TRANSPORTES RODOVIARIOS DE CARGAS LT"</f>
        <v>RCO TRANSPORTES RODOVIARIOS DE CARGAS LT</v>
      </c>
      <c r="C198" s="2" t="str">
        <f>"09.433.801/0001-15"</f>
        <v>09.433.801/0001-15</v>
      </c>
      <c r="D198" s="2" t="str">
        <f>"RCO TRANSP"</f>
        <v>RCO TRANSP</v>
      </c>
      <c r="E198" s="2" t="str">
        <f t="shared" si="3"/>
        <v>Rodoviário</v>
      </c>
    </row>
    <row r="199" spans="1:5" x14ac:dyDescent="0.3">
      <c r="A199" s="1">
        <v>198</v>
      </c>
      <c r="B199" s="2" t="str">
        <f>"BRUCARGO TRANSPORTES LTDA"</f>
        <v>BRUCARGO TRANSPORTES LTDA</v>
      </c>
      <c r="C199" s="2" t="str">
        <f>"05.688.207/0002-03"</f>
        <v>05.688.207/0002-03</v>
      </c>
      <c r="D199" s="2" t="str">
        <f>"BRUCARGO"</f>
        <v>BRUCARGO</v>
      </c>
      <c r="E199" s="2" t="str">
        <f t="shared" si="3"/>
        <v>Rodoviário</v>
      </c>
    </row>
    <row r="200" spans="1:5" x14ac:dyDescent="0.3">
      <c r="A200" s="1">
        <v>199</v>
      </c>
      <c r="B200" s="2" t="str">
        <f>"FLEXSIL SIST SUL BRAS TRANSP ARMAZ E DIS"</f>
        <v>FLEXSIL SIST SUL BRAS TRANSP ARMAZ E DIS</v>
      </c>
      <c r="C200" s="2" t="str">
        <f>"08.642.771/0004-37"</f>
        <v>08.642.771/0004-37</v>
      </c>
      <c r="D200" s="2" t="str">
        <f>"FLEXSIL"</f>
        <v>FLEXSIL</v>
      </c>
      <c r="E200" s="2" t="str">
        <f t="shared" si="3"/>
        <v>Rodoviário</v>
      </c>
    </row>
    <row r="201" spans="1:5" x14ac:dyDescent="0.3">
      <c r="A201" s="1">
        <v>200</v>
      </c>
      <c r="B201" s="2" t="str">
        <f>"Sudati paineis LTDA"</f>
        <v>Sudati paineis LTDA</v>
      </c>
      <c r="C201" s="2" t="str">
        <f>"08.803.452/0001-13"</f>
        <v>08.803.452/0001-13</v>
      </c>
      <c r="D201" s="2" t="str">
        <f>"Sudati"</f>
        <v>Sudati</v>
      </c>
      <c r="E201" s="2" t="str">
        <f t="shared" si="3"/>
        <v>Rodoviário</v>
      </c>
    </row>
    <row r="202" spans="1:5" x14ac:dyDescent="0.3">
      <c r="A202" s="1">
        <v>201</v>
      </c>
      <c r="B202" s="2" t="str">
        <f>"TRANSPORTEC COLETA E REMOCAO DE RESIDUOS"</f>
        <v>TRANSPORTEC COLETA E REMOCAO DE RESIDUOS</v>
      </c>
      <c r="C202" s="2" t="str">
        <f>"86.904.521/0001-99"</f>
        <v>86.904.521/0001-99</v>
      </c>
      <c r="D202" s="2" t="str">
        <f>"TRANSPORTEC"</f>
        <v>TRANSPORTEC</v>
      </c>
      <c r="E202" s="2" t="str">
        <f t="shared" si="3"/>
        <v>Rodoviário</v>
      </c>
    </row>
    <row r="203" spans="1:5" x14ac:dyDescent="0.3">
      <c r="A203" s="1">
        <v>202</v>
      </c>
      <c r="B203" s="2" t="str">
        <f>"TRANSAL TRANSP. SALVAN LTDA"</f>
        <v>TRANSAL TRANSP. SALVAN LTDA</v>
      </c>
      <c r="C203" s="2" t="str">
        <f>"00.214.121/0008-02"</f>
        <v>00.214.121/0008-02</v>
      </c>
      <c r="D203" s="2" t="str">
        <f>"TRANSAL PR"</f>
        <v>TRANSAL PR</v>
      </c>
      <c r="E203" s="2" t="str">
        <f t="shared" si="3"/>
        <v>Rodoviário</v>
      </c>
    </row>
    <row r="204" spans="1:5" x14ac:dyDescent="0.3">
      <c r="A204" s="1">
        <v>203</v>
      </c>
      <c r="B204" s="2" t="str">
        <f>"VIALAR TRANSPORTES LTDA"</f>
        <v>VIALAR TRANSPORTES LTDA</v>
      </c>
      <c r="C204" s="2" t="str">
        <f>"09.341.400/0001-35"</f>
        <v>09.341.400/0001-35</v>
      </c>
      <c r="D204" s="2" t="str">
        <f>"VIALAR"</f>
        <v>VIALAR</v>
      </c>
      <c r="E204" s="2" t="str">
        <f t="shared" si="3"/>
        <v>Rodoviário</v>
      </c>
    </row>
    <row r="205" spans="1:5" x14ac:dyDescent="0.3">
      <c r="A205" s="1">
        <v>204</v>
      </c>
      <c r="B205" s="2" t="str">
        <f>"Casatur Ltda"</f>
        <v>Casatur Ltda</v>
      </c>
      <c r="C205" s="2" t="str">
        <f>"02.156.145/0001-01"</f>
        <v>02.156.145/0001-01</v>
      </c>
      <c r="D205" s="2" t="str">
        <f>"casatur"</f>
        <v>casatur</v>
      </c>
      <c r="E205" s="2" t="str">
        <f t="shared" si="3"/>
        <v>Rodoviário</v>
      </c>
    </row>
    <row r="206" spans="1:5" x14ac:dyDescent="0.3">
      <c r="A206" s="1">
        <v>205</v>
      </c>
      <c r="B206" s="2" t="str">
        <f>"COOPERLOG"</f>
        <v>COOPERLOG</v>
      </c>
      <c r="C206" s="2" t="str">
        <f>"02.462.609/0001-08"</f>
        <v>02.462.609/0001-08</v>
      </c>
      <c r="D206" s="2" t="str">
        <f>"COOPERLOG"</f>
        <v>COOPERLOG</v>
      </c>
      <c r="E206" s="2" t="str">
        <f t="shared" si="3"/>
        <v>Rodoviário</v>
      </c>
    </row>
    <row r="207" spans="1:5" x14ac:dyDescent="0.3">
      <c r="A207" s="1">
        <v>206</v>
      </c>
      <c r="B207" s="2" t="str">
        <f>"GOL LOG SERVICOS DE CARGAS AEREAS"</f>
        <v>GOL LOG SERVICOS DE CARGAS AEREAS</v>
      </c>
      <c r="C207" s="2" t="str">
        <f>"07.575.651/0001-59"</f>
        <v>07.575.651/0001-59</v>
      </c>
      <c r="D207" s="2" t="str">
        <f>"GOLLOG"</f>
        <v>GOLLOG</v>
      </c>
      <c r="E207" s="2" t="str">
        <f>"Aeroviário"</f>
        <v>Aeroviário</v>
      </c>
    </row>
    <row r="208" spans="1:5" x14ac:dyDescent="0.3">
      <c r="A208" s="1">
        <v>207</v>
      </c>
      <c r="B208" s="2" t="str">
        <f>"TRANSPORTES ARIZONA TRANSP INTERN BRASIL"</f>
        <v>TRANSPORTES ARIZONA TRANSP INTERN BRASIL</v>
      </c>
      <c r="C208" s="2" t="str">
        <f>"03.961.575/0001-69"</f>
        <v>03.961.575/0001-69</v>
      </c>
      <c r="D208" s="2" t="str">
        <f>"ARIZONA"</f>
        <v>ARIZONA</v>
      </c>
      <c r="E208" s="2" t="str">
        <f t="shared" ref="E208:E271" si="4">"Rodoviário"</f>
        <v>Rodoviário</v>
      </c>
    </row>
    <row r="209" spans="1:5" x14ac:dyDescent="0.3">
      <c r="A209" s="1">
        <v>208</v>
      </c>
      <c r="B209" s="2" t="str">
        <f>"SAO JOAQUIM TRANSPORTES LTDA"</f>
        <v>SAO JOAQUIM TRANSPORTES LTDA</v>
      </c>
      <c r="C209" s="2" t="str">
        <f>"05.810.966/0001-08"</f>
        <v>05.810.966/0001-08</v>
      </c>
      <c r="D209" s="2" t="str">
        <f>"SAO JOAQUIM"</f>
        <v>SAO JOAQUIM</v>
      </c>
      <c r="E209" s="2" t="str">
        <f t="shared" si="4"/>
        <v>Rodoviário</v>
      </c>
    </row>
    <row r="210" spans="1:5" x14ac:dyDescent="0.3">
      <c r="A210" s="1">
        <v>209</v>
      </c>
      <c r="B210" s="2" t="str">
        <f>"SUL ATLANTICO BRASIL TRANSPORTES LTDA"</f>
        <v>SUL ATLANTICO BRASIL TRANSPORTES LTDA</v>
      </c>
      <c r="C210" s="2" t="str">
        <f>"01.101.538/0001-55"</f>
        <v>01.101.538/0001-55</v>
      </c>
      <c r="D210" s="2" t="str">
        <f>"SUL ATLANT"</f>
        <v>SUL ATLANT</v>
      </c>
      <c r="E210" s="2" t="str">
        <f t="shared" si="4"/>
        <v>Rodoviário</v>
      </c>
    </row>
    <row r="211" spans="1:5" x14ac:dyDescent="0.3">
      <c r="A211" s="1">
        <v>210</v>
      </c>
      <c r="B211" s="2" t="str">
        <f>"ELOG LOGISTICA SUL LTDA"</f>
        <v>ELOG LOGISTICA SUL LTDA</v>
      </c>
      <c r="C211" s="2" t="str">
        <f>"01.691.041/0008-00"</f>
        <v>01.691.041/0008-00</v>
      </c>
      <c r="D211" s="2" t="str">
        <f>"ELOG"</f>
        <v>ELOG</v>
      </c>
      <c r="E211" s="2" t="str">
        <f t="shared" si="4"/>
        <v>Rodoviário</v>
      </c>
    </row>
    <row r="212" spans="1:5" x14ac:dyDescent="0.3">
      <c r="A212" s="1">
        <v>211</v>
      </c>
      <c r="B212" s="2" t="str">
        <f>"EXPRESSO JUNDIAÍ LOG E TRANP LTDA"</f>
        <v>EXPRESSO JUNDIAÍ LOG E TRANP LTDA</v>
      </c>
      <c r="C212" s="2" t="str">
        <f>"50.935.436/0013-84"</f>
        <v>50.935.436/0013-84</v>
      </c>
      <c r="D212" s="2" t="str">
        <f>"JUNDIAI"</f>
        <v>JUNDIAI</v>
      </c>
      <c r="E212" s="2" t="str">
        <f t="shared" si="4"/>
        <v>Rodoviário</v>
      </c>
    </row>
    <row r="213" spans="1:5" x14ac:dyDescent="0.3">
      <c r="A213" s="1">
        <v>212</v>
      </c>
      <c r="B213" s="2" t="str">
        <f>"GUINCHO BIAGINI LTDA - ME"</f>
        <v>GUINCHO BIAGINI LTDA - ME</v>
      </c>
      <c r="C213" s="2" t="str">
        <f>"03.984.634/0001-14"</f>
        <v>03.984.634/0001-14</v>
      </c>
      <c r="D213" s="2" t="str">
        <f>"BIAGINI"</f>
        <v>BIAGINI</v>
      </c>
      <c r="E213" s="2" t="str">
        <f t="shared" si="4"/>
        <v>Rodoviário</v>
      </c>
    </row>
    <row r="214" spans="1:5" x14ac:dyDescent="0.3">
      <c r="A214" s="1">
        <v>213</v>
      </c>
      <c r="B214" s="2" t="str">
        <f>"TRANSBOCHNIA TRANSPORTES LTDA"</f>
        <v>TRANSBOCHNIA TRANSPORTES LTDA</v>
      </c>
      <c r="C214" s="2" t="str">
        <f>"86.959.426/0001-92"</f>
        <v>86.959.426/0001-92</v>
      </c>
      <c r="D214" s="2" t="str">
        <f>"TRANSBOCHNIA"</f>
        <v>TRANSBOCHNIA</v>
      </c>
      <c r="E214" s="2" t="str">
        <f t="shared" si="4"/>
        <v>Rodoviário</v>
      </c>
    </row>
    <row r="215" spans="1:5" x14ac:dyDescent="0.3">
      <c r="A215" s="1">
        <v>214</v>
      </c>
      <c r="B215" s="2" t="str">
        <f>"Pellenz Logistica Internacional"</f>
        <v>Pellenz Logistica Internacional</v>
      </c>
      <c r="C215" s="2" t="str">
        <f>"90.300.583/0001-69"</f>
        <v>90.300.583/0001-69</v>
      </c>
      <c r="D215" s="2" t="str">
        <f>"Pellenz"</f>
        <v>Pellenz</v>
      </c>
      <c r="E215" s="2" t="str">
        <f t="shared" si="4"/>
        <v>Rodoviário</v>
      </c>
    </row>
    <row r="216" spans="1:5" x14ac:dyDescent="0.3">
      <c r="A216" s="1">
        <v>215</v>
      </c>
      <c r="B216" s="2" t="str">
        <f>"R S Transportes Ltda"</f>
        <v>R S Transportes Ltda</v>
      </c>
      <c r="C216" s="2" t="str">
        <f>"04.304.054/0001-00"</f>
        <v>04.304.054/0001-00</v>
      </c>
      <c r="D216" s="2" t="str">
        <f>"RS TRANSP"</f>
        <v>RS TRANSP</v>
      </c>
      <c r="E216" s="2" t="str">
        <f t="shared" si="4"/>
        <v>Rodoviário</v>
      </c>
    </row>
    <row r="217" spans="1:5" x14ac:dyDescent="0.3">
      <c r="A217" s="1">
        <v>216</v>
      </c>
      <c r="B217" s="2" t="str">
        <f>"BRASPAN IND E COM DE PAINEIS LTDA"</f>
        <v>BRASPAN IND E COM DE PAINEIS LTDA</v>
      </c>
      <c r="C217" s="2" t="str">
        <f>"11.895.697/0001-22"</f>
        <v>11.895.697/0001-22</v>
      </c>
      <c r="D217" s="2" t="str">
        <f>"BRASPAN"</f>
        <v>BRASPAN</v>
      </c>
      <c r="E217" s="2" t="str">
        <f t="shared" si="4"/>
        <v>Rodoviário</v>
      </c>
    </row>
    <row r="218" spans="1:5" x14ac:dyDescent="0.3">
      <c r="A218" s="1">
        <v>217</v>
      </c>
      <c r="B218" s="2" t="str">
        <f>"GIACOMONI TRANSPORTES LTDA"</f>
        <v>GIACOMONI TRANSPORTES LTDA</v>
      </c>
      <c r="C218" s="2" t="str">
        <f>"10.268.214/0001-05"</f>
        <v>10.268.214/0001-05</v>
      </c>
      <c r="D218" s="2" t="str">
        <f>"GIACOMONI"</f>
        <v>GIACOMONI</v>
      </c>
      <c r="E218" s="2" t="str">
        <f t="shared" si="4"/>
        <v>Rodoviário</v>
      </c>
    </row>
    <row r="219" spans="1:5" x14ac:dyDescent="0.3">
      <c r="A219" s="1">
        <v>218</v>
      </c>
      <c r="B219" s="2" t="str">
        <f>"KLM TRANSPORTES"</f>
        <v>KLM TRANSPORTES</v>
      </c>
      <c r="C219" s="2" t="str">
        <f>"14.409.942/0001-32"</f>
        <v>14.409.942/0001-32</v>
      </c>
      <c r="D219" s="2" t="str">
        <f>"KLM"</f>
        <v>KLM</v>
      </c>
      <c r="E219" s="2" t="str">
        <f t="shared" si="4"/>
        <v>Rodoviário</v>
      </c>
    </row>
    <row r="220" spans="1:5" x14ac:dyDescent="0.3">
      <c r="A220" s="1">
        <v>219</v>
      </c>
      <c r="B220" s="2" t="str">
        <f>"Coop Mista de Transp Aguia Dourada Ltda"</f>
        <v>Coop Mista de Transp Aguia Dourada Ltda</v>
      </c>
      <c r="C220" s="2" t="str">
        <f>"07.678.093/0001-57"</f>
        <v>07.678.093/0001-57</v>
      </c>
      <c r="D220" s="2" t="str">
        <f>"COMITRAL"</f>
        <v>COMITRAL</v>
      </c>
      <c r="E220" s="2" t="str">
        <f t="shared" si="4"/>
        <v>Rodoviário</v>
      </c>
    </row>
    <row r="221" spans="1:5" x14ac:dyDescent="0.3">
      <c r="A221" s="1">
        <v>220</v>
      </c>
      <c r="B221" s="2" t="str">
        <f>"Embasul Transportes Rodoviários Ltda"</f>
        <v>Embasul Transportes Rodoviários Ltda</v>
      </c>
      <c r="C221" s="2" t="str">
        <f>"04.179.514/0001-07"</f>
        <v>04.179.514/0001-07</v>
      </c>
      <c r="D221" s="2" t="str">
        <f>"Embasul"</f>
        <v>Embasul</v>
      </c>
      <c r="E221" s="2" t="str">
        <f t="shared" si="4"/>
        <v>Rodoviário</v>
      </c>
    </row>
    <row r="222" spans="1:5" x14ac:dyDescent="0.3">
      <c r="A222" s="1">
        <v>221</v>
      </c>
      <c r="B222" s="2" t="str">
        <f>"LAGOA DOURADA TRANSPORTES RODOVIARIOS LT"</f>
        <v>LAGOA DOURADA TRANSPORTES RODOVIARIOS LT</v>
      </c>
      <c r="C222" s="2" t="str">
        <f>"07.724.199/0001-40"</f>
        <v>07.724.199/0001-40</v>
      </c>
      <c r="D222" s="2" t="str">
        <f>"LAGOA DOURAD"</f>
        <v>LAGOA DOURAD</v>
      </c>
      <c r="E222" s="2" t="str">
        <f t="shared" si="4"/>
        <v>Rodoviário</v>
      </c>
    </row>
    <row r="223" spans="1:5" x14ac:dyDescent="0.3">
      <c r="A223" s="1">
        <v>222</v>
      </c>
      <c r="B223" s="2" t="str">
        <f>"CAZAN TRANSPORTES LTDA  - ME"</f>
        <v>CAZAN TRANSPORTES LTDA  - ME</v>
      </c>
      <c r="C223" s="2" t="str">
        <f>"07.797.011/0002-74"</f>
        <v>07.797.011/0002-74</v>
      </c>
      <c r="D223" s="2" t="str">
        <f>"CAZAN"</f>
        <v>CAZAN</v>
      </c>
      <c r="E223" s="2" t="str">
        <f t="shared" si="4"/>
        <v>Rodoviário</v>
      </c>
    </row>
    <row r="224" spans="1:5" x14ac:dyDescent="0.3">
      <c r="A224" s="1">
        <v>223</v>
      </c>
      <c r="B224" s="2" t="str">
        <f>"TRANSEMBA TRANSPORTES RODOVIARIOS LTDA"</f>
        <v>TRANSEMBA TRANSPORTES RODOVIARIOS LTDA</v>
      </c>
      <c r="C224" s="2" t="str">
        <f>"78.749.090/0001-05"</f>
        <v>78.749.090/0001-05</v>
      </c>
      <c r="D224" s="2" t="str">
        <f>"TRANSEMBA"</f>
        <v>TRANSEMBA</v>
      </c>
      <c r="E224" s="2" t="str">
        <f t="shared" si="4"/>
        <v>Rodoviário</v>
      </c>
    </row>
    <row r="225" spans="1:5" x14ac:dyDescent="0.3">
      <c r="A225" s="1">
        <v>224</v>
      </c>
      <c r="B225" s="2" t="str">
        <f>"DINAMICA ELETROTECNICA LTDA"</f>
        <v>DINAMICA ELETROTECNICA LTDA</v>
      </c>
      <c r="C225" s="2" t="str">
        <f>"03.246.219/0001-63"</f>
        <v>03.246.219/0001-63</v>
      </c>
      <c r="D225" s="2" t="str">
        <f>"DINAMICA"</f>
        <v>DINAMICA</v>
      </c>
      <c r="E225" s="2" t="str">
        <f t="shared" si="4"/>
        <v>Rodoviário</v>
      </c>
    </row>
    <row r="226" spans="1:5" x14ac:dyDescent="0.3">
      <c r="A226" s="1">
        <v>225</v>
      </c>
      <c r="B226" s="2" t="str">
        <f>"J O BONFANTI LOGISTICA LTDA"</f>
        <v>J O BONFANTI LOGISTICA LTDA</v>
      </c>
      <c r="C226" s="2" t="str">
        <f>"05.495.854/0001-00"</f>
        <v>05.495.854/0001-00</v>
      </c>
      <c r="D226" s="2" t="str">
        <f>"J O BONFANTI"</f>
        <v>J O BONFANTI</v>
      </c>
      <c r="E226" s="2" t="str">
        <f t="shared" si="4"/>
        <v>Rodoviário</v>
      </c>
    </row>
    <row r="227" spans="1:5" x14ac:dyDescent="0.3">
      <c r="A227" s="1">
        <v>226</v>
      </c>
      <c r="B227" s="2" t="str">
        <f>"GRAD SERVIÇOS E COMÉRCIO DE RADIADORES L"</f>
        <v>GRAD SERVIÇOS E COMÉRCIO DE RADIADORES L</v>
      </c>
      <c r="C227" s="2" t="str">
        <f>"09.186.279/0001-14"</f>
        <v>09.186.279/0001-14</v>
      </c>
      <c r="D227" s="2" t="str">
        <f>"GRAD"</f>
        <v>GRAD</v>
      </c>
      <c r="E227" s="2" t="str">
        <f t="shared" si="4"/>
        <v>Rodoviário</v>
      </c>
    </row>
    <row r="228" spans="1:5" x14ac:dyDescent="0.3">
      <c r="A228" s="1">
        <v>227</v>
      </c>
      <c r="B228" s="2" t="str">
        <f>"CECATTO E OLIVEIRA LTDA"</f>
        <v>CECATTO E OLIVEIRA LTDA</v>
      </c>
      <c r="C228" s="2" t="str">
        <f>"80.194.202/0001-50"</f>
        <v>80.194.202/0001-50</v>
      </c>
      <c r="D228" s="2" t="str">
        <f>"CECATTO"</f>
        <v>CECATTO</v>
      </c>
      <c r="E228" s="2" t="str">
        <f t="shared" si="4"/>
        <v>Rodoviário</v>
      </c>
    </row>
    <row r="229" spans="1:5" x14ac:dyDescent="0.3">
      <c r="A229" s="1">
        <v>228</v>
      </c>
      <c r="B229" s="2" t="str">
        <f>"USIQUALITY PEÇAS E DISPOSITIVOS"</f>
        <v>USIQUALITY PEÇAS E DISPOSITIVOS</v>
      </c>
      <c r="C229" s="2" t="str">
        <f>"07.419.001/0001-14"</f>
        <v>07.419.001/0001-14</v>
      </c>
      <c r="D229" s="2" t="str">
        <f>"USIQUALITY"</f>
        <v>USIQUALITY</v>
      </c>
      <c r="E229" s="2" t="str">
        <f t="shared" si="4"/>
        <v>Rodoviário</v>
      </c>
    </row>
    <row r="230" spans="1:5" x14ac:dyDescent="0.3">
      <c r="A230" s="1">
        <v>229</v>
      </c>
      <c r="B230" s="2" t="str">
        <f>"TRANSPORTES ESPEC. RODRIGUES LTDA"</f>
        <v>TRANSPORTES ESPEC. RODRIGUES LTDA</v>
      </c>
      <c r="C230" s="2" t="str">
        <f>"08.916.441/0001-40"</f>
        <v>08.916.441/0001-40</v>
      </c>
      <c r="D230" s="2" t="str">
        <f>"RODRIGUES"</f>
        <v>RODRIGUES</v>
      </c>
      <c r="E230" s="2" t="str">
        <f t="shared" si="4"/>
        <v>Rodoviário</v>
      </c>
    </row>
    <row r="231" spans="1:5" x14ac:dyDescent="0.3">
      <c r="A231" s="1">
        <v>230</v>
      </c>
      <c r="B231" s="2" t="str">
        <f>"INDUSTRIA QUIMICA DE TINTAS  OURO LTDA"</f>
        <v>INDUSTRIA QUIMICA DE TINTAS  OURO LTDA</v>
      </c>
      <c r="C231" s="2" t="str">
        <f>"02.575.973/0001-84"</f>
        <v>02.575.973/0001-84</v>
      </c>
      <c r="D231" s="2" t="str">
        <f>"TINTAS OURO"</f>
        <v>TINTAS OURO</v>
      </c>
      <c r="E231" s="2" t="str">
        <f t="shared" si="4"/>
        <v>Rodoviário</v>
      </c>
    </row>
    <row r="232" spans="1:5" x14ac:dyDescent="0.3">
      <c r="A232" s="1">
        <v>231</v>
      </c>
      <c r="B232" s="2" t="str">
        <f>"METROLOGIA PR CALIB MANUT INST MED LTDA"</f>
        <v>METROLOGIA PR CALIB MANUT INST MED LTDA</v>
      </c>
      <c r="C232" s="2" t="str">
        <f>"10.628.979/0001-09"</f>
        <v>10.628.979/0001-09</v>
      </c>
      <c r="D232" s="2" t="str">
        <f>"METROLBRAS"</f>
        <v>METROLBRAS</v>
      </c>
      <c r="E232" s="2" t="str">
        <f t="shared" si="4"/>
        <v>Rodoviário</v>
      </c>
    </row>
    <row r="233" spans="1:5" x14ac:dyDescent="0.3">
      <c r="A233" s="1">
        <v>232</v>
      </c>
      <c r="B233" s="2" t="str">
        <f>"REUNIDAS S/A TRANSPORTES COLETIVOS"</f>
        <v>REUNIDAS S/A TRANSPORTES COLETIVOS</v>
      </c>
      <c r="C233" s="2" t="str">
        <f>"83.054.395/0002-13"</f>
        <v>83.054.395/0002-13</v>
      </c>
      <c r="D233" s="2" t="str">
        <f>"REUNIDAS"</f>
        <v>REUNIDAS</v>
      </c>
      <c r="E233" s="2" t="str">
        <f t="shared" si="4"/>
        <v>Rodoviário</v>
      </c>
    </row>
    <row r="234" spans="1:5" x14ac:dyDescent="0.3">
      <c r="A234" s="1">
        <v>233</v>
      </c>
      <c r="B234" s="2" t="str">
        <f>"TRANSPORTES ARI LTDA"</f>
        <v>TRANSPORTES ARI LTDA</v>
      </c>
      <c r="C234" s="2" t="str">
        <f>"85.155.372/0001-40"</f>
        <v>85.155.372/0001-40</v>
      </c>
      <c r="D234" s="2" t="str">
        <f>"ARI SC"</f>
        <v>ARI SC</v>
      </c>
      <c r="E234" s="2" t="str">
        <f t="shared" si="4"/>
        <v>Rodoviário</v>
      </c>
    </row>
    <row r="235" spans="1:5" x14ac:dyDescent="0.3">
      <c r="A235" s="1">
        <v>234</v>
      </c>
      <c r="B235" s="2" t="str">
        <f>"TRANSPORTADORA MARCOS LTDA"</f>
        <v>TRANSPORTADORA MARCOS LTDA</v>
      </c>
      <c r="C235" s="2" t="str">
        <f>"50.788.603/0006-82"</f>
        <v>50.788.603/0006-82</v>
      </c>
      <c r="D235" s="2" t="str">
        <f>"TRANSMARCOS"</f>
        <v>TRANSMARCOS</v>
      </c>
      <c r="E235" s="2" t="str">
        <f t="shared" si="4"/>
        <v>Rodoviário</v>
      </c>
    </row>
    <row r="236" spans="1:5" x14ac:dyDescent="0.3">
      <c r="A236" s="1">
        <v>235</v>
      </c>
      <c r="B236" s="2" t="str">
        <f>"M.I.P.O. S.R.L."</f>
        <v>M.I.P.O. S.R.L.</v>
      </c>
      <c r="C236" s="2" t="str">
        <f>"33-70901480-9"</f>
        <v>33-70901480-9</v>
      </c>
      <c r="D236" s="2" t="str">
        <f>"M.I.P.O"</f>
        <v>M.I.P.O</v>
      </c>
      <c r="E236" s="2" t="str">
        <f t="shared" si="4"/>
        <v>Rodoviário</v>
      </c>
    </row>
    <row r="237" spans="1:5" x14ac:dyDescent="0.3">
      <c r="A237" s="1">
        <v>236</v>
      </c>
      <c r="B237" s="2" t="str">
        <f>"EXTRANS S.A."</f>
        <v>EXTRANS S.A.</v>
      </c>
      <c r="C237" s="2" t="str">
        <f>""</f>
        <v/>
      </c>
      <c r="D237" s="2" t="str">
        <f>"EXTRANS"</f>
        <v>EXTRANS</v>
      </c>
      <c r="E237" s="2" t="str">
        <f t="shared" si="4"/>
        <v>Rodoviário</v>
      </c>
    </row>
    <row r="238" spans="1:5" x14ac:dyDescent="0.3">
      <c r="A238" s="1">
        <v>237</v>
      </c>
      <c r="B238" s="2" t="str">
        <f>"SS SO SILVA TRANSPORTES LTDA - ME"</f>
        <v>SS SO SILVA TRANSPORTES LTDA - ME</v>
      </c>
      <c r="C238" s="2" t="str">
        <f>"10.815.703/0001-21"</f>
        <v>10.815.703/0001-21</v>
      </c>
      <c r="D238" s="2" t="str">
        <f>"DC LOGISTICS"</f>
        <v>DC LOGISTICS</v>
      </c>
      <c r="E238" s="2" t="str">
        <f t="shared" si="4"/>
        <v>Rodoviário</v>
      </c>
    </row>
    <row r="239" spans="1:5" x14ac:dyDescent="0.3">
      <c r="A239" s="1">
        <v>238</v>
      </c>
      <c r="B239" s="2" t="str">
        <f>"TRANSPRIMER TRANSP RODOV LTDA"</f>
        <v>TRANSPRIMER TRANSP RODOV LTDA</v>
      </c>
      <c r="C239" s="2" t="str">
        <f>"07.914.631/0001-65"</f>
        <v>07.914.631/0001-65</v>
      </c>
      <c r="D239" s="2" t="str">
        <f>"TRANSPRIMER"</f>
        <v>TRANSPRIMER</v>
      </c>
      <c r="E239" s="2" t="str">
        <f t="shared" si="4"/>
        <v>Rodoviário</v>
      </c>
    </row>
    <row r="240" spans="1:5" x14ac:dyDescent="0.3">
      <c r="A240" s="1">
        <v>239</v>
      </c>
      <c r="B240" s="2" t="str">
        <f>"IANCO METALURGICA LTDA"</f>
        <v>IANCO METALURGICA LTDA</v>
      </c>
      <c r="C240" s="2" t="str">
        <f>"04.873.132/0001-89"</f>
        <v>04.873.132/0001-89</v>
      </c>
      <c r="D240" s="2" t="str">
        <f>"IANCO"</f>
        <v>IANCO</v>
      </c>
      <c r="E240" s="2" t="str">
        <f t="shared" si="4"/>
        <v>Rodoviário</v>
      </c>
    </row>
    <row r="241" spans="1:5" x14ac:dyDescent="0.3">
      <c r="A241" s="1">
        <v>240</v>
      </c>
      <c r="B241" s="2" t="str">
        <f>"CSI CARGO LOGÍSTICA INTEGRAL S/A"</f>
        <v>CSI CARGO LOGÍSTICA INTEGRAL S/A</v>
      </c>
      <c r="C241" s="2" t="str">
        <f>"02.554.149/0001-48"</f>
        <v>02.554.149/0001-48</v>
      </c>
      <c r="D241" s="2" t="str">
        <f>"CSI CARGO"</f>
        <v>CSI CARGO</v>
      </c>
      <c r="E241" s="2" t="str">
        <f t="shared" si="4"/>
        <v>Rodoviário</v>
      </c>
    </row>
    <row r="242" spans="1:5" x14ac:dyDescent="0.3">
      <c r="A242" s="1">
        <v>241</v>
      </c>
      <c r="B242" s="2" t="str">
        <f>"TRANSPORTADORA ROCHA LTDA"</f>
        <v>TRANSPORTADORA ROCHA LTDA</v>
      </c>
      <c r="C242" s="2" t="str">
        <f>"01.309.106/0001-34"</f>
        <v>01.309.106/0001-34</v>
      </c>
      <c r="D242" s="2" t="str">
        <f>"ROCHA"</f>
        <v>ROCHA</v>
      </c>
      <c r="E242" s="2" t="str">
        <f t="shared" si="4"/>
        <v>Rodoviário</v>
      </c>
    </row>
    <row r="243" spans="1:5" x14ac:dyDescent="0.3">
      <c r="A243" s="1">
        <v>242</v>
      </c>
      <c r="B243" s="2" t="str">
        <f>"Multi Express Brasil Transportes de Carg"</f>
        <v>Multi Express Brasil Transportes de Carg</v>
      </c>
      <c r="C243" s="2" t="str">
        <f>"13.233.554/0001-80"</f>
        <v>13.233.554/0001-80</v>
      </c>
      <c r="D243" s="2" t="str">
        <f>"MultiExpress"</f>
        <v>MultiExpress</v>
      </c>
      <c r="E243" s="2" t="str">
        <f t="shared" si="4"/>
        <v>Rodoviário</v>
      </c>
    </row>
    <row r="244" spans="1:5" x14ac:dyDescent="0.3">
      <c r="A244" s="1">
        <v>243</v>
      </c>
      <c r="B244" s="2" t="str">
        <f>"RODOTISTA TRANSPORTES LTDA"</f>
        <v>RODOTISTA TRANSPORTES LTDA</v>
      </c>
      <c r="C244" s="2" t="str">
        <f>"02.968.651/0001-03"</f>
        <v>02.968.651/0001-03</v>
      </c>
      <c r="D244" s="2" t="str">
        <f>"RODOTISTA"</f>
        <v>RODOTISTA</v>
      </c>
      <c r="E244" s="2" t="str">
        <f t="shared" si="4"/>
        <v>Rodoviário</v>
      </c>
    </row>
    <row r="245" spans="1:5" x14ac:dyDescent="0.3">
      <c r="A245" s="1">
        <v>244</v>
      </c>
      <c r="B245" s="2" t="str">
        <f>"Pressleitura Transportes Ltda"</f>
        <v>Pressleitura Transportes Ltda</v>
      </c>
      <c r="C245" s="2" t="str">
        <f>"00.896.780/0001-08"</f>
        <v>00.896.780/0001-08</v>
      </c>
      <c r="D245" s="2" t="str">
        <f>"Volpress"</f>
        <v>Volpress</v>
      </c>
      <c r="E245" s="2" t="str">
        <f t="shared" si="4"/>
        <v>Rodoviário</v>
      </c>
    </row>
    <row r="246" spans="1:5" x14ac:dyDescent="0.3">
      <c r="A246" s="1">
        <v>245</v>
      </c>
      <c r="B246" s="2" t="str">
        <f>"Viação Sudoeste"</f>
        <v>Viação Sudoeste</v>
      </c>
      <c r="C246" s="2" t="str">
        <f>"02.343.801/0003-47"</f>
        <v>02.343.801/0003-47</v>
      </c>
      <c r="D246" s="2" t="str">
        <f>"Sudoeste tra"</f>
        <v>Sudoeste tra</v>
      </c>
      <c r="E246" s="2" t="str">
        <f t="shared" si="4"/>
        <v>Rodoviário</v>
      </c>
    </row>
    <row r="247" spans="1:5" x14ac:dyDescent="0.3">
      <c r="A247" s="1">
        <v>246</v>
      </c>
      <c r="B247" s="2" t="str">
        <f>"LOGPEL LOGISTICA LTDA"</f>
        <v>LOGPEL LOGISTICA LTDA</v>
      </c>
      <c r="C247" s="2" t="str">
        <f>"08.584.480/0003-59"</f>
        <v>08.584.480/0003-59</v>
      </c>
      <c r="D247" s="2" t="str">
        <f>"LOGPEL"</f>
        <v>LOGPEL</v>
      </c>
      <c r="E247" s="2" t="str">
        <f t="shared" si="4"/>
        <v>Rodoviário</v>
      </c>
    </row>
    <row r="248" spans="1:5" x14ac:dyDescent="0.3">
      <c r="A248" s="1">
        <v>247</v>
      </c>
      <c r="B248" s="2" t="str">
        <f>"AUTOCLAVE TRANSPORTES LTDA"</f>
        <v>AUTOCLAVE TRANSPORTES LTDA</v>
      </c>
      <c r="C248" s="2" t="str">
        <f>"15.041.947/0001-18"</f>
        <v>15.041.947/0001-18</v>
      </c>
      <c r="D248" s="2" t="str">
        <f>"AUTOCLAVE"</f>
        <v>AUTOCLAVE</v>
      </c>
      <c r="E248" s="2" t="str">
        <f t="shared" si="4"/>
        <v>Rodoviário</v>
      </c>
    </row>
    <row r="249" spans="1:5" x14ac:dyDescent="0.3">
      <c r="A249" s="1">
        <v>248</v>
      </c>
      <c r="B249" s="2" t="str">
        <f>"TRANSPOWER TRANSPORTE RODOVIÁRIO LTDA"</f>
        <v>TRANSPOWER TRANSPORTE RODOVIÁRIO LTDA</v>
      </c>
      <c r="C249" s="2" t="str">
        <f>"85.099.471/0003-13"</f>
        <v>85.099.471/0003-13</v>
      </c>
      <c r="D249" s="2" t="str">
        <f>"TRANSPOWER"</f>
        <v>TRANSPOWER</v>
      </c>
      <c r="E249" s="2" t="str">
        <f t="shared" si="4"/>
        <v>Rodoviário</v>
      </c>
    </row>
    <row r="250" spans="1:5" x14ac:dyDescent="0.3">
      <c r="A250" s="1">
        <v>249</v>
      </c>
      <c r="B250" s="2" t="str">
        <f>"TRANSPAJOS TRANSPORTES LTDA"</f>
        <v>TRANSPAJOS TRANSPORTES LTDA</v>
      </c>
      <c r="C250" s="2" t="str">
        <f>"74.055.062/0001-37"</f>
        <v>74.055.062/0001-37</v>
      </c>
      <c r="D250" s="2" t="str">
        <f>"TRANSPAJOS"</f>
        <v>TRANSPAJOS</v>
      </c>
      <c r="E250" s="2" t="str">
        <f t="shared" si="4"/>
        <v>Rodoviário</v>
      </c>
    </row>
    <row r="251" spans="1:5" x14ac:dyDescent="0.3">
      <c r="A251" s="1">
        <v>250</v>
      </c>
      <c r="B251" s="2" t="str">
        <f>"TRANSPORTES 2 DE JULHO LTDA"</f>
        <v>TRANSPORTES 2 DE JULHO LTDA</v>
      </c>
      <c r="C251" s="2" t="str">
        <f>"01.149.601/0001-23"</f>
        <v>01.149.601/0001-23</v>
      </c>
      <c r="D251" s="2" t="str">
        <f>"2 DE JULHO"</f>
        <v>2 DE JULHO</v>
      </c>
      <c r="E251" s="2" t="str">
        <f t="shared" si="4"/>
        <v>Rodoviário</v>
      </c>
    </row>
    <row r="252" spans="1:5" x14ac:dyDescent="0.3">
      <c r="A252" s="1">
        <v>251</v>
      </c>
      <c r="B252" s="2" t="str">
        <f>"COM. DE MADEIRAS NORTEPONTEALTENSE LTDA"</f>
        <v>COM. DE MADEIRAS NORTEPONTEALTENSE LTDA</v>
      </c>
      <c r="C252" s="2" t="str">
        <f>"03.713.198/0003-00"</f>
        <v>03.713.198/0003-00</v>
      </c>
      <c r="D252" s="2" t="str">
        <f>"EPP"</f>
        <v>EPP</v>
      </c>
      <c r="E252" s="2" t="str">
        <f t="shared" si="4"/>
        <v>Rodoviário</v>
      </c>
    </row>
    <row r="253" spans="1:5" x14ac:dyDescent="0.3">
      <c r="A253" s="1">
        <v>252</v>
      </c>
      <c r="B253" s="2" t="str">
        <f>"MAZZOCHI LOGISTICA E SERVICO"</f>
        <v>MAZZOCHI LOGISTICA E SERVICO</v>
      </c>
      <c r="C253" s="2" t="str">
        <f>"08.934.369/0001-83"</f>
        <v>08.934.369/0001-83</v>
      </c>
      <c r="D253" s="2" t="str">
        <f>"MAZZOCHI"</f>
        <v>MAZZOCHI</v>
      </c>
      <c r="E253" s="2" t="str">
        <f t="shared" si="4"/>
        <v>Rodoviário</v>
      </c>
    </row>
    <row r="254" spans="1:5" x14ac:dyDescent="0.3">
      <c r="A254" s="1">
        <v>253</v>
      </c>
      <c r="B254" s="2" t="str">
        <f>"BERNARD BONETTI - ME"</f>
        <v>BERNARD BONETTI - ME</v>
      </c>
      <c r="C254" s="2" t="str">
        <f>"09.592.463/0001-64"</f>
        <v>09.592.463/0001-64</v>
      </c>
      <c r="D254" s="2" t="str">
        <f>"BERNARD"</f>
        <v>BERNARD</v>
      </c>
      <c r="E254" s="2" t="str">
        <f t="shared" si="4"/>
        <v>Rodoviário</v>
      </c>
    </row>
    <row r="255" spans="1:5" x14ac:dyDescent="0.3">
      <c r="A255" s="1">
        <v>254</v>
      </c>
      <c r="B255" s="2" t="str">
        <f>"B. L ZAMPIERI TRANSPORTES ME"</f>
        <v>B. L ZAMPIERI TRANSPORTES ME</v>
      </c>
      <c r="C255" s="2" t="str">
        <f>"08.866.363/0001-16"</f>
        <v>08.866.363/0001-16</v>
      </c>
      <c r="D255" s="2" t="str">
        <f>"ZAMPIERI"</f>
        <v>ZAMPIERI</v>
      </c>
      <c r="E255" s="2" t="str">
        <f t="shared" si="4"/>
        <v>Rodoviário</v>
      </c>
    </row>
    <row r="256" spans="1:5" x14ac:dyDescent="0.3">
      <c r="A256" s="1">
        <v>255</v>
      </c>
      <c r="B256" s="2" t="str">
        <f>"RJ LOG LOGISTICA LTDA"</f>
        <v>RJ LOG LOGISTICA LTDA</v>
      </c>
      <c r="C256" s="2" t="str">
        <f>"14.932.522/0001-36"</f>
        <v>14.932.522/0001-36</v>
      </c>
      <c r="D256" s="2" t="str">
        <f>"RJ LOG"</f>
        <v>RJ LOG</v>
      </c>
      <c r="E256" s="2" t="str">
        <f t="shared" si="4"/>
        <v>Rodoviário</v>
      </c>
    </row>
    <row r="257" spans="1:5" x14ac:dyDescent="0.3">
      <c r="A257" s="1">
        <v>256</v>
      </c>
      <c r="B257" s="2" t="str">
        <f>"BS TRANSPORTES E DISTR. DE BEBIDAS LTDA"</f>
        <v>BS TRANSPORTES E DISTR. DE BEBIDAS LTDA</v>
      </c>
      <c r="C257" s="2" t="str">
        <f>"80.952.997/0001-19"</f>
        <v>80.952.997/0001-19</v>
      </c>
      <c r="D257" s="2" t="str">
        <f>"BS TRANP."</f>
        <v>BS TRANP.</v>
      </c>
      <c r="E257" s="2" t="str">
        <f t="shared" si="4"/>
        <v>Rodoviário</v>
      </c>
    </row>
    <row r="258" spans="1:5" x14ac:dyDescent="0.3">
      <c r="A258" s="1">
        <v>257</v>
      </c>
      <c r="B258" s="2" t="str">
        <f>"JUAN MANUEL TAJADA"</f>
        <v>JUAN MANUEL TAJADA</v>
      </c>
      <c r="C258" s="2" t="str">
        <f>""</f>
        <v/>
      </c>
      <c r="D258" s="2" t="str">
        <f>"TAJADA"</f>
        <v>TAJADA</v>
      </c>
      <c r="E258" s="2" t="str">
        <f t="shared" si="4"/>
        <v>Rodoviário</v>
      </c>
    </row>
    <row r="259" spans="1:5" x14ac:dyDescent="0.3">
      <c r="A259" s="1">
        <v>258</v>
      </c>
      <c r="B259" s="2" t="str">
        <f>"TRANSPORTADORA PINHO LTDA"</f>
        <v>TRANSPORTADORA PINHO LTDA</v>
      </c>
      <c r="C259" s="2" t="str">
        <f>"77.789.477/0001-22"</f>
        <v>77.789.477/0001-22</v>
      </c>
      <c r="D259" s="2" t="str">
        <f>"PINHO"</f>
        <v>PINHO</v>
      </c>
      <c r="E259" s="2" t="str">
        <f t="shared" si="4"/>
        <v>Rodoviário</v>
      </c>
    </row>
    <row r="260" spans="1:5" x14ac:dyDescent="0.3">
      <c r="A260" s="1">
        <v>259</v>
      </c>
      <c r="B260" s="2" t="str">
        <f>"NP CARGAS RODOVIARIAS LTDA ME"</f>
        <v>NP CARGAS RODOVIARIAS LTDA ME</v>
      </c>
      <c r="C260" s="2" t="str">
        <f>"13.463.186/0001-67"</f>
        <v>13.463.186/0001-67</v>
      </c>
      <c r="D260" s="2" t="str">
        <f>"NP"</f>
        <v>NP</v>
      </c>
      <c r="E260" s="2" t="str">
        <f t="shared" si="4"/>
        <v>Rodoviário</v>
      </c>
    </row>
    <row r="261" spans="1:5" x14ac:dyDescent="0.3">
      <c r="A261" s="1">
        <v>260</v>
      </c>
      <c r="B261" s="2" t="str">
        <f>"TRANSMATIC TRANSPORTE E COMÉRCIO LTDA"</f>
        <v>TRANSMATIC TRANSPORTE E COMÉRCIO LTDA</v>
      </c>
      <c r="C261" s="2" t="str">
        <f>"77.041.283/0001-44"</f>
        <v>77.041.283/0001-44</v>
      </c>
      <c r="D261" s="2" t="str">
        <f>"TRANSMATIC"</f>
        <v>TRANSMATIC</v>
      </c>
      <c r="E261" s="2" t="str">
        <f t="shared" si="4"/>
        <v>Rodoviário</v>
      </c>
    </row>
    <row r="262" spans="1:5" x14ac:dyDescent="0.3">
      <c r="A262" s="1">
        <v>261</v>
      </c>
      <c r="B262" s="2" t="str">
        <f>"KENYA S.A TRANSPORTES E LOGÍSTICA"</f>
        <v>KENYA S.A TRANSPORTES E LOGÍSTICA</v>
      </c>
      <c r="C262" s="2" t="str">
        <f>"03.225.625/0042-18"</f>
        <v>03.225.625/0042-18</v>
      </c>
      <c r="D262" s="2" t="str">
        <f>"KENYA"</f>
        <v>KENYA</v>
      </c>
      <c r="E262" s="2" t="str">
        <f t="shared" si="4"/>
        <v>Rodoviário</v>
      </c>
    </row>
    <row r="263" spans="1:5" x14ac:dyDescent="0.3">
      <c r="A263" s="1">
        <v>262</v>
      </c>
      <c r="B263" s="2" t="str">
        <f>"JORDÃO DE SOUZA ALEGRE"</f>
        <v>JORDÃO DE SOUZA ALEGRE</v>
      </c>
      <c r="C263" s="2" t="str">
        <f>"10.532.008/0001-52"</f>
        <v>10.532.008/0001-52</v>
      </c>
      <c r="D263" s="2" t="str">
        <f>"Trans Jordão"</f>
        <v>Trans Jordão</v>
      </c>
      <c r="E263" s="2" t="str">
        <f t="shared" si="4"/>
        <v>Rodoviário</v>
      </c>
    </row>
    <row r="264" spans="1:5" x14ac:dyDescent="0.3">
      <c r="A264" s="1">
        <v>263</v>
      </c>
      <c r="B264" s="2" t="str">
        <f>"FLORAPLAC MDF LTDA"</f>
        <v>FLORAPLAC MDF LTDA</v>
      </c>
      <c r="C264" s="2" t="str">
        <f>"09.256.139/0001-75"</f>
        <v>09.256.139/0001-75</v>
      </c>
      <c r="D264" s="2" t="str">
        <f>"FLORAPLAC"</f>
        <v>FLORAPLAC</v>
      </c>
      <c r="E264" s="2" t="str">
        <f t="shared" si="4"/>
        <v>Rodoviário</v>
      </c>
    </row>
    <row r="265" spans="1:5" x14ac:dyDescent="0.3">
      <c r="A265" s="1">
        <v>264</v>
      </c>
      <c r="B265" s="2" t="str">
        <f>"CARLOS EDUARDO FRANCA"</f>
        <v>CARLOS EDUARDO FRANCA</v>
      </c>
      <c r="C265" s="2" t="str">
        <f>"027.062.518-67"</f>
        <v>027.062.518-67</v>
      </c>
      <c r="D265" s="2" t="str">
        <f>"CARLOS EDU"</f>
        <v>CARLOS EDU</v>
      </c>
      <c r="E265" s="2" t="str">
        <f t="shared" si="4"/>
        <v>Rodoviário</v>
      </c>
    </row>
    <row r="266" spans="1:5" x14ac:dyDescent="0.3">
      <c r="A266" s="1">
        <v>265</v>
      </c>
      <c r="B266" s="2" t="str">
        <f>"CARLOS YUDI MIKAMI"</f>
        <v>CARLOS YUDI MIKAMI</v>
      </c>
      <c r="C266" s="2" t="str">
        <f>"141.769.428-94"</f>
        <v>141.769.428-94</v>
      </c>
      <c r="D266" s="2" t="str">
        <f>"CARLOS YUDI"</f>
        <v>CARLOS YUDI</v>
      </c>
      <c r="E266" s="2" t="str">
        <f t="shared" si="4"/>
        <v>Rodoviário</v>
      </c>
    </row>
    <row r="267" spans="1:5" x14ac:dyDescent="0.3">
      <c r="A267" s="1">
        <v>266</v>
      </c>
      <c r="B267" s="2" t="str">
        <f>"CORREIOS- MKS AGENCIA DE CORREIOS FRANQ"</f>
        <v>CORREIOS- MKS AGENCIA DE CORREIOS FRANQ</v>
      </c>
      <c r="C267" s="2" t="str">
        <f>"03.891.910/0001-08"</f>
        <v>03.891.910/0001-08</v>
      </c>
      <c r="D267" s="2" t="str">
        <f>"CORREIOS"</f>
        <v>CORREIOS</v>
      </c>
      <c r="E267" s="2" t="str">
        <f t="shared" si="4"/>
        <v>Rodoviário</v>
      </c>
    </row>
    <row r="268" spans="1:5" x14ac:dyDescent="0.3">
      <c r="A268" s="1">
        <v>267</v>
      </c>
      <c r="B268" s="2" t="str">
        <f>"AJB TRANSPORTES LTDA"</f>
        <v>AJB TRANSPORTES LTDA</v>
      </c>
      <c r="C268" s="2" t="str">
        <f>"78.724.135/0002-78"</f>
        <v>78.724.135/0002-78</v>
      </c>
      <c r="D268" s="2" t="str">
        <f>"AJB SP"</f>
        <v>AJB SP</v>
      </c>
      <c r="E268" s="2" t="str">
        <f t="shared" si="4"/>
        <v>Rodoviário</v>
      </c>
    </row>
    <row r="269" spans="1:5" x14ac:dyDescent="0.3">
      <c r="A269" s="1">
        <v>268</v>
      </c>
      <c r="B269" s="2" t="str">
        <f>"SOCIEDADE TRES PINHEIROS LTDA"</f>
        <v>SOCIEDADE TRES PINHEIROS LTDA</v>
      </c>
      <c r="C269" s="2" t="str">
        <f>"76.484.864/0001-98"</f>
        <v>76.484.864/0001-98</v>
      </c>
      <c r="D269" s="2" t="str">
        <f>"TRES PINHEIR"</f>
        <v>TRES PINHEIR</v>
      </c>
      <c r="E269" s="2" t="str">
        <f t="shared" si="4"/>
        <v>Rodoviário</v>
      </c>
    </row>
    <row r="270" spans="1:5" x14ac:dyDescent="0.3">
      <c r="A270" s="1">
        <v>269</v>
      </c>
      <c r="B270" s="2" t="str">
        <f>"Transportadora Marlon Valim Gerber"</f>
        <v>Transportadora Marlon Valim Gerber</v>
      </c>
      <c r="C270" s="2" t="str">
        <f>"14.492.463/0001-22"</f>
        <v>14.492.463/0001-22</v>
      </c>
      <c r="D270" s="2" t="str">
        <f>"Marlon Valim"</f>
        <v>Marlon Valim</v>
      </c>
      <c r="E270" s="2" t="str">
        <f t="shared" si="4"/>
        <v>Rodoviário</v>
      </c>
    </row>
    <row r="271" spans="1:5" x14ac:dyDescent="0.3">
      <c r="A271" s="1">
        <v>270</v>
      </c>
      <c r="B271" s="2" t="str">
        <f>"FV Trindade Artefatos de Borracha EPP"</f>
        <v>FV Trindade Artefatos de Borracha EPP</v>
      </c>
      <c r="C271" s="2" t="str">
        <f>"14.474.749/0001-85"</f>
        <v>14.474.749/0001-85</v>
      </c>
      <c r="D271" s="2" t="str">
        <f>"FV"</f>
        <v>FV</v>
      </c>
      <c r="E271" s="2" t="str">
        <f t="shared" si="4"/>
        <v>Rodoviário</v>
      </c>
    </row>
    <row r="272" spans="1:5" x14ac:dyDescent="0.3">
      <c r="A272" s="1">
        <v>271</v>
      </c>
      <c r="B272" s="2" t="str">
        <f>"TRANSPORTE SANTIAGO SEGUNDO CERDA TAMAYO"</f>
        <v>TRANSPORTE SANTIAGO SEGUNDO CERDA TAMAYO</v>
      </c>
      <c r="C272" s="2" t="str">
        <f>"RUT.6.382.549-2"</f>
        <v>RUT.6.382.549-2</v>
      </c>
      <c r="D272" s="2" t="str">
        <f>"TC TRANSP"</f>
        <v>TC TRANSP</v>
      </c>
      <c r="E272" s="2" t="str">
        <f t="shared" ref="E272:E335" si="5">"Rodoviário"</f>
        <v>Rodoviário</v>
      </c>
    </row>
    <row r="273" spans="1:5" x14ac:dyDescent="0.3">
      <c r="A273" s="1">
        <v>272</v>
      </c>
      <c r="B273" s="2" t="str">
        <f>"TRANSP. DE CARGAS 11 DE JANEIRO LTDA-ME"</f>
        <v>TRANSP. DE CARGAS 11 DE JANEIRO LTDA-ME</v>
      </c>
      <c r="C273" s="2" t="str">
        <f>"08.973.990/0001-56"</f>
        <v>08.973.990/0001-56</v>
      </c>
      <c r="D273" s="2" t="str">
        <f>"11 DE JANEIR"</f>
        <v>11 DE JANEIR</v>
      </c>
      <c r="E273" s="2" t="str">
        <f t="shared" si="5"/>
        <v>Rodoviário</v>
      </c>
    </row>
    <row r="274" spans="1:5" x14ac:dyDescent="0.3">
      <c r="A274" s="1">
        <v>273</v>
      </c>
      <c r="B274" s="2" t="str">
        <f>"BRACEX GLOBAL LOGÍSTICA LTDA"</f>
        <v>BRACEX GLOBAL LOGÍSTICA LTDA</v>
      </c>
      <c r="C274" s="2" t="str">
        <f>"11.734.901/0002-04"</f>
        <v>11.734.901/0002-04</v>
      </c>
      <c r="D274" s="2" t="str">
        <f>"BRACEX"</f>
        <v>BRACEX</v>
      </c>
      <c r="E274" s="2" t="str">
        <f t="shared" si="5"/>
        <v>Rodoviário</v>
      </c>
    </row>
    <row r="275" spans="1:5" x14ac:dyDescent="0.3">
      <c r="A275" s="1">
        <v>274</v>
      </c>
      <c r="B275" s="2" t="str">
        <f>"LTM Brasil Transportes Ltda"</f>
        <v>LTM Brasil Transportes Ltda</v>
      </c>
      <c r="C275" s="2" t="str">
        <f>"04.543.811/0001-90"</f>
        <v>04.543.811/0001-90</v>
      </c>
      <c r="D275" s="2" t="str">
        <f>"LTM Brasil"</f>
        <v>LTM Brasil</v>
      </c>
      <c r="E275" s="2" t="str">
        <f t="shared" si="5"/>
        <v>Rodoviário</v>
      </c>
    </row>
    <row r="276" spans="1:5" x14ac:dyDescent="0.3">
      <c r="A276" s="1">
        <v>275</v>
      </c>
      <c r="B276" s="2" t="str">
        <f>"LUZIA FAVERO"</f>
        <v>LUZIA FAVERO</v>
      </c>
      <c r="C276" s="2" t="str">
        <f>"790.740.659-53"</f>
        <v>790.740.659-53</v>
      </c>
      <c r="D276" s="2" t="str">
        <f>"LUZIA"</f>
        <v>LUZIA</v>
      </c>
      <c r="E276" s="2" t="str">
        <f t="shared" si="5"/>
        <v>Rodoviário</v>
      </c>
    </row>
    <row r="277" spans="1:5" x14ac:dyDescent="0.3">
      <c r="A277" s="1">
        <v>276</v>
      </c>
      <c r="B277" s="2" t="str">
        <f>"MADELAR IND E COM LTDA"</f>
        <v>MADELAR IND E COM LTDA</v>
      </c>
      <c r="C277" s="2" t="str">
        <f>"05.626.431/0001-81"</f>
        <v>05.626.431/0001-81</v>
      </c>
      <c r="D277" s="2" t="str">
        <f>"MADELAR"</f>
        <v>MADELAR</v>
      </c>
      <c r="E277" s="2" t="str">
        <f t="shared" si="5"/>
        <v>Rodoviário</v>
      </c>
    </row>
    <row r="278" spans="1:5" x14ac:dyDescent="0.3">
      <c r="A278" s="1">
        <v>277</v>
      </c>
      <c r="B278" s="2" t="str">
        <f>"INTERFLET LIMITADA"</f>
        <v>INTERFLET LIMITADA</v>
      </c>
      <c r="C278" s="2" t="str">
        <f>"78488360-4"</f>
        <v>78488360-4</v>
      </c>
      <c r="D278" s="2" t="str">
        <f>"INTERFLET"</f>
        <v>INTERFLET</v>
      </c>
      <c r="E278" s="2" t="str">
        <f t="shared" si="5"/>
        <v>Rodoviário</v>
      </c>
    </row>
    <row r="279" spans="1:5" x14ac:dyDescent="0.3">
      <c r="A279" s="1">
        <v>278</v>
      </c>
      <c r="B279" s="2" t="str">
        <f>"MAEMBA MADEIRA E EMBALAGENS LTDA"</f>
        <v>MAEMBA MADEIRA E EMBALAGENS LTDA</v>
      </c>
      <c r="C279" s="2" t="str">
        <f>"76.091.842/0001-68"</f>
        <v>76.091.842/0001-68</v>
      </c>
      <c r="D279" s="2" t="str">
        <f>"MAEMBA"</f>
        <v>MAEMBA</v>
      </c>
      <c r="E279" s="2" t="str">
        <f t="shared" si="5"/>
        <v>Rodoviário</v>
      </c>
    </row>
    <row r="280" spans="1:5" x14ac:dyDescent="0.3">
      <c r="A280" s="1">
        <v>279</v>
      </c>
      <c r="B280" s="2" t="str">
        <f>"NOVA ERA EMBALAGENS LTDA"</f>
        <v>NOVA ERA EMBALAGENS LTDA</v>
      </c>
      <c r="C280" s="2" t="str">
        <f>"16.517.585/0001-51"</f>
        <v>16.517.585/0001-51</v>
      </c>
      <c r="D280" s="2" t="str">
        <f>"NOVA ERA"</f>
        <v>NOVA ERA</v>
      </c>
      <c r="E280" s="2" t="str">
        <f t="shared" si="5"/>
        <v>Rodoviário</v>
      </c>
    </row>
    <row r="281" spans="1:5" x14ac:dyDescent="0.3">
      <c r="A281" s="1">
        <v>280</v>
      </c>
      <c r="B281" s="2" t="str">
        <f>"J MARTINS &amp; FARIAS LTDA"</f>
        <v>J MARTINS &amp; FARIAS LTDA</v>
      </c>
      <c r="C281" s="2" t="str">
        <f>"81.127.466/0001-54"</f>
        <v>81.127.466/0001-54</v>
      </c>
      <c r="D281" s="2" t="str">
        <f>"MELTI"</f>
        <v>MELTI</v>
      </c>
      <c r="E281" s="2" t="str">
        <f t="shared" si="5"/>
        <v>Rodoviário</v>
      </c>
    </row>
    <row r="282" spans="1:5" x14ac:dyDescent="0.3">
      <c r="A282" s="1">
        <v>281</v>
      </c>
      <c r="B282" s="2" t="str">
        <f>"STEELPAPER BRASIL IND E COM DE FITAS ADE"</f>
        <v>STEELPAPER BRASIL IND E COM DE FITAS ADE</v>
      </c>
      <c r="C282" s="2" t="str">
        <f>"81.111.239/0001-30"</f>
        <v>81.111.239/0001-30</v>
      </c>
      <c r="D282" s="2" t="str">
        <f>"STEELPAPER B"</f>
        <v>STEELPAPER B</v>
      </c>
      <c r="E282" s="2" t="str">
        <f t="shared" si="5"/>
        <v>Rodoviário</v>
      </c>
    </row>
    <row r="283" spans="1:5" x14ac:dyDescent="0.3">
      <c r="A283" s="1">
        <v>282</v>
      </c>
      <c r="B283" s="2" t="str">
        <f>"RODOVIÁRIO BEDIN LTDA"</f>
        <v>RODOVIÁRIO BEDIN LTDA</v>
      </c>
      <c r="C283" s="2" t="str">
        <f>"43.025.774/0003-41"</f>
        <v>43.025.774/0003-41</v>
      </c>
      <c r="D283" s="2" t="str">
        <f>"PANEX"</f>
        <v>PANEX</v>
      </c>
      <c r="E283" s="2" t="str">
        <f t="shared" si="5"/>
        <v>Rodoviário</v>
      </c>
    </row>
    <row r="284" spans="1:5" x14ac:dyDescent="0.3">
      <c r="A284" s="1">
        <v>283</v>
      </c>
      <c r="B284" s="2" t="str">
        <f>"PINGUIM LOG TRANSPORTES LTDA - EPP"</f>
        <v>PINGUIM LOG TRANSPORTES LTDA - EPP</v>
      </c>
      <c r="C284" s="2" t="str">
        <f>"18.219.104/0001-57"</f>
        <v>18.219.104/0001-57</v>
      </c>
      <c r="D284" s="2" t="str">
        <f>"PINGUIM"</f>
        <v>PINGUIM</v>
      </c>
      <c r="E284" s="2" t="str">
        <f t="shared" si="5"/>
        <v>Rodoviário</v>
      </c>
    </row>
    <row r="285" spans="1:5" x14ac:dyDescent="0.3">
      <c r="A285" s="1">
        <v>284</v>
      </c>
      <c r="B285" s="2" t="str">
        <f>"MONTEJ LTDA"</f>
        <v>MONTEJ LTDA</v>
      </c>
      <c r="C285" s="2" t="str">
        <f>"04.765.684/0001-73"</f>
        <v>04.765.684/0001-73</v>
      </c>
      <c r="D285" s="2" t="str">
        <f>"MONTEJ"</f>
        <v>MONTEJ</v>
      </c>
      <c r="E285" s="2" t="str">
        <f t="shared" si="5"/>
        <v>Rodoviário</v>
      </c>
    </row>
    <row r="286" spans="1:5" x14ac:dyDescent="0.3">
      <c r="A286" s="1">
        <v>285</v>
      </c>
      <c r="B286" s="2" t="str">
        <f>"START MANUTENCAO INDUSTRIAL LTDA"</f>
        <v>START MANUTENCAO INDUSTRIAL LTDA</v>
      </c>
      <c r="C286" s="2" t="str">
        <f>"15.263.856/0001-27"</f>
        <v>15.263.856/0001-27</v>
      </c>
      <c r="D286" s="2" t="str">
        <f>"START"</f>
        <v>START</v>
      </c>
      <c r="E286" s="2" t="str">
        <f t="shared" si="5"/>
        <v>Rodoviário</v>
      </c>
    </row>
    <row r="287" spans="1:5" x14ac:dyDescent="0.3">
      <c r="A287" s="1">
        <v>286</v>
      </c>
      <c r="B287" s="2" t="str">
        <f>"JDM AUTOMACAO LTDA"</f>
        <v>JDM AUTOMACAO LTDA</v>
      </c>
      <c r="C287" s="2" t="str">
        <f>"04.154.108/0001-90"</f>
        <v>04.154.108/0001-90</v>
      </c>
      <c r="D287" s="2" t="str">
        <f>"JDM"</f>
        <v>JDM</v>
      </c>
      <c r="E287" s="2" t="str">
        <f t="shared" si="5"/>
        <v>Rodoviário</v>
      </c>
    </row>
    <row r="288" spans="1:5" x14ac:dyDescent="0.3">
      <c r="A288" s="1">
        <v>287</v>
      </c>
      <c r="B288" s="2" t="str">
        <f>"MADEPAR LAMINADOS SA"</f>
        <v>MADEPAR LAMINADOS SA</v>
      </c>
      <c r="C288" s="2" t="str">
        <f>"67.302.943/0002-20"</f>
        <v>67.302.943/0002-20</v>
      </c>
      <c r="D288" s="2" t="str">
        <f>"MADEPAR"</f>
        <v>MADEPAR</v>
      </c>
      <c r="E288" s="2" t="str">
        <f t="shared" si="5"/>
        <v>Rodoviário</v>
      </c>
    </row>
    <row r="289" spans="1:5" x14ac:dyDescent="0.3">
      <c r="A289" s="1">
        <v>288</v>
      </c>
      <c r="B289" s="2" t="str">
        <f>"METALP METALURGICA LTDA"</f>
        <v>METALP METALURGICA LTDA</v>
      </c>
      <c r="C289" s="2" t="str">
        <f>"04.411.537/0001-03"</f>
        <v>04.411.537/0001-03</v>
      </c>
      <c r="D289" s="2" t="str">
        <f>"METALP"</f>
        <v>METALP</v>
      </c>
      <c r="E289" s="2" t="str">
        <f t="shared" si="5"/>
        <v>Rodoviário</v>
      </c>
    </row>
    <row r="290" spans="1:5" x14ac:dyDescent="0.3">
      <c r="A290" s="1">
        <v>289</v>
      </c>
      <c r="B290" s="2" t="str">
        <f>"COOP. DOS TRANSP. DE CARGA DE TANGARÁ"</f>
        <v>COOP. DOS TRANSP. DE CARGA DE TANGARÁ</v>
      </c>
      <c r="C290" s="2" t="str">
        <f>"06.790.172/0001-92"</f>
        <v>06.790.172/0001-92</v>
      </c>
      <c r="D290" s="2" t="str">
        <f>"COOTRATAN"</f>
        <v>COOTRATAN</v>
      </c>
      <c r="E290" s="2" t="str">
        <f t="shared" si="5"/>
        <v>Rodoviário</v>
      </c>
    </row>
    <row r="291" spans="1:5" x14ac:dyDescent="0.3">
      <c r="A291" s="1">
        <v>290</v>
      </c>
      <c r="B291" s="2" t="str">
        <f>"AIRAM TRANSP. NAC. E INTER. LTDA"</f>
        <v>AIRAM TRANSP. NAC. E INTER. LTDA</v>
      </c>
      <c r="C291" s="2" t="str">
        <f>"07.663.039/0001-38"</f>
        <v>07.663.039/0001-38</v>
      </c>
      <c r="D291" s="2" t="str">
        <f>"AIRAM"</f>
        <v>AIRAM</v>
      </c>
      <c r="E291" s="2" t="str">
        <f t="shared" si="5"/>
        <v>Rodoviário</v>
      </c>
    </row>
    <row r="292" spans="1:5" x14ac:dyDescent="0.3">
      <c r="A292" s="1">
        <v>291</v>
      </c>
      <c r="B292" s="2" t="str">
        <f>"DRW TRANSPORTES LTDA - ME"</f>
        <v>DRW TRANSPORTES LTDA - ME</v>
      </c>
      <c r="C292" s="2" t="str">
        <f>"18.074.990/0001-78"</f>
        <v>18.074.990/0001-78</v>
      </c>
      <c r="D292" s="2" t="str">
        <f>"DRW"</f>
        <v>DRW</v>
      </c>
      <c r="E292" s="2" t="str">
        <f t="shared" si="5"/>
        <v>Rodoviário</v>
      </c>
    </row>
    <row r="293" spans="1:5" x14ac:dyDescent="0.3">
      <c r="A293" s="1">
        <v>292</v>
      </c>
      <c r="B293" s="2" t="str">
        <f>"ACC EMPRESA PARANAENSE DE CALIBRACAO LTD"</f>
        <v>ACC EMPRESA PARANAENSE DE CALIBRACAO LTD</v>
      </c>
      <c r="C293" s="2" t="str">
        <f>"03.538.163/0001-10"</f>
        <v>03.538.163/0001-10</v>
      </c>
      <c r="D293" s="2" t="str">
        <f>"ACC CALIBRAC"</f>
        <v>ACC CALIBRAC</v>
      </c>
      <c r="E293" s="2" t="str">
        <f t="shared" si="5"/>
        <v>Rodoviário</v>
      </c>
    </row>
    <row r="294" spans="1:5" x14ac:dyDescent="0.3">
      <c r="A294" s="1">
        <v>293</v>
      </c>
      <c r="B294" s="2" t="str">
        <f>"AZUL CARGO CURITIBA"</f>
        <v>AZUL CARGO CURITIBA</v>
      </c>
      <c r="C294" s="2" t="str">
        <f>"09.296.295/0004-02"</f>
        <v>09.296.295/0004-02</v>
      </c>
      <c r="D294" s="2" t="str">
        <f>"AZUL CARGO"</f>
        <v>AZUL CARGO</v>
      </c>
      <c r="E294" s="2" t="str">
        <f t="shared" si="5"/>
        <v>Rodoviário</v>
      </c>
    </row>
    <row r="295" spans="1:5" x14ac:dyDescent="0.3">
      <c r="A295" s="1">
        <v>294</v>
      </c>
      <c r="B295" s="2" t="str">
        <f>"S.A.C.I.F."</f>
        <v>S.A.C.I.F.</v>
      </c>
      <c r="C295" s="2" t="str">
        <f>"30-52166639-7"</f>
        <v>30-52166639-7</v>
      </c>
      <c r="D295" s="2" t="str">
        <f>"S.A.C.I.F."</f>
        <v>S.A.C.I.F.</v>
      </c>
      <c r="E295" s="2" t="str">
        <f t="shared" si="5"/>
        <v>Rodoviário</v>
      </c>
    </row>
    <row r="296" spans="1:5" x14ac:dyDescent="0.3">
      <c r="A296" s="1">
        <v>295</v>
      </c>
      <c r="B296" s="2" t="str">
        <f>"ZIRANLOG ARMAZENS GERAIS E TRANSP. LTDA"</f>
        <v>ZIRANLOG ARMAZENS GERAIS E TRANSP. LTDA</v>
      </c>
      <c r="C296" s="2" t="str">
        <f>"05.294.609/0001-34"</f>
        <v>05.294.609/0001-34</v>
      </c>
      <c r="D296" s="2" t="str">
        <f>"ZIRANLOG"</f>
        <v>ZIRANLOG</v>
      </c>
      <c r="E296" s="2" t="str">
        <f t="shared" si="5"/>
        <v>Rodoviário</v>
      </c>
    </row>
    <row r="297" spans="1:5" x14ac:dyDescent="0.3">
      <c r="A297" s="1">
        <v>296</v>
      </c>
      <c r="B297" s="2" t="str">
        <f>"NELSON HEUSI CARGO"</f>
        <v>NELSON HEUSI CARGO</v>
      </c>
      <c r="C297" s="2" t="str">
        <f>"09.211.360/0001-07"</f>
        <v>09.211.360/0001-07</v>
      </c>
      <c r="D297" s="2" t="str">
        <f>"NELSON"</f>
        <v>NELSON</v>
      </c>
      <c r="E297" s="2" t="str">
        <f t="shared" si="5"/>
        <v>Rodoviário</v>
      </c>
    </row>
    <row r="298" spans="1:5" x14ac:dyDescent="0.3">
      <c r="A298" s="1">
        <v>297</v>
      </c>
      <c r="B298" s="2" t="str">
        <f>"Mig S Transportes Ltda - ME"</f>
        <v>Mig S Transportes Ltda - ME</v>
      </c>
      <c r="C298" s="2" t="str">
        <f>"10.840.103/0001-13"</f>
        <v>10.840.103/0001-13</v>
      </c>
      <c r="D298" s="2" t="str">
        <f>"MIG"</f>
        <v>MIG</v>
      </c>
      <c r="E298" s="2" t="str">
        <f t="shared" si="5"/>
        <v>Rodoviário</v>
      </c>
    </row>
    <row r="299" spans="1:5" x14ac:dyDescent="0.3">
      <c r="A299" s="1">
        <v>298</v>
      </c>
      <c r="B299" s="2" t="str">
        <f>"ELIEZER LOGISTICA E TRANSPORTES LTDA"</f>
        <v>ELIEZER LOGISTICA E TRANSPORTES LTDA</v>
      </c>
      <c r="C299" s="2" t="str">
        <f>"12.546.853/0002-93"</f>
        <v>12.546.853/0002-93</v>
      </c>
      <c r="D299" s="2" t="str">
        <f>"ARS"</f>
        <v>ARS</v>
      </c>
      <c r="E299" s="2" t="str">
        <f t="shared" si="5"/>
        <v>Rodoviário</v>
      </c>
    </row>
    <row r="300" spans="1:5" x14ac:dyDescent="0.3">
      <c r="A300" s="1">
        <v>299</v>
      </c>
      <c r="B300" s="2" t="str">
        <f>"NELSON HEUSI LOG. E ARM. GERAIS LTDA"</f>
        <v>NELSON HEUSI LOG. E ARM. GERAIS LTDA</v>
      </c>
      <c r="C300" s="2" t="str">
        <f>"09.211.360/0001-07"</f>
        <v>09.211.360/0001-07</v>
      </c>
      <c r="D300" s="2" t="str">
        <f>"NELSON HEUSI"</f>
        <v>NELSON HEUSI</v>
      </c>
      <c r="E300" s="2" t="str">
        <f t="shared" si="5"/>
        <v>Rodoviário</v>
      </c>
    </row>
    <row r="301" spans="1:5" x14ac:dyDescent="0.3">
      <c r="A301" s="1">
        <v>300</v>
      </c>
      <c r="B301" s="2" t="str">
        <f>"MASISA DO BRASIL LTDA"</f>
        <v>MASISA DO BRASIL LTDA</v>
      </c>
      <c r="C301" s="2" t="str">
        <f>"00.606.549/0012-40"</f>
        <v>00.606.549/0012-40</v>
      </c>
      <c r="D301" s="2" t="str">
        <f>"MASISA BRA"</f>
        <v>MASISA BRA</v>
      </c>
      <c r="E301" s="2" t="str">
        <f t="shared" si="5"/>
        <v>Rodoviário</v>
      </c>
    </row>
    <row r="302" spans="1:5" x14ac:dyDescent="0.3">
      <c r="A302" s="1">
        <v>301</v>
      </c>
      <c r="B302" s="2" t="str">
        <f>"TRANSPORTADORA GRÃ BISCAIA LTDA"</f>
        <v>TRANSPORTADORA GRÃ BISCAIA LTDA</v>
      </c>
      <c r="C302" s="2" t="str">
        <f>"06.301.409/0001-24"</f>
        <v>06.301.409/0001-24</v>
      </c>
      <c r="D302" s="2" t="str">
        <f>"GRÃ BISCAIA"</f>
        <v>GRÃ BISCAIA</v>
      </c>
      <c r="E302" s="2" t="str">
        <f t="shared" si="5"/>
        <v>Rodoviário</v>
      </c>
    </row>
    <row r="303" spans="1:5" x14ac:dyDescent="0.3">
      <c r="A303" s="1">
        <v>302</v>
      </c>
      <c r="B303" s="2" t="str">
        <f>"ECO3 TRANSPORTE E LOGISTICA LTDA - ME"</f>
        <v>ECO3 TRANSPORTE E LOGISTICA LTDA - ME</v>
      </c>
      <c r="C303" s="2" t="str">
        <f>"00.137.110/0001-08"</f>
        <v>00.137.110/0001-08</v>
      </c>
      <c r="D303" s="2" t="str">
        <f>"ECO3"</f>
        <v>ECO3</v>
      </c>
      <c r="E303" s="2" t="str">
        <f t="shared" si="5"/>
        <v>Rodoviário</v>
      </c>
    </row>
    <row r="304" spans="1:5" x14ac:dyDescent="0.3">
      <c r="A304" s="1">
        <v>303</v>
      </c>
      <c r="B304" s="2" t="str">
        <f>"ALWAYS LOGISTICA E TRANSPORTES LTDA"</f>
        <v>ALWAYS LOGISTICA E TRANSPORTES LTDA</v>
      </c>
      <c r="C304" s="2" t="str">
        <f>"08.241.908/0001-07"</f>
        <v>08.241.908/0001-07</v>
      </c>
      <c r="D304" s="2" t="str">
        <f>"ALWAYS"</f>
        <v>ALWAYS</v>
      </c>
      <c r="E304" s="2" t="str">
        <f t="shared" si="5"/>
        <v>Rodoviário</v>
      </c>
    </row>
    <row r="305" spans="1:5" x14ac:dyDescent="0.3">
      <c r="A305" s="1">
        <v>304</v>
      </c>
      <c r="B305" s="2" t="str">
        <f>"TNT MERCURIO CARGAS E ENCOMENDAS EXPRESS"</f>
        <v>TNT MERCURIO CARGAS E ENCOMENDAS EXPRESS</v>
      </c>
      <c r="C305" s="2" t="str">
        <f>"95.591.723/0021-62"</f>
        <v>95.591.723/0021-62</v>
      </c>
      <c r="D305" s="2" t="str">
        <f>"TNT MERCURIO"</f>
        <v>TNT MERCURIO</v>
      </c>
      <c r="E305" s="2" t="str">
        <f t="shared" si="5"/>
        <v>Rodoviário</v>
      </c>
    </row>
    <row r="306" spans="1:5" x14ac:dyDescent="0.3">
      <c r="A306" s="1">
        <v>305</v>
      </c>
      <c r="B306" s="2" t="str">
        <f>"JOSE LUIZ SOARES FERRARINI ME"</f>
        <v>JOSE LUIZ SOARES FERRARINI ME</v>
      </c>
      <c r="C306" s="2" t="str">
        <f>"95.453.361/0001-08"</f>
        <v>95.453.361/0001-08</v>
      </c>
      <c r="D306" s="2" t="str">
        <f>"CHX"</f>
        <v>CHX</v>
      </c>
      <c r="E306" s="2" t="str">
        <f t="shared" si="5"/>
        <v>Rodoviário</v>
      </c>
    </row>
    <row r="307" spans="1:5" x14ac:dyDescent="0.3">
      <c r="A307" s="1">
        <v>306</v>
      </c>
      <c r="B307" s="2" t="str">
        <f>"TRANSPORTADORA MACALEN"</f>
        <v>TRANSPORTADORA MACALEN</v>
      </c>
      <c r="C307" s="2" t="str">
        <f>""</f>
        <v/>
      </c>
      <c r="D307" s="2" t="str">
        <f>"MACALEN"</f>
        <v>MACALEN</v>
      </c>
      <c r="E307" s="2" t="str">
        <f t="shared" si="5"/>
        <v>Rodoviário</v>
      </c>
    </row>
    <row r="308" spans="1:5" x14ac:dyDescent="0.3">
      <c r="A308" s="1">
        <v>307</v>
      </c>
      <c r="B308" s="2" t="str">
        <f>"TIMBERBOX INDUST. DE ARTEF. DE MAD. LTDA"</f>
        <v>TIMBERBOX INDUST. DE ARTEF. DE MAD. LTDA</v>
      </c>
      <c r="C308" s="2" t="str">
        <f>"01.777.717/0001-07"</f>
        <v>01.777.717/0001-07</v>
      </c>
      <c r="D308" s="2" t="str">
        <f>"TIMBERBOX"</f>
        <v>TIMBERBOX</v>
      </c>
      <c r="E308" s="2" t="str">
        <f t="shared" si="5"/>
        <v>Rodoviário</v>
      </c>
    </row>
    <row r="309" spans="1:5" x14ac:dyDescent="0.3">
      <c r="A309" s="1">
        <v>308</v>
      </c>
      <c r="B309" s="2" t="str">
        <f>"ZANI TRANSPORTES LTDA"</f>
        <v>ZANI TRANSPORTES LTDA</v>
      </c>
      <c r="C309" s="2" t="str">
        <f>"18.819.301/0001-07"</f>
        <v>18.819.301/0001-07</v>
      </c>
      <c r="D309" s="2" t="str">
        <f>"VK TRANSP"</f>
        <v>VK TRANSP</v>
      </c>
      <c r="E309" s="2" t="str">
        <f t="shared" si="5"/>
        <v>Rodoviário</v>
      </c>
    </row>
    <row r="310" spans="1:5" x14ac:dyDescent="0.3">
      <c r="A310" s="1">
        <v>309</v>
      </c>
      <c r="B310" s="2" t="str">
        <f>"Car Place reparos de veiculos LTDA_ME"</f>
        <v>Car Place reparos de veiculos LTDA_ME</v>
      </c>
      <c r="C310" s="2" t="str">
        <f>"01.366.425/0001-81"</f>
        <v>01.366.425/0001-81</v>
      </c>
      <c r="D310" s="2" t="str">
        <f>"CAR PLACE"</f>
        <v>CAR PLACE</v>
      </c>
      <c r="E310" s="2" t="str">
        <f t="shared" si="5"/>
        <v>Rodoviário</v>
      </c>
    </row>
    <row r="311" spans="1:5" x14ac:dyDescent="0.3">
      <c r="A311" s="1">
        <v>310</v>
      </c>
      <c r="B311" s="2" t="str">
        <f>"BBC TRANSPORTESLTDA."</f>
        <v>BBC TRANSPORTESLTDA.</v>
      </c>
      <c r="C311" s="2" t="str">
        <f>"03.372.203/0001-05"</f>
        <v>03.372.203/0001-05</v>
      </c>
      <c r="D311" s="2" t="str">
        <f>"BBC"</f>
        <v>BBC</v>
      </c>
      <c r="E311" s="2" t="str">
        <f t="shared" si="5"/>
        <v>Rodoviário</v>
      </c>
    </row>
    <row r="312" spans="1:5" x14ac:dyDescent="0.3">
      <c r="A312" s="1">
        <v>311</v>
      </c>
      <c r="B312" s="2" t="str">
        <f>"MSC MEDITERRANEAN LOGISTICA LTDA"</f>
        <v>MSC MEDITERRANEAN LOGISTICA LTDA</v>
      </c>
      <c r="C312" s="2" t="str">
        <f>"08.680.888/0001-62"</f>
        <v>08.680.888/0001-62</v>
      </c>
      <c r="D312" s="2" t="str">
        <f>"MSC"</f>
        <v>MSC</v>
      </c>
      <c r="E312" s="2" t="str">
        <f t="shared" si="5"/>
        <v>Rodoviário</v>
      </c>
    </row>
    <row r="313" spans="1:5" x14ac:dyDescent="0.3">
      <c r="A313" s="1">
        <v>312</v>
      </c>
      <c r="B313" s="2" t="str">
        <f>"DEL REY COMERCIO DE RESIDUOS  E MATERIAI"</f>
        <v>DEL REY COMERCIO DE RESIDUOS  E MATERIAI</v>
      </c>
      <c r="C313" s="2" t="str">
        <f>"21.329.703/0001-38"</f>
        <v>21.329.703/0001-38</v>
      </c>
      <c r="D313" s="2" t="str">
        <f>"DEL REY"</f>
        <v>DEL REY</v>
      </c>
      <c r="E313" s="2" t="str">
        <f t="shared" si="5"/>
        <v>Rodoviário</v>
      </c>
    </row>
    <row r="314" spans="1:5" x14ac:dyDescent="0.3">
      <c r="A314" s="1">
        <v>313</v>
      </c>
      <c r="B314" s="2" t="str">
        <f>"COOPERATIVA COOPERCOL TRANS. NACIONAIS"</f>
        <v>COOPERATIVA COOPERCOL TRANS. NACIONAIS</v>
      </c>
      <c r="C314" s="2" t="str">
        <f>"15.824.039/0001-09"</f>
        <v>15.824.039/0001-09</v>
      </c>
      <c r="D314" s="2" t="str">
        <f>"COOPERCOL"</f>
        <v>COOPERCOL</v>
      </c>
      <c r="E314" s="2" t="str">
        <f t="shared" si="5"/>
        <v>Rodoviário</v>
      </c>
    </row>
    <row r="315" spans="1:5" x14ac:dyDescent="0.3">
      <c r="A315" s="1">
        <v>314</v>
      </c>
      <c r="B315" s="2" t="str">
        <f>"MICHELE ROSA PEREIRA - EPP"</f>
        <v>MICHELE ROSA PEREIRA - EPP</v>
      </c>
      <c r="C315" s="2" t="str">
        <f>"19.178.180/0001-24"</f>
        <v>19.178.180/0001-24</v>
      </c>
      <c r="D315" s="2" t="str">
        <f>"MOVIPORTO"</f>
        <v>MOVIPORTO</v>
      </c>
      <c r="E315" s="2" t="str">
        <f t="shared" si="5"/>
        <v>Rodoviário</v>
      </c>
    </row>
    <row r="316" spans="1:5" x14ac:dyDescent="0.3">
      <c r="A316" s="1">
        <v>315</v>
      </c>
      <c r="B316" s="2" t="str">
        <f>"VELOCE LOGISTICA S/A"</f>
        <v>VELOCE LOGISTICA S/A</v>
      </c>
      <c r="C316" s="2" t="str">
        <f>"10.299.567/0001-64"</f>
        <v>10.299.567/0001-64</v>
      </c>
      <c r="D316" s="2" t="str">
        <f>"VELOCE"</f>
        <v>VELOCE</v>
      </c>
      <c r="E316" s="2" t="str">
        <f t="shared" si="5"/>
        <v>Rodoviário</v>
      </c>
    </row>
    <row r="317" spans="1:5" x14ac:dyDescent="0.3">
      <c r="A317" s="1">
        <v>316</v>
      </c>
      <c r="B317" s="2" t="str">
        <f>"MCP TRANSPORTES RODOVIARIOS LTDA"</f>
        <v>MCP TRANSPORTES RODOVIARIOS LTDA</v>
      </c>
      <c r="C317" s="2" t="str">
        <f>"03.453.285/0001-04"</f>
        <v>03.453.285/0001-04</v>
      </c>
      <c r="D317" s="2" t="str">
        <f>"MCP"</f>
        <v>MCP</v>
      </c>
      <c r="E317" s="2" t="str">
        <f t="shared" si="5"/>
        <v>Rodoviário</v>
      </c>
    </row>
    <row r="318" spans="1:5" x14ac:dyDescent="0.3">
      <c r="A318" s="1">
        <v>317</v>
      </c>
      <c r="B318" s="2" t="str">
        <f>"GILMAR DE SOUZA TRANSPORTES RODOVIARIOS"</f>
        <v>GILMAR DE SOUZA TRANSPORTES RODOVIARIOS</v>
      </c>
      <c r="C318" s="2" t="str">
        <f>"21.012.105/0001-30"</f>
        <v>21.012.105/0001-30</v>
      </c>
      <c r="D318" s="2" t="str">
        <f>"VOGIL"</f>
        <v>VOGIL</v>
      </c>
      <c r="E318" s="2" t="str">
        <f t="shared" si="5"/>
        <v>Rodoviário</v>
      </c>
    </row>
    <row r="319" spans="1:5" x14ac:dyDescent="0.3">
      <c r="A319" s="1">
        <v>318</v>
      </c>
      <c r="B319" s="2" t="str">
        <f>"J B TRANSPORTES"</f>
        <v>J B TRANSPORTES</v>
      </c>
      <c r="C319" s="2" t="str">
        <f>"76.616.119/0001-55"</f>
        <v>76.616.119/0001-55</v>
      </c>
      <c r="D319" s="2" t="str">
        <f>"J B TRANSP."</f>
        <v>J B TRANSP.</v>
      </c>
      <c r="E319" s="2" t="str">
        <f t="shared" si="5"/>
        <v>Rodoviário</v>
      </c>
    </row>
    <row r="320" spans="1:5" x14ac:dyDescent="0.3">
      <c r="A320" s="1">
        <v>319</v>
      </c>
      <c r="B320" s="2" t="str">
        <f>"LVZ TRANSPORTES E LOGISTICA EIRELI - EPP"</f>
        <v>LVZ TRANSPORTES E LOGISTICA EIRELI - EPP</v>
      </c>
      <c r="C320" s="2" t="str">
        <f>"17.148.183/0001-90"</f>
        <v>17.148.183/0001-90</v>
      </c>
      <c r="D320" s="2" t="str">
        <f>"LVZ"</f>
        <v>LVZ</v>
      </c>
      <c r="E320" s="2" t="str">
        <f t="shared" si="5"/>
        <v>Rodoviário</v>
      </c>
    </row>
    <row r="321" spans="1:5" x14ac:dyDescent="0.3">
      <c r="A321" s="1">
        <v>320</v>
      </c>
      <c r="B321" s="2" t="str">
        <f>"TLOG TRANSPORTES LTDA"</f>
        <v>TLOG TRANSPORTES LTDA</v>
      </c>
      <c r="C321" s="2" t="str">
        <f>"11.227.828/0002-84"</f>
        <v>11.227.828/0002-84</v>
      </c>
      <c r="D321" s="2" t="str">
        <f>"TLOG"</f>
        <v>TLOG</v>
      </c>
      <c r="E321" s="2" t="str">
        <f t="shared" si="5"/>
        <v>Rodoviário</v>
      </c>
    </row>
    <row r="322" spans="1:5" x14ac:dyDescent="0.3">
      <c r="A322" s="1">
        <v>321</v>
      </c>
      <c r="B322" s="2" t="str">
        <f>"RECUPERTAM COMERCIO DE EMBALAGENS LTDA"</f>
        <v>RECUPERTAM COMERCIO DE EMBALAGENS LTDA</v>
      </c>
      <c r="C322" s="2" t="str">
        <f>"09.252.811/0001-54"</f>
        <v>09.252.811/0001-54</v>
      </c>
      <c r="D322" s="2" t="str">
        <f>"RECUPERTAM"</f>
        <v>RECUPERTAM</v>
      </c>
      <c r="E322" s="2" t="str">
        <f t="shared" si="5"/>
        <v>Rodoviário</v>
      </c>
    </row>
    <row r="323" spans="1:5" x14ac:dyDescent="0.3">
      <c r="A323" s="1">
        <v>322</v>
      </c>
      <c r="B323" s="2" t="str">
        <f>"TRANSPORTADORA HR"</f>
        <v>TRANSPORTADORA HR</v>
      </c>
      <c r="C323" s="2" t="str">
        <f>"06.040.473/0001-07"</f>
        <v>06.040.473/0001-07</v>
      </c>
      <c r="D323" s="2" t="str">
        <f>"HR"</f>
        <v>HR</v>
      </c>
      <c r="E323" s="2" t="str">
        <f t="shared" si="5"/>
        <v>Rodoviário</v>
      </c>
    </row>
    <row r="324" spans="1:5" x14ac:dyDescent="0.3">
      <c r="A324" s="1">
        <v>323</v>
      </c>
      <c r="B324" s="2" t="str">
        <f>"MM TRANSPORTADORA DE MUDANÇAS LTDA ME"</f>
        <v>MM TRANSPORTADORA DE MUDANÇAS LTDA ME</v>
      </c>
      <c r="C324" s="2" t="str">
        <f>"15.529.333/0001-80"</f>
        <v>15.529.333/0001-80</v>
      </c>
      <c r="D324" s="2" t="str">
        <f>"MM TRANSP."</f>
        <v>MM TRANSP.</v>
      </c>
      <c r="E324" s="2" t="str">
        <f t="shared" si="5"/>
        <v>Rodoviário</v>
      </c>
    </row>
    <row r="325" spans="1:5" x14ac:dyDescent="0.3">
      <c r="A325" s="1">
        <v>324</v>
      </c>
      <c r="B325" s="2" t="str">
        <f>"COOP CAMIN AUTON OTACILIO COSTA"</f>
        <v>COOP CAMIN AUTON OTACILIO COSTA</v>
      </c>
      <c r="C325" s="2" t="str">
        <f>"04.650.488/0001-53"</f>
        <v>04.650.488/0001-53</v>
      </c>
      <c r="D325" s="2" t="str">
        <f>"COOPEROC"</f>
        <v>COOPEROC</v>
      </c>
      <c r="E325" s="2" t="str">
        <f t="shared" si="5"/>
        <v>Rodoviário</v>
      </c>
    </row>
    <row r="326" spans="1:5" x14ac:dyDescent="0.3">
      <c r="A326" s="1">
        <v>325</v>
      </c>
      <c r="B326" s="2" t="str">
        <f>"BORG EXPRESS LOGISTICA LTDA"</f>
        <v>BORG EXPRESS LOGISTICA LTDA</v>
      </c>
      <c r="C326" s="2" t="str">
        <f>"05.580.347/0001-74"</f>
        <v>05.580.347/0001-74</v>
      </c>
      <c r="D326" s="2" t="str">
        <f>"BORG"</f>
        <v>BORG</v>
      </c>
      <c r="E326" s="2" t="str">
        <f t="shared" si="5"/>
        <v>Rodoviário</v>
      </c>
    </row>
    <row r="327" spans="1:5" x14ac:dyDescent="0.3">
      <c r="A327" s="1">
        <v>326</v>
      </c>
      <c r="B327" s="2" t="str">
        <f>"RR MUNARETTO TRANSPORTES LTDA"</f>
        <v>RR MUNARETTO TRANSPORTES LTDA</v>
      </c>
      <c r="C327" s="2" t="str">
        <f>"14.092.429/0001-60"</f>
        <v>14.092.429/0001-60</v>
      </c>
      <c r="D327" s="2" t="str">
        <f>"RR MUNARETTO"</f>
        <v>RR MUNARETTO</v>
      </c>
      <c r="E327" s="2" t="str">
        <f t="shared" si="5"/>
        <v>Rodoviário</v>
      </c>
    </row>
    <row r="328" spans="1:5" x14ac:dyDescent="0.3">
      <c r="A328" s="1">
        <v>327</v>
      </c>
      <c r="B328" s="2" t="str">
        <f>"RODO BECHER LTDA - ME"</f>
        <v>RODO BECHER LTDA - ME</v>
      </c>
      <c r="C328" s="2" t="str">
        <f>"14.571.658/0001-68"</f>
        <v>14.571.658/0001-68</v>
      </c>
      <c r="D328" s="2" t="str">
        <f>"BECHER CARGA"</f>
        <v>BECHER CARGA</v>
      </c>
      <c r="E328" s="2" t="str">
        <f t="shared" si="5"/>
        <v>Rodoviário</v>
      </c>
    </row>
    <row r="329" spans="1:5" x14ac:dyDescent="0.3">
      <c r="A329" s="1">
        <v>328</v>
      </c>
      <c r="B329" s="2" t="str">
        <f>"M. ROCKENBACH E CIA LTDA - ME"</f>
        <v>M. ROCKENBACH E CIA LTDA - ME</v>
      </c>
      <c r="C329" s="2" t="str">
        <f>"07.223.474/0001-41"</f>
        <v>07.223.474/0001-41</v>
      </c>
      <c r="D329" s="2" t="str">
        <f>"M. ROCKENBAC"</f>
        <v>M. ROCKENBAC</v>
      </c>
      <c r="E329" s="2" t="str">
        <f t="shared" si="5"/>
        <v>Rodoviário</v>
      </c>
    </row>
    <row r="330" spans="1:5" x14ac:dyDescent="0.3">
      <c r="A330" s="1">
        <v>329</v>
      </c>
      <c r="B330" s="2" t="str">
        <f>"RODRIGO BRASIL TRANS DE CARGAS LTDA."</f>
        <v>RODRIGO BRASIL TRANS DE CARGAS LTDA.</v>
      </c>
      <c r="C330" s="2" t="str">
        <f>"12.948.313/0001-55"</f>
        <v>12.948.313/0001-55</v>
      </c>
      <c r="D330" s="2" t="str">
        <f>"RODRIGO TRAN"</f>
        <v>RODRIGO TRAN</v>
      </c>
      <c r="E330" s="2" t="str">
        <f t="shared" si="5"/>
        <v>Rodoviário</v>
      </c>
    </row>
    <row r="331" spans="1:5" x14ac:dyDescent="0.3">
      <c r="A331" s="1">
        <v>330</v>
      </c>
      <c r="B331" s="2" t="str">
        <f>"JES LOGISTICA SRL"</f>
        <v>JES LOGISTICA SRL</v>
      </c>
      <c r="C331" s="2" t="str">
        <f>"307988317-4"</f>
        <v>307988317-4</v>
      </c>
      <c r="D331" s="2" t="str">
        <f>"JES LOGISTIC"</f>
        <v>JES LOGISTIC</v>
      </c>
      <c r="E331" s="2" t="str">
        <f t="shared" si="5"/>
        <v>Rodoviário</v>
      </c>
    </row>
    <row r="332" spans="1:5" x14ac:dyDescent="0.3">
      <c r="A332" s="1">
        <v>331</v>
      </c>
      <c r="B332" s="2" t="str">
        <f>"GALINARI TRANSPORTES LTDA ME"</f>
        <v>GALINARI TRANSPORTES LTDA ME</v>
      </c>
      <c r="C332" s="2" t="str">
        <f>"05.746.628/0001-54"</f>
        <v>05.746.628/0001-54</v>
      </c>
      <c r="D332" s="2" t="str">
        <f>"GALINARI"</f>
        <v>GALINARI</v>
      </c>
      <c r="E332" s="2" t="str">
        <f t="shared" si="5"/>
        <v>Rodoviário</v>
      </c>
    </row>
    <row r="333" spans="1:5" x14ac:dyDescent="0.3">
      <c r="A333" s="1">
        <v>332</v>
      </c>
      <c r="B333" s="2" t="str">
        <f>"FERA SERVIÇOS DE TRANSPORTES LTDA ME"</f>
        <v>FERA SERVIÇOS DE TRANSPORTES LTDA ME</v>
      </c>
      <c r="C333" s="2" t="str">
        <f>"11.647.523/0001-40"</f>
        <v>11.647.523/0001-40</v>
      </c>
      <c r="D333" s="2" t="str">
        <f>"FERA TRANSP"</f>
        <v>FERA TRANSP</v>
      </c>
      <c r="E333" s="2" t="str">
        <f t="shared" si="5"/>
        <v>Rodoviário</v>
      </c>
    </row>
    <row r="334" spans="1:5" x14ac:dyDescent="0.3">
      <c r="A334" s="1">
        <v>333</v>
      </c>
      <c r="B334" s="2" t="str">
        <f>"DMV TRANPORTES LTDA"</f>
        <v>DMV TRANPORTES LTDA</v>
      </c>
      <c r="C334" s="2" t="str">
        <f>"19.303.926/0001-84"</f>
        <v>19.303.926/0001-84</v>
      </c>
      <c r="D334" s="2" t="str">
        <f>"DMV"</f>
        <v>DMV</v>
      </c>
      <c r="E334" s="2" t="str">
        <f t="shared" si="5"/>
        <v>Rodoviário</v>
      </c>
    </row>
    <row r="335" spans="1:5" x14ac:dyDescent="0.3">
      <c r="A335" s="1">
        <v>334</v>
      </c>
      <c r="B335" s="2" t="str">
        <f>"TRANSRODACE TRANSPORTES RODOVIÁRIOS LTDA"</f>
        <v>TRANSRODACE TRANSPORTES RODOVIÁRIOS LTDA</v>
      </c>
      <c r="C335" s="2" t="str">
        <f>"83.059.899/0001-45"</f>
        <v>83.059.899/0001-45</v>
      </c>
      <c r="D335" s="2" t="str">
        <f>"TRANSRODACE"</f>
        <v>TRANSRODACE</v>
      </c>
      <c r="E335" s="2" t="str">
        <f t="shared" si="5"/>
        <v>Rodoviário</v>
      </c>
    </row>
    <row r="336" spans="1:5" x14ac:dyDescent="0.3">
      <c r="A336" s="1">
        <v>335</v>
      </c>
      <c r="B336" s="2" t="str">
        <f>"ID Cargo Brasil Ltda"</f>
        <v>ID Cargo Brasil Ltda</v>
      </c>
      <c r="C336" s="2" t="str">
        <f>"20.306.967/0001-03"</f>
        <v>20.306.967/0001-03</v>
      </c>
      <c r="D336" s="2" t="str">
        <f>"ID CARGO"</f>
        <v>ID CARGO</v>
      </c>
      <c r="E336" s="2" t="str">
        <f t="shared" ref="E336:E399" si="6">"Rodoviário"</f>
        <v>Rodoviário</v>
      </c>
    </row>
    <row r="337" spans="1:5" x14ac:dyDescent="0.3">
      <c r="A337" s="1">
        <v>336</v>
      </c>
      <c r="B337" s="2" t="str">
        <f>"MOGITRANS LOGISTICA TRANSPORTES LTDA"</f>
        <v>MOGITRANS LOGISTICA TRANSPORTES LTDA</v>
      </c>
      <c r="C337" s="2" t="str">
        <f>"07.130.807/0001-98"</f>
        <v>07.130.807/0001-98</v>
      </c>
      <c r="D337" s="2" t="str">
        <f>"MOGITRANS"</f>
        <v>MOGITRANS</v>
      </c>
      <c r="E337" s="2" t="str">
        <f t="shared" si="6"/>
        <v>Rodoviário</v>
      </c>
    </row>
    <row r="338" spans="1:5" x14ac:dyDescent="0.3">
      <c r="A338" s="1">
        <v>337</v>
      </c>
      <c r="B338" s="2" t="str">
        <f>"Whlog Transportes e Logistica Ltda"</f>
        <v>Whlog Transportes e Logistica Ltda</v>
      </c>
      <c r="C338" s="2" t="str">
        <f>"11.972.381/0001-97"</f>
        <v>11.972.381/0001-97</v>
      </c>
      <c r="D338" s="2" t="str">
        <f>"WHLOG"</f>
        <v>WHLOG</v>
      </c>
      <c r="E338" s="2" t="str">
        <f t="shared" si="6"/>
        <v>Rodoviário</v>
      </c>
    </row>
    <row r="339" spans="1:5" x14ac:dyDescent="0.3">
      <c r="A339" s="1">
        <v>338</v>
      </c>
      <c r="B339" s="2" t="str">
        <f>"TRANSEICH ASSESSORIA E TRANSPORTES S/A"</f>
        <v>TRANSEICH ASSESSORIA E TRANSPORTES S/A</v>
      </c>
      <c r="C339" s="2" t="str">
        <f>"88.246.251/0001-00"</f>
        <v>88.246.251/0001-00</v>
      </c>
      <c r="D339" s="2" t="str">
        <f>"TRANSEICH"</f>
        <v>TRANSEICH</v>
      </c>
      <c r="E339" s="2" t="str">
        <f t="shared" si="6"/>
        <v>Rodoviário</v>
      </c>
    </row>
    <row r="340" spans="1:5" x14ac:dyDescent="0.3">
      <c r="A340" s="1">
        <v>339</v>
      </c>
      <c r="B340" s="2" t="str">
        <f>"PRECISA TRANSPORTE LOGISTICA"</f>
        <v>PRECISA TRANSPORTE LOGISTICA</v>
      </c>
      <c r="C340" s="2" t="str">
        <f>"07.894.625/0001-93"</f>
        <v>07.894.625/0001-93</v>
      </c>
      <c r="D340" s="2" t="str">
        <f>"PRECISA"</f>
        <v>PRECISA</v>
      </c>
      <c r="E340" s="2" t="str">
        <f t="shared" si="6"/>
        <v>Rodoviário</v>
      </c>
    </row>
    <row r="341" spans="1:5" x14ac:dyDescent="0.3">
      <c r="A341" s="1">
        <v>340</v>
      </c>
      <c r="B341" s="2" t="str">
        <f>"ROCKENBACH E CIA LTDA - ME"</f>
        <v>ROCKENBACH E CIA LTDA - ME</v>
      </c>
      <c r="C341" s="2" t="str">
        <f>"82.527.797/0001-44"</f>
        <v>82.527.797/0001-44</v>
      </c>
      <c r="D341" s="2" t="str">
        <f>"ROCKENBACH"</f>
        <v>ROCKENBACH</v>
      </c>
      <c r="E341" s="2" t="str">
        <f t="shared" si="6"/>
        <v>Rodoviário</v>
      </c>
    </row>
    <row r="342" spans="1:5" x14ac:dyDescent="0.3">
      <c r="A342" s="1">
        <v>341</v>
      </c>
      <c r="B342" s="2" t="str">
        <f>"TRANSPORTYADORA TRANSFALLS"</f>
        <v>TRANSPORTYADORA TRANSFALLS</v>
      </c>
      <c r="C342" s="2" t="str">
        <f>"03.266.537/0001-96"</f>
        <v>03.266.537/0001-96</v>
      </c>
      <c r="D342" s="2" t="str">
        <f>"TRANSFALLS"</f>
        <v>TRANSFALLS</v>
      </c>
      <c r="E342" s="2" t="str">
        <f t="shared" si="6"/>
        <v>Rodoviário</v>
      </c>
    </row>
    <row r="343" spans="1:5" x14ac:dyDescent="0.3">
      <c r="A343" s="1">
        <v>342</v>
      </c>
      <c r="B343" s="2" t="str">
        <f>"Brasilfênix Transportes De Carga Ltda"</f>
        <v>Brasilfênix Transportes De Carga Ltda</v>
      </c>
      <c r="C343" s="2" t="str">
        <f>"10.158.728/0001-08"</f>
        <v>10.158.728/0001-08</v>
      </c>
      <c r="D343" s="2" t="str">
        <f>"FENIX"</f>
        <v>FENIX</v>
      </c>
      <c r="E343" s="2" t="str">
        <f t="shared" si="6"/>
        <v>Rodoviário</v>
      </c>
    </row>
    <row r="344" spans="1:5" x14ac:dyDescent="0.3">
      <c r="A344" s="1">
        <v>343</v>
      </c>
      <c r="B344" s="2" t="str">
        <f>"TRANSPORTES LDR LTDA."</f>
        <v>TRANSPORTES LDR LTDA.</v>
      </c>
      <c r="C344" s="2" t="str">
        <f>"03.005.274/0001-61"</f>
        <v>03.005.274/0001-61</v>
      </c>
      <c r="D344" s="2" t="str">
        <f>"LDR TRANSP"</f>
        <v>LDR TRANSP</v>
      </c>
      <c r="E344" s="2" t="str">
        <f t="shared" si="6"/>
        <v>Rodoviário</v>
      </c>
    </row>
    <row r="345" spans="1:5" x14ac:dyDescent="0.3">
      <c r="A345" s="1">
        <v>344</v>
      </c>
      <c r="B345" s="2" t="str">
        <f>"REMILSON PADILHA - ME"</f>
        <v>REMILSON PADILHA - ME</v>
      </c>
      <c r="C345" s="2" t="str">
        <f>"18.952.981/0001-32"</f>
        <v>18.952.981/0001-32</v>
      </c>
      <c r="D345" s="2" t="str">
        <f>"RE PADILHA"</f>
        <v>RE PADILHA</v>
      </c>
      <c r="E345" s="2" t="str">
        <f t="shared" si="6"/>
        <v>Rodoviário</v>
      </c>
    </row>
    <row r="346" spans="1:5" x14ac:dyDescent="0.3">
      <c r="A346" s="1">
        <v>345</v>
      </c>
      <c r="B346" s="2" t="str">
        <f>"BERNECK S.A. PAINEIS E SERRADOS"</f>
        <v>BERNECK S.A. PAINEIS E SERRADOS</v>
      </c>
      <c r="C346" s="2" t="str">
        <f>"81.905.176/0014-09"</f>
        <v>81.905.176/0014-09</v>
      </c>
      <c r="D346" s="2" t="str">
        <f>"BERNECK CURI"</f>
        <v>BERNECK CURI</v>
      </c>
      <c r="E346" s="2" t="str">
        <f t="shared" si="6"/>
        <v>Rodoviário</v>
      </c>
    </row>
    <row r="347" spans="1:5" x14ac:dyDescent="0.3">
      <c r="A347" s="1">
        <v>346</v>
      </c>
      <c r="B347" s="2" t="str">
        <f>"COOP TRANSP CARGAS URUGUAIANA LTDA"</f>
        <v>COOP TRANSP CARGAS URUGUAIANA LTDA</v>
      </c>
      <c r="C347" s="2" t="str">
        <f>"03.640.015/0001-02"</f>
        <v>03.640.015/0001-02</v>
      </c>
      <c r="D347" s="2" t="str">
        <f>"COOTRANSCAU"</f>
        <v>COOTRANSCAU</v>
      </c>
      <c r="E347" s="2" t="str">
        <f t="shared" si="6"/>
        <v>Rodoviário</v>
      </c>
    </row>
    <row r="348" spans="1:5" x14ac:dyDescent="0.3">
      <c r="A348" s="1">
        <v>347</v>
      </c>
      <c r="B348" s="2" t="str">
        <f>"TRANSPORTES STALL LTDA"</f>
        <v>TRANSPORTES STALL LTDA</v>
      </c>
      <c r="C348" s="2" t="str">
        <f>"85.476.042/0001-56"</f>
        <v>85.476.042/0001-56</v>
      </c>
      <c r="D348" s="2" t="str">
        <f>"STALL"</f>
        <v>STALL</v>
      </c>
      <c r="E348" s="2" t="str">
        <f t="shared" si="6"/>
        <v>Rodoviário</v>
      </c>
    </row>
    <row r="349" spans="1:5" x14ac:dyDescent="0.3">
      <c r="A349" s="1">
        <v>348</v>
      </c>
      <c r="B349" s="2" t="str">
        <f>"MAXITRANS TRANSP LOG INTERNACIONAL LTDA"</f>
        <v>MAXITRANS TRANSP LOG INTERNACIONAL LTDA</v>
      </c>
      <c r="C349" s="2" t="str">
        <f>"05.487.500/0001-13"</f>
        <v>05.487.500/0001-13</v>
      </c>
      <c r="D349" s="2" t="str">
        <f>"MAXITRANS"</f>
        <v>MAXITRANS</v>
      </c>
      <c r="E349" s="2" t="str">
        <f t="shared" si="6"/>
        <v>Rodoviário</v>
      </c>
    </row>
    <row r="350" spans="1:5" x14ac:dyDescent="0.3">
      <c r="A350" s="1">
        <v>349</v>
      </c>
      <c r="B350" s="2" t="str">
        <f>"JOLIVAN LTDA"</f>
        <v>JOLIVAN LTDA</v>
      </c>
      <c r="C350" s="2" t="str">
        <f>"32.438.772/0002-87"</f>
        <v>32.438.772/0002-87</v>
      </c>
      <c r="D350" s="2" t="str">
        <f>"JOLIVAN"</f>
        <v>JOLIVAN</v>
      </c>
      <c r="E350" s="2" t="str">
        <f t="shared" si="6"/>
        <v>Rodoviário</v>
      </c>
    </row>
    <row r="351" spans="1:5" x14ac:dyDescent="0.3">
      <c r="A351" s="1">
        <v>350</v>
      </c>
      <c r="B351" s="2" t="str">
        <f>"GUSSO E HAJAKI TRANSPORTES LTDA"</f>
        <v>GUSSO E HAJAKI TRANSPORTES LTDA</v>
      </c>
      <c r="C351" s="2" t="str">
        <f>"15.511.297/0001-27"</f>
        <v>15.511.297/0001-27</v>
      </c>
      <c r="D351" s="2" t="str">
        <f>"GUSSO E HAJA"</f>
        <v>GUSSO E HAJA</v>
      </c>
      <c r="E351" s="2" t="str">
        <f t="shared" si="6"/>
        <v>Rodoviário</v>
      </c>
    </row>
    <row r="352" spans="1:5" x14ac:dyDescent="0.3">
      <c r="A352" s="1">
        <v>351</v>
      </c>
      <c r="B352" s="2" t="str">
        <f>"EXPRESSO HERCULES TRANSP E COM LTDA"</f>
        <v>EXPRESSO HERCULES TRANSP E COM LTDA</v>
      </c>
      <c r="C352" s="2" t="str">
        <f>"93.561.215/0001-62"</f>
        <v>93.561.215/0001-62</v>
      </c>
      <c r="D352" s="2" t="str">
        <f>"HERCULES"</f>
        <v>HERCULES</v>
      </c>
      <c r="E352" s="2" t="str">
        <f t="shared" si="6"/>
        <v>Rodoviário</v>
      </c>
    </row>
    <row r="353" spans="1:5" x14ac:dyDescent="0.3">
      <c r="A353" s="1">
        <v>352</v>
      </c>
      <c r="B353" s="2" t="str">
        <f>"DE LIMA SOLUÇÕES EM TRANSPORTE LTDA."</f>
        <v>DE LIMA SOLUÇÕES EM TRANSPORTE LTDA.</v>
      </c>
      <c r="C353" s="2" t="str">
        <f>"10.814.694/0001-54"</f>
        <v>10.814.694/0001-54</v>
      </c>
      <c r="D353" s="2" t="str">
        <f>"DE LIMA"</f>
        <v>DE LIMA</v>
      </c>
      <c r="E353" s="2" t="str">
        <f t="shared" si="6"/>
        <v>Rodoviário</v>
      </c>
    </row>
    <row r="354" spans="1:5" x14ac:dyDescent="0.3">
      <c r="A354" s="1">
        <v>353</v>
      </c>
      <c r="B354" s="2" t="str">
        <f>"GTI - LOG S/A"</f>
        <v>GTI - LOG S/A</v>
      </c>
      <c r="C354" s="2" t="str">
        <f>"09.721.487/0001-76"</f>
        <v>09.721.487/0001-76</v>
      </c>
      <c r="D354" s="2" t="str">
        <f>"GTI"</f>
        <v>GTI</v>
      </c>
      <c r="E354" s="2" t="str">
        <f t="shared" si="6"/>
        <v>Rodoviário</v>
      </c>
    </row>
    <row r="355" spans="1:5" x14ac:dyDescent="0.3">
      <c r="A355" s="1">
        <v>354</v>
      </c>
      <c r="B355" s="2" t="str">
        <f>"GMELLO TRANSPORTES E LOGISTICA ME"</f>
        <v>GMELLO TRANSPORTES E LOGISTICA ME</v>
      </c>
      <c r="C355" s="2" t="str">
        <f>"22.277.656/0001-99"</f>
        <v>22.277.656/0001-99</v>
      </c>
      <c r="D355" s="2" t="str">
        <f>"GMELLO LOGIS"</f>
        <v>GMELLO LOGIS</v>
      </c>
      <c r="E355" s="2" t="str">
        <f t="shared" si="6"/>
        <v>Rodoviário</v>
      </c>
    </row>
    <row r="356" spans="1:5" x14ac:dyDescent="0.3">
      <c r="A356" s="1">
        <v>355</v>
      </c>
      <c r="B356" s="2" t="str">
        <f>"MOLO DECONSTANZI LOGISTICA SRL CUIT"</f>
        <v>MOLO DECONSTANZI LOGISTICA SRL CUIT</v>
      </c>
      <c r="C356" s="2" t="str">
        <f>""</f>
        <v/>
      </c>
      <c r="D356" s="2" t="str">
        <f>"MD LOGÍSTICA"</f>
        <v>MD LOGÍSTICA</v>
      </c>
      <c r="E356" s="2" t="str">
        <f t="shared" si="6"/>
        <v>Rodoviário</v>
      </c>
    </row>
    <row r="357" spans="1:5" x14ac:dyDescent="0.3">
      <c r="A357" s="1">
        <v>356</v>
      </c>
      <c r="B357" s="2" t="str">
        <f>"PRA TRANSPORTE RODOVIARIO LTDA"</f>
        <v>PRA TRANSPORTE RODOVIARIO LTDA</v>
      </c>
      <c r="C357" s="2" t="str">
        <f>"04.276.269/0001-56"</f>
        <v>04.276.269/0001-56</v>
      </c>
      <c r="D357" s="2" t="str">
        <f>"PRA TRANSP"</f>
        <v>PRA TRANSP</v>
      </c>
      <c r="E357" s="2" t="str">
        <f t="shared" si="6"/>
        <v>Rodoviário</v>
      </c>
    </row>
    <row r="358" spans="1:5" x14ac:dyDescent="0.3">
      <c r="A358" s="1">
        <v>357</v>
      </c>
      <c r="B358" s="2" t="str">
        <f>"SULAMERICANA TRANSPORTES LTDA"</f>
        <v>SULAMERICANA TRANSPORTES LTDA</v>
      </c>
      <c r="C358" s="2" t="str">
        <f>"76.098.060/0001-50"</f>
        <v>76.098.060/0001-50</v>
      </c>
      <c r="D358" s="2" t="str">
        <f>"SULAMERICANA"</f>
        <v>SULAMERICANA</v>
      </c>
      <c r="E358" s="2" t="str">
        <f t="shared" si="6"/>
        <v>Rodoviário</v>
      </c>
    </row>
    <row r="359" spans="1:5" x14ac:dyDescent="0.3">
      <c r="A359" s="1">
        <v>358</v>
      </c>
      <c r="B359" s="2" t="str">
        <f>"MOVIPORTO LOGISTICA E TRANSPORTES"</f>
        <v>MOVIPORTO LOGISTICA E TRANSPORTES</v>
      </c>
      <c r="C359" s="2" t="str">
        <f>"10.924.428/0001-84"</f>
        <v>10.924.428/0001-84</v>
      </c>
      <c r="D359" s="2" t="str">
        <f>"MOVIPORTO 1"</f>
        <v>MOVIPORTO 1</v>
      </c>
      <c r="E359" s="2" t="str">
        <f t="shared" si="6"/>
        <v>Rodoviário</v>
      </c>
    </row>
    <row r="360" spans="1:5" x14ac:dyDescent="0.3">
      <c r="A360" s="1">
        <v>359</v>
      </c>
      <c r="B360" s="2" t="str">
        <f>"JGN TRANSPORTES LTDA"</f>
        <v>JGN TRANSPORTES LTDA</v>
      </c>
      <c r="C360" s="2" t="str">
        <f>"12.958.268/0001-10"</f>
        <v>12.958.268/0001-10</v>
      </c>
      <c r="D360" s="2" t="str">
        <f>"JGN"</f>
        <v>JGN</v>
      </c>
      <c r="E360" s="2" t="str">
        <f t="shared" si="6"/>
        <v>Rodoviário</v>
      </c>
    </row>
    <row r="361" spans="1:5" x14ac:dyDescent="0.3">
      <c r="A361" s="1">
        <v>360</v>
      </c>
      <c r="B361" s="2" t="str">
        <f>"ROMILDE DE MATOS EITELI - ME"</f>
        <v>ROMILDE DE MATOS EITELI - ME</v>
      </c>
      <c r="C361" s="2" t="str">
        <f>"17.674.165/0001-41"</f>
        <v>17.674.165/0001-41</v>
      </c>
      <c r="D361" s="2" t="str">
        <f>"ROMILDE"</f>
        <v>ROMILDE</v>
      </c>
      <c r="E361" s="2" t="str">
        <f t="shared" si="6"/>
        <v>Rodoviário</v>
      </c>
    </row>
    <row r="362" spans="1:5" x14ac:dyDescent="0.3">
      <c r="A362" s="1">
        <v>361</v>
      </c>
      <c r="B362" s="2" t="str">
        <f>"SPACE TRANSPORTES LTDA"</f>
        <v>SPACE TRANSPORTES LTDA</v>
      </c>
      <c r="C362" s="2" t="str">
        <f>"20.982.239/0001-11"</f>
        <v>20.982.239/0001-11</v>
      </c>
      <c r="D362" s="2" t="str">
        <f>"SPACE"</f>
        <v>SPACE</v>
      </c>
      <c r="E362" s="2" t="str">
        <f t="shared" si="6"/>
        <v>Rodoviário</v>
      </c>
    </row>
    <row r="363" spans="1:5" x14ac:dyDescent="0.3">
      <c r="A363" s="1">
        <v>362</v>
      </c>
      <c r="B363" s="2" t="str">
        <f>"TROPICAL LOCADORA DE GUINDASTE LTDA"</f>
        <v>TROPICAL LOCADORA DE GUINDASTE LTDA</v>
      </c>
      <c r="C363" s="2" t="str">
        <f>"06.985.811/0001-75"</f>
        <v>06.985.811/0001-75</v>
      </c>
      <c r="D363" s="2" t="str">
        <f>"TROPICAL"</f>
        <v>TROPICAL</v>
      </c>
      <c r="E363" s="2" t="str">
        <f t="shared" si="6"/>
        <v>Rodoviário</v>
      </c>
    </row>
    <row r="364" spans="1:5" x14ac:dyDescent="0.3">
      <c r="A364" s="1">
        <v>363</v>
      </c>
      <c r="B364" s="2" t="str">
        <f>"TRANSPORTES TONIATO LTDA"</f>
        <v>TRANSPORTES TONIATO LTDA</v>
      </c>
      <c r="C364" s="2" t="str">
        <f>"29.291.184/0032-74"</f>
        <v>29.291.184/0032-74</v>
      </c>
      <c r="D364" s="2" t="str">
        <f>"TONIATO"</f>
        <v>TONIATO</v>
      </c>
      <c r="E364" s="2" t="str">
        <f t="shared" si="6"/>
        <v>Rodoviário</v>
      </c>
    </row>
    <row r="365" spans="1:5" x14ac:dyDescent="0.3">
      <c r="A365" s="1">
        <v>364</v>
      </c>
      <c r="B365" s="2" t="str">
        <f>"F. FERREIRA TRANSPORTES E LOGISTICA"</f>
        <v>F. FERREIRA TRANSPORTES E LOGISTICA</v>
      </c>
      <c r="C365" s="2" t="str">
        <f>"19.161.287/0001-60"</f>
        <v>19.161.287/0001-60</v>
      </c>
      <c r="D365" s="2" t="str">
        <f>"FATRANS"</f>
        <v>FATRANS</v>
      </c>
      <c r="E365" s="2" t="str">
        <f t="shared" si="6"/>
        <v>Rodoviário</v>
      </c>
    </row>
    <row r="366" spans="1:5" x14ac:dyDescent="0.3">
      <c r="A366" s="1">
        <v>365</v>
      </c>
      <c r="B366" s="2" t="str">
        <f>"COMERCIO E TRANSPORTES NENINHO LTDA."</f>
        <v>COMERCIO E TRANSPORTES NENINHO LTDA.</v>
      </c>
      <c r="C366" s="2" t="str">
        <f>"77.886.398/0001-30"</f>
        <v>77.886.398/0001-30</v>
      </c>
      <c r="D366" s="2" t="str">
        <f>"CTN TRANSPOR"</f>
        <v>CTN TRANSPOR</v>
      </c>
      <c r="E366" s="2" t="str">
        <f t="shared" si="6"/>
        <v>Rodoviário</v>
      </c>
    </row>
    <row r="367" spans="1:5" x14ac:dyDescent="0.3">
      <c r="A367" s="1">
        <v>366</v>
      </c>
      <c r="B367" s="2" t="str">
        <f>"KUNZ &amp; KUNZ LTDA"</f>
        <v>KUNZ &amp; KUNZ LTDA</v>
      </c>
      <c r="C367" s="2" t="str">
        <f>"18.236.590/0001-11"</f>
        <v>18.236.590/0001-11</v>
      </c>
      <c r="D367" s="2" t="str">
        <f>"KUNZ &amp; KUNZ"</f>
        <v>KUNZ &amp; KUNZ</v>
      </c>
      <c r="E367" s="2" t="str">
        <f t="shared" si="6"/>
        <v>Rodoviário</v>
      </c>
    </row>
    <row r="368" spans="1:5" x14ac:dyDescent="0.3">
      <c r="A368" s="1">
        <v>367</v>
      </c>
      <c r="B368" s="2" t="str">
        <f>"TRANSSIMÃO TRANSPORTES LTDA."</f>
        <v>TRANSSIMÃO TRANSPORTES LTDA.</v>
      </c>
      <c r="C368" s="2" t="str">
        <f>"85.057.412/0005-44"</f>
        <v>85.057.412/0005-44</v>
      </c>
      <c r="D368" s="2" t="str">
        <f>"TRANSSIMÃO"</f>
        <v>TRANSSIMÃO</v>
      </c>
      <c r="E368" s="2" t="str">
        <f t="shared" si="6"/>
        <v>Rodoviário</v>
      </c>
    </row>
    <row r="369" spans="1:5" x14ac:dyDescent="0.3">
      <c r="A369" s="1">
        <v>368</v>
      </c>
      <c r="B369" s="2" t="str">
        <f>"ERS TRANSPORTES"</f>
        <v>ERS TRANSPORTES</v>
      </c>
      <c r="C369" s="2" t="str">
        <f>"05.813.343/0001-99"</f>
        <v>05.813.343/0001-99</v>
      </c>
      <c r="D369" s="2" t="str">
        <f>"ERS"</f>
        <v>ERS</v>
      </c>
      <c r="E369" s="2" t="str">
        <f t="shared" si="6"/>
        <v>Rodoviário</v>
      </c>
    </row>
    <row r="370" spans="1:5" x14ac:dyDescent="0.3">
      <c r="A370" s="1">
        <v>369</v>
      </c>
      <c r="B370" s="2" t="str">
        <f>"TRANSP CALIFORNIA DE OSVALDO CRUZ LTDA"</f>
        <v>TRANSP CALIFORNIA DE OSVALDO CRUZ LTDA</v>
      </c>
      <c r="C370" s="2" t="str">
        <f>"17.093.240/0001-80"</f>
        <v>17.093.240/0001-80</v>
      </c>
      <c r="D370" s="2" t="str">
        <f>"CALIFORNIA T"</f>
        <v>CALIFORNIA T</v>
      </c>
      <c r="E370" s="2" t="str">
        <f t="shared" si="6"/>
        <v>Rodoviário</v>
      </c>
    </row>
    <row r="371" spans="1:5" x14ac:dyDescent="0.3">
      <c r="A371" s="1">
        <v>370</v>
      </c>
      <c r="B371" s="2" t="str">
        <f>"TRANSMARCON TRANSPORTES LTDA."</f>
        <v>TRANSMARCON TRANSPORTES LTDA.</v>
      </c>
      <c r="C371" s="2" t="str">
        <f>"78.637.063/0004-93"</f>
        <v>78.637.063/0004-93</v>
      </c>
      <c r="D371" s="2" t="str">
        <f>"TRANSMARCON"</f>
        <v>TRANSMARCON</v>
      </c>
      <c r="E371" s="2" t="str">
        <f t="shared" si="6"/>
        <v>Rodoviário</v>
      </c>
    </row>
    <row r="372" spans="1:5" x14ac:dyDescent="0.3">
      <c r="A372" s="1">
        <v>371</v>
      </c>
      <c r="B372" s="2" t="str">
        <f>"TL TRIGOS TRANSPORTES LTDA."</f>
        <v>TL TRIGOS TRANSPORTES LTDA.</v>
      </c>
      <c r="C372" s="2" t="str">
        <f>"10.731.315/0001-62"</f>
        <v>10.731.315/0001-62</v>
      </c>
      <c r="D372" s="2" t="str">
        <f>"TL TRIGOS"</f>
        <v>TL TRIGOS</v>
      </c>
      <c r="E372" s="2" t="str">
        <f t="shared" si="6"/>
        <v>Rodoviário</v>
      </c>
    </row>
    <row r="373" spans="1:5" x14ac:dyDescent="0.3">
      <c r="A373" s="1">
        <v>372</v>
      </c>
      <c r="B373" s="2" t="str">
        <f>"FENIX TRANSPOTE DE CARGAS LTDA."</f>
        <v>FENIX TRANSPOTE DE CARGAS LTDA.</v>
      </c>
      <c r="C373" s="2" t="str">
        <f>"06.039.758/0003-81"</f>
        <v>06.039.758/0003-81</v>
      </c>
      <c r="D373" s="2" t="str">
        <f>"TRANS FENIX1"</f>
        <v>TRANS FENIX1</v>
      </c>
      <c r="E373" s="2" t="str">
        <f t="shared" si="6"/>
        <v>Rodoviário</v>
      </c>
    </row>
    <row r="374" spans="1:5" x14ac:dyDescent="0.3">
      <c r="A374" s="1">
        <v>373</v>
      </c>
      <c r="B374" s="2" t="str">
        <f>"FENIX TRANSPORTE DE CARGAS LTDA."</f>
        <v>FENIX TRANSPORTE DE CARGAS LTDA.</v>
      </c>
      <c r="C374" s="2" t="str">
        <f>"06.039.758/0001-10"</f>
        <v>06.039.758/0001-10</v>
      </c>
      <c r="D374" s="2" t="str">
        <f>"TRANS FENIX2"</f>
        <v>TRANS FENIX2</v>
      </c>
      <c r="E374" s="2" t="str">
        <f t="shared" si="6"/>
        <v>Rodoviário</v>
      </c>
    </row>
    <row r="375" spans="1:5" x14ac:dyDescent="0.3">
      <c r="A375" s="1">
        <v>374</v>
      </c>
      <c r="B375" s="2" t="str">
        <f>"FENIX TRANSPORTE DE CARGAS LTDA."</f>
        <v>FENIX TRANSPORTE DE CARGAS LTDA.</v>
      </c>
      <c r="C375" s="2" t="str">
        <f>"06.039.758/0002-09"</f>
        <v>06.039.758/0002-09</v>
      </c>
      <c r="D375" s="2" t="str">
        <f>"TRANS FENIX3"</f>
        <v>TRANS FENIX3</v>
      </c>
      <c r="E375" s="2" t="str">
        <f t="shared" si="6"/>
        <v>Rodoviário</v>
      </c>
    </row>
    <row r="376" spans="1:5" x14ac:dyDescent="0.3">
      <c r="A376" s="1">
        <v>375</v>
      </c>
      <c r="B376" s="2" t="str">
        <f>"CAED LOGÍSTICA E TRANSPORTES LTDA."</f>
        <v>CAED LOGÍSTICA E TRANSPORTES LTDA.</v>
      </c>
      <c r="C376" s="2" t="str">
        <f>"09.487.999/0004-62"</f>
        <v>09.487.999/0004-62</v>
      </c>
      <c r="D376" s="2" t="str">
        <f>"CAED TRANSP"</f>
        <v>CAED TRANSP</v>
      </c>
      <c r="E376" s="2" t="str">
        <f t="shared" si="6"/>
        <v>Rodoviário</v>
      </c>
    </row>
    <row r="377" spans="1:5" x14ac:dyDescent="0.3">
      <c r="A377" s="1">
        <v>376</v>
      </c>
      <c r="B377" s="2" t="str">
        <f>"DPX EXPRESS LOGISTICA LTDA"</f>
        <v>DPX EXPRESS LOGISTICA LTDA</v>
      </c>
      <c r="C377" s="2" t="str">
        <f>"08.067.490/0001-55"</f>
        <v>08.067.490/0001-55</v>
      </c>
      <c r="D377" s="2" t="str">
        <f>"DPX EXPRESS"</f>
        <v>DPX EXPRESS</v>
      </c>
      <c r="E377" s="2" t="str">
        <f t="shared" si="6"/>
        <v>Rodoviário</v>
      </c>
    </row>
    <row r="378" spans="1:5" x14ac:dyDescent="0.3">
      <c r="A378" s="1">
        <v>377</v>
      </c>
      <c r="B378" s="2" t="str">
        <f>"TRANSPORTE RODOVIÁRIO DE CARGAS DINÂMICO"</f>
        <v>TRANSPORTE RODOVIÁRIO DE CARGAS DINÂMICO</v>
      </c>
      <c r="C378" s="2" t="str">
        <f>"59.632.091/0001-20"</f>
        <v>59.632.091/0001-20</v>
      </c>
      <c r="D378" s="2" t="str">
        <f>"DINÂMICO EXP"</f>
        <v>DINÂMICO EXP</v>
      </c>
      <c r="E378" s="2" t="str">
        <f t="shared" si="6"/>
        <v>Rodoviário</v>
      </c>
    </row>
    <row r="379" spans="1:5" x14ac:dyDescent="0.3">
      <c r="A379" s="1">
        <v>378</v>
      </c>
      <c r="B379" s="2" t="str">
        <f>"RCT TRANSPORTES E DISTRIBUIÇÃO LTDA"</f>
        <v>RCT TRANSPORTES E DISTRIBUIÇÃO LTDA</v>
      </c>
      <c r="C379" s="2" t="str">
        <f>"15.707.869/0001-48"</f>
        <v>15.707.869/0001-48</v>
      </c>
      <c r="D379" s="2" t="str">
        <f>"RCT"</f>
        <v>RCT</v>
      </c>
      <c r="E379" s="2" t="str">
        <f t="shared" si="6"/>
        <v>Rodoviário</v>
      </c>
    </row>
    <row r="380" spans="1:5" x14ac:dyDescent="0.3">
      <c r="A380" s="1">
        <v>379</v>
      </c>
      <c r="B380" s="2" t="str">
        <f>"RODONAVES - RTE"</f>
        <v>RODONAVES - RTE</v>
      </c>
      <c r="C380" s="2" t="str">
        <f>"44.914.992/0013-71"</f>
        <v>44.914.992/0013-71</v>
      </c>
      <c r="D380" s="2" t="str">
        <f>"RODONAVES 2"</f>
        <v>RODONAVES 2</v>
      </c>
      <c r="E380" s="2" t="str">
        <f t="shared" si="6"/>
        <v>Rodoviário</v>
      </c>
    </row>
    <row r="381" spans="1:5" x14ac:dyDescent="0.3">
      <c r="A381" s="1">
        <v>380</v>
      </c>
      <c r="B381" s="2" t="str">
        <f>"TRANSPORTES MOTTA EIRELLI ME"</f>
        <v>TRANSPORTES MOTTA EIRELLI ME</v>
      </c>
      <c r="C381" s="2" t="str">
        <f>"25.143.969/0001-42"</f>
        <v>25.143.969/0001-42</v>
      </c>
      <c r="D381" s="2" t="str">
        <f>"MOTTA"</f>
        <v>MOTTA</v>
      </c>
      <c r="E381" s="2" t="str">
        <f t="shared" si="6"/>
        <v>Rodoviário</v>
      </c>
    </row>
    <row r="382" spans="1:5" x14ac:dyDescent="0.3">
      <c r="A382" s="1">
        <v>381</v>
      </c>
      <c r="B382" s="2" t="str">
        <f>"JBLOG TRANSPORTE RODOVIARIO DE CARGAS LT"</f>
        <v>JBLOG TRANSPORTE RODOVIARIO DE CARGAS LT</v>
      </c>
      <c r="C382" s="2" t="str">
        <f>"18.375.720/0001-05"</f>
        <v>18.375.720/0001-05</v>
      </c>
      <c r="D382" s="2" t="str">
        <f>"JBLOG"</f>
        <v>JBLOG</v>
      </c>
      <c r="E382" s="2" t="str">
        <f t="shared" si="6"/>
        <v>Rodoviário</v>
      </c>
    </row>
    <row r="383" spans="1:5" x14ac:dyDescent="0.3">
      <c r="A383" s="1">
        <v>382</v>
      </c>
      <c r="B383" s="2" t="str">
        <f>"GUSTAVO LAGO PERUSSO - ME"</f>
        <v>GUSTAVO LAGO PERUSSO - ME</v>
      </c>
      <c r="C383" s="2" t="str">
        <f>"14.734.196/0001-52"</f>
        <v>14.734.196/0001-52</v>
      </c>
      <c r="D383" s="2" t="str">
        <f>"TRANS PERUSS"</f>
        <v>TRANS PERUSS</v>
      </c>
      <c r="E383" s="2" t="str">
        <f t="shared" si="6"/>
        <v>Rodoviário</v>
      </c>
    </row>
    <row r="384" spans="1:5" x14ac:dyDescent="0.3">
      <c r="A384" s="1">
        <v>383</v>
      </c>
      <c r="B384" s="2" t="str">
        <f>"SAPIENS TRANSPORTES LTDA."</f>
        <v>SAPIENS TRANSPORTES LTDA.</v>
      </c>
      <c r="C384" s="2" t="str">
        <f>"19.758.814/0001-18"</f>
        <v>19.758.814/0001-18</v>
      </c>
      <c r="D384" s="2" t="str">
        <f>"SAPIENS"</f>
        <v>SAPIENS</v>
      </c>
      <c r="E384" s="2" t="str">
        <f t="shared" si="6"/>
        <v>Rodoviário</v>
      </c>
    </row>
    <row r="385" spans="1:5" x14ac:dyDescent="0.3">
      <c r="A385" s="1">
        <v>384</v>
      </c>
      <c r="B385" s="2" t="str">
        <f>"COLIGADOS TRANSPORTES INTERNACIONAL  EIR"</f>
        <v>COLIGADOS TRANSPORTES INTERNACIONAL  EIR</v>
      </c>
      <c r="C385" s="2" t="str">
        <f>"17.399.522/0001-00"</f>
        <v>17.399.522/0001-00</v>
      </c>
      <c r="D385" s="2" t="str">
        <f>"COLIGADOS"</f>
        <v>COLIGADOS</v>
      </c>
      <c r="E385" s="2" t="str">
        <f t="shared" si="6"/>
        <v>Rodoviário</v>
      </c>
    </row>
    <row r="386" spans="1:5" x14ac:dyDescent="0.3">
      <c r="A386" s="1">
        <v>385</v>
      </c>
      <c r="B386" s="2" t="str">
        <f>"ATIVA OPERADOR LOGISTICO LTDA"</f>
        <v>ATIVA OPERADOR LOGISTICO LTDA</v>
      </c>
      <c r="C386" s="2" t="str">
        <f>"09.252.046/0001-72"</f>
        <v>09.252.046/0001-72</v>
      </c>
      <c r="D386" s="2" t="str">
        <f>"ATIVA OPERAD"</f>
        <v>ATIVA OPERAD</v>
      </c>
      <c r="E386" s="2" t="str">
        <f t="shared" si="6"/>
        <v>Rodoviário</v>
      </c>
    </row>
    <row r="387" spans="1:5" x14ac:dyDescent="0.3">
      <c r="A387" s="1">
        <v>386</v>
      </c>
      <c r="B387" s="2" t="str">
        <f>"A&amp;G LOCAÇÕES E TRANSPORTES - EIRELI"</f>
        <v>A&amp;G LOCAÇÕES E TRANSPORTES - EIRELI</v>
      </c>
      <c r="C387" s="2" t="str">
        <f>"20.531.459/0001-29"</f>
        <v>20.531.459/0001-29</v>
      </c>
      <c r="D387" s="2" t="str">
        <f>"AEG LOCAÇÕES"</f>
        <v>AEG LOCAÇÕES</v>
      </c>
      <c r="E387" s="2" t="str">
        <f t="shared" si="6"/>
        <v>Rodoviário</v>
      </c>
    </row>
    <row r="388" spans="1:5" x14ac:dyDescent="0.3">
      <c r="A388" s="1">
        <v>387</v>
      </c>
      <c r="B388" s="2" t="str">
        <f>"LOURENÇO TRANSPORTES E COMERCIO LTDA."</f>
        <v>LOURENÇO TRANSPORTES E COMERCIO LTDA.</v>
      </c>
      <c r="C388" s="2" t="str">
        <f>"45.217.882/0001-80"</f>
        <v>45.217.882/0001-80</v>
      </c>
      <c r="D388" s="2" t="str">
        <f>"LOURENÇO"</f>
        <v>LOURENÇO</v>
      </c>
      <c r="E388" s="2" t="str">
        <f t="shared" si="6"/>
        <v>Rodoviário</v>
      </c>
    </row>
    <row r="389" spans="1:5" x14ac:dyDescent="0.3">
      <c r="A389" s="1">
        <v>388</v>
      </c>
      <c r="B389" s="2" t="str">
        <f>"JRC TRANSPORTES DE CARGAS LTDA ME"</f>
        <v>JRC TRANSPORTES DE CARGAS LTDA ME</v>
      </c>
      <c r="C389" s="2" t="str">
        <f>"03.982.982/0001-52"</f>
        <v>03.982.982/0001-52</v>
      </c>
      <c r="D389" s="2" t="str">
        <f>"JRC TRANSPOR"</f>
        <v>JRC TRANSPOR</v>
      </c>
      <c r="E389" s="2" t="str">
        <f t="shared" si="6"/>
        <v>Rodoviário</v>
      </c>
    </row>
    <row r="390" spans="1:5" x14ac:dyDescent="0.3">
      <c r="A390" s="1">
        <v>389</v>
      </c>
      <c r="B390" s="2" t="str">
        <f>"LOG+SOLUÇÕES LOGÍSTICAS EIRELI - EPP"</f>
        <v>LOG+SOLUÇÕES LOGÍSTICAS EIRELI - EPP</v>
      </c>
      <c r="C390" s="2" t="str">
        <f>"15.271.456/0001-63"</f>
        <v>15.271.456/0001-63</v>
      </c>
      <c r="D390" s="2" t="str">
        <f>"LOG+"</f>
        <v>LOG+</v>
      </c>
      <c r="E390" s="2" t="str">
        <f t="shared" si="6"/>
        <v>Rodoviário</v>
      </c>
    </row>
    <row r="391" spans="1:5" x14ac:dyDescent="0.3">
      <c r="A391" s="1">
        <v>390</v>
      </c>
      <c r="B391" s="2" t="str">
        <f>"GEFCO ARGENTINA S.A"</f>
        <v>GEFCO ARGENTINA S.A</v>
      </c>
      <c r="C391" s="2" t="str">
        <f>""</f>
        <v/>
      </c>
      <c r="D391" s="2" t="str">
        <f>"GEFCO"</f>
        <v>GEFCO</v>
      </c>
      <c r="E391" s="2" t="str">
        <f t="shared" si="6"/>
        <v>Rodoviário</v>
      </c>
    </row>
    <row r="392" spans="1:5" x14ac:dyDescent="0.3">
      <c r="A392" s="1">
        <v>391</v>
      </c>
      <c r="B392" s="2" t="str">
        <f>"SANTA CLARA TRANSPORTES EIRELI"</f>
        <v>SANTA CLARA TRANSPORTES EIRELI</v>
      </c>
      <c r="C392" s="2" t="str">
        <f>"01.372.537/0001-45"</f>
        <v>01.372.537/0001-45</v>
      </c>
      <c r="D392" s="2" t="str">
        <f>"SANTA CLARA"</f>
        <v>SANTA CLARA</v>
      </c>
      <c r="E392" s="2" t="str">
        <f t="shared" si="6"/>
        <v>Rodoviário</v>
      </c>
    </row>
    <row r="393" spans="1:5" x14ac:dyDescent="0.3">
      <c r="A393" s="1">
        <v>392</v>
      </c>
      <c r="B393" s="2" t="str">
        <f>"RODONERY TRANSPORTES LTDA - ME"</f>
        <v>RODONERY TRANSPORTES LTDA - ME</v>
      </c>
      <c r="C393" s="2" t="str">
        <f>"11.818.743/0001-90"</f>
        <v>11.818.743/0001-90</v>
      </c>
      <c r="D393" s="2" t="str">
        <f>"RODONERY"</f>
        <v>RODONERY</v>
      </c>
      <c r="E393" s="2" t="str">
        <f t="shared" si="6"/>
        <v>Rodoviário</v>
      </c>
    </row>
    <row r="394" spans="1:5" x14ac:dyDescent="0.3">
      <c r="A394" s="1">
        <v>393</v>
      </c>
      <c r="B394" s="2" t="str">
        <f>"TRANSLIGUE TRANSPORTES E SERVIÇOS LTDA."</f>
        <v>TRANSLIGUE TRANSPORTES E SERVIÇOS LTDA.</v>
      </c>
      <c r="C394" s="2" t="str">
        <f>"03.629.957/0011-61"</f>
        <v>03.629.957/0011-61</v>
      </c>
      <c r="D394" s="2" t="str">
        <f>"TRANSLIGUE"</f>
        <v>TRANSLIGUE</v>
      </c>
      <c r="E394" s="2" t="str">
        <f t="shared" si="6"/>
        <v>Rodoviário</v>
      </c>
    </row>
    <row r="395" spans="1:5" x14ac:dyDescent="0.3">
      <c r="A395" s="1">
        <v>394</v>
      </c>
      <c r="B395" s="2" t="str">
        <f>"TRANSPORTES ARI LTDA"</f>
        <v>TRANSPORTES ARI LTDA</v>
      </c>
      <c r="C395" s="2" t="str">
        <f>"85.155.372/0002-20"</f>
        <v>85.155.372/0002-20</v>
      </c>
      <c r="D395" s="2" t="str">
        <f>"ARI PR"</f>
        <v>ARI PR</v>
      </c>
      <c r="E395" s="2" t="str">
        <f t="shared" si="6"/>
        <v>Rodoviário</v>
      </c>
    </row>
    <row r="396" spans="1:5" x14ac:dyDescent="0.3">
      <c r="A396" s="1">
        <v>395</v>
      </c>
      <c r="B396" s="2" t="str">
        <f>"BONOMILOG TRANSPORTES LTDA."</f>
        <v>BONOMILOG TRANSPORTES LTDA.</v>
      </c>
      <c r="C396" s="2" t="str">
        <f>"94.277.985/0001-40"</f>
        <v>94.277.985/0001-40</v>
      </c>
      <c r="D396" s="2" t="str">
        <f>"BONOMILOG TR"</f>
        <v>BONOMILOG TR</v>
      </c>
      <c r="E396" s="2" t="str">
        <f t="shared" si="6"/>
        <v>Rodoviário</v>
      </c>
    </row>
    <row r="397" spans="1:5" x14ac:dyDescent="0.3">
      <c r="A397" s="1">
        <v>396</v>
      </c>
      <c r="B397" s="2" t="str">
        <f>"TRANSPORTADORA RAPIDO PARANA LTDA"</f>
        <v>TRANSPORTADORA RAPIDO PARANA LTDA</v>
      </c>
      <c r="C397" s="2" t="str">
        <f>"85.487.379/0001-69"</f>
        <v>85.487.379/0001-69</v>
      </c>
      <c r="D397" s="2" t="str">
        <f>"RAPIDO TRANS"</f>
        <v>RAPIDO TRANS</v>
      </c>
      <c r="E397" s="2" t="str">
        <f t="shared" si="6"/>
        <v>Rodoviário</v>
      </c>
    </row>
    <row r="398" spans="1:5" x14ac:dyDescent="0.3">
      <c r="A398" s="1">
        <v>397</v>
      </c>
      <c r="B398" s="2" t="str">
        <f>"DFE CONFIANCA TRANSPORTES LTDA"</f>
        <v>DFE CONFIANCA TRANSPORTES LTDA</v>
      </c>
      <c r="C398" s="2" t="str">
        <f>"17.237.873/0001-15"</f>
        <v>17.237.873/0001-15</v>
      </c>
      <c r="D398" s="2" t="str">
        <f>"DFE"</f>
        <v>DFE</v>
      </c>
      <c r="E398" s="2" t="str">
        <f t="shared" si="6"/>
        <v>Rodoviário</v>
      </c>
    </row>
    <row r="399" spans="1:5" x14ac:dyDescent="0.3">
      <c r="A399" s="1">
        <v>398</v>
      </c>
      <c r="B399" s="2" t="str">
        <f>"FRCLOG TRANSPORTES E ARMAZENAGEM LTDA"</f>
        <v>FRCLOG TRANSPORTES E ARMAZENAGEM LTDA</v>
      </c>
      <c r="C399" s="2" t="str">
        <f>"13.975.785/0001-60"</f>
        <v>13.975.785/0001-60</v>
      </c>
      <c r="D399" s="2" t="str">
        <f>"TRANSFRANCHI"</f>
        <v>TRANSFRANCHI</v>
      </c>
      <c r="E399" s="2" t="str">
        <f t="shared" si="6"/>
        <v>Rodoviário</v>
      </c>
    </row>
    <row r="400" spans="1:5" x14ac:dyDescent="0.3">
      <c r="A400" s="1">
        <v>399</v>
      </c>
      <c r="B400" s="2" t="str">
        <f>"SV TRANSPORTES LTDA ME"</f>
        <v>SV TRANSPORTES LTDA ME</v>
      </c>
      <c r="C400" s="2" t="str">
        <f>"05.663.853/0001-27"</f>
        <v>05.663.853/0001-27</v>
      </c>
      <c r="D400" s="2" t="str">
        <f>"SV TRANSPORT"</f>
        <v>SV TRANSPORT</v>
      </c>
      <c r="E400" s="2" t="str">
        <f t="shared" ref="E400:E463" si="7">"Rodoviário"</f>
        <v>Rodoviário</v>
      </c>
    </row>
    <row r="401" spans="1:5" x14ac:dyDescent="0.3">
      <c r="A401" s="1">
        <v>400</v>
      </c>
      <c r="B401" s="2" t="str">
        <f>"COOPERATIVA DE TRANSPORTE SAO CRISTOVAO"</f>
        <v>COOPERATIVA DE TRANSPORTE SAO CRISTOVAO</v>
      </c>
      <c r="C401" s="2" t="str">
        <f>"19.288.776/0001-87"</f>
        <v>19.288.776/0001-87</v>
      </c>
      <c r="D401" s="2" t="str">
        <f>"COOTRASCRIL"</f>
        <v>COOTRASCRIL</v>
      </c>
      <c r="E401" s="2" t="str">
        <f t="shared" si="7"/>
        <v>Rodoviário</v>
      </c>
    </row>
    <row r="402" spans="1:5" x14ac:dyDescent="0.3">
      <c r="A402" s="1">
        <v>401</v>
      </c>
      <c r="B402" s="2" t="str">
        <f>"TRANSPORTE SOLCEX SRL"</f>
        <v>TRANSPORTE SOLCEX SRL</v>
      </c>
      <c r="C402" s="2" t="str">
        <f>"30-70864256-4"</f>
        <v>30-70864256-4</v>
      </c>
      <c r="D402" s="2" t="str">
        <f>"SOLCEX"</f>
        <v>SOLCEX</v>
      </c>
      <c r="E402" s="2" t="str">
        <f t="shared" si="7"/>
        <v>Rodoviário</v>
      </c>
    </row>
    <row r="403" spans="1:5" x14ac:dyDescent="0.3">
      <c r="A403" s="1">
        <v>402</v>
      </c>
      <c r="B403" s="2" t="str">
        <f>"CAROLINE MIRANDA PIVA - TRANSPORTES"</f>
        <v>CAROLINE MIRANDA PIVA - TRANSPORTES</v>
      </c>
      <c r="C403" s="2" t="str">
        <f>"29.221.752/0001-64"</f>
        <v>29.221.752/0001-64</v>
      </c>
      <c r="D403" s="2" t="str">
        <f>"CMP TRANSPOR"</f>
        <v>CMP TRANSPOR</v>
      </c>
      <c r="E403" s="2" t="str">
        <f t="shared" si="7"/>
        <v>Rodoviário</v>
      </c>
    </row>
    <row r="404" spans="1:5" x14ac:dyDescent="0.3">
      <c r="A404" s="1">
        <v>403</v>
      </c>
      <c r="B404" s="2" t="str">
        <f>"L.F.NOGUEIRA TRANSPORTE RODOVIARIO DE CA"</f>
        <v>L.F.NOGUEIRA TRANSPORTE RODOVIARIO DE CA</v>
      </c>
      <c r="C404" s="2" t="str">
        <f>"24.277.686/0001-20"</f>
        <v>24.277.686/0001-20</v>
      </c>
      <c r="D404" s="2" t="str">
        <f>"L F NOGUEIRA"</f>
        <v>L F NOGUEIRA</v>
      </c>
      <c r="E404" s="2" t="str">
        <f t="shared" si="7"/>
        <v>Rodoviário</v>
      </c>
    </row>
    <row r="405" spans="1:5" x14ac:dyDescent="0.3">
      <c r="A405" s="1">
        <v>404</v>
      </c>
      <c r="B405" s="2" t="str">
        <f>"FUTURO S.R.L."</f>
        <v>FUTURO S.R.L.</v>
      </c>
      <c r="C405" s="2" t="str">
        <f>""</f>
        <v/>
      </c>
      <c r="D405" s="2" t="str">
        <f>"FUTURO"</f>
        <v>FUTURO</v>
      </c>
      <c r="E405" s="2" t="str">
        <f t="shared" si="7"/>
        <v>Rodoviário</v>
      </c>
    </row>
    <row r="406" spans="1:5" x14ac:dyDescent="0.3">
      <c r="A406" s="1">
        <v>405</v>
      </c>
      <c r="B406" s="2" t="str">
        <f>"DEL POZO TRANSPORTES RODOVIÁRIOS LTDA"</f>
        <v>DEL POZO TRANSPORTES RODOVIÁRIOS LTDA</v>
      </c>
      <c r="C406" s="2" t="str">
        <f>"76.642.743/0001-27"</f>
        <v>76.642.743/0001-27</v>
      </c>
      <c r="D406" s="2" t="str">
        <f>"DEL POZO"</f>
        <v>DEL POZO</v>
      </c>
      <c r="E406" s="2" t="str">
        <f t="shared" si="7"/>
        <v>Rodoviário</v>
      </c>
    </row>
    <row r="407" spans="1:5" x14ac:dyDescent="0.3">
      <c r="A407" s="1">
        <v>406</v>
      </c>
      <c r="B407" s="2" t="str">
        <f>"TW TRANSPORTES E LOGÍSTICA LTDA."</f>
        <v>TW TRANSPORTES E LOGÍSTICA LTDA.</v>
      </c>
      <c r="C407" s="2" t="str">
        <f>"89.317.697/0007-28"</f>
        <v>89.317.697/0007-28</v>
      </c>
      <c r="D407" s="2" t="str">
        <f>"TW TRANSPORT"</f>
        <v>TW TRANSPORT</v>
      </c>
      <c r="E407" s="2" t="str">
        <f t="shared" si="7"/>
        <v>Rodoviário</v>
      </c>
    </row>
    <row r="408" spans="1:5" x14ac:dyDescent="0.3">
      <c r="A408" s="1">
        <v>407</v>
      </c>
      <c r="B408" s="2" t="str">
        <f>"T. DE ALMEIDA TRANSPORTES EPP"</f>
        <v>T. DE ALMEIDA TRANSPORTES EPP</v>
      </c>
      <c r="C408" s="2" t="str">
        <f>"28.488.715/0001-54"</f>
        <v>28.488.715/0001-54</v>
      </c>
      <c r="D408" s="2" t="str">
        <f>"RDA TRANSPOR"</f>
        <v>RDA TRANSPOR</v>
      </c>
      <c r="E408" s="2" t="str">
        <f t="shared" si="7"/>
        <v>Rodoviário</v>
      </c>
    </row>
    <row r="409" spans="1:5" x14ac:dyDescent="0.3">
      <c r="A409" s="1">
        <v>408</v>
      </c>
      <c r="B409" s="2" t="str">
        <f>"MILENIUM TRANSP. LTDA"</f>
        <v>MILENIUM TRANSP. LTDA</v>
      </c>
      <c r="C409" s="2" t="str">
        <f>"00.091.369/0004-08"</f>
        <v>00.091.369/0004-08</v>
      </c>
      <c r="D409" s="2" t="str">
        <f>"MILENIUM TRA"</f>
        <v>MILENIUM TRA</v>
      </c>
      <c r="E409" s="2" t="str">
        <f t="shared" si="7"/>
        <v>Rodoviário</v>
      </c>
    </row>
    <row r="410" spans="1:5" x14ac:dyDescent="0.3">
      <c r="A410" s="1">
        <v>409</v>
      </c>
      <c r="B410" s="2" t="str">
        <f>"IJP TRANSPORTES E LOGÍSTICA E ARMAZ LTDA"</f>
        <v>IJP TRANSPORTES E LOGÍSTICA E ARMAZ LTDA</v>
      </c>
      <c r="C410" s="2" t="str">
        <f>"23.466.971/0001-27"</f>
        <v>23.466.971/0001-27</v>
      </c>
      <c r="D410" s="2" t="str">
        <f>"IJP TRANSPOR"</f>
        <v>IJP TRANSPOR</v>
      </c>
      <c r="E410" s="2" t="str">
        <f t="shared" si="7"/>
        <v>Rodoviário</v>
      </c>
    </row>
    <row r="411" spans="1:5" x14ac:dyDescent="0.3">
      <c r="A411" s="1">
        <v>410</v>
      </c>
      <c r="B411" s="2" t="str">
        <f>"SRT TRANSPORTES LTDA."</f>
        <v>SRT TRANSPORTES LTDA.</v>
      </c>
      <c r="C411" s="2" t="str">
        <f>"10.451.575/0001-84"</f>
        <v>10.451.575/0001-84</v>
      </c>
      <c r="D411" s="2" t="str">
        <f>"SRT"</f>
        <v>SRT</v>
      </c>
      <c r="E411" s="2" t="str">
        <f t="shared" si="7"/>
        <v>Rodoviário</v>
      </c>
    </row>
    <row r="412" spans="1:5" x14ac:dyDescent="0.3">
      <c r="A412" s="1">
        <v>411</v>
      </c>
      <c r="B412" s="2" t="str">
        <f>"DELOG SERVIÇOS LOGÍSTICOS LTDA."</f>
        <v>DELOG SERVIÇOS LOGÍSTICOS LTDA.</v>
      </c>
      <c r="C412" s="2" t="str">
        <f>"07.244.032/0001-81"</f>
        <v>07.244.032/0001-81</v>
      </c>
      <c r="D412" s="2" t="str">
        <f>"DELOG"</f>
        <v>DELOG</v>
      </c>
      <c r="E412" s="2" t="str">
        <f t="shared" si="7"/>
        <v>Rodoviário</v>
      </c>
    </row>
    <row r="413" spans="1:5" x14ac:dyDescent="0.3">
      <c r="A413" s="1">
        <v>412</v>
      </c>
      <c r="B413" s="2" t="str">
        <f>"EDSON ADÃO MARTINS - TRANSPORTES"</f>
        <v>EDSON ADÃO MARTINS - TRANSPORTES</v>
      </c>
      <c r="C413" s="2" t="str">
        <f>"32.670.376/0001-08"</f>
        <v>32.670.376/0001-08</v>
      </c>
      <c r="D413" s="2" t="str">
        <f>"EDSON ADÃO"</f>
        <v>EDSON ADÃO</v>
      </c>
      <c r="E413" s="2" t="str">
        <f t="shared" si="7"/>
        <v>Rodoviário</v>
      </c>
    </row>
    <row r="414" spans="1:5" x14ac:dyDescent="0.3">
      <c r="A414" s="1">
        <v>413</v>
      </c>
      <c r="B414" s="2" t="str">
        <f>"MARIO DIVINO DE OLIVEIRA"</f>
        <v>MARIO DIVINO DE OLIVEIRA</v>
      </c>
      <c r="C414" s="2" t="str">
        <f>"447.723.519-49"</f>
        <v>447.723.519-49</v>
      </c>
      <c r="D414" s="2" t="str">
        <f>"MARIO DIVINO"</f>
        <v>MARIO DIVINO</v>
      </c>
      <c r="E414" s="2" t="str">
        <f t="shared" si="7"/>
        <v>Rodoviário</v>
      </c>
    </row>
    <row r="415" spans="1:5" x14ac:dyDescent="0.3">
      <c r="A415" s="1">
        <v>414</v>
      </c>
      <c r="B415" s="2" t="str">
        <f>"GILMAR MACHADO DE MOURA - ME"</f>
        <v>GILMAR MACHADO DE MOURA - ME</v>
      </c>
      <c r="C415" s="2" t="str">
        <f>"31.196.031/0001-93"</f>
        <v>31.196.031/0001-93</v>
      </c>
      <c r="D415" s="2" t="str">
        <f>"UNIDAS"</f>
        <v>UNIDAS</v>
      </c>
      <c r="E415" s="2" t="str">
        <f t="shared" si="7"/>
        <v>Rodoviário</v>
      </c>
    </row>
    <row r="416" spans="1:5" x14ac:dyDescent="0.3">
      <c r="A416" s="1">
        <v>415</v>
      </c>
      <c r="B416" s="2" t="str">
        <f>"THE BEST TRANSPORTES, IMP E EXP LTDA."</f>
        <v>THE BEST TRANSPORTES, IMP E EXP LTDA.</v>
      </c>
      <c r="C416" s="2" t="str">
        <f>"11.761.904/0001-56"</f>
        <v>11.761.904/0001-56</v>
      </c>
      <c r="D416" s="2" t="str">
        <f>"THE BEST"</f>
        <v>THE BEST</v>
      </c>
      <c r="E416" s="2" t="str">
        <f t="shared" si="7"/>
        <v>Rodoviário</v>
      </c>
    </row>
    <row r="417" spans="1:5" x14ac:dyDescent="0.3">
      <c r="A417" s="1">
        <v>416</v>
      </c>
      <c r="B417" s="2" t="str">
        <f>"TRANSWEIDE TRANSPORTES DECARGAS LTDA."</f>
        <v>TRANSWEIDE TRANSPORTES DECARGAS LTDA.</v>
      </c>
      <c r="C417" s="2" t="str">
        <f>"10.782.641/0001-07"</f>
        <v>10.782.641/0001-07</v>
      </c>
      <c r="D417" s="2" t="str">
        <f>"TRANSWEIDE"</f>
        <v>TRANSWEIDE</v>
      </c>
      <c r="E417" s="2" t="str">
        <f t="shared" si="7"/>
        <v>Rodoviário</v>
      </c>
    </row>
    <row r="418" spans="1:5" x14ac:dyDescent="0.3">
      <c r="A418" s="1">
        <v>417</v>
      </c>
      <c r="B418" s="2" t="str">
        <f>"DUPLAVIA CARGAS E TRANSPORTES EIRELI ME"</f>
        <v>DUPLAVIA CARGAS E TRANSPORTES EIRELI ME</v>
      </c>
      <c r="C418" s="2" t="str">
        <f>"32.442.588/0001-20"</f>
        <v>32.442.588/0001-20</v>
      </c>
      <c r="D418" s="2" t="str">
        <f>"DUPLAVIA"</f>
        <v>DUPLAVIA</v>
      </c>
      <c r="E418" s="2" t="str">
        <f t="shared" si="7"/>
        <v>Rodoviário</v>
      </c>
    </row>
    <row r="419" spans="1:5" x14ac:dyDescent="0.3">
      <c r="A419" s="1">
        <v>418</v>
      </c>
      <c r="B419" s="2" t="str">
        <f>"WLS TRANSPORTES LTDA"</f>
        <v>WLS TRANSPORTES LTDA</v>
      </c>
      <c r="C419" s="2" t="str">
        <f>"19.031.320/0001-37"</f>
        <v>19.031.320/0001-37</v>
      </c>
      <c r="D419" s="2" t="str">
        <f>"WLS TRANSP"</f>
        <v>WLS TRANSP</v>
      </c>
      <c r="E419" s="2" t="str">
        <f t="shared" si="7"/>
        <v>Rodoviário</v>
      </c>
    </row>
    <row r="420" spans="1:5" x14ac:dyDescent="0.3">
      <c r="A420" s="1">
        <v>419</v>
      </c>
      <c r="B420" s="2" t="str">
        <f>"GREENPLAC"</f>
        <v>GREENPLAC</v>
      </c>
      <c r="C420" s="2" t="str">
        <f>"03.801.905/0005-82"</f>
        <v>03.801.905/0005-82</v>
      </c>
      <c r="D420" s="2" t="str">
        <f>"GREENPLAC"</f>
        <v>GREENPLAC</v>
      </c>
      <c r="E420" s="2" t="str">
        <f t="shared" si="7"/>
        <v>Rodoviário</v>
      </c>
    </row>
    <row r="421" spans="1:5" x14ac:dyDescent="0.3">
      <c r="A421" s="1">
        <v>420</v>
      </c>
      <c r="B421" s="2" t="str">
        <f>"TRANSPORTES ENTRE RIOS DO BRASIL"</f>
        <v>TRANSPORTES ENTRE RIOS DO BRASIL</v>
      </c>
      <c r="C421" s="2" t="str">
        <f>"18.771.892/0001-90"</f>
        <v>18.771.892/0001-90</v>
      </c>
      <c r="D421" s="2" t="str">
        <f>"ENTRE RIOS"</f>
        <v>ENTRE RIOS</v>
      </c>
      <c r="E421" s="2" t="str">
        <f t="shared" si="7"/>
        <v>Rodoviário</v>
      </c>
    </row>
    <row r="422" spans="1:5" x14ac:dyDescent="0.3">
      <c r="A422" s="1">
        <v>421</v>
      </c>
      <c r="B422" s="2" t="str">
        <f>"RODOLENZ TRANSPORTES EIRELI"</f>
        <v>RODOLENZ TRANSPORTES EIRELI</v>
      </c>
      <c r="C422" s="2" t="str">
        <f>"17.187.572/0001-24"</f>
        <v>17.187.572/0001-24</v>
      </c>
      <c r="D422" s="2" t="str">
        <f>"RODOLENZ"</f>
        <v>RODOLENZ</v>
      </c>
      <c r="E422" s="2" t="str">
        <f t="shared" si="7"/>
        <v>Rodoviário</v>
      </c>
    </row>
    <row r="423" spans="1:5" x14ac:dyDescent="0.3">
      <c r="A423" s="1">
        <v>422</v>
      </c>
      <c r="B423" s="2" t="str">
        <f>"LUDVINSKI TRANSPORTES E TORNEARIA LTDA"</f>
        <v>LUDVINSKI TRANSPORTES E TORNEARIA LTDA</v>
      </c>
      <c r="C423" s="2" t="str">
        <f>"17.900.972/0001-35"</f>
        <v>17.900.972/0001-35</v>
      </c>
      <c r="D423" s="2" t="str">
        <f>"LUDVINSKI"</f>
        <v>LUDVINSKI</v>
      </c>
      <c r="E423" s="2" t="str">
        <f t="shared" si="7"/>
        <v>Rodoviário</v>
      </c>
    </row>
    <row r="424" spans="1:5" x14ac:dyDescent="0.3">
      <c r="A424" s="1">
        <v>423</v>
      </c>
      <c r="B424" s="2" t="str">
        <f>"COOPERATIVA PRIME DE TRANSPORTES DE CARG"</f>
        <v>COOPERATIVA PRIME DE TRANSPORTES DE CARG</v>
      </c>
      <c r="C424" s="2" t="str">
        <f>"18.301.805/0001-30"</f>
        <v>18.301.805/0001-30</v>
      </c>
      <c r="D424" s="2" t="str">
        <f>"COOPERPRIME"</f>
        <v>COOPERPRIME</v>
      </c>
      <c r="E424" s="2" t="str">
        <f t="shared" si="7"/>
        <v>Rodoviário</v>
      </c>
    </row>
    <row r="425" spans="1:5" x14ac:dyDescent="0.3">
      <c r="A425" s="1">
        <v>424</v>
      </c>
      <c r="B425" s="2" t="str">
        <f>"CRISTALINA TRANSPORTES LTDA"</f>
        <v>CRISTALINA TRANSPORTES LTDA</v>
      </c>
      <c r="C425" s="2" t="str">
        <f>"80.585.052/0001-06"</f>
        <v>80.585.052/0001-06</v>
      </c>
      <c r="D425" s="2" t="str">
        <f>"CRISTALINA"</f>
        <v>CRISTALINA</v>
      </c>
      <c r="E425" s="2" t="str">
        <f t="shared" si="7"/>
        <v>Rodoviário</v>
      </c>
    </row>
    <row r="426" spans="1:5" x14ac:dyDescent="0.3">
      <c r="A426" s="1">
        <v>425</v>
      </c>
      <c r="B426" s="2" t="str">
        <f>"PHENIX COM LOC LOG SERV E TRANSP EIRELI"</f>
        <v>PHENIX COM LOC LOG SERV E TRANSP EIRELI</v>
      </c>
      <c r="C426" s="2" t="str">
        <f>"06.039.758/0008-96"</f>
        <v>06.039.758/0008-96</v>
      </c>
      <c r="D426" s="2" t="str">
        <f>"PHENIX COM"</f>
        <v>PHENIX COM</v>
      </c>
      <c r="E426" s="2" t="str">
        <f t="shared" si="7"/>
        <v>Rodoviário</v>
      </c>
    </row>
    <row r="427" spans="1:5" x14ac:dyDescent="0.3">
      <c r="A427" s="1">
        <v>426</v>
      </c>
      <c r="B427" s="2" t="str">
        <f>"TEX TRANSPORTE DE ENCOMENDA EXPRESSA LTD"</f>
        <v>TEX TRANSPORTE DE ENCOMENDA EXPRESSA LTD</v>
      </c>
      <c r="C427" s="2" t="str">
        <f>"06.367.990/0002-68"</f>
        <v>06.367.990/0002-68</v>
      </c>
      <c r="D427" s="2" t="str">
        <f>"TEX"</f>
        <v>TEX</v>
      </c>
      <c r="E427" s="2" t="str">
        <f t="shared" si="7"/>
        <v>Rodoviário</v>
      </c>
    </row>
    <row r="428" spans="1:5" x14ac:dyDescent="0.3">
      <c r="A428" s="1">
        <v>427</v>
      </c>
      <c r="B428" s="2" t="str">
        <f>"TRANSPALLET TRANSPORTES E LOGÍSTICA LTDA"</f>
        <v>TRANSPALLET TRANSPORTES E LOGÍSTICA LTDA</v>
      </c>
      <c r="C428" s="2" t="str">
        <f>"38.856.126/0001-35"</f>
        <v>38.856.126/0001-35</v>
      </c>
      <c r="D428" s="2" t="str">
        <f>"TRANSPALLET"</f>
        <v>TRANSPALLET</v>
      </c>
      <c r="E428" s="2" t="str">
        <f t="shared" si="7"/>
        <v>Rodoviário</v>
      </c>
    </row>
    <row r="429" spans="1:5" x14ac:dyDescent="0.3">
      <c r="A429" s="1">
        <v>428</v>
      </c>
      <c r="B429" s="2" t="str">
        <f>"SC AVILA TRANSPORTES LTDA ME"</f>
        <v>SC AVILA TRANSPORTES LTDA ME</v>
      </c>
      <c r="C429" s="2" t="str">
        <f>"09.574.359/0001-47"</f>
        <v>09.574.359/0001-47</v>
      </c>
      <c r="D429" s="2" t="str">
        <f>"SC AVILA"</f>
        <v>SC AVILA</v>
      </c>
      <c r="E429" s="2" t="str">
        <f t="shared" si="7"/>
        <v>Rodoviário</v>
      </c>
    </row>
    <row r="430" spans="1:5" x14ac:dyDescent="0.3">
      <c r="A430" s="1">
        <v>429</v>
      </c>
      <c r="B430" s="2" t="str">
        <f>"COOPERLESTE CAMPO ALEGRE"</f>
        <v>COOPERLESTE CAMPO ALEGRE</v>
      </c>
      <c r="C430" s="2" t="str">
        <f>"02.867.585/0002-58"</f>
        <v>02.867.585/0002-58</v>
      </c>
      <c r="D430" s="2" t="str">
        <f>"COOPERLESTE2"</f>
        <v>COOPERLESTE2</v>
      </c>
      <c r="E430" s="2" t="str">
        <f t="shared" si="7"/>
        <v>Rodoviário</v>
      </c>
    </row>
    <row r="431" spans="1:5" x14ac:dyDescent="0.3">
      <c r="A431" s="1">
        <v>430</v>
      </c>
      <c r="B431" s="2" t="str">
        <f>"JAISETE DE SOUSA CARLI"</f>
        <v>JAISETE DE SOUSA CARLI</v>
      </c>
      <c r="C431" s="2" t="str">
        <f>"144.001.538-43"</f>
        <v>144.001.538-43</v>
      </c>
      <c r="D431" s="2" t="str">
        <f>"JAI"</f>
        <v>JAI</v>
      </c>
      <c r="E431" s="2" t="str">
        <f t="shared" si="7"/>
        <v>Rodoviário</v>
      </c>
    </row>
    <row r="432" spans="1:5" x14ac:dyDescent="0.3">
      <c r="A432" s="1">
        <v>431</v>
      </c>
      <c r="B432" s="2" t="str">
        <f>"RODRIGUES &amp; DE DEUS LTDA"</f>
        <v>RODRIGUES &amp; DE DEUS LTDA</v>
      </c>
      <c r="C432" s="2" t="str">
        <f>"16.882.770/0001-45"</f>
        <v>16.882.770/0001-45</v>
      </c>
      <c r="D432" s="2" t="str">
        <f>"RODELOG"</f>
        <v>RODELOG</v>
      </c>
      <c r="E432" s="2" t="str">
        <f t="shared" si="7"/>
        <v>Rodoviário</v>
      </c>
    </row>
    <row r="433" spans="1:5" x14ac:dyDescent="0.3">
      <c r="A433" s="1">
        <v>432</v>
      </c>
      <c r="B433" s="2" t="str">
        <f>"TRANSPORTES LEOPOLDO LTDA"</f>
        <v>TRANSPORTES LEOPOLDO LTDA</v>
      </c>
      <c r="C433" s="2" t="str">
        <f>"79.379.673/0002-35"</f>
        <v>79.379.673/0002-35</v>
      </c>
      <c r="D433" s="2" t="str">
        <f>"LEOPOLDO"</f>
        <v>LEOPOLDO</v>
      </c>
      <c r="E433" s="2" t="str">
        <f t="shared" si="7"/>
        <v>Rodoviário</v>
      </c>
    </row>
    <row r="434" spans="1:5" x14ac:dyDescent="0.3">
      <c r="A434" s="1">
        <v>433</v>
      </c>
      <c r="B434" s="2" t="str">
        <f>"ALISSON ADRIANO LOURENÇO VARELA TRANSPOR"</f>
        <v>ALISSON ADRIANO LOURENÇO VARELA TRANSPOR</v>
      </c>
      <c r="C434" s="2" t="str">
        <f>"31.105.020/0001-50"</f>
        <v>31.105.020/0001-50</v>
      </c>
      <c r="D434" s="2" t="str">
        <f>"TRANSP VAREL"</f>
        <v>TRANSP VAREL</v>
      </c>
      <c r="E434" s="2" t="str">
        <f t="shared" si="7"/>
        <v>Rodoviário</v>
      </c>
    </row>
    <row r="435" spans="1:5" x14ac:dyDescent="0.3">
      <c r="A435" s="1">
        <v>434</v>
      </c>
      <c r="B435" s="2" t="str">
        <f>"B TRANSPORTES LTDA"</f>
        <v>B TRANSPORTES LTDA</v>
      </c>
      <c r="C435" s="2" t="str">
        <f>"04.353.469/0010-56"</f>
        <v>04.353.469/0010-56</v>
      </c>
      <c r="D435" s="2" t="str">
        <f>"B TRANSPORTE"</f>
        <v>B TRANSPORTE</v>
      </c>
      <c r="E435" s="2" t="str">
        <f t="shared" si="7"/>
        <v>Rodoviário</v>
      </c>
    </row>
    <row r="436" spans="1:5" x14ac:dyDescent="0.3">
      <c r="A436" s="1">
        <v>435</v>
      </c>
      <c r="B436" s="2" t="str">
        <f>"DI BERNARDO COMÉRCIO E LOGISTICA EIRELE"</f>
        <v>DI BERNARDO COMÉRCIO E LOGISTICA EIRELE</v>
      </c>
      <c r="C436" s="2" t="str">
        <f>"09.159.331/0001-43"</f>
        <v>09.159.331/0001-43</v>
      </c>
      <c r="D436" s="2" t="str">
        <f>"DI BERNARDO"</f>
        <v>DI BERNARDO</v>
      </c>
      <c r="E436" s="2" t="str">
        <f t="shared" si="7"/>
        <v>Rodoviário</v>
      </c>
    </row>
    <row r="437" spans="1:5" x14ac:dyDescent="0.3">
      <c r="A437" s="1">
        <v>436</v>
      </c>
      <c r="B437" s="2" t="str">
        <f>"VIDA NOVA PAPEIS LTDA."</f>
        <v>VIDA NOVA PAPEIS LTDA.</v>
      </c>
      <c r="C437" s="2" t="str">
        <f>"04.640.732/0001-05"</f>
        <v>04.640.732/0001-05</v>
      </c>
      <c r="D437" s="2" t="str">
        <f>"VIDA NOVA"</f>
        <v>VIDA NOVA</v>
      </c>
      <c r="E437" s="2" t="str">
        <f t="shared" si="7"/>
        <v>Rodoviário</v>
      </c>
    </row>
    <row r="438" spans="1:5" x14ac:dyDescent="0.3">
      <c r="A438" s="1">
        <v>437</v>
      </c>
      <c r="B438" s="2" t="str">
        <f>"JUAREZ MOREIRA ROEDEL"</f>
        <v>JUAREZ MOREIRA ROEDEL</v>
      </c>
      <c r="C438" s="2" t="str">
        <f>"856.605.589-68"</f>
        <v>856.605.589-68</v>
      </c>
      <c r="D438" s="2" t="str">
        <f>"JUAREZ"</f>
        <v>JUAREZ</v>
      </c>
      <c r="E438" s="2" t="str">
        <f t="shared" si="7"/>
        <v>Rodoviário</v>
      </c>
    </row>
    <row r="439" spans="1:5" x14ac:dyDescent="0.3">
      <c r="A439" s="1">
        <v>438</v>
      </c>
      <c r="B439" s="2" t="str">
        <f>"ALMEIDA CARGAS E TRANSPORTES EIRELI"</f>
        <v>ALMEIDA CARGAS E TRANSPORTES EIRELI</v>
      </c>
      <c r="C439" s="2" t="str">
        <f>"18.612.383/0001-14"</f>
        <v>18.612.383/0001-14</v>
      </c>
      <c r="D439" s="2" t="str">
        <f>"ALMEIDA"</f>
        <v>ALMEIDA</v>
      </c>
      <c r="E439" s="2" t="str">
        <f t="shared" si="7"/>
        <v>Rodoviário</v>
      </c>
    </row>
    <row r="440" spans="1:5" x14ac:dyDescent="0.3">
      <c r="A440" s="1">
        <v>439</v>
      </c>
      <c r="B440" s="2" t="str">
        <f>"MOISES AUGUSTO BIAGINI EIRELI"</f>
        <v>MOISES AUGUSTO BIAGINI EIRELI</v>
      </c>
      <c r="C440" s="2" t="str">
        <f>"31.309.679/0001-29"</f>
        <v>31.309.679/0001-29</v>
      </c>
      <c r="D440" s="2" t="str">
        <f>"BIAGINNI 2"</f>
        <v>BIAGINNI 2</v>
      </c>
      <c r="E440" s="2" t="str">
        <f t="shared" si="7"/>
        <v>Rodoviário</v>
      </c>
    </row>
    <row r="441" spans="1:5" x14ac:dyDescent="0.3">
      <c r="A441" s="1">
        <v>440</v>
      </c>
      <c r="B441" s="2" t="str">
        <f>"CESAR CANTON TRANSPORTES ME"</f>
        <v>CESAR CANTON TRANSPORTES ME</v>
      </c>
      <c r="C441" s="2" t="str">
        <f>"17.897.374/0001-54"</f>
        <v>17.897.374/0001-54</v>
      </c>
      <c r="D441" s="2" t="str">
        <f>"CESAR CANTON"</f>
        <v>CESAR CANTON</v>
      </c>
      <c r="E441" s="2" t="str">
        <f t="shared" si="7"/>
        <v>Rodoviário</v>
      </c>
    </row>
    <row r="442" spans="1:5" x14ac:dyDescent="0.3">
      <c r="A442" s="1">
        <v>441</v>
      </c>
      <c r="B442" s="2" t="str">
        <f>"ERS TRANSPORTES LTDA"</f>
        <v>ERS TRANSPORTES LTDA</v>
      </c>
      <c r="C442" s="2" t="str">
        <f>"05.813.343/0003-50"</f>
        <v>05.813.343/0003-50</v>
      </c>
      <c r="D442" s="2" t="str">
        <f>"ERS SC"</f>
        <v>ERS SC</v>
      </c>
      <c r="E442" s="2" t="str">
        <f t="shared" si="7"/>
        <v>Rodoviário</v>
      </c>
    </row>
    <row r="443" spans="1:5" x14ac:dyDescent="0.3">
      <c r="A443" s="1">
        <v>442</v>
      </c>
      <c r="B443" s="2" t="str">
        <f>"EXPRESSO SÃO MIGUEL LTDA"</f>
        <v>EXPRESSO SÃO MIGUEL LTDA</v>
      </c>
      <c r="C443" s="2" t="str">
        <f>"00.428.307/0012-40"</f>
        <v>00.428.307/0012-40</v>
      </c>
      <c r="D443" s="2" t="str">
        <f>"SÃO MIGUEL"</f>
        <v>SÃO MIGUEL</v>
      </c>
      <c r="E443" s="2" t="str">
        <f t="shared" si="7"/>
        <v>Rodoviário</v>
      </c>
    </row>
    <row r="444" spans="1:5" x14ac:dyDescent="0.3">
      <c r="A444" s="1">
        <v>443</v>
      </c>
      <c r="B444" s="2" t="str">
        <f>"TRANSPORTES SAPE LTDA"</f>
        <v>TRANSPORTES SAPE LTDA</v>
      </c>
      <c r="C444" s="2" t="str">
        <f>"01.992.614/0003-21"</f>
        <v>01.992.614/0003-21</v>
      </c>
      <c r="D444" s="2" t="str">
        <f>"SAPE"</f>
        <v>SAPE</v>
      </c>
      <c r="E444" s="2" t="str">
        <f t="shared" si="7"/>
        <v>Rodoviário</v>
      </c>
    </row>
    <row r="445" spans="1:5" x14ac:dyDescent="0.3">
      <c r="A445" s="1">
        <v>444</v>
      </c>
      <c r="B445" s="2" t="str">
        <f>"DIPON LOG LOGISTICA LTDA"</f>
        <v>DIPON LOG LOGISTICA LTDA</v>
      </c>
      <c r="C445" s="2" t="str">
        <f>"07.272.324/0001-28"</f>
        <v>07.272.324/0001-28</v>
      </c>
      <c r="D445" s="2" t="str">
        <f>"DIPON"</f>
        <v>DIPON</v>
      </c>
      <c r="E445" s="2" t="str">
        <f t="shared" si="7"/>
        <v>Rodoviário</v>
      </c>
    </row>
    <row r="446" spans="1:5" x14ac:dyDescent="0.3">
      <c r="A446" s="1">
        <v>445</v>
      </c>
      <c r="B446" s="2" t="str">
        <f>"SV LOGISTICA LTDA"</f>
        <v>SV LOGISTICA LTDA</v>
      </c>
      <c r="C446" s="2" t="str">
        <f>"21.189.201/0001-59"</f>
        <v>21.189.201/0001-59</v>
      </c>
      <c r="D446" s="2" t="str">
        <f>"SV LOG"</f>
        <v>SV LOG</v>
      </c>
      <c r="E446" s="2" t="str">
        <f t="shared" si="7"/>
        <v>Rodoviário</v>
      </c>
    </row>
    <row r="447" spans="1:5" x14ac:dyDescent="0.3">
      <c r="A447" s="1">
        <v>446</v>
      </c>
      <c r="B447" s="2" t="str">
        <f>"RODONAVES TRANSP E ENCOMENDAS LTDA"</f>
        <v>RODONAVES TRANSP E ENCOMENDAS LTDA</v>
      </c>
      <c r="C447" s="2" t="str">
        <f>"44.914.992/0027-77"</f>
        <v>44.914.992/0027-77</v>
      </c>
      <c r="D447" s="2" t="str">
        <f>"RODONAVES RS"</f>
        <v>RODONAVES RS</v>
      </c>
      <c r="E447" s="2" t="str">
        <f t="shared" si="7"/>
        <v>Rodoviário</v>
      </c>
    </row>
    <row r="448" spans="1:5" x14ac:dyDescent="0.3">
      <c r="A448" s="1">
        <v>447</v>
      </c>
      <c r="B448" s="2" t="str">
        <f>"BORROTTA TRANSPORTES E LOG LTDA"</f>
        <v>BORROTTA TRANSPORTES E LOG LTDA</v>
      </c>
      <c r="C448" s="2" t="str">
        <f>"00.389.602/0001-82"</f>
        <v>00.389.602/0001-82</v>
      </c>
      <c r="D448" s="2" t="str">
        <f>"BORROTA"</f>
        <v>BORROTA</v>
      </c>
      <c r="E448" s="2" t="str">
        <f t="shared" si="7"/>
        <v>Rodoviário</v>
      </c>
    </row>
    <row r="449" spans="1:5" x14ac:dyDescent="0.3">
      <c r="A449" s="1">
        <v>448</v>
      </c>
      <c r="B449" s="2" t="str">
        <f>"NOVA FASE EMPILHADEIRAS LTDA."</f>
        <v>NOVA FASE EMPILHADEIRAS LTDA.</v>
      </c>
      <c r="C449" s="2" t="str">
        <f>"04.767.172/0001-46"</f>
        <v>04.767.172/0001-46</v>
      </c>
      <c r="D449" s="2" t="str">
        <f>"NOVA FASE"</f>
        <v>NOVA FASE</v>
      </c>
      <c r="E449" s="2" t="str">
        <f t="shared" si="7"/>
        <v>Rodoviário</v>
      </c>
    </row>
    <row r="450" spans="1:5" x14ac:dyDescent="0.3">
      <c r="A450" s="1">
        <v>449</v>
      </c>
      <c r="B450" s="2" t="str">
        <f>"RGM MANUTENCAO DE MAQUINAS LTDA - ME"</f>
        <v>RGM MANUTENCAO DE MAQUINAS LTDA - ME</v>
      </c>
      <c r="C450" s="2" t="str">
        <f>"15.077.251/0001-41"</f>
        <v>15.077.251/0001-41</v>
      </c>
      <c r="D450" s="2" t="str">
        <f>"RGM"</f>
        <v>RGM</v>
      </c>
      <c r="E450" s="2" t="str">
        <f t="shared" si="7"/>
        <v>Rodoviário</v>
      </c>
    </row>
    <row r="451" spans="1:5" x14ac:dyDescent="0.3">
      <c r="A451" s="1">
        <v>450</v>
      </c>
      <c r="B451" s="2" t="str">
        <f>"INTEGRA TRANSPORTES RODOVIÁRIOS"</f>
        <v>INTEGRA TRANSPORTES RODOVIÁRIOS</v>
      </c>
      <c r="C451" s="2" t="str">
        <f>"02.905.583/0001-25"</f>
        <v>02.905.583/0001-25</v>
      </c>
      <c r="D451" s="2" t="str">
        <f>"INTEGRA TRAN"</f>
        <v>INTEGRA TRAN</v>
      </c>
      <c r="E451" s="2" t="str">
        <f t="shared" si="7"/>
        <v>Rodoviário</v>
      </c>
    </row>
    <row r="452" spans="1:5" x14ac:dyDescent="0.3">
      <c r="A452" s="1">
        <v>451</v>
      </c>
      <c r="B452" s="2" t="str">
        <f>"RODOMOVEIS TRANSPORTES E MADEIRAS LTDA"</f>
        <v>RODOMOVEIS TRANSPORTES E MADEIRAS LTDA</v>
      </c>
      <c r="C452" s="2" t="str">
        <f>"76.816.792/0002-10"</f>
        <v>76.816.792/0002-10</v>
      </c>
      <c r="D452" s="2" t="str">
        <f>"RODOMOVEIS"</f>
        <v>RODOMOVEIS</v>
      </c>
      <c r="E452" s="2" t="str">
        <f t="shared" si="7"/>
        <v>Rodoviário</v>
      </c>
    </row>
    <row r="453" spans="1:5" x14ac:dyDescent="0.3">
      <c r="A453" s="1">
        <v>452</v>
      </c>
      <c r="B453" s="2" t="str">
        <f>"GHELERE TRANSPORTES LTDA"</f>
        <v>GHELERE TRANSPORTES LTDA</v>
      </c>
      <c r="C453" s="2" t="str">
        <f>"75.958.926/0001-93"</f>
        <v>75.958.926/0001-93</v>
      </c>
      <c r="D453" s="2" t="str">
        <f>"GHELERE"</f>
        <v>GHELERE</v>
      </c>
      <c r="E453" s="2" t="str">
        <f t="shared" si="7"/>
        <v>Rodoviário</v>
      </c>
    </row>
    <row r="454" spans="1:5" x14ac:dyDescent="0.3">
      <c r="A454" s="1">
        <v>453</v>
      </c>
      <c r="B454" s="2" t="str">
        <f>"BRAVO LOG TRANSPORTES LTDA"</f>
        <v>BRAVO LOG TRANSPORTES LTDA</v>
      </c>
      <c r="C454" s="2" t="str">
        <f>"11.020.954/0002-63"</f>
        <v>11.020.954/0002-63</v>
      </c>
      <c r="D454" s="2" t="str">
        <f>"BRAVO LOG PR"</f>
        <v>BRAVO LOG PR</v>
      </c>
      <c r="E454" s="2" t="str">
        <f t="shared" si="7"/>
        <v>Rodoviário</v>
      </c>
    </row>
    <row r="455" spans="1:5" x14ac:dyDescent="0.3">
      <c r="A455" s="1">
        <v>454</v>
      </c>
      <c r="B455" s="2" t="str">
        <f>"BRAVO LOG TRANSPORTES LTDA"</f>
        <v>BRAVO LOG TRANSPORTES LTDA</v>
      </c>
      <c r="C455" s="2" t="str">
        <f>"11.020.954/0001-82"</f>
        <v>11.020.954/0001-82</v>
      </c>
      <c r="D455" s="2" t="str">
        <f>"BRAVO LOG SP"</f>
        <v>BRAVO LOG SP</v>
      </c>
      <c r="E455" s="2" t="str">
        <f t="shared" si="7"/>
        <v>Rodoviário</v>
      </c>
    </row>
    <row r="456" spans="1:5" x14ac:dyDescent="0.3">
      <c r="A456" s="1">
        <v>455</v>
      </c>
      <c r="B456" s="2" t="str">
        <f>"BRAVO LOG TRANSPORTES LTDA"</f>
        <v>BRAVO LOG TRANSPORTES LTDA</v>
      </c>
      <c r="C456" s="2" t="str">
        <f>"11.020.954/0004-25"</f>
        <v>11.020.954/0004-25</v>
      </c>
      <c r="D456" s="2" t="str">
        <f>"BRAVO LOG RJ"</f>
        <v>BRAVO LOG RJ</v>
      </c>
      <c r="E456" s="2" t="str">
        <f t="shared" si="7"/>
        <v>Rodoviário</v>
      </c>
    </row>
    <row r="457" spans="1:5" x14ac:dyDescent="0.3">
      <c r="A457" s="1">
        <v>456</v>
      </c>
      <c r="B457" s="2" t="str">
        <f>"L VERDEJO TRANSPORTES RODOVIARIO EIRELI"</f>
        <v>L VERDEJO TRANSPORTES RODOVIARIO EIRELI</v>
      </c>
      <c r="C457" s="2" t="str">
        <f>"26.795.396/0001-02"</f>
        <v>26.795.396/0001-02</v>
      </c>
      <c r="D457" s="2" t="str">
        <f>"L VERDEJO"</f>
        <v>L VERDEJO</v>
      </c>
      <c r="E457" s="2" t="str">
        <f t="shared" si="7"/>
        <v>Rodoviário</v>
      </c>
    </row>
    <row r="458" spans="1:5" x14ac:dyDescent="0.3">
      <c r="A458" s="1">
        <v>457</v>
      </c>
      <c r="B458" s="2" t="str">
        <f>"PI TRANSPORTES RODOVIARIOS DE CARGAS LTD"</f>
        <v>PI TRANSPORTES RODOVIARIOS DE CARGAS LTD</v>
      </c>
      <c r="C458" s="2" t="str">
        <f>"05.988.286/0005-02"</f>
        <v>05.988.286/0005-02</v>
      </c>
      <c r="D458" s="2" t="str">
        <f>"PI TRANSP"</f>
        <v>PI TRANSP</v>
      </c>
      <c r="E458" s="2" t="str">
        <f t="shared" si="7"/>
        <v>Rodoviário</v>
      </c>
    </row>
    <row r="459" spans="1:5" x14ac:dyDescent="0.3">
      <c r="A459" s="1">
        <v>458</v>
      </c>
      <c r="B459" s="2" t="str">
        <f>"NILSON SEGURO TRANSPORTES EIRELI"</f>
        <v>NILSON SEGURO TRANSPORTES EIRELI</v>
      </c>
      <c r="C459" s="2" t="str">
        <f>"04.402.997/0001-67"</f>
        <v>04.402.997/0001-67</v>
      </c>
      <c r="D459" s="2" t="str">
        <f>"TRANSTICO TR"</f>
        <v>TRANSTICO TR</v>
      </c>
      <c r="E459" s="2" t="str">
        <f t="shared" si="7"/>
        <v>Rodoviário</v>
      </c>
    </row>
    <row r="460" spans="1:5" x14ac:dyDescent="0.3">
      <c r="A460" s="1">
        <v>459</v>
      </c>
      <c r="B460" s="2" t="str">
        <f>"TRANS DESAFIO SUL TRASNPORTES LTDA"</f>
        <v>TRANS DESAFIO SUL TRASNPORTES LTDA</v>
      </c>
      <c r="C460" s="2" t="str">
        <f>"19.078.523/0001-89"</f>
        <v>19.078.523/0001-89</v>
      </c>
      <c r="D460" s="2" t="str">
        <f>"TRANS DESAFI"</f>
        <v>TRANS DESAFI</v>
      </c>
      <c r="E460" s="2" t="str">
        <f t="shared" si="7"/>
        <v>Rodoviário</v>
      </c>
    </row>
    <row r="461" spans="1:5" x14ac:dyDescent="0.3">
      <c r="A461" s="1">
        <v>460</v>
      </c>
      <c r="B461" s="2" t="str">
        <f>"TRANSCRISTA TRANSP RODOV DE CARGAS LTDA"</f>
        <v>TRANSCRISTA TRANSP RODOV DE CARGAS LTDA</v>
      </c>
      <c r="C461" s="2" t="str">
        <f>"07.921.294/0001-33"</f>
        <v>07.921.294/0001-33</v>
      </c>
      <c r="D461" s="2" t="str">
        <f>"TRANSCRISTA"</f>
        <v>TRANSCRISTA</v>
      </c>
      <c r="E461" s="2" t="str">
        <f t="shared" si="7"/>
        <v>Rodoviário</v>
      </c>
    </row>
    <row r="462" spans="1:5" x14ac:dyDescent="0.3">
      <c r="A462" s="1">
        <v>461</v>
      </c>
      <c r="B462" s="2" t="str">
        <f>"TRANSSIMÃO TRANSPORTES LTDA."</f>
        <v>TRANSSIMÃO TRANSPORTES LTDA.</v>
      </c>
      <c r="C462" s="2" t="str">
        <f>"85.057.412/0001-10"</f>
        <v>85.057.412/0001-10</v>
      </c>
      <c r="D462" s="2" t="str">
        <f>"TRANSSIMÃO 2"</f>
        <v>TRANSSIMÃO 2</v>
      </c>
      <c r="E462" s="2" t="str">
        <f t="shared" si="7"/>
        <v>Rodoviário</v>
      </c>
    </row>
    <row r="463" spans="1:5" x14ac:dyDescent="0.3">
      <c r="A463" s="1">
        <v>462</v>
      </c>
      <c r="B463" s="2" t="str">
        <f>"SEBASTIÃO REINALDO CASTANHARO"</f>
        <v>SEBASTIÃO REINALDO CASTANHARO</v>
      </c>
      <c r="C463" s="2" t="str">
        <f>"307.851.629-68"</f>
        <v>307.851.629-68</v>
      </c>
      <c r="D463" s="2" t="str">
        <f>"SEBASTIÃO R"</f>
        <v>SEBASTIÃO R</v>
      </c>
      <c r="E463" s="2" t="str">
        <f t="shared" si="7"/>
        <v>Rodoviário</v>
      </c>
    </row>
    <row r="464" spans="1:5" x14ac:dyDescent="0.3">
      <c r="A464" s="1">
        <v>463</v>
      </c>
      <c r="B464" s="2" t="str">
        <f>"RM BALESTRIN TRANSPORTES EIRELI"</f>
        <v>RM BALESTRIN TRANSPORTES EIRELI</v>
      </c>
      <c r="C464" s="2" t="str">
        <f>"17.674.165/0002-22"</f>
        <v>17.674.165/0002-22</v>
      </c>
      <c r="D464" s="2" t="str">
        <f>"RM BALESTRIN"</f>
        <v>RM BALESTRIN</v>
      </c>
      <c r="E464" s="2" t="str">
        <f t="shared" ref="E464:E527" si="8">"Rodoviário"</f>
        <v>Rodoviário</v>
      </c>
    </row>
    <row r="465" spans="1:5" x14ac:dyDescent="0.3">
      <c r="A465" s="1">
        <v>464</v>
      </c>
      <c r="B465" s="2" t="str">
        <f>"OTAVIR GUESSER JUNIOR"</f>
        <v>OTAVIR GUESSER JUNIOR</v>
      </c>
      <c r="C465" s="2" t="str">
        <f>"19.680.395/0001-49"</f>
        <v>19.680.395/0001-49</v>
      </c>
      <c r="D465" s="2" t="str">
        <f>"OTAVIR"</f>
        <v>OTAVIR</v>
      </c>
      <c r="E465" s="2" t="str">
        <f t="shared" si="8"/>
        <v>Rodoviário</v>
      </c>
    </row>
    <row r="466" spans="1:5" x14ac:dyDescent="0.3">
      <c r="A466" s="1">
        <v>465</v>
      </c>
      <c r="B466" s="2" t="str">
        <f>"TRANSJK TRANSPORTES RODOVIARIOS EIRELI -"</f>
        <v>TRANSJK TRANSPORTES RODOVIARIOS EIRELI -</v>
      </c>
      <c r="C466" s="2" t="str">
        <f>"28.550.646/0001-61"</f>
        <v>28.550.646/0001-61</v>
      </c>
      <c r="D466" s="2" t="str">
        <f>"TRANSJK"</f>
        <v>TRANSJK</v>
      </c>
      <c r="E466" s="2" t="str">
        <f t="shared" si="8"/>
        <v>Rodoviário</v>
      </c>
    </row>
    <row r="467" spans="1:5" x14ac:dyDescent="0.3">
      <c r="A467" s="1">
        <v>466</v>
      </c>
      <c r="B467" s="2" t="str">
        <f>"TRANSMAAS TRANSPORTES NACIONAIS E INTERN"</f>
        <v>TRANSMAAS TRANSPORTES NACIONAIS E INTERN</v>
      </c>
      <c r="C467" s="2" t="str">
        <f>"05.900.947/0001-72"</f>
        <v>05.900.947/0001-72</v>
      </c>
      <c r="D467" s="2" t="str">
        <f>"TRANSMAAS LT"</f>
        <v>TRANSMAAS LT</v>
      </c>
      <c r="E467" s="2" t="str">
        <f t="shared" si="8"/>
        <v>Rodoviário</v>
      </c>
    </row>
    <row r="468" spans="1:5" x14ac:dyDescent="0.3">
      <c r="A468" s="1">
        <v>467</v>
      </c>
      <c r="B468" s="2" t="str">
        <f>"EXPRESSO SÃO MIGUEL LTDA"</f>
        <v>EXPRESSO SÃO MIGUEL LTDA</v>
      </c>
      <c r="C468" s="2" t="str">
        <f>"00.428.307/0018-36"</f>
        <v>00.428.307/0018-36</v>
      </c>
      <c r="D468" s="2" t="str">
        <f>"EXPRESSO SM"</f>
        <v>EXPRESSO SM</v>
      </c>
      <c r="E468" s="2" t="str">
        <f t="shared" si="8"/>
        <v>Rodoviário</v>
      </c>
    </row>
    <row r="469" spans="1:5" x14ac:dyDescent="0.3">
      <c r="A469" s="1">
        <v>468</v>
      </c>
      <c r="B469" s="2" t="str">
        <f>"MBT EXPRESS"</f>
        <v>MBT EXPRESS</v>
      </c>
      <c r="C469" s="2" t="str">
        <f>"07.249.531/0001-61"</f>
        <v>07.249.531/0001-61</v>
      </c>
      <c r="D469" s="2" t="str">
        <f>"MBT"</f>
        <v>MBT</v>
      </c>
      <c r="E469" s="2" t="str">
        <f t="shared" si="8"/>
        <v>Rodoviário</v>
      </c>
    </row>
    <row r="470" spans="1:5" x14ac:dyDescent="0.3">
      <c r="A470" s="1">
        <v>469</v>
      </c>
      <c r="B470" s="2" t="str">
        <f>"TRUCK DIESEL TRANSPORTES E RESGATE LTDA"</f>
        <v>TRUCK DIESEL TRANSPORTES E RESGATE LTDA</v>
      </c>
      <c r="C470" s="2" t="str">
        <f>"29.562.851/0001-00"</f>
        <v>29.562.851/0001-00</v>
      </c>
      <c r="D470" s="2" t="str">
        <f>"DIESEL"</f>
        <v>DIESEL</v>
      </c>
      <c r="E470" s="2" t="str">
        <f t="shared" si="8"/>
        <v>Rodoviário</v>
      </c>
    </row>
    <row r="471" spans="1:5" x14ac:dyDescent="0.3">
      <c r="A471" s="1">
        <v>470</v>
      </c>
      <c r="B471" s="2" t="str">
        <f>"DUCAT TRANSPORTES LTDA"</f>
        <v>DUCAT TRANSPORTES LTDA</v>
      </c>
      <c r="C471" s="2" t="str">
        <f>"26.924.337/0002-60"</f>
        <v>26.924.337/0002-60</v>
      </c>
      <c r="D471" s="2" t="str">
        <f>"DUCAT"</f>
        <v>DUCAT</v>
      </c>
      <c r="E471" s="2" t="str">
        <f t="shared" si="8"/>
        <v>Rodoviário</v>
      </c>
    </row>
    <row r="472" spans="1:5" x14ac:dyDescent="0.3">
      <c r="A472" s="1">
        <v>471</v>
      </c>
      <c r="B472" s="2" t="str">
        <f>"MCN TRANSPORTES E REPRESENTAÇÕES LTDA"</f>
        <v>MCN TRANSPORTES E REPRESENTAÇÕES LTDA</v>
      </c>
      <c r="C472" s="2" t="str">
        <f>"07.620.879/0004-66"</f>
        <v>07.620.879/0004-66</v>
      </c>
      <c r="D472" s="2" t="str">
        <f>"MCN"</f>
        <v>MCN</v>
      </c>
      <c r="E472" s="2" t="str">
        <f t="shared" si="8"/>
        <v>Rodoviário</v>
      </c>
    </row>
    <row r="473" spans="1:5" x14ac:dyDescent="0.3">
      <c r="A473" s="1">
        <v>472</v>
      </c>
      <c r="B473" s="2" t="str">
        <f>"QBOX TRANSPORTES NACIONAIS E INTERNACION"</f>
        <v>QBOX TRANSPORTES NACIONAIS E INTERNACION</v>
      </c>
      <c r="C473" s="2" t="str">
        <f>"11.958.864/0001-37"</f>
        <v>11.958.864/0001-37</v>
      </c>
      <c r="D473" s="2" t="str">
        <f>"QBOX Logísti"</f>
        <v>QBOX Logísti</v>
      </c>
      <c r="E473" s="2" t="str">
        <f t="shared" si="8"/>
        <v>Rodoviário</v>
      </c>
    </row>
    <row r="474" spans="1:5" x14ac:dyDescent="0.3">
      <c r="A474" s="1">
        <v>473</v>
      </c>
      <c r="B474" s="2" t="str">
        <f>"TRANSVELLI TRANSPORTES RODOV DE CARGAS L"</f>
        <v>TRANSVELLI TRANSPORTES RODOV DE CARGAS L</v>
      </c>
      <c r="C474" s="2" t="str">
        <f>"85.064.152/0001-00"</f>
        <v>85.064.152/0001-00</v>
      </c>
      <c r="D474" s="2" t="str">
        <f>"TRANSVELLI"</f>
        <v>TRANSVELLI</v>
      </c>
      <c r="E474" s="2" t="str">
        <f t="shared" si="8"/>
        <v>Rodoviário</v>
      </c>
    </row>
    <row r="475" spans="1:5" x14ac:dyDescent="0.3">
      <c r="A475" s="1">
        <v>474</v>
      </c>
      <c r="B475" s="2" t="str">
        <f>"KIM LOGISTICA E TRANSPORTE ROD EIRELI"</f>
        <v>KIM LOGISTICA E TRANSPORTE ROD EIRELI</v>
      </c>
      <c r="C475" s="2" t="str">
        <f>"05.899.255/0001-51"</f>
        <v>05.899.255/0001-51</v>
      </c>
      <c r="D475" s="2" t="str">
        <f>"KIM"</f>
        <v>KIM</v>
      </c>
      <c r="E475" s="2" t="str">
        <f t="shared" si="8"/>
        <v>Rodoviário</v>
      </c>
    </row>
    <row r="476" spans="1:5" x14ac:dyDescent="0.3">
      <c r="A476" s="1">
        <v>475</v>
      </c>
      <c r="B476" s="2" t="str">
        <f>"GASPARIN LOGISTICA, ARMAZENS E SERVIÇOS"</f>
        <v>GASPARIN LOGISTICA, ARMAZENS E SERVIÇOS</v>
      </c>
      <c r="C476" s="2" t="str">
        <f>"11.377.970/0001-27"</f>
        <v>11.377.970/0001-27</v>
      </c>
      <c r="D476" s="2" t="str">
        <f>"GASPARIN"</f>
        <v>GASPARIN</v>
      </c>
      <c r="E476" s="2" t="str">
        <f t="shared" si="8"/>
        <v>Rodoviário</v>
      </c>
    </row>
    <row r="477" spans="1:5" x14ac:dyDescent="0.3">
      <c r="A477" s="1">
        <v>476</v>
      </c>
      <c r="B477" s="2" t="str">
        <f>"EXPRESSO SÃO MIGUEL - SARANDI"</f>
        <v>EXPRESSO SÃO MIGUEL - SARANDI</v>
      </c>
      <c r="C477" s="2" t="str">
        <f>"00.428.307/0005-11"</f>
        <v>00.428.307/0005-11</v>
      </c>
      <c r="D477" s="2" t="str">
        <f>"SARANDI"</f>
        <v>SARANDI</v>
      </c>
      <c r="E477" s="2" t="str">
        <f t="shared" si="8"/>
        <v>Rodoviário</v>
      </c>
    </row>
    <row r="478" spans="1:5" x14ac:dyDescent="0.3">
      <c r="A478" s="1">
        <v>477</v>
      </c>
      <c r="B478" s="2" t="str">
        <f>"GUINCHOS DOIS IRMAOS"</f>
        <v>GUINCHOS DOIS IRMAOS</v>
      </c>
      <c r="C478" s="2" t="str">
        <f>"31.459.991/0001-07"</f>
        <v>31.459.991/0001-07</v>
      </c>
      <c r="D478" s="2" t="str">
        <f>"DOIS IRMÃOS"</f>
        <v>DOIS IRMÃOS</v>
      </c>
      <c r="E478" s="2" t="str">
        <f t="shared" si="8"/>
        <v>Rodoviário</v>
      </c>
    </row>
    <row r="479" spans="1:5" x14ac:dyDescent="0.3">
      <c r="A479" s="1">
        <v>478</v>
      </c>
      <c r="B479" s="2" t="str">
        <f>"KIM LOGISTICA E TRANSPORTE RODOVIARIO EI"</f>
        <v>KIM LOGISTICA E TRANSPORTE RODOVIARIO EI</v>
      </c>
      <c r="C479" s="2" t="str">
        <f>"05.899.255/0002-32"</f>
        <v>05.899.255/0002-32</v>
      </c>
      <c r="D479" s="2" t="str">
        <f>"KIM LOG"</f>
        <v>KIM LOG</v>
      </c>
      <c r="E479" s="2" t="str">
        <f t="shared" si="8"/>
        <v>Rodoviário</v>
      </c>
    </row>
    <row r="480" spans="1:5" x14ac:dyDescent="0.3">
      <c r="A480" s="1">
        <v>479</v>
      </c>
      <c r="B480" s="2" t="str">
        <f>"COOTIL COOPERATIVA DE TRANSPORTE ITAQUIE"</f>
        <v>COOTIL COOPERATIVA DE TRANSPORTE ITAQUIE</v>
      </c>
      <c r="C480" s="2" t="str">
        <f>"03.267.386/0001-90"</f>
        <v>03.267.386/0001-90</v>
      </c>
      <c r="D480" s="2" t="str">
        <f>"COOTIL"</f>
        <v>COOTIL</v>
      </c>
      <c r="E480" s="2" t="str">
        <f t="shared" si="8"/>
        <v>Rodoviário</v>
      </c>
    </row>
    <row r="481" spans="1:5" x14ac:dyDescent="0.3">
      <c r="A481" s="1">
        <v>480</v>
      </c>
      <c r="B481" s="2" t="str">
        <f>"TRANSPORTES FROLI LTDA"</f>
        <v>TRANSPORTES FROLI LTDA</v>
      </c>
      <c r="C481" s="2" t="str">
        <f>"03.119.224/0001-05"</f>
        <v>03.119.224/0001-05</v>
      </c>
      <c r="D481" s="2" t="str">
        <f>"FROLI"</f>
        <v>FROLI</v>
      </c>
      <c r="E481" s="2" t="str">
        <f t="shared" si="8"/>
        <v>Rodoviário</v>
      </c>
    </row>
    <row r="482" spans="1:5" x14ac:dyDescent="0.3">
      <c r="A482" s="1">
        <v>481</v>
      </c>
      <c r="B482" s="2" t="str">
        <f>"EXPRESSO SÃO MIGUEL"</f>
        <v>EXPRESSO SÃO MIGUEL</v>
      </c>
      <c r="C482" s="2" t="str">
        <f>"00.428.307/0019-17"</f>
        <v>00.428.307/0019-17</v>
      </c>
      <c r="D482" s="2" t="str">
        <f>"SÃO MIGUEL 2"</f>
        <v>SÃO MIGUEL 2</v>
      </c>
      <c r="E482" s="2" t="str">
        <f t="shared" si="8"/>
        <v>Rodoviário</v>
      </c>
    </row>
    <row r="483" spans="1:5" x14ac:dyDescent="0.3">
      <c r="A483" s="1">
        <v>482</v>
      </c>
      <c r="B483" s="2" t="str">
        <f>"BOBIG TRANSPORTES"</f>
        <v>BOBIG TRANSPORTES</v>
      </c>
      <c r="C483" s="2" t="str">
        <f>"18.073.887/0001-03"</f>
        <v>18.073.887/0001-03</v>
      </c>
      <c r="D483" s="2" t="str">
        <f>"BOBIG"</f>
        <v>BOBIG</v>
      </c>
      <c r="E483" s="2" t="str">
        <f t="shared" si="8"/>
        <v>Rodoviário</v>
      </c>
    </row>
    <row r="484" spans="1:5" x14ac:dyDescent="0.3">
      <c r="A484" s="1">
        <v>483</v>
      </c>
      <c r="B484" s="2" t="str">
        <f>"EXPRESSO SÃO MIGUEL"</f>
        <v>EXPRESSO SÃO MIGUEL</v>
      </c>
      <c r="C484" s="2" t="str">
        <f>"00.428.307/0007-83"</f>
        <v>00.428.307/0007-83</v>
      </c>
      <c r="D484" s="2" t="str">
        <f>"SÃO MIGUEL 3"</f>
        <v>SÃO MIGUEL 3</v>
      </c>
      <c r="E484" s="2" t="str">
        <f t="shared" si="8"/>
        <v>Rodoviário</v>
      </c>
    </row>
    <row r="485" spans="1:5" x14ac:dyDescent="0.3">
      <c r="A485" s="1">
        <v>484</v>
      </c>
      <c r="B485" s="2" t="str">
        <f>"JPM TRANSPORTES LOGISTICA E COMERCIO LTD"</f>
        <v>JPM TRANSPORTES LOGISTICA E COMERCIO LTD</v>
      </c>
      <c r="C485" s="2" t="str">
        <f>"36.091.774/0001-12"</f>
        <v>36.091.774/0001-12</v>
      </c>
      <c r="D485" s="2" t="str">
        <f>"JPM"</f>
        <v>JPM</v>
      </c>
      <c r="E485" s="2" t="str">
        <f t="shared" si="8"/>
        <v>Rodoviário</v>
      </c>
    </row>
    <row r="486" spans="1:5" x14ac:dyDescent="0.3">
      <c r="A486" s="1">
        <v>485</v>
      </c>
      <c r="B486" s="2" t="str">
        <f>"TRANSPORTES FRITZEN LTDA"</f>
        <v>TRANSPORTES FRITZEN LTDA</v>
      </c>
      <c r="C486" s="2" t="str">
        <f>"10.613.541/0001-49"</f>
        <v>10.613.541/0001-49</v>
      </c>
      <c r="D486" s="2" t="str">
        <f>"FRITZEN"</f>
        <v>FRITZEN</v>
      </c>
      <c r="E486" s="2" t="str">
        <f t="shared" si="8"/>
        <v>Rodoviário</v>
      </c>
    </row>
    <row r="487" spans="1:5" x14ac:dyDescent="0.3">
      <c r="A487" s="1">
        <v>486</v>
      </c>
      <c r="B487" s="2" t="str">
        <f>"RITMO LOGISTICA S/A"</f>
        <v>RITMO LOGISTICA S/A</v>
      </c>
      <c r="C487" s="2" t="str">
        <f>"12.898.982/0001-60"</f>
        <v>12.898.982/0001-60</v>
      </c>
      <c r="D487" s="2" t="str">
        <f>"RITMO"</f>
        <v>RITMO</v>
      </c>
      <c r="E487" s="2" t="str">
        <f t="shared" si="8"/>
        <v>Rodoviário</v>
      </c>
    </row>
    <row r="488" spans="1:5" x14ac:dyDescent="0.3">
      <c r="A488" s="1">
        <v>487</v>
      </c>
      <c r="B488" s="2" t="str">
        <f>"AZAFF TRANSPORTES EIRELLI"</f>
        <v>AZAFF TRANSPORTES EIRELLI</v>
      </c>
      <c r="C488" s="2" t="str">
        <f>"16.989.627/0001-57"</f>
        <v>16.989.627/0001-57</v>
      </c>
      <c r="D488" s="2" t="str">
        <f>"AZAFF"</f>
        <v>AZAFF</v>
      </c>
      <c r="E488" s="2" t="str">
        <f t="shared" si="8"/>
        <v>Rodoviário</v>
      </c>
    </row>
    <row r="489" spans="1:5" x14ac:dyDescent="0.3">
      <c r="A489" s="1">
        <v>488</v>
      </c>
      <c r="B489" s="2" t="str">
        <f>"TRANSPORTADORA JPS CAÇADOR EIRELLI"</f>
        <v>TRANSPORTADORA JPS CAÇADOR EIRELLI</v>
      </c>
      <c r="C489" s="2" t="str">
        <f>"81.626.889/0001-19"</f>
        <v>81.626.889/0001-19</v>
      </c>
      <c r="D489" s="2" t="str">
        <f>"JPS"</f>
        <v>JPS</v>
      </c>
      <c r="E489" s="2" t="str">
        <f t="shared" si="8"/>
        <v>Rodoviário</v>
      </c>
    </row>
    <row r="490" spans="1:5" x14ac:dyDescent="0.3">
      <c r="A490" s="1">
        <v>489</v>
      </c>
      <c r="B490" s="2" t="str">
        <f>"ANJOS MIGARA TRANSPORTES E COM LTDA"</f>
        <v>ANJOS MIGARA TRANSPORTES E COM LTDA</v>
      </c>
      <c r="C490" s="2" t="str">
        <f>"00.070.969/0001-39"</f>
        <v>00.070.969/0001-39</v>
      </c>
      <c r="D490" s="2" t="str">
        <f>"ANJOS MIGARA"</f>
        <v>ANJOS MIGARA</v>
      </c>
      <c r="E490" s="2" t="str">
        <f t="shared" si="8"/>
        <v>Rodoviário</v>
      </c>
    </row>
    <row r="491" spans="1:5" x14ac:dyDescent="0.3">
      <c r="A491" s="1">
        <v>490</v>
      </c>
      <c r="B491" s="2" t="str">
        <f>"PHENIX TRANSPORTADORA EIRELI"</f>
        <v>PHENIX TRANSPORTADORA EIRELI</v>
      </c>
      <c r="C491" s="2" t="str">
        <f>"06.039.758/0013-53"</f>
        <v>06.039.758/0013-53</v>
      </c>
      <c r="D491" s="2" t="str">
        <f>"PHENIX TRAN"</f>
        <v>PHENIX TRAN</v>
      </c>
      <c r="E491" s="2" t="str">
        <f t="shared" si="8"/>
        <v>Rodoviário</v>
      </c>
    </row>
    <row r="492" spans="1:5" x14ac:dyDescent="0.3">
      <c r="A492" s="1">
        <v>491</v>
      </c>
      <c r="B492" s="2" t="str">
        <f>"CHOICE TRANSPORTES LTDA"</f>
        <v>CHOICE TRANSPORTES LTDA</v>
      </c>
      <c r="C492" s="2" t="str">
        <f>"25.079.232/0001-08"</f>
        <v>25.079.232/0001-08</v>
      </c>
      <c r="D492" s="2" t="str">
        <f>"CHOICE"</f>
        <v>CHOICE</v>
      </c>
      <c r="E492" s="2" t="str">
        <f t="shared" si="8"/>
        <v>Rodoviário</v>
      </c>
    </row>
    <row r="493" spans="1:5" x14ac:dyDescent="0.3">
      <c r="A493" s="1">
        <v>492</v>
      </c>
      <c r="B493" s="2" t="str">
        <f>"EXPRESSO SAO MIGUEL LEOPOLDO"</f>
        <v>EXPRESSO SAO MIGUEL LEOPOLDO</v>
      </c>
      <c r="C493" s="2" t="str">
        <f>"00.428.307/0002-79"</f>
        <v>00.428.307/0002-79</v>
      </c>
      <c r="D493" s="2" t="str">
        <f>"SAO LEOPOLDO"</f>
        <v>SAO LEOPOLDO</v>
      </c>
      <c r="E493" s="2" t="str">
        <f t="shared" si="8"/>
        <v>Rodoviário</v>
      </c>
    </row>
    <row r="494" spans="1:5" x14ac:dyDescent="0.3">
      <c r="A494" s="1">
        <v>493</v>
      </c>
      <c r="B494" s="2" t="str">
        <f>"TRANSLIGUE TRANSPORTES E SERVICOS LTDA."</f>
        <v>TRANSLIGUE TRANSPORTES E SERVICOS LTDA.</v>
      </c>
      <c r="C494" s="2" t="str">
        <f>"03.629.957/0001-90"</f>
        <v>03.629.957/0001-90</v>
      </c>
      <c r="D494" s="2" t="str">
        <f>"TRANSLIGUE 1"</f>
        <v>TRANSLIGUE 1</v>
      </c>
      <c r="E494" s="2" t="str">
        <f t="shared" si="8"/>
        <v>Rodoviário</v>
      </c>
    </row>
    <row r="495" spans="1:5" x14ac:dyDescent="0.3">
      <c r="A495" s="1">
        <v>494</v>
      </c>
      <c r="B495" s="2" t="str">
        <f>"TRANSJOI TRANSPORTES LTDA"</f>
        <v>TRANSJOI TRANSPORTES LTDA</v>
      </c>
      <c r="C495" s="2" t="str">
        <f>"83.630.053/0004-66"</f>
        <v>83.630.053/0004-66</v>
      </c>
      <c r="D495" s="2" t="str">
        <f>"TRANSJOI"</f>
        <v>TRANSJOI</v>
      </c>
      <c r="E495" s="2" t="str">
        <f t="shared" si="8"/>
        <v>Rodoviário</v>
      </c>
    </row>
    <row r="496" spans="1:5" x14ac:dyDescent="0.3">
      <c r="A496" s="1">
        <v>495</v>
      </c>
      <c r="B496" s="2" t="str">
        <f>"RODRIGO DOS SANTOS WURMLI"</f>
        <v>RODRIGO DOS SANTOS WURMLI</v>
      </c>
      <c r="C496" s="2" t="str">
        <f>"41.185.668/0001-38"</f>
        <v>41.185.668/0001-38</v>
      </c>
      <c r="D496" s="2" t="str">
        <f>"SANTOS TRANS"</f>
        <v>SANTOS TRANS</v>
      </c>
      <c r="E496" s="2" t="str">
        <f t="shared" si="8"/>
        <v>Rodoviário</v>
      </c>
    </row>
    <row r="497" spans="1:5" x14ac:dyDescent="0.3">
      <c r="A497" s="1">
        <v>496</v>
      </c>
      <c r="B497" s="2" t="str">
        <f>"Renato Araujo Pereira"</f>
        <v>Renato Araujo Pereira</v>
      </c>
      <c r="C497" s="2" t="str">
        <f>"025.937.351-63"</f>
        <v>025.937.351-63</v>
      </c>
      <c r="D497" s="2" t="str">
        <f>"Renato Arauj"</f>
        <v>Renato Arauj</v>
      </c>
      <c r="E497" s="2" t="str">
        <f t="shared" si="8"/>
        <v>Rodoviário</v>
      </c>
    </row>
    <row r="498" spans="1:5" x14ac:dyDescent="0.3">
      <c r="A498" s="1">
        <v>497</v>
      </c>
      <c r="B498" s="2" t="str">
        <f>"Sergio José Ramalho"</f>
        <v>Sergio José Ramalho</v>
      </c>
      <c r="C498" s="2" t="str">
        <f>"828.053.938-72"</f>
        <v>828.053.938-72</v>
      </c>
      <c r="D498" s="2" t="str">
        <f>"Sergio José"</f>
        <v>Sergio José</v>
      </c>
      <c r="E498" s="2" t="str">
        <f t="shared" si="8"/>
        <v>Rodoviário</v>
      </c>
    </row>
    <row r="499" spans="1:5" x14ac:dyDescent="0.3">
      <c r="A499" s="1">
        <v>498</v>
      </c>
      <c r="B499" s="2" t="str">
        <f>"TRANS - FACE TRANSPORTES LTDA"</f>
        <v>TRANS - FACE TRANSPORTES LTDA</v>
      </c>
      <c r="C499" s="2" t="str">
        <f>"61.683.652/0002-43"</f>
        <v>61.683.652/0002-43</v>
      </c>
      <c r="D499" s="2" t="str">
        <f>"FACE"</f>
        <v>FACE</v>
      </c>
      <c r="E499" s="2" t="str">
        <f t="shared" si="8"/>
        <v>Rodoviário</v>
      </c>
    </row>
    <row r="500" spans="1:5" x14ac:dyDescent="0.3">
      <c r="A500" s="1">
        <v>499</v>
      </c>
      <c r="B500" s="2" t="str">
        <f>"PINUSEMBA COMERCIO DE EMBALAGENS LTDA -"</f>
        <v>PINUSEMBA COMERCIO DE EMBALAGENS LTDA -</v>
      </c>
      <c r="C500" s="2" t="str">
        <f>"08.942.220/0001-46"</f>
        <v>08.942.220/0001-46</v>
      </c>
      <c r="D500" s="2" t="str">
        <f>"PINUSEMBA"</f>
        <v>PINUSEMBA</v>
      </c>
      <c r="E500" s="2" t="str">
        <f t="shared" si="8"/>
        <v>Rodoviário</v>
      </c>
    </row>
    <row r="501" spans="1:5" x14ac:dyDescent="0.3">
      <c r="A501" s="1">
        <v>500</v>
      </c>
      <c r="B501" s="2" t="str">
        <f>"Cristiano Moco Aparicio Pirani"</f>
        <v>Cristiano Moco Aparicio Pirani</v>
      </c>
      <c r="C501" s="2" t="str">
        <f>"348.649.258-60"</f>
        <v>348.649.258-60</v>
      </c>
      <c r="D501" s="2" t="str">
        <f>"Cristiano M"</f>
        <v>Cristiano M</v>
      </c>
      <c r="E501" s="2" t="str">
        <f t="shared" si="8"/>
        <v>Rodoviário</v>
      </c>
    </row>
    <row r="502" spans="1:5" x14ac:dyDescent="0.3">
      <c r="A502" s="1">
        <v>501</v>
      </c>
      <c r="B502" s="2" t="str">
        <f>"CONNECT LOG EXPRESS EIRELI"</f>
        <v>CONNECT LOG EXPRESS EIRELI</v>
      </c>
      <c r="C502" s="2" t="str">
        <f>"30.094.011/0001-49"</f>
        <v>30.094.011/0001-49</v>
      </c>
      <c r="D502" s="2" t="str">
        <f>"CONNECT"</f>
        <v>CONNECT</v>
      </c>
      <c r="E502" s="2" t="str">
        <f t="shared" si="8"/>
        <v>Rodoviário</v>
      </c>
    </row>
    <row r="503" spans="1:5" x14ac:dyDescent="0.3">
      <c r="A503" s="1">
        <v>502</v>
      </c>
      <c r="B503" s="2" t="str">
        <f>"BUENO &amp; SERRANO SOLUCOES EM TRANSPORTE E"</f>
        <v>BUENO &amp; SERRANO SOLUCOES EM TRANSPORTE E</v>
      </c>
      <c r="C503" s="2" t="str">
        <f>"18.134.888/0001-10"</f>
        <v>18.134.888/0001-10</v>
      </c>
      <c r="D503" s="2" t="str">
        <f>"CARGOSUL"</f>
        <v>CARGOSUL</v>
      </c>
      <c r="E503" s="2" t="str">
        <f t="shared" si="8"/>
        <v>Rodoviário</v>
      </c>
    </row>
    <row r="504" spans="1:5" x14ac:dyDescent="0.3">
      <c r="A504" s="1">
        <v>503</v>
      </c>
      <c r="B504" s="2" t="str">
        <f>"LARISSA COMERCIO E TRANSPORTE"</f>
        <v>LARISSA COMERCIO E TRANSPORTE</v>
      </c>
      <c r="C504" s="2" t="str">
        <f>"18.543.323/0001-97"</f>
        <v>18.543.323/0001-97</v>
      </c>
      <c r="D504" s="2" t="str">
        <f>"TEREZINHA IN"</f>
        <v>TEREZINHA IN</v>
      </c>
      <c r="E504" s="2" t="str">
        <f t="shared" si="8"/>
        <v>Rodoviário</v>
      </c>
    </row>
    <row r="505" spans="1:5" x14ac:dyDescent="0.3">
      <c r="A505" s="1">
        <v>504</v>
      </c>
      <c r="B505" s="2" t="str">
        <f>"RODASUL LOGISTICA E TRANSPORTES LTDA"</f>
        <v>RODASUL LOGISTICA E TRANSPORTES LTDA</v>
      </c>
      <c r="C505" s="2" t="str">
        <f>"92.379.726/0012-58"</f>
        <v>92.379.726/0012-58</v>
      </c>
      <c r="D505" s="2" t="str">
        <f>"RODASUL LOGI"</f>
        <v>RODASUL LOGI</v>
      </c>
      <c r="E505" s="2" t="str">
        <f t="shared" si="8"/>
        <v>Rodoviário</v>
      </c>
    </row>
    <row r="506" spans="1:5" x14ac:dyDescent="0.3">
      <c r="A506" s="1">
        <v>505</v>
      </c>
      <c r="B506" s="2" t="str">
        <f>"EXPRESSO SÃO MIGUEL LTDA"</f>
        <v>EXPRESSO SÃO MIGUEL LTDA</v>
      </c>
      <c r="C506" s="2" t="str">
        <f>"00.428.307/0011-60"</f>
        <v>00.428.307/0011-60</v>
      </c>
      <c r="D506" s="2" t="str">
        <f>"EXP. SÃO MIG"</f>
        <v>EXP. SÃO MIG</v>
      </c>
      <c r="E506" s="2" t="str">
        <f t="shared" si="8"/>
        <v>Rodoviário</v>
      </c>
    </row>
    <row r="507" spans="1:5" x14ac:dyDescent="0.3">
      <c r="A507" s="1">
        <v>506</v>
      </c>
      <c r="B507" s="2" t="str">
        <f>"DAYE RIBEIRO TRANSPORTES LTDA"</f>
        <v>DAYE RIBEIRO TRANSPORTES LTDA</v>
      </c>
      <c r="C507" s="2" t="str">
        <f>"39.304.724/0001-64"</f>
        <v>39.304.724/0001-64</v>
      </c>
      <c r="D507" s="2" t="str">
        <f>"DAYE"</f>
        <v>DAYE</v>
      </c>
      <c r="E507" s="2" t="str">
        <f t="shared" si="8"/>
        <v>Rodoviário</v>
      </c>
    </row>
    <row r="508" spans="1:5" x14ac:dyDescent="0.3">
      <c r="A508" s="1">
        <v>507</v>
      </c>
      <c r="B508" s="2" t="str">
        <f>"TRANSPORTES S.C AVILA"</f>
        <v>TRANSPORTES S.C AVILA</v>
      </c>
      <c r="C508" s="2" t="str">
        <f>"09.574.359/0003-09"</f>
        <v>09.574.359/0003-09</v>
      </c>
      <c r="D508" s="2" t="str">
        <f>"S.C AVILA"</f>
        <v>S.C AVILA</v>
      </c>
      <c r="E508" s="2" t="str">
        <f t="shared" si="8"/>
        <v>Rodoviário</v>
      </c>
    </row>
    <row r="509" spans="1:5" x14ac:dyDescent="0.3">
      <c r="A509" s="1">
        <v>508</v>
      </c>
      <c r="B509" s="2" t="str">
        <f>"TRANSPORTADORA CONDEROZA LTDA"</f>
        <v>TRANSPORTADORA CONDEROZA LTDA</v>
      </c>
      <c r="C509" s="2" t="str">
        <f>"43.951.698/0001-33"</f>
        <v>43.951.698/0001-33</v>
      </c>
      <c r="D509" s="2" t="str">
        <f>"CONDEROZA"</f>
        <v>CONDEROZA</v>
      </c>
      <c r="E509" s="2" t="str">
        <f t="shared" si="8"/>
        <v>Rodoviário</v>
      </c>
    </row>
    <row r="510" spans="1:5" x14ac:dyDescent="0.3">
      <c r="A510" s="1">
        <v>509</v>
      </c>
      <c r="B510" s="2" t="str">
        <f>"DLT LOGISTICA EM TRANSPORTES LTDA"</f>
        <v>DLT LOGISTICA EM TRANSPORTES LTDA</v>
      </c>
      <c r="C510" s="2" t="str">
        <f>"05.813.363/0010-50"</f>
        <v>05.813.363/0010-50</v>
      </c>
      <c r="D510" s="2" t="str">
        <f>"DESTAK SP"</f>
        <v>DESTAK SP</v>
      </c>
      <c r="E510" s="2" t="str">
        <f t="shared" si="8"/>
        <v>Rodoviário</v>
      </c>
    </row>
    <row r="511" spans="1:5" x14ac:dyDescent="0.3">
      <c r="A511" s="1">
        <v>510</v>
      </c>
      <c r="B511" s="2" t="str">
        <f>"MULTILOGISTICA TRANSPORTE INTERNACIONAL"</f>
        <v>MULTILOGISTICA TRANSPORTE INTERNACIONAL</v>
      </c>
      <c r="C511" s="2" t="str">
        <f>"35.087.067/0001-90"</f>
        <v>35.087.067/0001-90</v>
      </c>
      <c r="D511" s="2" t="str">
        <f>"FERNDANDO JO"</f>
        <v>FERNDANDO JO</v>
      </c>
      <c r="E511" s="2" t="str">
        <f t="shared" si="8"/>
        <v>Rodoviário</v>
      </c>
    </row>
    <row r="512" spans="1:5" x14ac:dyDescent="0.3">
      <c r="A512" s="1">
        <v>511</v>
      </c>
      <c r="B512" s="2" t="str">
        <f>"COMSIL EXPRESS TRANSPORTES EIRELI"</f>
        <v>COMSIL EXPRESS TRANSPORTES EIRELI</v>
      </c>
      <c r="C512" s="2" t="str">
        <f>"34.564.951/0001-05"</f>
        <v>34.564.951/0001-05</v>
      </c>
      <c r="D512" s="2" t="str">
        <f>"COMSIL"</f>
        <v>COMSIL</v>
      </c>
      <c r="E512" s="2" t="str">
        <f t="shared" si="8"/>
        <v>Rodoviário</v>
      </c>
    </row>
    <row r="513" spans="1:5" x14ac:dyDescent="0.3">
      <c r="A513" s="1">
        <v>512</v>
      </c>
      <c r="B513" s="2" t="str">
        <f>"Efitrans Transportes Ltda."</f>
        <v>Efitrans Transportes Ltda.</v>
      </c>
      <c r="C513" s="2" t="str">
        <f>"00.650.831/0002-90"</f>
        <v>00.650.831/0002-90</v>
      </c>
      <c r="D513" s="2" t="str">
        <f>"Efitrans SP"</f>
        <v>Efitrans SP</v>
      </c>
      <c r="E513" s="2" t="str">
        <f t="shared" si="8"/>
        <v>Rodoviário</v>
      </c>
    </row>
    <row r="514" spans="1:5" x14ac:dyDescent="0.3">
      <c r="A514" s="1">
        <v>513</v>
      </c>
      <c r="B514" s="2" t="str">
        <f>"TRANSPORTES ARI LTDA"</f>
        <v>TRANSPORTES ARI LTDA</v>
      </c>
      <c r="C514" s="2" t="str">
        <f>"85.155.372/0008-16"</f>
        <v>85.155.372/0008-16</v>
      </c>
      <c r="D514" s="2" t="str">
        <f>"ARI TRANS"</f>
        <v>ARI TRANS</v>
      </c>
      <c r="E514" s="2" t="str">
        <f t="shared" si="8"/>
        <v>Rodoviário</v>
      </c>
    </row>
    <row r="515" spans="1:5" x14ac:dyDescent="0.3">
      <c r="A515" s="1">
        <v>514</v>
      </c>
      <c r="B515" s="2" t="str">
        <f>"A&amp;G LOCAÇÕES E TRANSPORTES"</f>
        <v>A&amp;G LOCAÇÕES E TRANSPORTES</v>
      </c>
      <c r="C515" s="2" t="str">
        <f>"31.568.869/0002-41"</f>
        <v>31.568.869/0002-41</v>
      </c>
      <c r="D515" s="2" t="str">
        <f>"A&amp;G"</f>
        <v>A&amp;G</v>
      </c>
      <c r="E515" s="2" t="str">
        <f t="shared" si="8"/>
        <v>Rodoviário</v>
      </c>
    </row>
    <row r="516" spans="1:5" x14ac:dyDescent="0.3">
      <c r="A516" s="1">
        <v>515</v>
      </c>
      <c r="B516" s="2" t="str">
        <f>"DLT LOGISTICA EM TRANSPORTES LTDA"</f>
        <v>DLT LOGISTICA EM TRANSPORTES LTDA</v>
      </c>
      <c r="C516" s="2" t="str">
        <f>"05.813.363/0003-21"</f>
        <v>05.813.363/0003-21</v>
      </c>
      <c r="D516" s="2" t="str">
        <f>"DESTAK SC"</f>
        <v>DESTAK SC</v>
      </c>
      <c r="E516" s="2" t="str">
        <f t="shared" si="8"/>
        <v>Rodoviário</v>
      </c>
    </row>
    <row r="517" spans="1:5" x14ac:dyDescent="0.3">
      <c r="A517" s="1">
        <v>516</v>
      </c>
      <c r="B517" s="2" t="str">
        <f>"DLT LOGISTICA EM TRANSPORTES LTDA"</f>
        <v>DLT LOGISTICA EM TRANSPORTES LTDA</v>
      </c>
      <c r="C517" s="2" t="str">
        <f>"05.813.363/0005-93"</f>
        <v>05.813.363/0005-93</v>
      </c>
      <c r="D517" s="2" t="str">
        <f>"DESTAK RS"</f>
        <v>DESTAK RS</v>
      </c>
      <c r="E517" s="2" t="str">
        <f t="shared" si="8"/>
        <v>Rodoviário</v>
      </c>
    </row>
    <row r="518" spans="1:5" x14ac:dyDescent="0.3">
      <c r="A518" s="1">
        <v>517</v>
      </c>
      <c r="B518" s="2" t="str">
        <f>"DREVEK TRANSPORTES LTDA"</f>
        <v>DREVEK TRANSPORTES LTDA</v>
      </c>
      <c r="C518" s="2" t="str">
        <f>"42.952.704/0001-04"</f>
        <v>42.952.704/0001-04</v>
      </c>
      <c r="D518" s="2" t="str">
        <f>"DREVEK"</f>
        <v>DREVEK</v>
      </c>
      <c r="E518" s="2" t="str">
        <f t="shared" si="8"/>
        <v>Rodoviário</v>
      </c>
    </row>
    <row r="519" spans="1:5" x14ac:dyDescent="0.3">
      <c r="A519" s="1">
        <v>518</v>
      </c>
      <c r="B519" s="2" t="str">
        <f>"DLT LOGISTICA EM TRANSPORTES LTDA"</f>
        <v>DLT LOGISTICA EM TRANSPORTES LTDA</v>
      </c>
      <c r="C519" s="2" t="str">
        <f>"05.813.363/0006-74"</f>
        <v>05.813.363/0006-74</v>
      </c>
      <c r="D519" s="2" t="str">
        <f>"DESTAK PR"</f>
        <v>DESTAK PR</v>
      </c>
      <c r="E519" s="2" t="str">
        <f t="shared" si="8"/>
        <v>Rodoviário</v>
      </c>
    </row>
    <row r="520" spans="1:5" x14ac:dyDescent="0.3">
      <c r="A520" s="1">
        <v>519</v>
      </c>
      <c r="B520" s="2" t="str">
        <f>"MAX RHEINHEIMER CARDOSO EIRELI"</f>
        <v>MAX RHEINHEIMER CARDOSO EIRELI</v>
      </c>
      <c r="C520" s="2" t="str">
        <f>"04.902.630/0003-74"</f>
        <v>04.902.630/0003-74</v>
      </c>
      <c r="D520" s="2" t="str">
        <f>"MAXLOG TRA"</f>
        <v>MAXLOG TRA</v>
      </c>
      <c r="E520" s="2" t="str">
        <f t="shared" si="8"/>
        <v>Rodoviário</v>
      </c>
    </row>
    <row r="521" spans="1:5" x14ac:dyDescent="0.3">
      <c r="A521" s="1">
        <v>520</v>
      </c>
      <c r="B521" s="2" t="str">
        <f>"TRANSPORTES MEIO OESTE EIRELI"</f>
        <v>TRANSPORTES MEIO OESTE EIRELI</v>
      </c>
      <c r="C521" s="2" t="str">
        <f>"15.668.992/0001-05"</f>
        <v>15.668.992/0001-05</v>
      </c>
      <c r="D521" s="2" t="str">
        <f>"MEIO OSTE"</f>
        <v>MEIO OSTE</v>
      </c>
      <c r="E521" s="2" t="str">
        <f t="shared" si="8"/>
        <v>Rodoviário</v>
      </c>
    </row>
    <row r="522" spans="1:5" x14ac:dyDescent="0.3">
      <c r="A522" s="1">
        <v>521</v>
      </c>
      <c r="B522" s="2" t="str">
        <f>"DEMETRIO TRANSPORTES LTDA"</f>
        <v>DEMETRIO TRANSPORTES LTDA</v>
      </c>
      <c r="C522" s="2" t="str">
        <f>"12.991.318/0003-22"</f>
        <v>12.991.318/0003-22</v>
      </c>
      <c r="D522" s="2" t="str">
        <f>"DEMETRIO"</f>
        <v>DEMETRIO</v>
      </c>
      <c r="E522" s="2" t="str">
        <f t="shared" si="8"/>
        <v>Rodoviário</v>
      </c>
    </row>
    <row r="523" spans="1:5" x14ac:dyDescent="0.3">
      <c r="A523" s="1">
        <v>522</v>
      </c>
      <c r="B523" s="2" t="str">
        <f>"TRANSJOVEM SERVICOS LOGISTICOS LTDA EPP"</f>
        <v>TRANSJOVEM SERVICOS LOGISTICOS LTDA EPP</v>
      </c>
      <c r="C523" s="2" t="str">
        <f>"22.923.517/0001-95"</f>
        <v>22.923.517/0001-95</v>
      </c>
      <c r="D523" s="2" t="str">
        <f>"TRANSJOVEM"</f>
        <v>TRANSJOVEM</v>
      </c>
      <c r="E523" s="2" t="str">
        <f t="shared" si="8"/>
        <v>Rodoviário</v>
      </c>
    </row>
    <row r="524" spans="1:5" x14ac:dyDescent="0.3">
      <c r="A524" s="1">
        <v>523</v>
      </c>
      <c r="B524" s="2" t="str">
        <f>"DINO PETRY"</f>
        <v>DINO PETRY</v>
      </c>
      <c r="C524" s="2" t="str">
        <f>"310.205.429-34"</f>
        <v>310.205.429-34</v>
      </c>
      <c r="D524" s="2" t="str">
        <f>"DINO"</f>
        <v>DINO</v>
      </c>
      <c r="E524" s="2" t="str">
        <f t="shared" si="8"/>
        <v>Rodoviário</v>
      </c>
    </row>
    <row r="525" spans="1:5" x14ac:dyDescent="0.3">
      <c r="A525" s="1">
        <v>524</v>
      </c>
      <c r="B525" s="2" t="str">
        <f>"LAMINADOS DO BRASIL LTDA"</f>
        <v>LAMINADOS DO BRASIL LTDA</v>
      </c>
      <c r="C525" s="2" t="str">
        <f>"04.255.158/0001-63"</f>
        <v>04.255.158/0001-63</v>
      </c>
      <c r="D525" s="2" t="str">
        <f>"KARIKAL"</f>
        <v>KARIKAL</v>
      </c>
      <c r="E525" s="2" t="str">
        <f t="shared" si="8"/>
        <v>Rodoviário</v>
      </c>
    </row>
    <row r="526" spans="1:5" x14ac:dyDescent="0.3">
      <c r="A526" s="1">
        <v>525</v>
      </c>
      <c r="B526" s="2" t="str">
        <f>"BRASPRESS TRANSPORTES URGENTES LTDA"</f>
        <v>BRASPRESS TRANSPORTES URGENTES LTDA</v>
      </c>
      <c r="C526" s="2" t="str">
        <f>"48.740.351/0021-09"</f>
        <v>48.740.351/0021-09</v>
      </c>
      <c r="D526" s="2" t="str">
        <f>"BRASPRESS 2"</f>
        <v>BRASPRESS 2</v>
      </c>
      <c r="E526" s="2" t="str">
        <f t="shared" si="8"/>
        <v>Rodoviário</v>
      </c>
    </row>
    <row r="527" spans="1:5" x14ac:dyDescent="0.3">
      <c r="A527" s="1">
        <v>526</v>
      </c>
      <c r="B527" s="2" t="str">
        <f>"RUBEN R. MARIÑELARENA S.A"</f>
        <v>RUBEN R. MARIÑELARENA S.A</v>
      </c>
      <c r="C527" s="9">
        <v>30709429767</v>
      </c>
      <c r="D527" s="2" t="str">
        <f>"RUBEN R"</f>
        <v>RUBEN R</v>
      </c>
      <c r="E527" s="2" t="str">
        <f t="shared" si="8"/>
        <v>Rodoviário</v>
      </c>
    </row>
    <row r="528" spans="1:5" x14ac:dyDescent="0.3">
      <c r="A528" s="1">
        <v>527</v>
      </c>
      <c r="B528" s="2" t="str">
        <f>"LOTTUS TRANSPORTES LTDA"</f>
        <v>LOTTUS TRANSPORTES LTDA</v>
      </c>
      <c r="C528" s="2" t="str">
        <f>"11.108.233/0001-29"</f>
        <v>11.108.233/0001-29</v>
      </c>
      <c r="D528" s="2" t="str">
        <f>"LOTTUS"</f>
        <v>LOTTUS</v>
      </c>
      <c r="E528" s="2" t="str">
        <f t="shared" ref="E528:E591" si="9">"Rodoviário"</f>
        <v>Rodoviário</v>
      </c>
    </row>
    <row r="529" spans="1:5" x14ac:dyDescent="0.3">
      <c r="A529" s="1">
        <v>528</v>
      </c>
      <c r="B529" s="2" t="str">
        <f>"TRANSPORTES E HOTEL MODELO LTDA"</f>
        <v>TRANSPORTES E HOTEL MODELO LTDA</v>
      </c>
      <c r="C529" s="2" t="str">
        <f>"19.680.395/0002-20"</f>
        <v>19.680.395/0002-20</v>
      </c>
      <c r="D529" s="2" t="str">
        <f>"MODELO TRANS"</f>
        <v>MODELO TRANS</v>
      </c>
      <c r="E529" s="2" t="str">
        <f t="shared" si="9"/>
        <v>Rodoviário</v>
      </c>
    </row>
    <row r="530" spans="1:5" x14ac:dyDescent="0.3">
      <c r="A530" s="1">
        <v>529</v>
      </c>
      <c r="B530" s="2" t="str">
        <f>"BRASPRESS TRANSPORTES URGENTES"</f>
        <v>BRASPRESS TRANSPORTES URGENTES</v>
      </c>
      <c r="C530" s="2" t="str">
        <f>"48.740.351/0017-22"</f>
        <v>48.740.351/0017-22</v>
      </c>
      <c r="D530" s="2" t="str">
        <f>"BRASPRESS 3"</f>
        <v>BRASPRESS 3</v>
      </c>
      <c r="E530" s="2" t="str">
        <f t="shared" si="9"/>
        <v>Rodoviário</v>
      </c>
    </row>
    <row r="531" spans="1:5" x14ac:dyDescent="0.3">
      <c r="A531" s="1">
        <v>530</v>
      </c>
      <c r="B531" s="2" t="str">
        <f>"Efitrans Transportes Ltda."</f>
        <v>Efitrans Transportes Ltda.</v>
      </c>
      <c r="C531" s="2" t="str">
        <f>"00.650.831/0004-51"</f>
        <v>00.650.831/0004-51</v>
      </c>
      <c r="D531" s="2" t="str">
        <f>"Efitrans RS"</f>
        <v>Efitrans RS</v>
      </c>
      <c r="E531" s="2" t="str">
        <f t="shared" si="9"/>
        <v>Rodoviário</v>
      </c>
    </row>
    <row r="532" spans="1:5" x14ac:dyDescent="0.3">
      <c r="A532" s="1">
        <v>531</v>
      </c>
      <c r="B532" s="2" t="str">
        <f>"TRANSPORTES LUCHTENBERG LTDA"</f>
        <v>TRANSPORTES LUCHTENBERG LTDA</v>
      </c>
      <c r="C532" s="2" t="str">
        <f>"37.685.876/0001-29"</f>
        <v>37.685.876/0001-29</v>
      </c>
      <c r="D532" s="2" t="str">
        <f>"LUCHTENBERG"</f>
        <v>LUCHTENBERG</v>
      </c>
      <c r="E532" s="2" t="str">
        <f t="shared" si="9"/>
        <v>Rodoviário</v>
      </c>
    </row>
    <row r="533" spans="1:5" x14ac:dyDescent="0.3">
      <c r="A533" s="1">
        <v>532</v>
      </c>
      <c r="B533" s="2" t="str">
        <f>"SULFIBRA INDUSTRIA E COMERCIO LTDA"</f>
        <v>SULFIBRA INDUSTRIA E COMERCIO LTDA</v>
      </c>
      <c r="C533" s="2" t="str">
        <f>"08.285.458/0013-80"</f>
        <v>08.285.458/0013-80</v>
      </c>
      <c r="D533" s="2" t="str">
        <f>"SULFIBRA"</f>
        <v>SULFIBRA</v>
      </c>
      <c r="E533" s="2" t="str">
        <f t="shared" si="9"/>
        <v>Rodoviário</v>
      </c>
    </row>
    <row r="534" spans="1:5" x14ac:dyDescent="0.3">
      <c r="A534" s="1">
        <v>533</v>
      </c>
      <c r="B534" s="2" t="str">
        <f>"SULFIBRA FILIAL TIJUCAS DO SUL TRANSPORT"</f>
        <v>SULFIBRA FILIAL TIJUCAS DO SUL TRANSPORT</v>
      </c>
      <c r="C534" s="2" t="str">
        <f>"08.285.458/0012-07"</f>
        <v>08.285.458/0012-07</v>
      </c>
      <c r="D534" s="2" t="str">
        <f>"SULFIBRA TIJ"</f>
        <v>SULFIBRA TIJ</v>
      </c>
      <c r="E534" s="2" t="str">
        <f t="shared" si="9"/>
        <v>Rodoviário</v>
      </c>
    </row>
    <row r="535" spans="1:5" x14ac:dyDescent="0.3">
      <c r="A535" s="1">
        <v>534</v>
      </c>
      <c r="B535" s="2" t="str">
        <f>"ALLIANCE TRANSPORTE E LOGISTICA"</f>
        <v>ALLIANCE TRANSPORTE E LOGISTICA</v>
      </c>
      <c r="C535" s="2" t="str">
        <f>"04.927.231/0005-20"</f>
        <v>04.927.231/0005-20</v>
      </c>
      <c r="D535" s="2" t="str">
        <f>"ALLIANCE"</f>
        <v>ALLIANCE</v>
      </c>
      <c r="E535" s="2" t="str">
        <f t="shared" si="9"/>
        <v>Rodoviário</v>
      </c>
    </row>
    <row r="536" spans="1:5" x14ac:dyDescent="0.3">
      <c r="A536" s="1">
        <v>535</v>
      </c>
      <c r="B536" s="2" t="str">
        <f>"SEGMA TRANSPORTES LTDA"</f>
        <v>SEGMA TRANSPORTES LTDA</v>
      </c>
      <c r="C536" s="2" t="str">
        <f>"11.511.229/0001-07"</f>
        <v>11.511.229/0001-07</v>
      </c>
      <c r="D536" s="2" t="str">
        <f>"SEGMA"</f>
        <v>SEGMA</v>
      </c>
      <c r="E536" s="2" t="str">
        <f t="shared" si="9"/>
        <v>Rodoviário</v>
      </c>
    </row>
    <row r="537" spans="1:5" x14ac:dyDescent="0.3">
      <c r="A537" s="1">
        <v>536</v>
      </c>
      <c r="B537" s="2" t="str">
        <f>"LCT do Brasil Ltda"</f>
        <v>LCT do Brasil Ltda</v>
      </c>
      <c r="C537" s="2" t="str">
        <f>"13.831.647/0001-07"</f>
        <v>13.831.647/0001-07</v>
      </c>
      <c r="D537" s="2" t="str">
        <f>"LCT"</f>
        <v>LCT</v>
      </c>
      <c r="E537" s="2" t="str">
        <f t="shared" si="9"/>
        <v>Rodoviário</v>
      </c>
    </row>
    <row r="538" spans="1:5" x14ac:dyDescent="0.3">
      <c r="A538" s="1">
        <v>537</v>
      </c>
      <c r="B538" s="2" t="str">
        <f>"MARIA CELIA VICENTIN SCAGNOLATO"</f>
        <v>MARIA CELIA VICENTIN SCAGNOLATO</v>
      </c>
      <c r="C538" s="2" t="str">
        <f>"01.898.877/0001-04"</f>
        <v>01.898.877/0001-04</v>
      </c>
      <c r="D538" s="2" t="str">
        <f>"MARIA CELIA"</f>
        <v>MARIA CELIA</v>
      </c>
      <c r="E538" s="2" t="str">
        <f t="shared" si="9"/>
        <v>Rodoviário</v>
      </c>
    </row>
    <row r="539" spans="1:5" x14ac:dyDescent="0.3">
      <c r="A539" s="1">
        <v>538</v>
      </c>
      <c r="B539" s="2" t="str">
        <f>"MIRRADO TRANSPORTES EIRELI EPP"</f>
        <v>MIRRADO TRANSPORTES EIRELI EPP</v>
      </c>
      <c r="C539" s="2" t="str">
        <f>"16.606.086/0001-30"</f>
        <v>16.606.086/0001-30</v>
      </c>
      <c r="D539" s="2" t="str">
        <f>"MIRRADO"</f>
        <v>MIRRADO</v>
      </c>
      <c r="E539" s="2" t="str">
        <f t="shared" si="9"/>
        <v>Rodoviário</v>
      </c>
    </row>
    <row r="540" spans="1:5" x14ac:dyDescent="0.3">
      <c r="A540" s="1">
        <v>539</v>
      </c>
      <c r="B540" s="2" t="str">
        <f>"EFITRANS TRANSPORTADORA LTDA"</f>
        <v>EFITRANS TRANSPORTADORA LTDA</v>
      </c>
      <c r="C540" s="2" t="str">
        <f>"00.650.831/0006-13"</f>
        <v>00.650.831/0006-13</v>
      </c>
      <c r="D540" s="2" t="str">
        <f>"EFITRANS 2"</f>
        <v>EFITRANS 2</v>
      </c>
      <c r="E540" s="2" t="str">
        <f t="shared" si="9"/>
        <v>Rodoviário</v>
      </c>
    </row>
    <row r="541" spans="1:5" x14ac:dyDescent="0.3">
      <c r="A541" s="1">
        <v>540</v>
      </c>
      <c r="B541" s="2" t="str">
        <f>"TRANS MILANI TRANSPORTES LTDA"</f>
        <v>TRANS MILANI TRANSPORTES LTDA</v>
      </c>
      <c r="C541" s="2" t="str">
        <f>"96.255.781/0001-34"</f>
        <v>96.255.781/0001-34</v>
      </c>
      <c r="D541" s="2" t="str">
        <f>"MILANI"</f>
        <v>MILANI</v>
      </c>
      <c r="E541" s="2" t="str">
        <f t="shared" si="9"/>
        <v>Rodoviário</v>
      </c>
    </row>
    <row r="542" spans="1:5" x14ac:dyDescent="0.3">
      <c r="A542" s="1">
        <v>541</v>
      </c>
      <c r="B542" s="2" t="str">
        <f>"TRANSNIL TRANSPORTES LTDA"</f>
        <v>TRANSNIL TRANSPORTES LTDA</v>
      </c>
      <c r="C542" s="2" t="str">
        <f>"00.462.245/0004-83"</f>
        <v>00.462.245/0004-83</v>
      </c>
      <c r="D542" s="2" t="str">
        <f>"TRANSNIL"</f>
        <v>TRANSNIL</v>
      </c>
      <c r="E542" s="2" t="str">
        <f t="shared" si="9"/>
        <v>Rodoviário</v>
      </c>
    </row>
    <row r="543" spans="1:5" x14ac:dyDescent="0.3">
      <c r="A543" s="1">
        <v>542</v>
      </c>
      <c r="B543" s="2" t="str">
        <f>"SCHENKER DO BRASIL TRANSP"</f>
        <v>SCHENKER DO BRASIL TRANSP</v>
      </c>
      <c r="C543" s="2" t="str">
        <f>"43.823.079/0007-59"</f>
        <v>43.823.079/0007-59</v>
      </c>
      <c r="D543" s="2" t="str">
        <f>"SCHENKER 2"</f>
        <v>SCHENKER 2</v>
      </c>
      <c r="E543" s="2" t="str">
        <f t="shared" si="9"/>
        <v>Rodoviário</v>
      </c>
    </row>
    <row r="544" spans="1:5" x14ac:dyDescent="0.3">
      <c r="A544" s="1">
        <v>543</v>
      </c>
      <c r="B544" s="2" t="str">
        <f>"RAPIDO  SUNORTE LTDA"</f>
        <v>RAPIDO  SUNORTE LTDA</v>
      </c>
      <c r="C544" s="2" t="str">
        <f>"86.048.063/0002-14"</f>
        <v>86.048.063/0002-14</v>
      </c>
      <c r="D544" s="2" t="str">
        <f>"SUNORTE"</f>
        <v>SUNORTE</v>
      </c>
      <c r="E544" s="2" t="str">
        <f t="shared" si="9"/>
        <v>Rodoviário</v>
      </c>
    </row>
    <row r="545" spans="1:5" x14ac:dyDescent="0.3">
      <c r="A545" s="1">
        <v>544</v>
      </c>
      <c r="B545" s="2" t="str">
        <f>"MALESKI TRANSPORTES EIRELI"</f>
        <v>MALESKI TRANSPORTES EIRELI</v>
      </c>
      <c r="C545" s="2" t="str">
        <f>"14.148.309/0001-38"</f>
        <v>14.148.309/0001-38</v>
      </c>
      <c r="D545" s="2" t="str">
        <f>"MALESKI"</f>
        <v>MALESKI</v>
      </c>
      <c r="E545" s="2" t="str">
        <f t="shared" si="9"/>
        <v>Rodoviário</v>
      </c>
    </row>
    <row r="546" spans="1:5" x14ac:dyDescent="0.3">
      <c r="A546" s="1">
        <v>545</v>
      </c>
      <c r="B546" s="2" t="str">
        <f>"BRUNA TRANSPORTES E COMERCIO LTDA"</f>
        <v>BRUNA TRANSPORTES E COMERCIO LTDA</v>
      </c>
      <c r="C546" s="2" t="str">
        <f>"13.322.377/0001-09"</f>
        <v>13.322.377/0001-09</v>
      </c>
      <c r="D546" s="2" t="str">
        <f>"BRUNA"</f>
        <v>BRUNA</v>
      </c>
      <c r="E546" s="2" t="str">
        <f t="shared" si="9"/>
        <v>Rodoviário</v>
      </c>
    </row>
    <row r="547" spans="1:5" x14ac:dyDescent="0.3">
      <c r="A547" s="1">
        <v>546</v>
      </c>
      <c r="B547" s="2" t="str">
        <f>"MID TRANSPORTES LTDA"</f>
        <v>MID TRANSPORTES LTDA</v>
      </c>
      <c r="C547" s="2" t="str">
        <f>"27.654.604/0001-08"</f>
        <v>27.654.604/0001-08</v>
      </c>
      <c r="D547" s="2" t="str">
        <f>"MID"</f>
        <v>MID</v>
      </c>
      <c r="E547" s="2" t="str">
        <f t="shared" si="9"/>
        <v>Rodoviário</v>
      </c>
    </row>
    <row r="548" spans="1:5" x14ac:dyDescent="0.3">
      <c r="A548" s="1">
        <v>547</v>
      </c>
      <c r="B548" s="2" t="str">
        <f>"VPM LOGISTICA INTEGRADA LTDA"</f>
        <v>VPM LOGISTICA INTEGRADA LTDA</v>
      </c>
      <c r="C548" s="2" t="str">
        <f>"02.694.379/0001-02"</f>
        <v>02.694.379/0001-02</v>
      </c>
      <c r="D548" s="2" t="str">
        <f>"VPM"</f>
        <v>VPM</v>
      </c>
      <c r="E548" s="2" t="str">
        <f t="shared" si="9"/>
        <v>Rodoviário</v>
      </c>
    </row>
    <row r="549" spans="1:5" x14ac:dyDescent="0.3">
      <c r="A549" s="1">
        <v>548</v>
      </c>
      <c r="B549" s="2" t="str">
        <f>"GSP LOG TRANPORTES"</f>
        <v>GSP LOG TRANPORTES</v>
      </c>
      <c r="C549" s="2" t="str">
        <f>"30.678.026/0001-54"</f>
        <v>30.678.026/0001-54</v>
      </c>
      <c r="D549" s="2" t="str">
        <f>"GSP LOG"</f>
        <v>GSP LOG</v>
      </c>
      <c r="E549" s="2" t="str">
        <f t="shared" si="9"/>
        <v>Rodoviário</v>
      </c>
    </row>
    <row r="550" spans="1:5" x14ac:dyDescent="0.3">
      <c r="A550" s="1">
        <v>549</v>
      </c>
      <c r="B550" s="2" t="str">
        <f>"Pedra Branca Transportes Ltda"</f>
        <v>Pedra Branca Transportes Ltda</v>
      </c>
      <c r="C550" s="2" t="str">
        <f>"04.880.945/0007-91"</f>
        <v>04.880.945/0007-91</v>
      </c>
      <c r="D550" s="2" t="str">
        <f>"Pedra Branca"</f>
        <v>Pedra Branca</v>
      </c>
      <c r="E550" s="2" t="str">
        <f t="shared" si="9"/>
        <v>Rodoviário</v>
      </c>
    </row>
    <row r="551" spans="1:5" x14ac:dyDescent="0.3">
      <c r="A551" s="1">
        <v>550</v>
      </c>
      <c r="B551" s="2" t="str">
        <f>"CKL TRANSPORTES LTDA"</f>
        <v>CKL TRANSPORTES LTDA</v>
      </c>
      <c r="C551" s="2" t="str">
        <f>"01.464.000/0001-05"</f>
        <v>01.464.000/0001-05</v>
      </c>
      <c r="D551" s="2" t="str">
        <f>"CKL"</f>
        <v>CKL</v>
      </c>
      <c r="E551" s="2" t="str">
        <f t="shared" si="9"/>
        <v>Rodoviário</v>
      </c>
    </row>
    <row r="552" spans="1:5" x14ac:dyDescent="0.3">
      <c r="A552" s="1">
        <v>551</v>
      </c>
      <c r="B552" s="2" t="str">
        <f>"SEKALOG TRANSPORTES LTDA"</f>
        <v>SEKALOG TRANSPORTES LTDA</v>
      </c>
      <c r="C552" s="2" t="str">
        <f>"10.458.775/0001-69"</f>
        <v>10.458.775/0001-69</v>
      </c>
      <c r="D552" s="2" t="str">
        <f>"SEKALOG"</f>
        <v>SEKALOG</v>
      </c>
      <c r="E552" s="2" t="str">
        <f t="shared" si="9"/>
        <v>Rodoviário</v>
      </c>
    </row>
    <row r="553" spans="1:5" x14ac:dyDescent="0.3">
      <c r="A553" s="1">
        <v>552</v>
      </c>
      <c r="B553" s="2" t="str">
        <f>"ARS - COLETA DE RESIDUOS LTDA"</f>
        <v>ARS - COLETA DE RESIDUOS LTDA</v>
      </c>
      <c r="C553" s="2" t="str">
        <f>"81.435.620/0001-55"</f>
        <v>81.435.620/0001-55</v>
      </c>
      <c r="D553" s="2" t="str">
        <f>"ARS COLETA"</f>
        <v>ARS COLETA</v>
      </c>
      <c r="E553" s="2" t="str">
        <f t="shared" si="9"/>
        <v>Rodoviário</v>
      </c>
    </row>
    <row r="554" spans="1:5" x14ac:dyDescent="0.3">
      <c r="A554" s="1">
        <v>553</v>
      </c>
      <c r="B554" s="2" t="str">
        <f>"COOPERATIVA DOS TRANSPORTADORES DE CURIT"</f>
        <v>COOPERATIVA DOS TRANSPORTADORES DE CURIT</v>
      </c>
      <c r="C554" s="2" t="str">
        <f>"39.738.506/0001-38"</f>
        <v>39.738.506/0001-38</v>
      </c>
      <c r="D554" s="2" t="str">
        <f>"COTRAC"</f>
        <v>COTRAC</v>
      </c>
      <c r="E554" s="2" t="str">
        <f t="shared" si="9"/>
        <v>Rodoviário</v>
      </c>
    </row>
    <row r="555" spans="1:5" x14ac:dyDescent="0.3">
      <c r="A555" s="1">
        <v>554</v>
      </c>
      <c r="B555" s="2" t="str">
        <f>"JOAO PIRES DE OLIVEIRA TRANSPORTES LTDA"</f>
        <v>JOAO PIRES DE OLIVEIRA TRANSPORTES LTDA</v>
      </c>
      <c r="C555" s="2" t="str">
        <f>"44.516.865/0001-80"</f>
        <v>44.516.865/0001-80</v>
      </c>
      <c r="D555" s="2" t="str">
        <f>"JOAO PIRES"</f>
        <v>JOAO PIRES</v>
      </c>
      <c r="E555" s="2" t="str">
        <f t="shared" si="9"/>
        <v>Rodoviário</v>
      </c>
    </row>
    <row r="556" spans="1:5" x14ac:dyDescent="0.3">
      <c r="A556" s="1">
        <v>555</v>
      </c>
      <c r="B556" s="2" t="str">
        <f>"TRANSPORTES PARANA LTDA"</f>
        <v>TRANSPORTES PARANA LTDA</v>
      </c>
      <c r="C556" s="2" t="str">
        <f>"13.503.924/0001-52"</f>
        <v>13.503.924/0001-52</v>
      </c>
      <c r="D556" s="2" t="str">
        <f>"PARANA"</f>
        <v>PARANA</v>
      </c>
      <c r="E556" s="2" t="str">
        <f t="shared" si="9"/>
        <v>Rodoviário</v>
      </c>
    </row>
    <row r="557" spans="1:5" x14ac:dyDescent="0.3">
      <c r="A557" s="1">
        <v>556</v>
      </c>
      <c r="B557" s="2" t="str">
        <f>"TRANSPORTES RIZZI LTDA"</f>
        <v>TRANSPORTES RIZZI LTDA</v>
      </c>
      <c r="C557" s="2" t="str">
        <f>"01.922.461/0003-46"</f>
        <v>01.922.461/0003-46</v>
      </c>
      <c r="D557" s="2" t="str">
        <f>"RIZZI"</f>
        <v>RIZZI</v>
      </c>
      <c r="E557" s="2" t="str">
        <f t="shared" si="9"/>
        <v>Rodoviário</v>
      </c>
    </row>
    <row r="558" spans="1:5" x14ac:dyDescent="0.3">
      <c r="A558" s="1">
        <v>557</v>
      </c>
      <c r="B558" s="2" t="str">
        <f>"TOBEMA TRANSPORTADORA LTDA"</f>
        <v>TOBEMA TRANSPORTADORA LTDA</v>
      </c>
      <c r="C558" s="2" t="str">
        <f>"58.338.138/0001-85"</f>
        <v>58.338.138/0001-85</v>
      </c>
      <c r="D558" s="2" t="str">
        <f>"TOBEMA"</f>
        <v>TOBEMA</v>
      </c>
      <c r="E558" s="2" t="str">
        <f t="shared" si="9"/>
        <v>Rodoviário</v>
      </c>
    </row>
    <row r="559" spans="1:5" x14ac:dyDescent="0.3">
      <c r="A559" s="1">
        <v>558</v>
      </c>
      <c r="B559" s="2" t="str">
        <f>"RR LOGTRANS EIRELI"</f>
        <v>RR LOGTRANS EIRELI</v>
      </c>
      <c r="C559" s="2" t="str">
        <f>"23.515.385/0003-97"</f>
        <v>23.515.385/0003-97</v>
      </c>
      <c r="D559" s="2" t="str">
        <f>"RR LOGTRANS"</f>
        <v>RR LOGTRANS</v>
      </c>
      <c r="E559" s="2" t="str">
        <f t="shared" si="9"/>
        <v>Rodoviário</v>
      </c>
    </row>
    <row r="560" spans="1:5" x14ac:dyDescent="0.3">
      <c r="A560" s="1">
        <v>559</v>
      </c>
      <c r="B560" s="2" t="str">
        <f>"COMELLI ZAPELINI TRANSPORTES EIRELI"</f>
        <v>COMELLI ZAPELINI TRANSPORTES EIRELI</v>
      </c>
      <c r="C560" s="2" t="str">
        <f>"09.200.008/0001-76"</f>
        <v>09.200.008/0001-76</v>
      </c>
      <c r="D560" s="2" t="str">
        <f>"COZAPI TRANS"</f>
        <v>COZAPI TRANS</v>
      </c>
      <c r="E560" s="2" t="str">
        <f t="shared" si="9"/>
        <v>Rodoviário</v>
      </c>
    </row>
    <row r="561" spans="1:5" x14ac:dyDescent="0.3">
      <c r="A561" s="1">
        <v>560</v>
      </c>
      <c r="B561" s="2" t="str">
        <f>"CONCREM WOOD AGROINDUSTRIAL LTDA"</f>
        <v>CONCREM WOOD AGROINDUSTRIAL LTDA</v>
      </c>
      <c r="C561" s="2" t="str">
        <f>"18.543.638/0001-34"</f>
        <v>18.543.638/0001-34</v>
      </c>
      <c r="D561" s="2" t="str">
        <f>"RIO CONCREM"</f>
        <v>RIO CONCREM</v>
      </c>
      <c r="E561" s="2" t="str">
        <f t="shared" si="9"/>
        <v>Rodoviário</v>
      </c>
    </row>
    <row r="562" spans="1:5" x14ac:dyDescent="0.3">
      <c r="A562" s="1">
        <v>561</v>
      </c>
      <c r="B562" s="2" t="str">
        <f>"E.R.S. TRANSPORTES LTDA."</f>
        <v>E.R.S. TRANSPORTES LTDA.</v>
      </c>
      <c r="C562" s="2" t="str">
        <f>"05.813.343/0006-01"</f>
        <v>05.813.343/0006-01</v>
      </c>
      <c r="D562" s="2" t="str">
        <f>"ERS Transp"</f>
        <v>ERS Transp</v>
      </c>
      <c r="E562" s="2" t="str">
        <f t="shared" si="9"/>
        <v>Rodoviário</v>
      </c>
    </row>
    <row r="563" spans="1:5" x14ac:dyDescent="0.3">
      <c r="A563" s="1">
        <v>562</v>
      </c>
      <c r="B563" s="2" t="str">
        <f>"TRANSPRIM TRANSPORTES LTDA"</f>
        <v>TRANSPRIM TRANSPORTES LTDA</v>
      </c>
      <c r="C563" s="2" t="str">
        <f>"03.880.734/0003-62"</f>
        <v>03.880.734/0003-62</v>
      </c>
      <c r="D563" s="2" t="str">
        <f>"TRANSPRIM"</f>
        <v>TRANSPRIM</v>
      </c>
      <c r="E563" s="2" t="str">
        <f t="shared" si="9"/>
        <v>Rodoviário</v>
      </c>
    </row>
    <row r="564" spans="1:5" x14ac:dyDescent="0.3">
      <c r="A564" s="1">
        <v>563</v>
      </c>
      <c r="B564" s="2" t="str">
        <f>"C2LOG TRANSPORTES LTDA"</f>
        <v>C2LOG TRANSPORTES LTDA</v>
      </c>
      <c r="C564" s="2" t="str">
        <f>"04.876.970/0001-06"</f>
        <v>04.876.970/0001-06</v>
      </c>
      <c r="D564" s="2" t="str">
        <f>"C2LOG"</f>
        <v>C2LOG</v>
      </c>
      <c r="E564" s="2" t="str">
        <f t="shared" si="9"/>
        <v>Rodoviário</v>
      </c>
    </row>
    <row r="565" spans="1:5" x14ac:dyDescent="0.3">
      <c r="A565" s="1">
        <v>564</v>
      </c>
      <c r="B565" s="2" t="str">
        <f>"LONTANO TRANSPORTES LTDA"</f>
        <v>LONTANO TRANSPORTES LTDA</v>
      </c>
      <c r="C565" s="2" t="str">
        <f>"11.455.829/0007-90"</f>
        <v>11.455.829/0007-90</v>
      </c>
      <c r="D565" s="2" t="str">
        <f>"LONTANO"</f>
        <v>LONTANO</v>
      </c>
      <c r="E565" s="2" t="str">
        <f t="shared" si="9"/>
        <v>Rodoviário</v>
      </c>
    </row>
    <row r="566" spans="1:5" x14ac:dyDescent="0.3">
      <c r="A566" s="1">
        <v>565</v>
      </c>
      <c r="B566" s="2" t="str">
        <f>"EDIGLAN TRANSPORTES LTDA"</f>
        <v>EDIGLAN TRANSPORTES LTDA</v>
      </c>
      <c r="C566" s="2" t="str">
        <f>"38.171.652/0001-61"</f>
        <v>38.171.652/0001-61</v>
      </c>
      <c r="D566" s="2" t="str">
        <f>"EDIGLAN"</f>
        <v>EDIGLAN</v>
      </c>
      <c r="E566" s="2" t="str">
        <f t="shared" si="9"/>
        <v>Rodoviário</v>
      </c>
    </row>
    <row r="567" spans="1:5" x14ac:dyDescent="0.3">
      <c r="A567" s="1">
        <v>566</v>
      </c>
      <c r="B567" s="2" t="str">
        <f>"AGB TRANSPORTE RODOVIARIO DE CARGAS EIRE"</f>
        <v>AGB TRANSPORTE RODOVIARIO DE CARGAS EIRE</v>
      </c>
      <c r="C567" s="2" t="str">
        <f>"80.691.306/0001-70"</f>
        <v>80.691.306/0001-70</v>
      </c>
      <c r="D567" s="2" t="str">
        <f>"AGB"</f>
        <v>AGB</v>
      </c>
      <c r="E567" s="2" t="str">
        <f t="shared" si="9"/>
        <v>Rodoviário</v>
      </c>
    </row>
    <row r="568" spans="1:5" x14ac:dyDescent="0.3">
      <c r="A568" s="1">
        <v>567</v>
      </c>
      <c r="B568" s="2" t="str">
        <f>"R.P BITTENCOURT"</f>
        <v>R.P BITTENCOURT</v>
      </c>
      <c r="C568" s="2" t="str">
        <f>"48.173.398/0001-94"</f>
        <v>48.173.398/0001-94</v>
      </c>
      <c r="D568" s="2" t="str">
        <f>"R. P"</f>
        <v>R. P</v>
      </c>
      <c r="E568" s="2" t="str">
        <f t="shared" si="9"/>
        <v>Rodoviário</v>
      </c>
    </row>
    <row r="569" spans="1:5" x14ac:dyDescent="0.3">
      <c r="A569" s="1">
        <v>568</v>
      </c>
      <c r="B569" s="2" t="str">
        <f>"COOPERATIVA DOS TRANSPORTADORES DE CARGA"</f>
        <v>COOPERATIVA DOS TRANSPORTADORES DE CARGA</v>
      </c>
      <c r="C569" s="2" t="str">
        <f>"04.650.488/0002-34"</f>
        <v>04.650.488/0002-34</v>
      </c>
      <c r="D569" s="2" t="str">
        <f>"COOPEROC PR"</f>
        <v>COOPEROC PR</v>
      </c>
      <c r="E569" s="2" t="str">
        <f t="shared" si="9"/>
        <v>Rodoviário</v>
      </c>
    </row>
    <row r="570" spans="1:5" x14ac:dyDescent="0.3">
      <c r="A570" s="1">
        <v>569</v>
      </c>
      <c r="B570" s="2" t="str">
        <f>"CARGOMANN TRANSPORTES E LOGISTICA LTDA"</f>
        <v>CARGOMANN TRANSPORTES E LOGISTICA LTDA</v>
      </c>
      <c r="C570" s="2" t="str">
        <f>"07.645.125/0001-18"</f>
        <v>07.645.125/0001-18</v>
      </c>
      <c r="D570" s="2" t="str">
        <f>"CARGOMANN"</f>
        <v>CARGOMANN</v>
      </c>
      <c r="E570" s="2" t="str">
        <f t="shared" si="9"/>
        <v>Rodoviário</v>
      </c>
    </row>
    <row r="571" spans="1:5" x14ac:dyDescent="0.3">
      <c r="A571" s="1">
        <v>570</v>
      </c>
      <c r="B571" s="2" t="str">
        <f>"MAICKON FERREIRA CONTABILIDADE E TRANSPO"</f>
        <v>MAICKON FERREIRA CONTABILIDADE E TRANSPO</v>
      </c>
      <c r="C571" s="2" t="str">
        <f>"24.917.580/0001-44"</f>
        <v>24.917.580/0001-44</v>
      </c>
      <c r="D571" s="2" t="str">
        <f>"MAICKON"</f>
        <v>MAICKON</v>
      </c>
      <c r="E571" s="2" t="str">
        <f t="shared" si="9"/>
        <v>Rodoviário</v>
      </c>
    </row>
    <row r="572" spans="1:5" x14ac:dyDescent="0.3">
      <c r="A572" s="1">
        <v>571</v>
      </c>
      <c r="B572" s="2" t="str">
        <f>"KLAUS E TATSCH LTDA"</f>
        <v>KLAUS E TATSCH LTDA</v>
      </c>
      <c r="C572" s="2" t="str">
        <f>"03.554.936/0001-52"</f>
        <v>03.554.936/0001-52</v>
      </c>
      <c r="D572" s="2" t="str">
        <f>"KLAUS"</f>
        <v>KLAUS</v>
      </c>
      <c r="E572" s="2" t="str">
        <f t="shared" si="9"/>
        <v>Rodoviário</v>
      </c>
    </row>
    <row r="573" spans="1:5" x14ac:dyDescent="0.3">
      <c r="A573" s="1">
        <v>572</v>
      </c>
      <c r="B573" s="2" t="str">
        <f>"JANE APARECIDA LETKI RUDNICK - EIRELI -"</f>
        <v>JANE APARECIDA LETKI RUDNICK - EIRELI -</v>
      </c>
      <c r="C573" s="2" t="str">
        <f>"19.151.953/0001-89"</f>
        <v>19.151.953/0001-89</v>
      </c>
      <c r="D573" s="2" t="str">
        <f>"RUDNICK"</f>
        <v>RUDNICK</v>
      </c>
      <c r="E573" s="2" t="str">
        <f t="shared" si="9"/>
        <v>Rodoviário</v>
      </c>
    </row>
    <row r="574" spans="1:5" x14ac:dyDescent="0.3">
      <c r="A574" s="1">
        <v>573</v>
      </c>
      <c r="B574" s="2" t="str">
        <f>"TRANSPORTES SANTA HELENA LTDA"</f>
        <v>TRANSPORTES SANTA HELENA LTDA</v>
      </c>
      <c r="C574" s="2" t="str">
        <f>"49.124.892/0001-21"</f>
        <v>49.124.892/0001-21</v>
      </c>
      <c r="D574" s="2" t="str">
        <f>"SANTA HELENA"</f>
        <v>SANTA HELENA</v>
      </c>
      <c r="E574" s="2" t="str">
        <f t="shared" si="9"/>
        <v>Rodoviário</v>
      </c>
    </row>
    <row r="575" spans="1:5" x14ac:dyDescent="0.3">
      <c r="A575" s="1">
        <v>574</v>
      </c>
      <c r="B575" s="2" t="str">
        <f>"TSA TRANSPORTES SCREMIM E ARMAZENAGENS L"</f>
        <v>TSA TRANSPORTES SCREMIM E ARMAZENAGENS L</v>
      </c>
      <c r="C575" s="2" t="str">
        <f>"69.151.595/0002-63"</f>
        <v>69.151.595/0002-63</v>
      </c>
      <c r="D575" s="2" t="str">
        <f>"TSA"</f>
        <v>TSA</v>
      </c>
      <c r="E575" s="2" t="str">
        <f t="shared" si="9"/>
        <v>Rodoviário</v>
      </c>
    </row>
    <row r="576" spans="1:5" x14ac:dyDescent="0.3">
      <c r="A576" s="1">
        <v>575</v>
      </c>
      <c r="B576" s="2" t="str">
        <f>"RODOQUALITY TRANSPORTES LTDA"</f>
        <v>RODOQUALITY TRANSPORTES LTDA</v>
      </c>
      <c r="C576" s="2" t="str">
        <f>"04.728.623/0001-36"</f>
        <v>04.728.623/0001-36</v>
      </c>
      <c r="D576" s="2" t="str">
        <f>"RODOVAL"</f>
        <v>RODOVAL</v>
      </c>
      <c r="E576" s="2" t="str">
        <f t="shared" si="9"/>
        <v>Rodoviário</v>
      </c>
    </row>
    <row r="577" spans="1:5" x14ac:dyDescent="0.3">
      <c r="A577" s="1">
        <v>576</v>
      </c>
      <c r="B577" s="2" t="str">
        <f>"ADEMIR LUSTOZA CANDIDO"</f>
        <v>ADEMIR LUSTOZA CANDIDO</v>
      </c>
      <c r="C577" s="2" t="str">
        <f>"19.195.459/0001-16"</f>
        <v>19.195.459/0001-16</v>
      </c>
      <c r="D577" s="2" t="str">
        <f>"LUSTOZA"</f>
        <v>LUSTOZA</v>
      </c>
      <c r="E577" s="2" t="str">
        <f t="shared" si="9"/>
        <v>Rodoviário</v>
      </c>
    </row>
    <row r="578" spans="1:5" x14ac:dyDescent="0.3">
      <c r="A578" s="1">
        <v>577</v>
      </c>
      <c r="B578" s="2" t="str">
        <f>"ESTELAMARIS CHAVES 94469385972"</f>
        <v>ESTELAMARIS CHAVES 94469385972</v>
      </c>
      <c r="C578" s="2" t="str">
        <f>"22.295.139/0001-42"</f>
        <v>22.295.139/0001-42</v>
      </c>
      <c r="D578" s="2" t="str">
        <f>"ESTELAMARIS"</f>
        <v>ESTELAMARIS</v>
      </c>
      <c r="E578" s="2" t="str">
        <f t="shared" si="9"/>
        <v>Rodoviário</v>
      </c>
    </row>
    <row r="579" spans="1:5" x14ac:dyDescent="0.3">
      <c r="A579" s="1">
        <v>578</v>
      </c>
      <c r="B579" s="2" t="str">
        <f>"MAXXIMA LOG TRANSPORTES LTDA"</f>
        <v>MAXXIMA LOG TRANSPORTES LTDA</v>
      </c>
      <c r="C579" s="2" t="str">
        <f>"21.052.085/0001-21"</f>
        <v>21.052.085/0001-21</v>
      </c>
      <c r="D579" s="2" t="str">
        <f>"MAXXIMA"</f>
        <v>MAXXIMA</v>
      </c>
      <c r="E579" s="2" t="str">
        <f t="shared" si="9"/>
        <v>Rodoviário</v>
      </c>
    </row>
    <row r="580" spans="1:5" x14ac:dyDescent="0.3">
      <c r="A580" s="1">
        <v>579</v>
      </c>
      <c r="B580" s="2" t="str">
        <f>"AMARO TRANSPORTES E LOGISTICA LTDA"</f>
        <v>AMARO TRANSPORTES E LOGISTICA LTDA</v>
      </c>
      <c r="C580" s="2" t="str">
        <f>"09.408.288/0001-02"</f>
        <v>09.408.288/0001-02</v>
      </c>
      <c r="D580" s="2" t="str">
        <f>"AMARO"</f>
        <v>AMARO</v>
      </c>
      <c r="E580" s="2" t="str">
        <f t="shared" si="9"/>
        <v>Rodoviário</v>
      </c>
    </row>
    <row r="581" spans="1:5" x14ac:dyDescent="0.3">
      <c r="A581" s="1">
        <v>580</v>
      </c>
      <c r="B581" s="2" t="str">
        <f>"CARGO BRASIL LTDA."</f>
        <v>CARGO BRASIL LTDA.</v>
      </c>
      <c r="C581" s="2" t="str">
        <f>"03.362.521/0001-87"</f>
        <v>03.362.521/0001-87</v>
      </c>
      <c r="D581" s="2" t="str">
        <f>"CARGO"</f>
        <v>CARGO</v>
      </c>
      <c r="E581" s="2" t="str">
        <f t="shared" si="9"/>
        <v>Rodoviário</v>
      </c>
    </row>
    <row r="582" spans="1:5" x14ac:dyDescent="0.3">
      <c r="A582" s="1">
        <v>581</v>
      </c>
      <c r="B582" s="2" t="str">
        <f>"COOPERATIVA TRINUS LOGISTICA E TRANSPORT"</f>
        <v>COOPERATIVA TRINUS LOGISTICA E TRANSPORT</v>
      </c>
      <c r="C582" s="2" t="str">
        <f>"28.548.603/0001-41"</f>
        <v>28.548.603/0001-41</v>
      </c>
      <c r="D582" s="2" t="str">
        <f>"TRINUSLOG"</f>
        <v>TRINUSLOG</v>
      </c>
      <c r="E582" s="2" t="str">
        <f t="shared" si="9"/>
        <v>Rodoviário</v>
      </c>
    </row>
    <row r="583" spans="1:5" x14ac:dyDescent="0.3">
      <c r="A583" s="1">
        <v>582</v>
      </c>
      <c r="B583" s="2" t="str">
        <f>"EFITRANS TRANSPORTES LTDA"</f>
        <v>EFITRANS TRANSPORTES LTDA</v>
      </c>
      <c r="C583" s="2" t="str">
        <f>"00.650.831/0008-85"</f>
        <v>00.650.831/0008-85</v>
      </c>
      <c r="D583" s="2" t="str">
        <f>"EFITRANS SP2"</f>
        <v>EFITRANS SP2</v>
      </c>
      <c r="E583" s="2" t="str">
        <f t="shared" si="9"/>
        <v>Rodoviário</v>
      </c>
    </row>
    <row r="584" spans="1:5" x14ac:dyDescent="0.3">
      <c r="A584" s="1">
        <v>583</v>
      </c>
      <c r="B584" s="2" t="str">
        <f>"EDINEI DIAS DE SOUZA"</f>
        <v>EDINEI DIAS DE SOUZA</v>
      </c>
      <c r="C584" s="2" t="str">
        <f>"09.315.795/0001-00"</f>
        <v>09.315.795/0001-00</v>
      </c>
      <c r="D584" s="2" t="str">
        <f>"TRANSOUZA"</f>
        <v>TRANSOUZA</v>
      </c>
      <c r="E584" s="2" t="str">
        <f t="shared" si="9"/>
        <v>Rodoviário</v>
      </c>
    </row>
    <row r="585" spans="1:5" x14ac:dyDescent="0.3">
      <c r="A585" s="1">
        <v>584</v>
      </c>
      <c r="B585" s="2" t="str">
        <f>"CMRLOG LOGISTICA INTEGRADA LTDA"</f>
        <v>CMRLOG LOGISTICA INTEGRADA LTDA</v>
      </c>
      <c r="C585" s="2" t="str">
        <f>"19.389.799/0001-88"</f>
        <v>19.389.799/0001-88</v>
      </c>
      <c r="D585" s="2" t="str">
        <f>"CMRLOG"</f>
        <v>CMRLOG</v>
      </c>
      <c r="E585" s="2" t="str">
        <f t="shared" si="9"/>
        <v>Rodoviário</v>
      </c>
    </row>
    <row r="586" spans="1:5" x14ac:dyDescent="0.3">
      <c r="A586" s="1">
        <v>585</v>
      </c>
      <c r="B586" s="2" t="str">
        <f>"RAPIDO SUNORTE LTDA"</f>
        <v>RAPIDO SUNORTE LTDA</v>
      </c>
      <c r="C586" s="2" t="str">
        <f>"86.048.063/0001-33"</f>
        <v>86.048.063/0001-33</v>
      </c>
      <c r="D586" s="2" t="str">
        <f>"SUNORTE 2"</f>
        <v>SUNORTE 2</v>
      </c>
      <c r="E586" s="2" t="str">
        <f t="shared" si="9"/>
        <v>Rodoviário</v>
      </c>
    </row>
    <row r="587" spans="1:5" x14ac:dyDescent="0.3">
      <c r="A587" s="1">
        <v>586</v>
      </c>
      <c r="B587" s="2" t="str">
        <f>"COOPERATIVA DE TRABALHADORES AUTONOMOS D"</f>
        <v>COOPERATIVA DE TRABALHADORES AUTONOMOS D</v>
      </c>
      <c r="C587" s="2" t="str">
        <f>"07.681.824/0001-13"</f>
        <v>07.681.824/0001-13</v>
      </c>
      <c r="D587" s="2" t="str">
        <f>"COTASGU"</f>
        <v>COTASGU</v>
      </c>
      <c r="E587" s="2" t="str">
        <f t="shared" si="9"/>
        <v>Rodoviário</v>
      </c>
    </row>
    <row r="588" spans="1:5" x14ac:dyDescent="0.3">
      <c r="A588" s="1">
        <v>587</v>
      </c>
      <c r="B588" s="2" t="str">
        <f>"RUDLOG TRANSPORTES E LOGISTICA LTDA"</f>
        <v>RUDLOG TRANSPORTES E LOGISTICA LTDA</v>
      </c>
      <c r="C588" s="2" t="str">
        <f>"13.104.326/0001-00"</f>
        <v>13.104.326/0001-00</v>
      </c>
      <c r="D588" s="2" t="str">
        <f>"RUDLOG"</f>
        <v>RUDLOG</v>
      </c>
      <c r="E588" s="2" t="str">
        <f t="shared" si="9"/>
        <v>Rodoviário</v>
      </c>
    </row>
    <row r="589" spans="1:5" x14ac:dyDescent="0.3">
      <c r="A589" s="1">
        <v>588</v>
      </c>
      <c r="B589" s="2" t="str">
        <f>"CONECTASUL TRANSPORTE DE CARGAS LTDA"</f>
        <v>CONECTASUL TRANSPORTE DE CARGAS LTDA</v>
      </c>
      <c r="C589" s="2" t="str">
        <f>"39.506.414/0001-22"</f>
        <v>39.506.414/0001-22</v>
      </c>
      <c r="D589" s="2" t="str">
        <f>"CONECTASUL"</f>
        <v>CONECTASUL</v>
      </c>
      <c r="E589" s="2" t="str">
        <f t="shared" si="9"/>
        <v>Rodoviário</v>
      </c>
    </row>
    <row r="590" spans="1:5" x14ac:dyDescent="0.3">
      <c r="A590" s="1">
        <v>589</v>
      </c>
      <c r="B590" s="2" t="str">
        <f>"BRLOG LOGISTICA LTDA"</f>
        <v>BRLOG LOGISTICA LTDA</v>
      </c>
      <c r="C590" s="2" t="str">
        <f>"18.594.208/0002-22"</f>
        <v>18.594.208/0002-22</v>
      </c>
      <c r="D590" s="2" t="str">
        <f>"BRLOG"</f>
        <v>BRLOG</v>
      </c>
      <c r="E590" s="2" t="str">
        <f t="shared" si="9"/>
        <v>Rodoviário</v>
      </c>
    </row>
    <row r="591" spans="1:5" x14ac:dyDescent="0.3">
      <c r="A591" s="1">
        <v>590</v>
      </c>
      <c r="B591" s="2" t="str">
        <f>"RODOFROTA TRANSPORTES RODOVIARIOS E LOGI"</f>
        <v>RODOFROTA TRANSPORTES RODOVIARIOS E LOGI</v>
      </c>
      <c r="C591" s="2" t="str">
        <f>"17.877.334/0001-40"</f>
        <v>17.877.334/0001-40</v>
      </c>
      <c r="D591" s="2" t="str">
        <f>"RODOFROTA"</f>
        <v>RODOFROTA</v>
      </c>
      <c r="E591" s="2" t="str">
        <f t="shared" si="9"/>
        <v>Rodoviário</v>
      </c>
    </row>
    <row r="592" spans="1:5" x14ac:dyDescent="0.3">
      <c r="A592" s="1">
        <v>591</v>
      </c>
      <c r="B592" s="2" t="str">
        <f>"TRANSMARCON TRANSPORTES LTDA"</f>
        <v>TRANSMARCON TRANSPORTES LTDA</v>
      </c>
      <c r="C592" s="2" t="str">
        <f>"78.637.063/0001-40"</f>
        <v>78.637.063/0001-40</v>
      </c>
      <c r="D592" s="2" t="str">
        <f>"TRANSMARCON2"</f>
        <v>TRANSMARCON2</v>
      </c>
      <c r="E592" s="2" t="str">
        <f t="shared" ref="E592:E613" si="10">"Rodoviário"</f>
        <v>Rodoviário</v>
      </c>
    </row>
    <row r="593" spans="1:5" x14ac:dyDescent="0.3">
      <c r="A593" s="1">
        <v>592</v>
      </c>
      <c r="B593" s="2" t="str">
        <f>"TSA LOGISTICA LTDA"</f>
        <v>TSA LOGISTICA LTDA</v>
      </c>
      <c r="C593" s="2" t="str">
        <f>"04.467.231/0001-60"</f>
        <v>04.467.231/0001-60</v>
      </c>
      <c r="D593" s="2" t="str">
        <f>"SCREMIM"</f>
        <v>SCREMIM</v>
      </c>
      <c r="E593" s="2" t="str">
        <f t="shared" si="10"/>
        <v>Rodoviário</v>
      </c>
    </row>
    <row r="594" spans="1:5" x14ac:dyDescent="0.3">
      <c r="A594" s="1">
        <v>593</v>
      </c>
      <c r="B594" s="2" t="str">
        <f>"ITJ FINGER TRANSPORTES EIRELI"</f>
        <v>ITJ FINGER TRANSPORTES EIRELI</v>
      </c>
      <c r="C594" s="2" t="str">
        <f>"19.578.006/0005-00"</f>
        <v>19.578.006/0005-00</v>
      </c>
      <c r="D594" s="2" t="str">
        <f>"ITJ FINGER"</f>
        <v>ITJ FINGER</v>
      </c>
      <c r="E594" s="2" t="str">
        <f t="shared" si="10"/>
        <v>Rodoviário</v>
      </c>
    </row>
    <row r="595" spans="1:5" x14ac:dyDescent="0.3">
      <c r="A595" s="1">
        <v>594</v>
      </c>
      <c r="B595" s="2" t="str">
        <f>"JHL TRANSPORTES LTDA"</f>
        <v>JHL TRANSPORTES LTDA</v>
      </c>
      <c r="C595" s="2" t="str">
        <f>"07.279.784/0001-88"</f>
        <v>07.279.784/0001-88</v>
      </c>
      <c r="D595" s="2" t="str">
        <f>"JHL"</f>
        <v>JHL</v>
      </c>
      <c r="E595" s="2" t="str">
        <f t="shared" si="10"/>
        <v>Rodoviário</v>
      </c>
    </row>
    <row r="596" spans="1:5" x14ac:dyDescent="0.3">
      <c r="A596" s="1">
        <v>595</v>
      </c>
      <c r="B596" s="2" t="str">
        <f>"PALOMA TEIXEIRA DA ROSA - ME"</f>
        <v>PALOMA TEIXEIRA DA ROSA - ME</v>
      </c>
      <c r="C596" s="2" t="str">
        <f>"49.455.337/0001-82"</f>
        <v>49.455.337/0001-82</v>
      </c>
      <c r="D596" s="2" t="str">
        <f>"SJ LOGISTICA"</f>
        <v>SJ LOGISTICA</v>
      </c>
      <c r="E596" s="2" t="str">
        <f t="shared" si="10"/>
        <v>Rodoviário</v>
      </c>
    </row>
    <row r="597" spans="1:5" x14ac:dyDescent="0.3">
      <c r="A597" s="1">
        <v>596</v>
      </c>
      <c r="B597" s="2" t="str">
        <f>"RED CARGO TRANSPORTES E LOGISTICA LTDA"</f>
        <v>RED CARGO TRANSPORTES E LOGISTICA LTDA</v>
      </c>
      <c r="C597" s="2" t="str">
        <f>"17.451.148/0001-45"</f>
        <v>17.451.148/0001-45</v>
      </c>
      <c r="D597" s="2" t="str">
        <f>"RED CARGO"</f>
        <v>RED CARGO</v>
      </c>
      <c r="E597" s="2" t="str">
        <f t="shared" si="10"/>
        <v>Rodoviário</v>
      </c>
    </row>
    <row r="598" spans="1:5" x14ac:dyDescent="0.3">
      <c r="A598" s="1">
        <v>597</v>
      </c>
      <c r="B598" s="2" t="str">
        <f>"SPOTX LOGISTICA LTDA MATRIZ"</f>
        <v>SPOTX LOGISTICA LTDA MATRIZ</v>
      </c>
      <c r="C598" s="2" t="str">
        <f>"37.991.170/0001-95"</f>
        <v>37.991.170/0001-95</v>
      </c>
      <c r="D598" s="2" t="str">
        <f>"SPOTX"</f>
        <v>SPOTX</v>
      </c>
      <c r="E598" s="2" t="str">
        <f t="shared" si="10"/>
        <v>Rodoviário</v>
      </c>
    </row>
    <row r="599" spans="1:5" x14ac:dyDescent="0.3">
      <c r="A599" s="1">
        <v>598</v>
      </c>
      <c r="B599" s="2" t="str">
        <f>"DREVEK TRANSPORTES LTDA"</f>
        <v>DREVEK TRANSPORTES LTDA</v>
      </c>
      <c r="C599" s="2" t="str">
        <f>"42.952.704/0002-95"</f>
        <v>42.952.704/0002-95</v>
      </c>
      <c r="D599" s="2" t="str">
        <f>"DREVEK SC"</f>
        <v>DREVEK SC</v>
      </c>
      <c r="E599" s="2" t="str">
        <f t="shared" si="10"/>
        <v>Rodoviário</v>
      </c>
    </row>
    <row r="600" spans="1:5" x14ac:dyDescent="0.3">
      <c r="A600" s="1">
        <v>599</v>
      </c>
      <c r="B600" s="2" t="str">
        <f>"OMNICARGO TRANSPORTES LTDA"</f>
        <v>OMNICARGO TRANSPORTES LTDA</v>
      </c>
      <c r="C600" s="2" t="str">
        <f>"51.653.821/0001-68"</f>
        <v>51.653.821/0001-68</v>
      </c>
      <c r="D600" s="2" t="str">
        <f>"OMNICARGO"</f>
        <v>OMNICARGO</v>
      </c>
      <c r="E600" s="2" t="str">
        <f t="shared" si="10"/>
        <v>Rodoviário</v>
      </c>
    </row>
    <row r="601" spans="1:5" x14ac:dyDescent="0.3">
      <c r="A601" s="1">
        <v>600</v>
      </c>
      <c r="B601" s="2" t="str">
        <f>"CHAPECO LOGISTICA E CARGAS LTDA"</f>
        <v>CHAPECO LOGISTICA E CARGAS LTDA</v>
      </c>
      <c r="C601" s="2" t="str">
        <f>"04.580.790/0002-63"</f>
        <v>04.580.790/0002-63</v>
      </c>
      <c r="D601" s="2" t="str">
        <f>"CHAPECO"</f>
        <v>CHAPECO</v>
      </c>
      <c r="E601" s="2" t="str">
        <f t="shared" si="10"/>
        <v>Rodoviário</v>
      </c>
    </row>
    <row r="602" spans="1:5" x14ac:dyDescent="0.3">
      <c r="A602" s="1">
        <v>601</v>
      </c>
      <c r="B602" s="2" t="str">
        <f>"RAPIDO SUNORTE LTDA - EM RECUPERACA"</f>
        <v>RAPIDO SUNORTE LTDA - EM RECUPERACA</v>
      </c>
      <c r="C602" s="2" t="str">
        <f>"86.048.063/0009-90"</f>
        <v>86.048.063/0009-90</v>
      </c>
      <c r="D602" s="2" t="str">
        <f>"SUNORTE 3"</f>
        <v>SUNORTE 3</v>
      </c>
      <c r="E602" s="2" t="str">
        <f t="shared" si="10"/>
        <v>Rodoviário</v>
      </c>
    </row>
    <row r="603" spans="1:5" x14ac:dyDescent="0.3">
      <c r="A603" s="1">
        <v>602</v>
      </c>
      <c r="B603" s="2" t="str">
        <f>"CARMOCAL DO BRASIL LTDA"</f>
        <v>CARMOCAL DO BRASIL LTDA</v>
      </c>
      <c r="C603" s="2" t="str">
        <f>"03.630.420/0001-40"</f>
        <v>03.630.420/0001-40</v>
      </c>
      <c r="D603" s="2" t="str">
        <f>"CARMOCAL"</f>
        <v>CARMOCAL</v>
      </c>
      <c r="E603" s="2" t="str">
        <f t="shared" si="10"/>
        <v>Rodoviário</v>
      </c>
    </row>
    <row r="604" spans="1:5" x14ac:dyDescent="0.3">
      <c r="A604" s="1">
        <v>603</v>
      </c>
      <c r="B604" s="2" t="str">
        <f>"LB TRANSPORTES E LOGISTICA LTDA"</f>
        <v>LB TRANSPORTES E LOGISTICA LTDA</v>
      </c>
      <c r="C604" s="2" t="str">
        <f>"52.666.822/0001-00"</f>
        <v>52.666.822/0001-00</v>
      </c>
      <c r="D604" s="2" t="str">
        <f>"LB TRANSP"</f>
        <v>LB TRANSP</v>
      </c>
      <c r="E604" s="2" t="str">
        <f t="shared" si="10"/>
        <v>Rodoviário</v>
      </c>
    </row>
    <row r="605" spans="1:5" x14ac:dyDescent="0.3">
      <c r="A605" s="1">
        <v>604</v>
      </c>
      <c r="B605" s="2" t="str">
        <f>"JOB BONFANTI TRANSPORTES E LOGISTICA LTD"</f>
        <v>JOB BONFANTI TRANSPORTES E LOGISTICA LTD</v>
      </c>
      <c r="C605" s="2" t="str">
        <f>"18.640.702/0001-03"</f>
        <v>18.640.702/0001-03</v>
      </c>
      <c r="D605" s="2" t="str">
        <f>"JOB LOGISTIC"</f>
        <v>JOB LOGISTIC</v>
      </c>
      <c r="E605" s="2" t="str">
        <f t="shared" si="10"/>
        <v>Rodoviário</v>
      </c>
    </row>
    <row r="606" spans="1:5" x14ac:dyDescent="0.3">
      <c r="A606" s="1">
        <v>605</v>
      </c>
      <c r="B606" s="2" t="str">
        <f>"COOPERATIVA DOS TRANSPORTADORES RODOVIAR"</f>
        <v>COOPERATIVA DOS TRANSPORTADORES RODOVIAR</v>
      </c>
      <c r="C606" s="2" t="str">
        <f>"17.163.084/0001-87"</f>
        <v>17.163.084/0001-87</v>
      </c>
      <c r="D606" s="2" t="str">
        <f>"COOPERTRAC"</f>
        <v>COOPERTRAC</v>
      </c>
      <c r="E606" s="2" t="str">
        <f t="shared" si="10"/>
        <v>Rodoviário</v>
      </c>
    </row>
    <row r="607" spans="1:5" x14ac:dyDescent="0.3">
      <c r="A607" s="1">
        <v>606</v>
      </c>
      <c r="B607" s="2" t="str">
        <f>"TROCATI TRANSPORTES LTDA"</f>
        <v>TROCATI TRANSPORTES LTDA</v>
      </c>
      <c r="C607" s="2" t="str">
        <f>"41.014.446/0001-52"</f>
        <v>41.014.446/0001-52</v>
      </c>
      <c r="D607" s="2" t="str">
        <f>"TROCATI"</f>
        <v>TROCATI</v>
      </c>
      <c r="E607" s="2" t="str">
        <f t="shared" si="10"/>
        <v>Rodoviário</v>
      </c>
    </row>
    <row r="608" spans="1:5" x14ac:dyDescent="0.3">
      <c r="A608" s="1">
        <v>607</v>
      </c>
      <c r="B608" s="2" t="str">
        <f>"COOPERATIVA DE TRANSPORTES DE CARGA FARO"</f>
        <v>COOPERATIVA DE TRANSPORTES DE CARGA FARO</v>
      </c>
      <c r="C608" s="2" t="str">
        <f>"48.365.859/0001-20"</f>
        <v>48.365.859/0001-20</v>
      </c>
      <c r="D608" s="2" t="str">
        <f>"COOTRAFAROL"</f>
        <v>COOTRAFAROL</v>
      </c>
      <c r="E608" s="2" t="str">
        <f t="shared" si="10"/>
        <v>Rodoviário</v>
      </c>
    </row>
    <row r="609" spans="1:5" x14ac:dyDescent="0.3">
      <c r="A609" s="1">
        <v>608</v>
      </c>
      <c r="B609" s="2" t="str">
        <f>"DALANEMA TRANSPORTES DO BRASIL LTDA"</f>
        <v>DALANEMA TRANSPORTES DO BRASIL LTDA</v>
      </c>
      <c r="C609" s="2" t="str">
        <f>"17.678.538/0001-52"</f>
        <v>17.678.538/0001-52</v>
      </c>
      <c r="D609" s="2" t="str">
        <f>"DALANEMA"</f>
        <v>DALANEMA</v>
      </c>
      <c r="E609" s="2" t="str">
        <f t="shared" si="10"/>
        <v>Rodoviário</v>
      </c>
    </row>
    <row r="610" spans="1:5" x14ac:dyDescent="0.3">
      <c r="A610" s="1">
        <v>609</v>
      </c>
      <c r="B610" s="2" t="str">
        <f>"K LOG TRANSPORTES RODOVIARIOS DE CARGAS"</f>
        <v>K LOG TRANSPORTES RODOVIARIOS DE CARGAS</v>
      </c>
      <c r="C610" s="2" t="str">
        <f>"07.707.626/0001-81"</f>
        <v>07.707.626/0001-81</v>
      </c>
      <c r="D610" s="2" t="str">
        <f>"KRAFT"</f>
        <v>KRAFT</v>
      </c>
      <c r="E610" s="2" t="str">
        <f t="shared" si="10"/>
        <v>Rodoviário</v>
      </c>
    </row>
    <row r="611" spans="1:5" x14ac:dyDescent="0.3">
      <c r="A611" s="1">
        <v>610</v>
      </c>
      <c r="B611" s="2" t="str">
        <f>"TRANSNIL TRANSPORTES LTDA"</f>
        <v>TRANSNIL TRANSPORTES LTDA</v>
      </c>
      <c r="C611" s="2" t="str">
        <f>"00.462.245/0003-00"</f>
        <v>00.462.245/0003-00</v>
      </c>
      <c r="D611" s="2" t="str">
        <f>"TRANSNIL SP"</f>
        <v>TRANSNIL SP</v>
      </c>
      <c r="E611" s="2" t="str">
        <f t="shared" si="10"/>
        <v>Rodoviário</v>
      </c>
    </row>
    <row r="612" spans="1:5" x14ac:dyDescent="0.3">
      <c r="A612" s="1">
        <v>611</v>
      </c>
      <c r="B612" s="2" t="str">
        <f>"POSSA CATANAS TRANSPORTE E LOGISTICA LTD"</f>
        <v>POSSA CATANAS TRANSPORTE E LOGISTICA LTD</v>
      </c>
      <c r="C612" s="2" t="str">
        <f>"26.309.370/0001-07"</f>
        <v>26.309.370/0001-07</v>
      </c>
      <c r="D612" s="2" t="str">
        <f>"POSSA CATANA"</f>
        <v>POSSA CATANA</v>
      </c>
      <c r="E612" s="2" t="str">
        <f t="shared" si="10"/>
        <v>Rodoviário</v>
      </c>
    </row>
    <row r="613" spans="1:5" x14ac:dyDescent="0.3">
      <c r="A613" s="1">
        <v>612</v>
      </c>
      <c r="B613" s="2" t="str">
        <f>"META TRANSPORTES LTDA"</f>
        <v>META TRANSPORTES LTDA</v>
      </c>
      <c r="C613" s="2" t="str">
        <f>"93.238.566/0001-37"</f>
        <v>93.238.566/0001-37</v>
      </c>
      <c r="D613" s="2" t="str">
        <f>"META"</f>
        <v>META</v>
      </c>
      <c r="E613" s="2" t="str">
        <f t="shared" si="10"/>
        <v>Rodoviário</v>
      </c>
    </row>
    <row r="614" spans="1:5" x14ac:dyDescent="0.3">
      <c r="A614" s="1">
        <v>2574</v>
      </c>
      <c r="B614" s="2" t="str">
        <f>"SCHENKER DO BRASIL TRASNPORTES INTERNACI"</f>
        <v>SCHENKER DO BRASIL TRASNPORTES INTERNACI</v>
      </c>
      <c r="C614" s="2" t="str">
        <f>"43.823.079/0003-25"</f>
        <v>43.823.079/0003-25</v>
      </c>
      <c r="D614" s="2" t="str">
        <f>"SCHENKER"</f>
        <v>SCHENKER</v>
      </c>
      <c r="E614" s="2" t="str">
        <f>"Marítimo"</f>
        <v>Marítimo</v>
      </c>
    </row>
    <row r="615" spans="1:5" x14ac:dyDescent="0.3">
      <c r="A615" s="1">
        <v>3195</v>
      </c>
      <c r="B615" s="2" t="str">
        <f>"AGILITY DO BRASIL LOGISTICA INTL SA"</f>
        <v>AGILITY DO BRASIL LOGISTICA INTL SA</v>
      </c>
      <c r="C615" s="2" t="str">
        <f>"57.067.928/0001-00"</f>
        <v>57.067.928/0001-00</v>
      </c>
      <c r="D615" s="2" t="str">
        <f>"AGILITY SP"</f>
        <v>AGILITY SP</v>
      </c>
      <c r="E615" s="2" t="str">
        <f>"Marítimo"</f>
        <v>Marítimo</v>
      </c>
    </row>
    <row r="616" spans="1:5" x14ac:dyDescent="0.3">
      <c r="A616" s="1">
        <v>4723</v>
      </c>
      <c r="B616" s="2" t="str">
        <f>"KUEHNE+NAGEL SERVICOS LOGISTICOS LTDA."</f>
        <v>KUEHNE+NAGEL SERVICOS LOGISTICOS LTDA.</v>
      </c>
      <c r="C616" s="2" t="str">
        <f>"02.886.427/0017-21"</f>
        <v>02.886.427/0017-21</v>
      </c>
      <c r="D616" s="2" t="str">
        <f>"KUEHNE+NAGEL"</f>
        <v>KUEHNE+NAGEL</v>
      </c>
      <c r="E616" s="2" t="str">
        <f>"Marítimo"</f>
        <v>Marítimo</v>
      </c>
    </row>
    <row r="617" spans="1:5" ht="15" thickBot="1" x14ac:dyDescent="0.35">
      <c r="A617" s="3">
        <v>99999</v>
      </c>
      <c r="B617" s="4" t="str">
        <f>"TRANSPORTADOR DE INTEGRACAO"</f>
        <v>TRANSPORTADOR DE INTEGRACAO</v>
      </c>
      <c r="C617" s="4" t="str">
        <f>""</f>
        <v/>
      </c>
      <c r="D617" s="4" t="str">
        <f>"INTEGRACAO"</f>
        <v>INTEGRACAO</v>
      </c>
      <c r="E617" s="4" t="str">
        <f>"Rodoviário"</f>
        <v>Rodoviário</v>
      </c>
    </row>
    <row r="618" spans="1:5" x14ac:dyDescent="0.3">
      <c r="A618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272A66-2CC0-4E62-8F20-AB7B6D0CA863}"/>
</file>

<file path=customXml/itemProps2.xml><?xml version="1.0" encoding="utf-8"?>
<ds:datastoreItem xmlns:ds="http://schemas.openxmlformats.org/officeDocument/2006/customXml" ds:itemID="{2074E8FA-0305-44F4-9748-3722B85E33CE}"/>
</file>

<file path=customXml/itemProps3.xml><?xml version="1.0" encoding="utf-8"?>
<ds:datastoreItem xmlns:ds="http://schemas.openxmlformats.org/officeDocument/2006/customXml" ds:itemID="{ACA49EA0-2157-4850-BD45-B8A797C799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2025-01-16T11:49:16Z</dcterms:created>
  <dcterms:modified xsi:type="dcterms:W3CDTF">2025-01-16T11:49:48Z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