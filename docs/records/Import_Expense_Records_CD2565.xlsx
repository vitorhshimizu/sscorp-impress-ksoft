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A534244C-5A4C-4079-A2B9-71A50496203C}" xr6:coauthVersionLast="47" xr6:coauthVersionMax="47" xr10:uidLastSave="{00000000-0000-0000-0000-000000000000}"/>
  <bookViews>
    <workbookView xWindow="-120" yWindow="-120" windowWidth="29040" windowHeight="15840" xr2:uid="{A978B776-6007-4B4C-A1E2-5C5C6E09CE46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</calcChain>
</file>

<file path=xl/sharedStrings.xml><?xml version="1.0" encoding="utf-8"?>
<sst xmlns="http://schemas.openxmlformats.org/spreadsheetml/2006/main" count="3" uniqueCount="3">
  <si>
    <t>expense</t>
  </si>
  <si>
    <t>Descrip.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</si>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</sst>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5F77-E62E-474F-B4CD-9E1A5BF97527}">
  <dimension ref="A1:B63"/>
  <sheetViews>
    <sheetView tabSelected="1" workbookViewId="0">
      <selection activeCell="C1" sqref="C1"/>
    </sheetView>
  </sheetViews>
  <sheetFormatPr defaultRowHeight="15" x14ac:dyDescent="0.25"/>
  <cols>
    <col min="1" max="1" width="8.5703125" bestFit="1" customWidth="1"/>
    <col min="2" max="2" width="35.28515625" bestFit="1" customWidth="1"/>
  </cols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>
        <v>1</v>
      </c>
      <c r="B2" s="6" t="str">
        <f>"IMPOSTO - IMPORTAÇÃO"</f>
        <v>IMPOSTO - IMPORTAÇÃO</v>
      </c>
    </row>
    <row r="3" spans="1:2" x14ac:dyDescent="0.25">
      <c r="A3" s="1">
        <v>2</v>
      </c>
      <c r="B3" s="2" t="str">
        <f>"ICMS"</f>
        <v>ICMS</v>
      </c>
    </row>
    <row r="4" spans="1:2" x14ac:dyDescent="0.25">
      <c r="A4" s="1">
        <v>3</v>
      </c>
      <c r="B4" s="2" t="str">
        <f>"FRETE INTERNACIONAL"</f>
        <v>FRETE INTERNACIONAL</v>
      </c>
    </row>
    <row r="5" spans="1:2" x14ac:dyDescent="0.25">
      <c r="A5" s="1">
        <v>4</v>
      </c>
      <c r="B5" s="2" t="str">
        <f>"SEGURO"</f>
        <v>SEGURO</v>
      </c>
    </row>
    <row r="6" spans="1:2" x14ac:dyDescent="0.25">
      <c r="A6" s="1">
        <v>5</v>
      </c>
      <c r="B6" s="2" t="str">
        <f>"SISCOMEX"</f>
        <v>SISCOMEX</v>
      </c>
    </row>
    <row r="7" spans="1:2" x14ac:dyDescent="0.25">
      <c r="A7" s="1">
        <v>7</v>
      </c>
      <c r="B7" s="2" t="str">
        <f>"CAPATAZIA"</f>
        <v>CAPATAZIA</v>
      </c>
    </row>
    <row r="8" spans="1:2" x14ac:dyDescent="0.25">
      <c r="A8" s="1">
        <v>8</v>
      </c>
      <c r="B8" s="2" t="str">
        <f>"COMPLEM. FRETE INTERNACIONAL"</f>
        <v>COMPLEM. FRETE INTERNACIONAL</v>
      </c>
    </row>
    <row r="9" spans="1:2" x14ac:dyDescent="0.25">
      <c r="A9" s="1">
        <v>9</v>
      </c>
      <c r="B9" s="2" t="str">
        <f>"(BL FEE) LIBERAÇÃO DE BL"</f>
        <v>(BL FEE) LIBERAÇÃO DE BL</v>
      </c>
    </row>
    <row r="10" spans="1:2" x14ac:dyDescent="0.25">
      <c r="A10" s="1">
        <v>10</v>
      </c>
      <c r="B10" s="2" t="str">
        <f>"DEVOLUÇÃO DE CONTAINER"</f>
        <v>DEVOLUÇÃO DE CONTAINER</v>
      </c>
    </row>
    <row r="11" spans="1:2" x14ac:dyDescent="0.25">
      <c r="A11" s="1">
        <v>11</v>
      </c>
      <c r="B11" s="2" t="str">
        <f>"(ISPS) TXA SEG. PORTUÁRIA"</f>
        <v>(ISPS) TXA SEG. PORTUÁRIA</v>
      </c>
    </row>
    <row r="12" spans="1:2" x14ac:dyDescent="0.25">
      <c r="A12" s="1">
        <v>12</v>
      </c>
      <c r="B12" s="2" t="str">
        <f>"SISCARGA"</f>
        <v>SISCARGA</v>
      </c>
    </row>
    <row r="13" spans="1:2" x14ac:dyDescent="0.25">
      <c r="A13" s="1">
        <v>13</v>
      </c>
      <c r="B13" s="2" t="str">
        <f>"(DPP) PROTEÇÃO CONTRA DANOS"</f>
        <v>(DPP) PROTEÇÃO CONTRA DANOS</v>
      </c>
    </row>
    <row r="14" spans="1:2" x14ac:dyDescent="0.25">
      <c r="A14" s="1">
        <v>14</v>
      </c>
      <c r="B14" s="2" t="str">
        <f>"(TSF) TXA SOBRECARGA TERMINAL"</f>
        <v>(TSF) TXA SOBRECARGA TERMINAL</v>
      </c>
    </row>
    <row r="15" spans="1:2" x14ac:dyDescent="0.25">
      <c r="A15" s="1">
        <v>15</v>
      </c>
      <c r="B15" s="2" t="str">
        <f>"IMPOSTOS FATURAMENTO (DESEMB)"</f>
        <v>IMPOSTOS FATURAMENTO (DESEMB)</v>
      </c>
    </row>
    <row r="16" spans="1:2" x14ac:dyDescent="0.25">
      <c r="A16" s="1">
        <v>16</v>
      </c>
      <c r="B16" s="2" t="str">
        <f>"(CSF) TXA SEGURO PORTADORES"</f>
        <v>(CSF) TXA SEGURO PORTADORES</v>
      </c>
    </row>
    <row r="17" spans="1:2" x14ac:dyDescent="0.25">
      <c r="A17" s="1">
        <v>17</v>
      </c>
      <c r="B17" s="2" t="str">
        <f>"ACRÉSCIMOS DI"</f>
        <v>ACRÉSCIMOS DI</v>
      </c>
    </row>
    <row r="18" spans="1:2" x14ac:dyDescent="0.25">
      <c r="A18" s="1">
        <v>18</v>
      </c>
      <c r="B18" s="2" t="str">
        <f>"AFRMM"</f>
        <v>AFRMM</v>
      </c>
    </row>
    <row r="19" spans="1:2" x14ac:dyDescent="0.25">
      <c r="A19" s="1">
        <v>20</v>
      </c>
      <c r="B19" s="2" t="str">
        <f>"CHEQUE CAUÇÃO"</f>
        <v>CHEQUE CAUÇÃO</v>
      </c>
    </row>
    <row r="20" spans="1:2" x14ac:dyDescent="0.25">
      <c r="A20" s="1">
        <v>21</v>
      </c>
      <c r="B20" s="2" t="str">
        <f>"OPERADOR DE PORTO"</f>
        <v>OPERADOR DE PORTO</v>
      </c>
    </row>
    <row r="21" spans="1:2" x14ac:dyDescent="0.25">
      <c r="A21" s="1">
        <v>22</v>
      </c>
      <c r="B21" s="2" t="str">
        <f>"DESCARGA"</f>
        <v>DESCARGA</v>
      </c>
    </row>
    <row r="22" spans="1:2" x14ac:dyDescent="0.25">
      <c r="A22" s="1">
        <v>23</v>
      </c>
      <c r="B22" s="2" t="str">
        <f>"TAXAS EX WORK"</f>
        <v>TAXAS EX WORK</v>
      </c>
    </row>
    <row r="23" spans="1:2" x14ac:dyDescent="0.25">
      <c r="A23" s="1">
        <v>24</v>
      </c>
      <c r="B23" s="2" t="str">
        <f>"COURIER INTERNACIONAL"</f>
        <v>COURIER INTERNACIONAL</v>
      </c>
    </row>
    <row r="24" spans="1:2" x14ac:dyDescent="0.25">
      <c r="A24" s="1">
        <v>25</v>
      </c>
      <c r="B24" s="2" t="str">
        <f>"DESPESAS RETIFICAÇÕES DI"</f>
        <v>DESPESAS RETIFICAÇÕES DI</v>
      </c>
    </row>
    <row r="25" spans="1:2" x14ac:dyDescent="0.25">
      <c r="A25" s="1">
        <v>26</v>
      </c>
      <c r="B25" s="2" t="str">
        <f>"MULTA E JUROS"</f>
        <v>MULTA E JUROS</v>
      </c>
    </row>
    <row r="26" spans="1:2" x14ac:dyDescent="0.25">
      <c r="A26" s="1">
        <v>27</v>
      </c>
      <c r="B26" s="2" t="str">
        <f>"DEMURRAGE"</f>
        <v>DEMURRAGE</v>
      </c>
    </row>
    <row r="27" spans="1:2" x14ac:dyDescent="0.25">
      <c r="A27" s="1">
        <v>28</v>
      </c>
      <c r="B27" s="2" t="str">
        <f>"DIF.IMPOSTOS"</f>
        <v>DIF.IMPOSTOS</v>
      </c>
    </row>
    <row r="28" spans="1:2" x14ac:dyDescent="0.25">
      <c r="A28" s="1">
        <v>29</v>
      </c>
      <c r="B28" s="2" t="str">
        <f>"TAXA DESCONSOLIDAÇÃO"</f>
        <v>TAXA DESCONSOLIDAÇÃO</v>
      </c>
    </row>
    <row r="29" spans="1:2" x14ac:dyDescent="0.25">
      <c r="A29" s="1">
        <v>30</v>
      </c>
      <c r="B29" s="2" t="str">
        <f>"COMPLEM. LIBERAÇÃO DE BL"</f>
        <v>COMPLEM. LIBERAÇÃO DE BL</v>
      </c>
    </row>
    <row r="30" spans="1:2" x14ac:dyDescent="0.25">
      <c r="A30" s="1">
        <v>31</v>
      </c>
      <c r="B30" s="2" t="str">
        <f>"COMPLEM. (ISPS) TXA SEG. PORTU"</f>
        <v>COMPLEM. (ISPS) TXA SEG. PORTU</v>
      </c>
    </row>
    <row r="31" spans="1:2" x14ac:dyDescent="0.25">
      <c r="A31" s="1">
        <v>32</v>
      </c>
      <c r="B31" s="2" t="str">
        <f>"DAPE (TXA PAGA AEROPORTO)"</f>
        <v>DAPE (TXA PAGA AEROPORTO)</v>
      </c>
    </row>
    <row r="32" spans="1:2" x14ac:dyDescent="0.25">
      <c r="A32" s="1">
        <v>33</v>
      </c>
      <c r="B32" s="2" t="str">
        <f>"ARMAZENAGEM AÉREA"</f>
        <v>ARMAZENAGEM AÉREA</v>
      </c>
    </row>
    <row r="33" spans="1:2" x14ac:dyDescent="0.25">
      <c r="A33" s="1">
        <v>34</v>
      </c>
      <c r="B33" s="2" t="str">
        <f>"COMPLEM. ICMS"</f>
        <v>COMPLEM. ICMS</v>
      </c>
    </row>
    <row r="34" spans="1:2" x14ac:dyDescent="0.25">
      <c r="A34" s="1">
        <v>35</v>
      </c>
      <c r="B34" s="2" t="str">
        <f>"DESOVA"</f>
        <v>DESOVA</v>
      </c>
    </row>
    <row r="35" spans="1:2" x14ac:dyDescent="0.25">
      <c r="A35" s="1">
        <v>36</v>
      </c>
      <c r="B35" s="2" t="str">
        <f>"COMPLEM. DEVOLUÇÃO DE CONTAINE"</f>
        <v>COMPLEM. DEVOLUÇÃO DE CONTAINE</v>
      </c>
    </row>
    <row r="36" spans="1:2" x14ac:dyDescent="0.25">
      <c r="A36" s="1">
        <v>37</v>
      </c>
      <c r="B36" s="2" t="str">
        <f>"COMPLEM. (DPP) PROTEÇÃO CONTRA"</f>
        <v>COMPLEM. (DPP) PROTEÇÃO CONTRA</v>
      </c>
    </row>
    <row r="37" spans="1:2" x14ac:dyDescent="0.25">
      <c r="A37" s="1">
        <v>38</v>
      </c>
      <c r="B37" s="2" t="str">
        <f>"COMPLEM. (TSF) TXA SOBRECARGA"</f>
        <v>COMPLEM. (TSF) TXA SOBRECARGA</v>
      </c>
    </row>
    <row r="38" spans="1:2" x14ac:dyDescent="0.25">
      <c r="A38" s="1">
        <v>39</v>
      </c>
      <c r="B38" s="2" t="str">
        <f>"TAXA DE ENTREGA"</f>
        <v>TAXA DE ENTREGA</v>
      </c>
    </row>
    <row r="39" spans="1:2" x14ac:dyDescent="0.25">
      <c r="A39" s="1">
        <v>40</v>
      </c>
      <c r="B39" s="2" t="str">
        <f>"COMPL. CAPATAZIA"</f>
        <v>COMPL. CAPATAZIA</v>
      </c>
    </row>
    <row r="40" spans="1:2" x14ac:dyDescent="0.25">
      <c r="A40" s="1">
        <v>41</v>
      </c>
      <c r="B40" s="2" t="str">
        <f>"TAXA OVERSIZE"</f>
        <v>TAXA OVERSIZE</v>
      </c>
    </row>
    <row r="41" spans="1:2" x14ac:dyDescent="0.25">
      <c r="A41" s="1">
        <v>43</v>
      </c>
      <c r="B41" s="2" t="str">
        <f>"DESEMBARAÇO"</f>
        <v>DESEMBARAÇO</v>
      </c>
    </row>
    <row r="42" spans="1:2" x14ac:dyDescent="0.25">
      <c r="A42" s="1">
        <v>44</v>
      </c>
      <c r="B42" s="2" t="str">
        <f>"TAXA CARGA PERIGOSA"</f>
        <v>TAXA CARGA PERIGOSA</v>
      </c>
    </row>
    <row r="43" spans="1:2" x14ac:dyDescent="0.25">
      <c r="A43" s="1">
        <v>45</v>
      </c>
      <c r="B43" s="2" t="str">
        <f>"TAXA RAIO X"</f>
        <v>TAXA RAIO X</v>
      </c>
    </row>
    <row r="44" spans="1:2" x14ac:dyDescent="0.25">
      <c r="A44" s="1">
        <v>46</v>
      </c>
      <c r="B44" s="2" t="str">
        <f>"TAXA THC"</f>
        <v>TAXA THC</v>
      </c>
    </row>
    <row r="45" spans="1:2" x14ac:dyDescent="0.25">
      <c r="A45" s="1">
        <v>47</v>
      </c>
      <c r="B45" s="2" t="str">
        <f>"TAXA DOCUMENTAÇÃO"</f>
        <v>TAXA DOCUMENTAÇÃO</v>
      </c>
    </row>
    <row r="46" spans="1:2" x14ac:dyDescent="0.25">
      <c r="A46" s="1">
        <v>48</v>
      </c>
      <c r="B46" s="2" t="str">
        <f>"TAXA ENTREGA TRANSPORTADORA"</f>
        <v>TAXA ENTREGA TRANSPORTADORA</v>
      </c>
    </row>
    <row r="47" spans="1:2" x14ac:dyDescent="0.25">
      <c r="A47" s="1">
        <v>49</v>
      </c>
      <c r="B47" s="2" t="str">
        <f>"TAXA SOBRETAXA DE COMBUSTIVEL"</f>
        <v>TAXA SOBRETAXA DE COMBUSTIVEL</v>
      </c>
    </row>
    <row r="48" spans="1:2" x14ac:dyDescent="0.25">
      <c r="A48" s="1">
        <v>50</v>
      </c>
      <c r="B48" s="2" t="str">
        <f>"TAXA ADMINISTRATIVA"</f>
        <v>TAXA ADMINISTRATIVA</v>
      </c>
    </row>
    <row r="49" spans="1:2" x14ac:dyDescent="0.25">
      <c r="A49" s="1">
        <v>51</v>
      </c>
      <c r="B49" s="2" t="str">
        <f>"LOG. CONTÊINERES DEPÓSITOS"</f>
        <v>LOG. CONTÊINERES DEPÓSITOS</v>
      </c>
    </row>
    <row r="50" spans="1:2" x14ac:dyDescent="0.25">
      <c r="A50" s="1">
        <v>52</v>
      </c>
      <c r="B50" s="2" t="str">
        <f>"DROP OFF"</f>
        <v>DROP OFF</v>
      </c>
    </row>
    <row r="51" spans="1:2" x14ac:dyDescent="0.25">
      <c r="A51" s="1">
        <v>53</v>
      </c>
      <c r="B51" s="2" t="str">
        <f>"TAXA DE MANUSEIO"</f>
        <v>TAXA DE MANUSEIO</v>
      </c>
    </row>
    <row r="52" spans="1:2" x14ac:dyDescent="0.25">
      <c r="A52" s="1">
        <v>54</v>
      </c>
      <c r="B52" s="2" t="str">
        <f>"IOF"</f>
        <v>IOF</v>
      </c>
    </row>
    <row r="53" spans="1:2" x14ac:dyDescent="0.25">
      <c r="A53" s="1">
        <v>55</v>
      </c>
      <c r="B53" s="2" t="str">
        <f>"LIBERAÇÃO NO DESTINO"</f>
        <v>LIBERAÇÃO NO DESTINO</v>
      </c>
    </row>
    <row r="54" spans="1:2" x14ac:dyDescent="0.25">
      <c r="A54" s="1">
        <v>56</v>
      </c>
      <c r="B54" s="2" t="str">
        <f>"REEMB. DE DESPESAS PORTUARIAS"</f>
        <v>REEMB. DE DESPESAS PORTUARIAS</v>
      </c>
    </row>
    <row r="55" spans="1:2" x14ac:dyDescent="0.25">
      <c r="A55" s="1">
        <v>57</v>
      </c>
      <c r="B55" s="2" t="str">
        <f>"REEMB.POSICIONAMENTO"</f>
        <v>REEMB.POSICIONAMENTO</v>
      </c>
    </row>
    <row r="56" spans="1:2" x14ac:dyDescent="0.25">
      <c r="A56" s="1">
        <v>58</v>
      </c>
      <c r="B56" s="2" t="str">
        <f>"SERVIÇOS ADMINISTRATIVOS"</f>
        <v>SERVIÇOS ADMINISTRATIVOS</v>
      </c>
    </row>
    <row r="57" spans="1:2" x14ac:dyDescent="0.25">
      <c r="A57" s="1">
        <v>59</v>
      </c>
      <c r="B57" s="2" t="str">
        <f>"REEMB.LAVAGEM DE CONTAINER"</f>
        <v>REEMB.LAVAGEM DE CONTAINER</v>
      </c>
    </row>
    <row r="58" spans="1:2" x14ac:dyDescent="0.25">
      <c r="A58" s="1">
        <v>60</v>
      </c>
      <c r="B58" s="2" t="str">
        <f>"REEMB. DESPESAS AERO"</f>
        <v>REEMB. DESPESAS AERO</v>
      </c>
    </row>
    <row r="59" spans="1:2" x14ac:dyDescent="0.25">
      <c r="A59" s="1">
        <v>61</v>
      </c>
      <c r="B59" s="2" t="str">
        <f>"REPARO DE CONTAINER"</f>
        <v>REPARO DE CONTAINER</v>
      </c>
    </row>
    <row r="60" spans="1:2" x14ac:dyDescent="0.25">
      <c r="A60" s="1">
        <v>62</v>
      </c>
      <c r="B60" s="2" t="str">
        <f>"CARTA DE CORRECAO MBL"</f>
        <v>CARTA DE CORRECAO MBL</v>
      </c>
    </row>
    <row r="61" spans="1:2" x14ac:dyDescent="0.25">
      <c r="A61" s="1">
        <v>63</v>
      </c>
      <c r="B61" s="2" t="str">
        <f>"DEPÓSITO DE GARANTIA DE SOBRES"</f>
        <v>DEPÓSITO DE GARANTIA DE SOBRES</v>
      </c>
    </row>
    <row r="62" spans="1:2" ht="15.75" thickBot="1" x14ac:dyDescent="0.3">
      <c r="A62" s="3">
        <v>64</v>
      </c>
      <c r="B62" s="4" t="str">
        <f>"DESPESAS DE EXPORTAÇÃO"</f>
        <v>DESPESAS DE EXPORTAÇÃO</v>
      </c>
    </row>
    <row r="63" spans="1:2" x14ac:dyDescent="0.25">
      <c r="A63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AE391E-14EA-4E55-8AFD-79E5B2CD3416}"/>
</file>

<file path=customXml/itemProps2.xml><?xml version="1.0" encoding="utf-8"?>
<ds:datastoreItem xmlns:ds="http://schemas.openxmlformats.org/officeDocument/2006/customXml" ds:itemID="{79027333-4559-4264-8428-7762B05161FD}"/>
</file>

<file path=customXml/itemProps3.xml><?xml version="1.0" encoding="utf-8"?>
<ds:datastoreItem xmlns:ds="http://schemas.openxmlformats.org/officeDocument/2006/customXml" ds:itemID="{790826D9-E207-4B20-9A6E-E73C2FB4A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2025-01-30T12:08:39Z</dcterms:created>
  <dcterms:modified xsi:type="dcterms:W3CDTF">2025-01-30T12:09:51Z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