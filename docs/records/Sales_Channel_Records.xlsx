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5493D3CD-6AA6-4608-A814-DDF189C8B8D5}" xr6:coauthVersionLast="47" xr6:coauthVersionMax="47" xr10:uidLastSave="{00000000-0000-0000-0000-000000000000}"/>
  <bookViews>
    <workbookView xWindow="-108" yWindow="-108" windowWidth="23256" windowHeight="14016" xr2:uid="{8EB4A74A-641C-475D-B780-3FF2702F9402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</calcChain>
</file>

<file path=xl/sharedStrings.xml><?xml version="1.0" encoding="utf-8"?>
<sst xmlns="http://schemas.openxmlformats.org/spreadsheetml/2006/main" count="3" uniqueCount="3">
  <si>
    <t>Canal</t>
  </si>
  <si>
    <t>Descrição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</si>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</sst>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C774-FF0B-4247-8E5C-452452C4BBE0}">
  <dimension ref="A1:B150"/>
  <sheetViews>
    <sheetView tabSelected="1" workbookViewId="0">
      <selection activeCell="C6" sqref="C6"/>
    </sheetView>
  </sheetViews>
  <sheetFormatPr defaultRowHeight="14.4" x14ac:dyDescent="0.3"/>
  <cols>
    <col min="1" max="1" width="12.109375" bestFit="1" customWidth="1"/>
    <col min="2" max="2" width="28.44140625" bestFit="1" customWidth="1"/>
  </cols>
  <sheetData>
    <row r="1" spans="1:2" ht="15" thickBot="1" x14ac:dyDescent="0.35">
      <c r="A1" s="7" t="s">
        <v>0</v>
      </c>
      <c r="B1" s="8" t="s">
        <v>1</v>
      </c>
    </row>
    <row r="2" spans="1:2" x14ac:dyDescent="0.3">
      <c r="A2" s="5">
        <v>1</v>
      </c>
      <c r="B2" s="6" t="str">
        <f>"BERNECK"</f>
        <v>BERNECK</v>
      </c>
    </row>
    <row r="3" spans="1:2" x14ac:dyDescent="0.3">
      <c r="A3" s="1">
        <v>2</v>
      </c>
      <c r="B3" s="2" t="str">
        <f>"EUCATEX"</f>
        <v>EUCATEX</v>
      </c>
    </row>
    <row r="4" spans="1:2" x14ac:dyDescent="0.3">
      <c r="A4" s="1">
        <v>3</v>
      </c>
      <c r="B4" s="2" t="str">
        <f>"MOVAL"</f>
        <v>MOVAL</v>
      </c>
    </row>
    <row r="5" spans="1:2" x14ac:dyDescent="0.3">
      <c r="A5" s="1">
        <v>4</v>
      </c>
      <c r="B5" s="2" t="str">
        <f>"FF/FFU INTERNO"</f>
        <v>FF/FFU INTERNO</v>
      </c>
    </row>
    <row r="6" spans="1:2" x14ac:dyDescent="0.3">
      <c r="A6" s="1">
        <v>5</v>
      </c>
      <c r="B6" s="2" t="str">
        <f>"TAFISA"</f>
        <v>TAFISA</v>
      </c>
    </row>
    <row r="7" spans="1:2" x14ac:dyDescent="0.3">
      <c r="A7" s="1">
        <v>6</v>
      </c>
      <c r="B7" s="2" t="str">
        <f>"SATIPEL"</f>
        <v>SATIPEL</v>
      </c>
    </row>
    <row r="8" spans="1:2" x14ac:dyDescent="0.3">
      <c r="A8" s="1">
        <v>7</v>
      </c>
      <c r="B8" s="2" t="str">
        <f>"FORMILINE"</f>
        <v>FORMILINE</v>
      </c>
    </row>
    <row r="9" spans="1:2" x14ac:dyDescent="0.3">
      <c r="A9" s="1">
        <v>8</v>
      </c>
      <c r="B9" s="2" t="str">
        <f>"PERTECH"</f>
        <v>PERTECH</v>
      </c>
    </row>
    <row r="10" spans="1:2" x14ac:dyDescent="0.3">
      <c r="A10" s="1">
        <v>9</v>
      </c>
      <c r="B10" s="2" t="str">
        <f>"MADEPAR"</f>
        <v>MADEPAR</v>
      </c>
    </row>
    <row r="11" spans="1:2" x14ac:dyDescent="0.3">
      <c r="A11" s="1">
        <v>10</v>
      </c>
      <c r="B11" s="2" t="str">
        <f>"PLACAS DO PARANÁ"</f>
        <v>PLACAS DO PARANÁ</v>
      </c>
    </row>
    <row r="12" spans="1:2" x14ac:dyDescent="0.3">
      <c r="A12" s="1">
        <v>11</v>
      </c>
      <c r="B12" s="2" t="str">
        <f>"DYNEA"</f>
        <v>DYNEA</v>
      </c>
    </row>
    <row r="13" spans="1:2" x14ac:dyDescent="0.3">
      <c r="A13" s="1">
        <v>12</v>
      </c>
      <c r="B13" s="2" t="str">
        <f>"VOLTRU"</f>
        <v>VOLTRU</v>
      </c>
    </row>
    <row r="14" spans="1:2" x14ac:dyDescent="0.3">
      <c r="A14" s="1">
        <v>13</v>
      </c>
      <c r="B14" s="2" t="str">
        <f>"DURATEX"</f>
        <v>DURATEX</v>
      </c>
    </row>
    <row r="15" spans="1:2" x14ac:dyDescent="0.3">
      <c r="A15" s="1">
        <v>14</v>
      </c>
      <c r="B15" s="2" t="str">
        <f>"COMPORTA"</f>
        <v>COMPORTA</v>
      </c>
    </row>
    <row r="16" spans="1:2" x14ac:dyDescent="0.3">
      <c r="A16" s="1">
        <v>15</v>
      </c>
      <c r="B16" s="2" t="str">
        <f>"EUROBORDI"</f>
        <v>EUROBORDI</v>
      </c>
    </row>
    <row r="17" spans="1:2" x14ac:dyDescent="0.3">
      <c r="A17" s="1">
        <v>16</v>
      </c>
      <c r="B17" s="2" t="str">
        <f>"RODIAL"</f>
        <v>RODIAL</v>
      </c>
    </row>
    <row r="18" spans="1:2" x14ac:dyDescent="0.3">
      <c r="A18" s="1">
        <v>17</v>
      </c>
      <c r="B18" s="2" t="str">
        <f>"EUROTEC"</f>
        <v>EUROTEC</v>
      </c>
    </row>
    <row r="19" spans="1:2" x14ac:dyDescent="0.3">
      <c r="A19" s="1">
        <v>18</v>
      </c>
      <c r="B19" s="2" t="str">
        <f>"SANTA RITA"</f>
        <v>SANTA RITA</v>
      </c>
    </row>
    <row r="20" spans="1:2" x14ac:dyDescent="0.3">
      <c r="A20" s="1">
        <v>19</v>
      </c>
      <c r="B20" s="2" t="str">
        <f>"MATEC"</f>
        <v>MATEC</v>
      </c>
    </row>
    <row r="21" spans="1:2" x14ac:dyDescent="0.3">
      <c r="A21" s="1">
        <v>20</v>
      </c>
      <c r="B21" s="2" t="str">
        <f>"EUROQUADROS"</f>
        <v>EUROQUADROS</v>
      </c>
    </row>
    <row r="22" spans="1:2" x14ac:dyDescent="0.3">
      <c r="A22" s="1">
        <v>21</v>
      </c>
      <c r="B22" s="2" t="str">
        <f>"COVERIGHT DO BRASIL"</f>
        <v>COVERIGHT DO BRASIL</v>
      </c>
    </row>
    <row r="23" spans="1:2" x14ac:dyDescent="0.3">
      <c r="A23" s="1">
        <v>22</v>
      </c>
      <c r="B23" s="2" t="str">
        <f>"Movax"</f>
        <v>Movax</v>
      </c>
    </row>
    <row r="24" spans="1:2" x14ac:dyDescent="0.3">
      <c r="A24" s="1">
        <v>23</v>
      </c>
      <c r="B24" s="2" t="str">
        <f>"Kappesberg"</f>
        <v>Kappesberg</v>
      </c>
    </row>
    <row r="25" spans="1:2" x14ac:dyDescent="0.3">
      <c r="A25" s="1">
        <v>24</v>
      </c>
      <c r="B25" s="2" t="str">
        <f>"IRMOL"</f>
        <v>IRMOL</v>
      </c>
    </row>
    <row r="26" spans="1:2" x14ac:dyDescent="0.3">
      <c r="A26" s="1">
        <v>25</v>
      </c>
      <c r="B26" s="2" t="str">
        <f>"MASISA S.A."</f>
        <v>MASISA S.A.</v>
      </c>
    </row>
    <row r="27" spans="1:2" x14ac:dyDescent="0.3">
      <c r="A27" s="1">
        <v>26</v>
      </c>
      <c r="B27" s="2" t="str">
        <f>"EGGER"</f>
        <v>EGGER</v>
      </c>
    </row>
    <row r="28" spans="1:2" x14ac:dyDescent="0.3">
      <c r="A28" s="1">
        <v>27</v>
      </c>
      <c r="B28" s="2" t="str">
        <f>"MASA BERLIN"</f>
        <v>MASA BERLIN</v>
      </c>
    </row>
    <row r="29" spans="1:2" x14ac:dyDescent="0.3">
      <c r="A29" s="1">
        <v>28</v>
      </c>
      <c r="B29" s="2" t="str">
        <f>"REXCEL"</f>
        <v>REXCEL</v>
      </c>
    </row>
    <row r="30" spans="1:2" x14ac:dyDescent="0.3">
      <c r="A30" s="1">
        <v>29</v>
      </c>
      <c r="B30" s="2" t="str">
        <f>"MASISA BRASIL"</f>
        <v>MASISA BRASIL</v>
      </c>
    </row>
    <row r="31" spans="1:2" x14ac:dyDescent="0.3">
      <c r="A31" s="1">
        <v>30</v>
      </c>
      <c r="B31" s="2" t="str">
        <f>"FAPLAC S.A."</f>
        <v>FAPLAC S.A.</v>
      </c>
    </row>
    <row r="32" spans="1:2" x14ac:dyDescent="0.3">
      <c r="A32" s="1">
        <v>31</v>
      </c>
      <c r="B32" s="2" t="str">
        <f>"SAUDER"</f>
        <v>SAUDER</v>
      </c>
    </row>
    <row r="33" spans="1:2" x14ac:dyDescent="0.3">
      <c r="A33" s="1">
        <v>32</v>
      </c>
      <c r="B33" s="2" t="str">
        <f>"ABET"</f>
        <v>ABET</v>
      </c>
    </row>
    <row r="34" spans="1:2" x14ac:dyDescent="0.3">
      <c r="A34" s="1">
        <v>33</v>
      </c>
      <c r="B34" s="2" t="str">
        <f>"Unica - Dell Anno"</f>
        <v>Unica - Dell Anno</v>
      </c>
    </row>
    <row r="35" spans="1:2" x14ac:dyDescent="0.3">
      <c r="A35" s="1">
        <v>34</v>
      </c>
      <c r="B35" s="2" t="str">
        <f>"Novo Tempo"</f>
        <v>Novo Tempo</v>
      </c>
    </row>
    <row r="36" spans="1:2" x14ac:dyDescent="0.3">
      <c r="A36" s="1">
        <v>35</v>
      </c>
      <c r="B36" s="2" t="str">
        <f>"Fibraplac"</f>
        <v>Fibraplac</v>
      </c>
    </row>
    <row r="37" spans="1:2" x14ac:dyDescent="0.3">
      <c r="A37" s="1">
        <v>36</v>
      </c>
      <c r="B37" s="2" t="str">
        <f>"MADERGOLD"</f>
        <v>MADERGOLD</v>
      </c>
    </row>
    <row r="38" spans="1:2" x14ac:dyDescent="0.3">
      <c r="A38" s="1">
        <v>37</v>
      </c>
      <c r="B38" s="2" t="str">
        <f>"LUIS DIEGUES S.A."</f>
        <v>LUIS DIEGUES S.A.</v>
      </c>
    </row>
    <row r="39" spans="1:2" x14ac:dyDescent="0.3">
      <c r="A39" s="1">
        <v>38</v>
      </c>
      <c r="B39" s="2" t="str">
        <f>"KINTOS S.A."</f>
        <v>KINTOS S.A.</v>
      </c>
    </row>
    <row r="40" spans="1:2" x14ac:dyDescent="0.3">
      <c r="A40" s="1">
        <v>39</v>
      </c>
      <c r="B40" s="2" t="str">
        <f>"COVERIGHT SPAIN"</f>
        <v>COVERIGHT SPAIN</v>
      </c>
    </row>
    <row r="41" spans="1:2" x14ac:dyDescent="0.3">
      <c r="A41" s="1">
        <v>40</v>
      </c>
      <c r="B41" s="2" t="str">
        <f>"CENTRO S.A"</f>
        <v>CENTRO S.A</v>
      </c>
    </row>
    <row r="42" spans="1:2" x14ac:dyDescent="0.3">
      <c r="A42" s="1">
        <v>41</v>
      </c>
      <c r="B42" s="2" t="str">
        <f>"LAMINADOS CAMACHO"</f>
        <v>LAMINADOS CAMACHO</v>
      </c>
    </row>
    <row r="43" spans="1:2" x14ac:dyDescent="0.3">
      <c r="A43" s="1">
        <v>42</v>
      </c>
      <c r="B43" s="2" t="str">
        <f>"BOOYSENS FURNITURE FACTORY"</f>
        <v>BOOYSENS FURNITURE FACTORY</v>
      </c>
    </row>
    <row r="44" spans="1:2" x14ac:dyDescent="0.3">
      <c r="A44" s="1">
        <v>43</v>
      </c>
      <c r="B44" s="2" t="str">
        <f>"MASA S.A"</f>
        <v>MASA S.A</v>
      </c>
    </row>
    <row r="45" spans="1:2" x14ac:dyDescent="0.3">
      <c r="A45" s="1">
        <v>44</v>
      </c>
      <c r="B45" s="2" t="str">
        <f>"ARAUCO"</f>
        <v>ARAUCO</v>
      </c>
    </row>
    <row r="46" spans="1:2" x14ac:dyDescent="0.3">
      <c r="A46" s="1">
        <v>45</v>
      </c>
      <c r="B46" s="2" t="str">
        <f>"BARAHONA"</f>
        <v>BARAHONA</v>
      </c>
    </row>
    <row r="47" spans="1:2" x14ac:dyDescent="0.3">
      <c r="A47" s="1">
        <v>46</v>
      </c>
      <c r="B47" s="2" t="str">
        <f>"MAK Design Group"</f>
        <v>MAK Design Group</v>
      </c>
    </row>
    <row r="48" spans="1:2" x14ac:dyDescent="0.3">
      <c r="A48" s="1">
        <v>47</v>
      </c>
      <c r="B48" s="2" t="str">
        <f>"POOYA"</f>
        <v>POOYA</v>
      </c>
    </row>
    <row r="49" spans="1:2" x14ac:dyDescent="0.3">
      <c r="A49" s="1">
        <v>48</v>
      </c>
      <c r="B49" s="2" t="str">
        <f>"CUYOPLACAS"</f>
        <v>CUYOPLACAS</v>
      </c>
    </row>
    <row r="50" spans="1:2" x14ac:dyDescent="0.3">
      <c r="A50" s="1">
        <v>49</v>
      </c>
      <c r="B50" s="2" t="str">
        <f>"SELECTAS"</f>
        <v>SELECTAS</v>
      </c>
    </row>
    <row r="51" spans="1:2" x14ac:dyDescent="0.3">
      <c r="A51" s="1">
        <v>50</v>
      </c>
      <c r="B51" s="2" t="str">
        <f>"Laminates And  Things"</f>
        <v>Laminates And  Things</v>
      </c>
    </row>
    <row r="52" spans="1:2" x14ac:dyDescent="0.3">
      <c r="A52" s="1">
        <v>51</v>
      </c>
      <c r="B52" s="2" t="str">
        <f>"VIDESH"</f>
        <v>VIDESH</v>
      </c>
    </row>
    <row r="53" spans="1:2" x14ac:dyDescent="0.3">
      <c r="A53" s="1">
        <v>52</v>
      </c>
      <c r="B53" s="2" t="str">
        <f>"FURNITURE SOLUTIONS"</f>
        <v>FURNITURE SOLUTIONS</v>
      </c>
    </row>
    <row r="54" spans="1:2" x14ac:dyDescent="0.3">
      <c r="A54" s="1">
        <v>53</v>
      </c>
      <c r="B54" s="2" t="str">
        <f>"BOM TEMPO"</f>
        <v>BOM TEMPO</v>
      </c>
    </row>
    <row r="55" spans="1:2" x14ac:dyDescent="0.3">
      <c r="A55" s="1">
        <v>54</v>
      </c>
      <c r="B55" s="2" t="str">
        <f>"FORMICOLOR S.A."</f>
        <v>FORMICOLOR S.A.</v>
      </c>
    </row>
    <row r="56" spans="1:2" x14ac:dyDescent="0.3">
      <c r="A56" s="1">
        <v>55</v>
      </c>
      <c r="B56" s="2" t="str">
        <f>"BESTAR"</f>
        <v>BESTAR</v>
      </c>
    </row>
    <row r="57" spans="1:2" x14ac:dyDescent="0.3">
      <c r="A57" s="1">
        <v>56</v>
      </c>
      <c r="B57" s="2" t="str">
        <f>"MADELUX"</f>
        <v>MADELUX</v>
      </c>
    </row>
    <row r="58" spans="1:2" x14ac:dyDescent="0.3">
      <c r="A58" s="1">
        <v>57</v>
      </c>
      <c r="B58" s="2" t="str">
        <f>"BELMONTE"</f>
        <v>BELMONTE</v>
      </c>
    </row>
    <row r="59" spans="1:2" x14ac:dyDescent="0.3">
      <c r="A59" s="1">
        <v>58</v>
      </c>
      <c r="B59" s="2" t="str">
        <f>"ALEX"</f>
        <v>ALEX</v>
      </c>
    </row>
    <row r="60" spans="1:2" x14ac:dyDescent="0.3">
      <c r="A60" s="1">
        <v>59</v>
      </c>
      <c r="B60" s="2" t="str">
        <f>"EDUARDO"</f>
        <v>EDUARDO</v>
      </c>
    </row>
    <row r="61" spans="1:2" x14ac:dyDescent="0.3">
      <c r="A61" s="1">
        <v>60</v>
      </c>
      <c r="B61" s="2" t="str">
        <f>"XILA POST"</f>
        <v>XILA POST</v>
      </c>
    </row>
    <row r="62" spans="1:2" x14ac:dyDescent="0.3">
      <c r="A62" s="1">
        <v>61</v>
      </c>
      <c r="B62" s="2" t="str">
        <f>"UNISFERA"</f>
        <v>UNISFERA</v>
      </c>
    </row>
    <row r="63" spans="1:2" x14ac:dyDescent="0.3">
      <c r="A63" s="1">
        <v>62</v>
      </c>
      <c r="B63" s="2" t="str">
        <f>"DURAPLAY"</f>
        <v>DURAPLAY</v>
      </c>
    </row>
    <row r="64" spans="1:2" x14ac:dyDescent="0.3">
      <c r="A64" s="1">
        <v>63</v>
      </c>
      <c r="B64" s="2" t="str">
        <f>"BENECKE"</f>
        <v>BENECKE</v>
      </c>
    </row>
    <row r="65" spans="1:2" x14ac:dyDescent="0.3">
      <c r="A65" s="1">
        <v>64</v>
      </c>
      <c r="B65" s="2" t="str">
        <f>"ELM"</f>
        <v>ELM</v>
      </c>
    </row>
    <row r="66" spans="1:2" x14ac:dyDescent="0.3">
      <c r="A66" s="1">
        <v>65</v>
      </c>
      <c r="B66" s="2" t="str">
        <f>"COVERIGHT CANADÁ"</f>
        <v>COVERIGHT CANADÁ</v>
      </c>
    </row>
    <row r="67" spans="1:2" x14ac:dyDescent="0.3">
      <c r="A67" s="1">
        <v>66</v>
      </c>
      <c r="B67" s="2" t="str">
        <f>"HARPEX"</f>
        <v>HARPEX</v>
      </c>
    </row>
    <row r="68" spans="1:2" x14ac:dyDescent="0.3">
      <c r="A68" s="1">
        <v>67</v>
      </c>
      <c r="B68" s="2" t="str">
        <f>"FIBRANOVA"</f>
        <v>FIBRANOVA</v>
      </c>
    </row>
    <row r="69" spans="1:2" x14ac:dyDescent="0.3">
      <c r="A69" s="1">
        <v>68</v>
      </c>
      <c r="B69" s="2" t="str">
        <f>"POLCURA"</f>
        <v>POLCURA</v>
      </c>
    </row>
    <row r="70" spans="1:2" x14ac:dyDescent="0.3">
      <c r="A70" s="1">
        <v>69</v>
      </c>
      <c r="B70" s="2" t="str">
        <f>"SR. SAMUEL"</f>
        <v>SR. SAMUEL</v>
      </c>
    </row>
    <row r="71" spans="1:2" x14ac:dyDescent="0.3">
      <c r="A71" s="1">
        <v>70</v>
      </c>
      <c r="B71" s="2" t="str">
        <f>"LETRON USA"</f>
        <v>LETRON USA</v>
      </c>
    </row>
    <row r="72" spans="1:2" x14ac:dyDescent="0.3">
      <c r="A72" s="1">
        <v>71</v>
      </c>
      <c r="B72" s="2" t="str">
        <f>"MULTIPLACAS"</f>
        <v>MULTIPLACAS</v>
      </c>
    </row>
    <row r="73" spans="1:2" x14ac:dyDescent="0.3">
      <c r="A73" s="1">
        <v>72</v>
      </c>
      <c r="B73" s="2" t="str">
        <f>"INFUSA"</f>
        <v>INFUSA</v>
      </c>
    </row>
    <row r="74" spans="1:2" x14ac:dyDescent="0.3">
      <c r="A74" s="1">
        <v>73</v>
      </c>
      <c r="B74" s="2" t="str">
        <f>"COASTAL"</f>
        <v>COASTAL</v>
      </c>
    </row>
    <row r="75" spans="1:2" x14ac:dyDescent="0.3">
      <c r="A75" s="1">
        <v>74</v>
      </c>
      <c r="B75" s="2" t="str">
        <f>"LOPAR"</f>
        <v>LOPAR</v>
      </c>
    </row>
    <row r="76" spans="1:2" x14ac:dyDescent="0.3">
      <c r="A76" s="1">
        <v>75</v>
      </c>
      <c r="B76" s="2" t="str">
        <f>"PERFITEC"</f>
        <v>PERFITEC</v>
      </c>
    </row>
    <row r="77" spans="1:2" x14ac:dyDescent="0.3">
      <c r="A77" s="1">
        <v>76</v>
      </c>
      <c r="B77" s="2" t="str">
        <f>"POLYCORTE"</f>
        <v>POLYCORTE</v>
      </c>
    </row>
    <row r="78" spans="1:2" x14ac:dyDescent="0.3">
      <c r="A78" s="1">
        <v>77</v>
      </c>
      <c r="B78" s="2" t="str">
        <f>"KRAFTMAID"</f>
        <v>KRAFTMAID</v>
      </c>
    </row>
    <row r="79" spans="1:2" x14ac:dyDescent="0.3">
      <c r="A79" s="1">
        <v>78</v>
      </c>
      <c r="B79" s="2" t="str">
        <f>"ARTEBORD"</f>
        <v>ARTEBORD</v>
      </c>
    </row>
    <row r="80" spans="1:2" x14ac:dyDescent="0.3">
      <c r="A80" s="1">
        <v>79</v>
      </c>
      <c r="B80" s="2" t="str">
        <f>"REGERIT"</f>
        <v>REGERIT</v>
      </c>
    </row>
    <row r="81" spans="1:2" x14ac:dyDescent="0.3">
      <c r="A81" s="1">
        <v>80</v>
      </c>
      <c r="B81" s="2" t="str">
        <f>"BARRY GOMEZ"</f>
        <v>BARRY GOMEZ</v>
      </c>
    </row>
    <row r="82" spans="1:2" x14ac:dyDescent="0.3">
      <c r="A82" s="1">
        <v>81</v>
      </c>
      <c r="B82" s="2" t="str">
        <f>"MAXIWOOD"</f>
        <v>MAXIWOOD</v>
      </c>
    </row>
    <row r="83" spans="1:2" x14ac:dyDescent="0.3">
      <c r="A83" s="1">
        <v>82</v>
      </c>
      <c r="B83" s="2" t="str">
        <f>"D'ITALIA"</f>
        <v>D'ITALIA</v>
      </c>
    </row>
    <row r="84" spans="1:2" x14ac:dyDescent="0.3">
      <c r="A84" s="1">
        <v>83</v>
      </c>
      <c r="B84" s="2" t="str">
        <f>"MADERART"</f>
        <v>MADERART</v>
      </c>
    </row>
    <row r="85" spans="1:2" x14ac:dyDescent="0.3">
      <c r="A85" s="1">
        <v>84</v>
      </c>
      <c r="B85" s="2" t="str">
        <f>"PALADINI"</f>
        <v>PALADINI</v>
      </c>
    </row>
    <row r="86" spans="1:2" x14ac:dyDescent="0.3">
      <c r="A86" s="1">
        <v>85</v>
      </c>
      <c r="B86" s="2" t="str">
        <f>"ALL PARTS"</f>
        <v>ALL PARTS</v>
      </c>
    </row>
    <row r="87" spans="1:2" x14ac:dyDescent="0.3">
      <c r="A87" s="1">
        <v>86</v>
      </c>
      <c r="B87" s="2" t="str">
        <f>"SALLETO"</f>
        <v>SALLETO</v>
      </c>
    </row>
    <row r="88" spans="1:2" x14ac:dyDescent="0.3">
      <c r="A88" s="1">
        <v>87</v>
      </c>
      <c r="B88" s="2" t="str">
        <f>"LEIFIL"</f>
        <v>LEIFIL</v>
      </c>
    </row>
    <row r="89" spans="1:2" x14ac:dyDescent="0.3">
      <c r="A89" s="1">
        <v>88</v>
      </c>
      <c r="B89" s="2" t="str">
        <f>"BENETIL"</f>
        <v>BENETIL</v>
      </c>
    </row>
    <row r="90" spans="1:2" x14ac:dyDescent="0.3">
      <c r="A90" s="1">
        <v>89</v>
      </c>
      <c r="B90" s="2" t="str">
        <f>"BETTIO"</f>
        <v>BETTIO</v>
      </c>
    </row>
    <row r="91" spans="1:2" x14ac:dyDescent="0.3">
      <c r="A91" s="1">
        <v>90</v>
      </c>
      <c r="B91" s="2" t="str">
        <f>"THAMA"</f>
        <v>THAMA</v>
      </c>
    </row>
    <row r="92" spans="1:2" x14ac:dyDescent="0.3">
      <c r="A92" s="1">
        <v>91</v>
      </c>
      <c r="B92" s="2" t="str">
        <f>"ARTE MÓVEIS"</f>
        <v>ARTE MÓVEIS</v>
      </c>
    </row>
    <row r="93" spans="1:2" x14ac:dyDescent="0.3">
      <c r="A93" s="1">
        <v>92</v>
      </c>
      <c r="B93" s="2" t="str">
        <f>"LOCONT"</f>
        <v>LOCONT</v>
      </c>
    </row>
    <row r="94" spans="1:2" x14ac:dyDescent="0.3">
      <c r="A94" s="1">
        <v>93</v>
      </c>
      <c r="B94" s="2" t="str">
        <f>"KIPLAC"</f>
        <v>KIPLAC</v>
      </c>
    </row>
    <row r="95" spans="1:2" x14ac:dyDescent="0.3">
      <c r="A95" s="1">
        <v>94</v>
      </c>
      <c r="B95" s="2" t="str">
        <f>"MILL'S PRIDE"</f>
        <v>MILL'S PRIDE</v>
      </c>
    </row>
    <row r="96" spans="1:2" x14ac:dyDescent="0.3">
      <c r="A96" s="1">
        <v>95</v>
      </c>
      <c r="B96" s="2" t="str">
        <f>"MARINEPAR"</f>
        <v>MARINEPAR</v>
      </c>
    </row>
    <row r="97" spans="1:2" x14ac:dyDescent="0.3">
      <c r="A97" s="1">
        <v>96</v>
      </c>
      <c r="B97" s="2" t="str">
        <f>"REVEST BRAS"</f>
        <v>REVEST BRAS</v>
      </c>
    </row>
    <row r="98" spans="1:2" x14ac:dyDescent="0.3">
      <c r="A98" s="1">
        <v>97</v>
      </c>
      <c r="B98" s="2" t="str">
        <f>"BOBINEX"</f>
        <v>BOBINEX</v>
      </c>
    </row>
    <row r="99" spans="1:2" x14ac:dyDescent="0.3">
      <c r="A99" s="1">
        <v>98</v>
      </c>
      <c r="B99" s="2" t="str">
        <f>"IMOP"</f>
        <v>IMOP</v>
      </c>
    </row>
    <row r="100" spans="1:2" x14ac:dyDescent="0.3">
      <c r="A100" s="1">
        <v>99</v>
      </c>
      <c r="B100" s="2" t="str">
        <f>"GHERBALI"</f>
        <v>GHERBALI</v>
      </c>
    </row>
    <row r="101" spans="1:2" x14ac:dyDescent="0.3">
      <c r="A101" s="1">
        <v>100</v>
      </c>
      <c r="B101" s="2" t="str">
        <f>"SMM"</f>
        <v>SMM</v>
      </c>
    </row>
    <row r="102" spans="1:2" x14ac:dyDescent="0.3">
      <c r="A102" s="1">
        <v>101</v>
      </c>
      <c r="B102" s="2" t="str">
        <f>"ENCS"</f>
        <v>ENCS</v>
      </c>
    </row>
    <row r="103" spans="1:2" x14ac:dyDescent="0.3">
      <c r="A103" s="1">
        <v>102</v>
      </c>
      <c r="B103" s="2" t="str">
        <f>"JOSEP"</f>
        <v>JOSEP</v>
      </c>
    </row>
    <row r="104" spans="1:2" x14ac:dyDescent="0.3">
      <c r="A104" s="1">
        <v>103</v>
      </c>
      <c r="B104" s="2" t="str">
        <f>"INCABRAS"</f>
        <v>INCABRAS</v>
      </c>
    </row>
    <row r="105" spans="1:2" x14ac:dyDescent="0.3">
      <c r="A105" s="1">
        <v>104</v>
      </c>
      <c r="B105" s="2" t="str">
        <f>"IMPRESS IBÉRIA"</f>
        <v>IMPRESS IBÉRIA</v>
      </c>
    </row>
    <row r="106" spans="1:2" x14ac:dyDescent="0.3">
      <c r="A106" s="1">
        <v>105</v>
      </c>
      <c r="B106" s="2" t="str">
        <f>"ITATA"</f>
        <v>ITATA</v>
      </c>
    </row>
    <row r="107" spans="1:2" x14ac:dyDescent="0.3">
      <c r="A107" s="1">
        <v>106</v>
      </c>
      <c r="B107" s="2" t="str">
        <f>"NASA"</f>
        <v>NASA</v>
      </c>
    </row>
    <row r="108" spans="1:2" x14ac:dyDescent="0.3">
      <c r="A108" s="1">
        <v>107</v>
      </c>
      <c r="B108" s="2" t="str">
        <f>"FRITZ"</f>
        <v>FRITZ</v>
      </c>
    </row>
    <row r="109" spans="1:2" x14ac:dyDescent="0.3">
      <c r="A109" s="1">
        <v>108</v>
      </c>
      <c r="B109" s="2" t="str">
        <f>"JOR"</f>
        <v>JOR</v>
      </c>
    </row>
    <row r="110" spans="1:2" x14ac:dyDescent="0.3">
      <c r="A110" s="1">
        <v>109</v>
      </c>
      <c r="B110" s="2" t="str">
        <f>"PALMEIRA"</f>
        <v>PALMEIRA</v>
      </c>
    </row>
    <row r="111" spans="1:2" x14ac:dyDescent="0.3">
      <c r="A111" s="1">
        <v>110</v>
      </c>
      <c r="B111" s="2" t="str">
        <f>"CAROL MOVEIS"</f>
        <v>CAROL MOVEIS</v>
      </c>
    </row>
    <row r="112" spans="1:2" x14ac:dyDescent="0.3">
      <c r="A112" s="1">
        <v>111</v>
      </c>
      <c r="B112" s="2" t="str">
        <f>"MOVEIS RIBEIRO"</f>
        <v>MOVEIS RIBEIRO</v>
      </c>
    </row>
    <row r="113" spans="1:2" x14ac:dyDescent="0.3">
      <c r="A113" s="1">
        <v>112</v>
      </c>
      <c r="B113" s="2" t="str">
        <f>"SERRA MORENA"</f>
        <v>SERRA MORENA</v>
      </c>
    </row>
    <row r="114" spans="1:2" x14ac:dyDescent="0.3">
      <c r="A114" s="1">
        <v>113</v>
      </c>
      <c r="B114" s="2" t="str">
        <f>"CEL"</f>
        <v>CEL</v>
      </c>
    </row>
    <row r="115" spans="1:2" x14ac:dyDescent="0.3">
      <c r="A115" s="1">
        <v>114</v>
      </c>
      <c r="B115" s="2" t="str">
        <f>"KADU MOVEIS"</f>
        <v>KADU MOVEIS</v>
      </c>
    </row>
    <row r="116" spans="1:2" x14ac:dyDescent="0.3">
      <c r="A116" s="1">
        <v>115</v>
      </c>
      <c r="B116" s="2" t="str">
        <f>"INDUSMOVEIS"</f>
        <v>INDUSMOVEIS</v>
      </c>
    </row>
    <row r="117" spans="1:2" x14ac:dyDescent="0.3">
      <c r="A117" s="1">
        <v>116</v>
      </c>
      <c r="B117" s="2" t="str">
        <f>"QUARTA DIVISÃO"</f>
        <v>QUARTA DIVISÃO</v>
      </c>
    </row>
    <row r="118" spans="1:2" x14ac:dyDescent="0.3">
      <c r="A118" s="1">
        <v>117</v>
      </c>
      <c r="B118" s="2" t="str">
        <f>"NOVO HORIZONTE"</f>
        <v>NOVO HORIZONTE</v>
      </c>
    </row>
    <row r="119" spans="1:2" x14ac:dyDescent="0.3">
      <c r="A119" s="1">
        <v>118</v>
      </c>
      <c r="B119" s="2" t="str">
        <f>"BIANCHI"</f>
        <v>BIANCHI</v>
      </c>
    </row>
    <row r="120" spans="1:2" x14ac:dyDescent="0.3">
      <c r="A120" s="1">
        <v>119</v>
      </c>
      <c r="B120" s="2" t="str">
        <f>"JC MOVEIS"</f>
        <v>JC MOVEIS</v>
      </c>
    </row>
    <row r="121" spans="1:2" x14ac:dyDescent="0.3">
      <c r="A121" s="1">
        <v>120</v>
      </c>
      <c r="B121" s="2" t="str">
        <f>"RUFATO"</f>
        <v>RUFATO</v>
      </c>
    </row>
    <row r="122" spans="1:2" x14ac:dyDescent="0.3">
      <c r="A122" s="1">
        <v>121</v>
      </c>
      <c r="B122" s="2" t="str">
        <f>"CONQUISTA"</f>
        <v>CONQUISTA</v>
      </c>
    </row>
    <row r="123" spans="1:2" x14ac:dyDescent="0.3">
      <c r="A123" s="1">
        <v>122</v>
      </c>
      <c r="B123" s="2" t="str">
        <f>"EPA"</f>
        <v>EPA</v>
      </c>
    </row>
    <row r="124" spans="1:2" x14ac:dyDescent="0.3">
      <c r="A124" s="1">
        <v>123</v>
      </c>
      <c r="B124" s="2" t="str">
        <f>"CPI"</f>
        <v>CPI</v>
      </c>
    </row>
    <row r="125" spans="1:2" x14ac:dyDescent="0.3">
      <c r="A125" s="1">
        <v>124</v>
      </c>
      <c r="B125" s="2" t="str">
        <f>"DAHIER MUSSE"</f>
        <v>DAHIER MUSSE</v>
      </c>
    </row>
    <row r="126" spans="1:2" x14ac:dyDescent="0.3">
      <c r="A126" s="1">
        <v>125</v>
      </c>
      <c r="B126" s="2" t="str">
        <f>"ARTE GABINETES"</f>
        <v>ARTE GABINETES</v>
      </c>
    </row>
    <row r="127" spans="1:2" x14ac:dyDescent="0.3">
      <c r="A127" s="1">
        <v>126</v>
      </c>
      <c r="B127" s="2" t="str">
        <f>"FERNANDO (CIA)"</f>
        <v>FERNANDO (CIA)</v>
      </c>
    </row>
    <row r="128" spans="1:2" x14ac:dyDescent="0.3">
      <c r="A128" s="1">
        <v>127</v>
      </c>
      <c r="B128" s="2" t="str">
        <f>"PLANALTO"</f>
        <v>PLANALTO</v>
      </c>
    </row>
    <row r="129" spans="1:2" x14ac:dyDescent="0.3">
      <c r="A129" s="1">
        <v>128</v>
      </c>
      <c r="B129" s="2" t="str">
        <f>"JETPLAC"</f>
        <v>JETPLAC</v>
      </c>
    </row>
    <row r="130" spans="1:2" x14ac:dyDescent="0.3">
      <c r="A130" s="1">
        <v>129</v>
      </c>
      <c r="B130" s="2" t="str">
        <f>"TODESCHINI"</f>
        <v>TODESCHINI</v>
      </c>
    </row>
    <row r="131" spans="1:2" x14ac:dyDescent="0.3">
      <c r="A131" s="1">
        <v>130</v>
      </c>
      <c r="B131" s="2" t="str">
        <f>"PINHAL"</f>
        <v>PINHAL</v>
      </c>
    </row>
    <row r="132" spans="1:2" x14ac:dyDescent="0.3">
      <c r="A132" s="1">
        <v>131</v>
      </c>
      <c r="B132" s="2" t="str">
        <f>"IMPRESS INC."</f>
        <v>IMPRESS INC.</v>
      </c>
    </row>
    <row r="133" spans="1:2" x14ac:dyDescent="0.3">
      <c r="A133" s="1">
        <v>132</v>
      </c>
      <c r="B133" s="2" t="str">
        <f>"POLINCAY"</f>
        <v>POLINCAY</v>
      </c>
    </row>
    <row r="134" spans="1:2" x14ac:dyDescent="0.3">
      <c r="A134" s="1">
        <v>133</v>
      </c>
      <c r="B134" s="2" t="str">
        <f>"MADETABLEROS"</f>
        <v>MADETABLEROS</v>
      </c>
    </row>
    <row r="135" spans="1:2" x14ac:dyDescent="0.3">
      <c r="A135" s="1">
        <v>134</v>
      </c>
      <c r="B135" s="2" t="str">
        <f>"BRASMACOL"</f>
        <v>BRASMACOL</v>
      </c>
    </row>
    <row r="136" spans="1:2" x14ac:dyDescent="0.3">
      <c r="A136" s="1">
        <v>135</v>
      </c>
      <c r="B136" s="2" t="str">
        <f>"TERRANOVA"</f>
        <v>TERRANOVA</v>
      </c>
    </row>
    <row r="137" spans="1:2" x14ac:dyDescent="0.3">
      <c r="A137" s="1">
        <v>136</v>
      </c>
      <c r="B137" s="2" t="str">
        <f>"IMPRESS AFR."</f>
        <v>IMPRESS AFR.</v>
      </c>
    </row>
    <row r="138" spans="1:2" x14ac:dyDescent="0.3">
      <c r="A138" s="1">
        <v>137</v>
      </c>
      <c r="B138" s="2" t="str">
        <f>"IMPRESS BR"</f>
        <v>IMPRESS BR</v>
      </c>
    </row>
    <row r="139" spans="1:2" x14ac:dyDescent="0.3">
      <c r="A139" s="1">
        <v>138</v>
      </c>
      <c r="B139" s="2" t="str">
        <f>"SIDNEI"</f>
        <v>SIDNEI</v>
      </c>
    </row>
    <row r="140" spans="1:2" x14ac:dyDescent="0.3">
      <c r="A140" s="1">
        <v>139</v>
      </c>
      <c r="B140" s="2" t="str">
        <f>"JELD WEN"</f>
        <v>JELD WEN</v>
      </c>
    </row>
    <row r="141" spans="1:2" x14ac:dyDescent="0.3">
      <c r="A141" s="1">
        <v>140</v>
      </c>
      <c r="B141" s="2" t="str">
        <f>"MASISA COL."</f>
        <v>MASISA COL.</v>
      </c>
    </row>
    <row r="142" spans="1:2" x14ac:dyDescent="0.3">
      <c r="A142" s="1">
        <v>141</v>
      </c>
      <c r="B142" s="2" t="str">
        <f>"GUARARAPES"</f>
        <v>GUARARAPES</v>
      </c>
    </row>
    <row r="143" spans="1:2" x14ac:dyDescent="0.3">
      <c r="A143" s="1">
        <v>142</v>
      </c>
      <c r="B143" s="2" t="str">
        <f>"SUDATI"</f>
        <v>SUDATI</v>
      </c>
    </row>
    <row r="144" spans="1:2" x14ac:dyDescent="0.3">
      <c r="A144" s="1">
        <v>143</v>
      </c>
      <c r="B144" s="2" t="str">
        <f>"THAIMO"</f>
        <v>THAIMO</v>
      </c>
    </row>
    <row r="145" spans="1:2" x14ac:dyDescent="0.3">
      <c r="A145" s="1">
        <v>144</v>
      </c>
      <c r="B145" s="2" t="str">
        <f>"SADEPAN"</f>
        <v>SADEPAN</v>
      </c>
    </row>
    <row r="146" spans="1:2" x14ac:dyDescent="0.3">
      <c r="A146" s="1">
        <v>145</v>
      </c>
      <c r="B146" s="2" t="str">
        <f>"MASISA MX."</f>
        <v>MASISA MX.</v>
      </c>
    </row>
    <row r="147" spans="1:2" x14ac:dyDescent="0.3">
      <c r="A147" s="1">
        <v>146</v>
      </c>
      <c r="B147" s="2" t="str">
        <f>"DECORPRINT"</f>
        <v>DECORPRINT</v>
      </c>
    </row>
    <row r="148" spans="1:2" x14ac:dyDescent="0.3">
      <c r="A148" s="1">
        <v>147</v>
      </c>
      <c r="B148" s="2" t="str">
        <f>"ALTO PARANÁ"</f>
        <v>ALTO PARANÁ</v>
      </c>
    </row>
    <row r="149" spans="1:2" ht="15" thickBot="1" x14ac:dyDescent="0.35">
      <c r="A149" s="3">
        <v>148</v>
      </c>
      <c r="B149" s="4" t="str">
        <f>"PIQUIRI"</f>
        <v>PIQUIRI</v>
      </c>
    </row>
    <row r="150" spans="1:2" x14ac:dyDescent="0.3">
      <c r="A150" t="s">
        <v>2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1D2E2F-88C0-4B78-A125-225A53A93B7C}"/>
</file>

<file path=customXml/itemProps2.xml><?xml version="1.0" encoding="utf-8"?>
<ds:datastoreItem xmlns:ds="http://schemas.openxmlformats.org/officeDocument/2006/customXml" ds:itemID="{E956D0CC-8A30-4ABB-AC1D-93A1D04623CD}"/>
</file>

<file path=customXml/itemProps3.xml><?xml version="1.0" encoding="utf-8"?>
<ds:datastoreItem xmlns:ds="http://schemas.openxmlformats.org/officeDocument/2006/customXml" ds:itemID="{71FBA286-9221-426E-BDD6-C45F08B291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2025-01-16T11:55:37Z</dcterms:created>
  <dcterms:modified xsi:type="dcterms:W3CDTF">2025-01-16T11:56:04Z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