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otvs\datasul\erp\_custom_8280\ksoft\docs\"/>
    </mc:Choice>
  </mc:AlternateContent>
  <xr:revisionPtr revIDLastSave="0" documentId="8_{25FCBF11-01CF-49D8-92A9-EEC7A97AC35B}" xr6:coauthVersionLast="47" xr6:coauthVersionMax="47" xr10:uidLastSave="{00000000-0000-0000-0000-000000000000}"/>
  <bookViews>
    <workbookView xWindow="-108" yWindow="-108" windowWidth="23256" windowHeight="14016" xr2:uid="{D1692EF7-A522-48AE-8DEE-7052BBE1F809}"/>
  </bookViews>
  <sheets>
    <sheet name="Planilh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" i="1" l="1"/>
  <c r="B2" i="1"/>
  <c r="A3" i="1"/>
  <c r="B3" i="1"/>
  <c r="A4" i="1"/>
  <c r="B4" i="1"/>
  <c r="A5" i="1"/>
  <c r="B5" i="1"/>
  <c r="A6" i="1"/>
  <c r="B6" i="1"/>
  <c r="A7" i="1"/>
  <c r="B7" i="1"/>
  <c r="A8" i="1"/>
  <c r="B8" i="1"/>
  <c r="A9" i="1"/>
  <c r="B9" i="1"/>
  <c r="A10" i="1"/>
  <c r="B10" i="1"/>
  <c r="A11" i="1"/>
  <c r="B11" i="1"/>
  <c r="A12" i="1"/>
  <c r="B12" i="1"/>
  <c r="A13" i="1"/>
  <c r="B13" i="1"/>
  <c r="A14" i="1"/>
  <c r="B14" i="1"/>
  <c r="A15" i="1"/>
  <c r="B15" i="1"/>
  <c r="A16" i="1"/>
  <c r="B16" i="1"/>
  <c r="A17" i="1"/>
  <c r="B17" i="1"/>
  <c r="A18" i="1"/>
  <c r="B18" i="1"/>
  <c r="A19" i="1"/>
  <c r="B19" i="1"/>
  <c r="A20" i="1"/>
  <c r="B20" i="1"/>
  <c r="A21" i="1"/>
  <c r="B21" i="1"/>
  <c r="A22" i="1"/>
  <c r="B22" i="1"/>
  <c r="A23" i="1"/>
  <c r="B23" i="1"/>
  <c r="A24" i="1"/>
  <c r="B24" i="1"/>
  <c r="A25" i="1"/>
  <c r="B25" i="1"/>
  <c r="A26" i="1"/>
  <c r="B26" i="1"/>
  <c r="A27" i="1"/>
  <c r="B27" i="1"/>
  <c r="A28" i="1"/>
  <c r="B28" i="1"/>
  <c r="A29" i="1"/>
  <c r="B29" i="1"/>
  <c r="A30" i="1"/>
  <c r="B30" i="1"/>
</calcChain>
</file>

<file path=xl/sharedStrings.xml><?xml version="1.0" encoding="utf-8"?>
<sst xmlns="http://schemas.openxmlformats.org/spreadsheetml/2006/main" count="3" uniqueCount="3">
  <si>
    <t>Un</t>
  </si>
  <si>
    <t>Descrição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</si>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</sst>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7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16" fillId="33" borderId="10" xfId="0" applyFont="1" applyFill="1" applyBorder="1"/>
    <xf numFmtId="0" fontId="16" fillId="33" borderId="17" xfId="0" applyFont="1" applyFill="1" applyBorder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2DEB3-0291-407A-B756-B410960A6B48}">
  <dimension ref="A1:B31"/>
  <sheetViews>
    <sheetView tabSelected="1" workbookViewId="0">
      <selection activeCell="C1" sqref="C1"/>
    </sheetView>
  </sheetViews>
  <sheetFormatPr defaultRowHeight="14.4" x14ac:dyDescent="0.3"/>
  <cols>
    <col min="1" max="1" width="11.33203125" bestFit="1" customWidth="1"/>
    <col min="2" max="2" width="14.44140625" bestFit="1" customWidth="1"/>
  </cols>
  <sheetData>
    <row r="1" spans="1:2" ht="15" thickBot="1" x14ac:dyDescent="0.35">
      <c r="A1" s="7" t="s">
        <v>0</v>
      </c>
      <c r="B1" s="8" t="s">
        <v>1</v>
      </c>
    </row>
    <row r="2" spans="1:2" x14ac:dyDescent="0.3">
      <c r="A2" s="5" t="str">
        <f>"CE"</f>
        <v>CE</v>
      </c>
      <c r="B2" s="6" t="str">
        <f>"CENTO"</f>
        <v>CENTO</v>
      </c>
    </row>
    <row r="3" spans="1:2" x14ac:dyDescent="0.3">
      <c r="A3" s="1" t="str">
        <f>"CJ"</f>
        <v>CJ</v>
      </c>
      <c r="B3" s="2" t="str">
        <f>"CONJUNTO"</f>
        <v>CONJUNTO</v>
      </c>
    </row>
    <row r="4" spans="1:2" x14ac:dyDescent="0.3">
      <c r="A4" s="1" t="str">
        <f>"CT"</f>
        <v>CT</v>
      </c>
      <c r="B4" s="2" t="str">
        <f>"Sacola"</f>
        <v>Sacola</v>
      </c>
    </row>
    <row r="5" spans="1:2" x14ac:dyDescent="0.3">
      <c r="A5" s="1" t="str">
        <f>"CX"</f>
        <v>CX</v>
      </c>
      <c r="B5" s="2" t="str">
        <f>"Caixa"</f>
        <v>Caixa</v>
      </c>
    </row>
    <row r="6" spans="1:2" x14ac:dyDescent="0.3">
      <c r="A6" s="1" t="str">
        <f>"EA"</f>
        <v>EA</v>
      </c>
      <c r="B6" s="2" t="str">
        <f>"UNIDADE"</f>
        <v>UNIDADE</v>
      </c>
    </row>
    <row r="7" spans="1:2" x14ac:dyDescent="0.3">
      <c r="A7" s="1" t="str">
        <f>"FL"</f>
        <v>FL</v>
      </c>
      <c r="B7" s="2" t="str">
        <f>"FOLHA"</f>
        <v>FOLHA</v>
      </c>
    </row>
    <row r="8" spans="1:2" x14ac:dyDescent="0.3">
      <c r="A8" s="1" t="str">
        <f>"FR"</f>
        <v>FR</v>
      </c>
      <c r="B8" s="2" t="str">
        <f>"FRASCO"</f>
        <v>FRASCO</v>
      </c>
    </row>
    <row r="9" spans="1:2" x14ac:dyDescent="0.3">
      <c r="A9" s="1" t="str">
        <f>"KG"</f>
        <v>KG</v>
      </c>
      <c r="B9" s="2" t="str">
        <f>"KILOGRAMA"</f>
        <v>KILOGRAMA</v>
      </c>
    </row>
    <row r="10" spans="1:2" x14ac:dyDescent="0.3">
      <c r="A10" s="1" t="str">
        <f>"KT"</f>
        <v>KT</v>
      </c>
      <c r="B10" s="2" t="str">
        <f>"KIT"</f>
        <v>KIT</v>
      </c>
    </row>
    <row r="11" spans="1:2" x14ac:dyDescent="0.3">
      <c r="A11" s="1" t="str">
        <f>"kw"</f>
        <v>kw</v>
      </c>
      <c r="B11" s="2" t="str">
        <f>"Kw hora"</f>
        <v>Kw hora</v>
      </c>
    </row>
    <row r="12" spans="1:2" x14ac:dyDescent="0.3">
      <c r="A12" s="1" t="str">
        <f>"LT"</f>
        <v>LT</v>
      </c>
      <c r="B12" s="2" t="str">
        <f>"LITROS"</f>
        <v>LITROS</v>
      </c>
    </row>
    <row r="13" spans="1:2" x14ac:dyDescent="0.3">
      <c r="A13" s="1" t="str">
        <f>"M"</f>
        <v>M</v>
      </c>
      <c r="B13" s="2" t="str">
        <f>"METRO"</f>
        <v>METRO</v>
      </c>
    </row>
    <row r="14" spans="1:2" x14ac:dyDescent="0.3">
      <c r="A14" s="1" t="str">
        <f>"m2"</f>
        <v>m2</v>
      </c>
      <c r="B14" s="2" t="str">
        <f>"Metro quadrado"</f>
        <v>Metro quadrado</v>
      </c>
    </row>
    <row r="15" spans="1:2" x14ac:dyDescent="0.3">
      <c r="A15" s="1" t="str">
        <f>"M3"</f>
        <v>M3</v>
      </c>
      <c r="B15" s="2" t="str">
        <f>"METRO CUBICO"</f>
        <v>METRO CUBICO</v>
      </c>
    </row>
    <row r="16" spans="1:2" x14ac:dyDescent="0.3">
      <c r="A16" s="1" t="str">
        <f>"MI"</f>
        <v>MI</v>
      </c>
      <c r="B16" s="2" t="str">
        <f>"Milheiro"</f>
        <v>Milheiro</v>
      </c>
    </row>
    <row r="17" spans="1:2" x14ac:dyDescent="0.3">
      <c r="A17" s="1" t="str">
        <f>"ml"</f>
        <v>ml</v>
      </c>
      <c r="B17" s="2" t="str">
        <f>"metro linear"</f>
        <v>metro linear</v>
      </c>
    </row>
    <row r="18" spans="1:2" x14ac:dyDescent="0.3">
      <c r="A18" s="1" t="str">
        <f>"MT"</f>
        <v>MT</v>
      </c>
      <c r="B18" s="2" t="str">
        <f>"Metro"</f>
        <v>Metro</v>
      </c>
    </row>
    <row r="19" spans="1:2" x14ac:dyDescent="0.3">
      <c r="A19" s="1" t="str">
        <f>"MW"</f>
        <v>MW</v>
      </c>
      <c r="B19" s="2" t="str">
        <f>"WATT-HORA"</f>
        <v>WATT-HORA</v>
      </c>
    </row>
    <row r="20" spans="1:2" x14ac:dyDescent="0.3">
      <c r="A20" s="1" t="str">
        <f>"PA"</f>
        <v>PA</v>
      </c>
      <c r="B20" s="2" t="str">
        <f>"PARES"</f>
        <v>PARES</v>
      </c>
    </row>
    <row r="21" spans="1:2" x14ac:dyDescent="0.3">
      <c r="A21" s="1" t="str">
        <f>"PC"</f>
        <v>PC</v>
      </c>
      <c r="B21" s="2" t="str">
        <f>"PEÇA"</f>
        <v>PEÇA</v>
      </c>
    </row>
    <row r="22" spans="1:2" x14ac:dyDescent="0.3">
      <c r="A22" s="1" t="str">
        <f>"PE"</f>
        <v>PE</v>
      </c>
      <c r="B22" s="2" t="str">
        <f>"PEC"</f>
        <v>PEC</v>
      </c>
    </row>
    <row r="23" spans="1:2" x14ac:dyDescent="0.3">
      <c r="A23" s="1" t="str">
        <f>"PT"</f>
        <v>PT</v>
      </c>
      <c r="B23" s="2" t="str">
        <f>"PACOTE"</f>
        <v>PACOTE</v>
      </c>
    </row>
    <row r="24" spans="1:2" x14ac:dyDescent="0.3">
      <c r="A24" s="1" t="str">
        <f>"RL"</f>
        <v>RL</v>
      </c>
      <c r="B24" s="2" t="str">
        <f>"ROLO"</f>
        <v>ROLO</v>
      </c>
    </row>
    <row r="25" spans="1:2" x14ac:dyDescent="0.3">
      <c r="A25" s="1" t="str">
        <f>"SV"</f>
        <v>SV</v>
      </c>
      <c r="B25" s="2" t="str">
        <f>"SERVICO"</f>
        <v>SERVICO</v>
      </c>
    </row>
    <row r="26" spans="1:2" x14ac:dyDescent="0.3">
      <c r="A26" s="1" t="str">
        <f>"TB"</f>
        <v>TB</v>
      </c>
      <c r="B26" s="2" t="str">
        <f>"Tambor"</f>
        <v>Tambor</v>
      </c>
    </row>
    <row r="27" spans="1:2" x14ac:dyDescent="0.3">
      <c r="A27" s="1" t="str">
        <f>"TM"</f>
        <v>TM</v>
      </c>
      <c r="B27" s="2" t="str">
        <f>"TM"</f>
        <v>TM</v>
      </c>
    </row>
    <row r="28" spans="1:2" x14ac:dyDescent="0.3">
      <c r="A28" s="1" t="str">
        <f>"TN"</f>
        <v>TN</v>
      </c>
      <c r="B28" s="2" t="str">
        <f>"TONELADAS"</f>
        <v>TONELADAS</v>
      </c>
    </row>
    <row r="29" spans="1:2" x14ac:dyDescent="0.3">
      <c r="A29" s="1" t="str">
        <f>"to"</f>
        <v>to</v>
      </c>
      <c r="B29" s="2" t="str">
        <f>"tonelada"</f>
        <v>tonelada</v>
      </c>
    </row>
    <row r="30" spans="1:2" ht="15" thickBot="1" x14ac:dyDescent="0.35">
      <c r="A30" s="3" t="str">
        <f>"UN"</f>
        <v>UN</v>
      </c>
      <c r="B30" s="4" t="str">
        <f>"UNIDADE"</f>
        <v>UNIDADE</v>
      </c>
    </row>
    <row r="31" spans="1:2" x14ac:dyDescent="0.3">
      <c r="A31" t="s">
        <v>2</v>
      </c>
    </row>
  </sheetData>
  <pageMargins left="0.78740157499999996" right="0.78740157499999996" top="0.984251969" bottom="0.984251969" header="0.4921259845" footer="0.492125984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97EE73F6824CB4CBC81148F022C7122" ma:contentTypeVersion="19" ma:contentTypeDescription="Criar um novo documento." ma:contentTypeScope="" ma:versionID="c135dfd5689eb1f41c942b6de29d974a">
  <xsd:schema xmlns:xsd="http://www.w3.org/2001/XMLSchema" xmlns:xs="http://www.w3.org/2001/XMLSchema" xmlns:p="http://schemas.microsoft.com/office/2006/metadata/properties" xmlns:ns2="d196706a-de7c-4813-9c30-935ec1d4cc5d" xmlns:ns3="dd292427-de11-427f-a4cf-93902db2c621" targetNamespace="http://schemas.microsoft.com/office/2006/metadata/properties" ma:root="true" ma:fieldsID="9f598600a6f7a583361fdb2bebd14dd7" ns2:_="" ns3:_="">
    <xsd:import namespace="d196706a-de7c-4813-9c30-935ec1d4cc5d"/>
    <xsd:import namespace="dd292427-de11-427f-a4cf-93902db2c62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96706a-de7c-4813-9c30-935ec1d4cc5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m" ma:readOnly="false" ma:fieldId="{5cf76f15-5ced-4ddc-b409-7134ff3c332f}" ma:taxonomyMulti="true" ma:sspId="8e0251ee-03ea-4cdd-a84b-a8795fd5a69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292427-de11-427f-a4cf-93902db2c62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ac84fc97-ffa8-40ad-9fb7-0ddf2e67ea48}" ma:internalName="TaxCatchAll" ma:showField="CatchAllData" ma:web="dd292427-de11-427f-a4cf-93902db2c62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d292427-de11-427f-a4cf-93902db2c621" xsi:nil="true"/>
    <lcf76f155ced4ddcb4097134ff3c332f xmlns="d196706a-de7c-4813-9c30-935ec1d4cc5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DCC6260-54CE-4BB8-8861-9198864B4C9B}"/>
</file>

<file path=customXml/itemProps2.xml><?xml version="1.0" encoding="utf-8"?>
<ds:datastoreItem xmlns:ds="http://schemas.openxmlformats.org/officeDocument/2006/customXml" ds:itemID="{0590B7B5-7B24-43E6-9F65-C12C225A2E46}"/>
</file>

<file path=customXml/itemProps3.xml><?xml version="1.0" encoding="utf-8"?>
<ds:datastoreItem xmlns:ds="http://schemas.openxmlformats.org/officeDocument/2006/customXml" ds:itemID="{68A0E444-AA60-4D81-B98A-B87B75D39E3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Joao Almeida</dc:creator>
  <cp:lastModifiedBy>Joao Almeida</cp:lastModifiedBy>
  <dcterms:created xsi:type="dcterms:W3CDTF">2025-01-16T12:02:47Z</dcterms:created>
  <dcterms:modified xsi:type="dcterms:W3CDTF">2025-01-16T12:03:11Z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0x010100F97EE73F6824CB4CBC81148F022C7122</vt:lpwstr>
  </property>
</Properties>
</file>